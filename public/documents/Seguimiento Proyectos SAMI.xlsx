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s Finalizados" sheetId="1" r:id="rId5"/>
    <sheet state="visible" name="2025-20" sheetId="2" r:id="rId6"/>
    <sheet state="visible" name="2026-10" sheetId="3" r:id="rId7"/>
    <sheet state="visible" name="2026-20" sheetId="4" r:id="rId8"/>
    <sheet state="visible" name="Datos" sheetId="5" r:id="rId9"/>
    <sheet state="visible" name="Datos2" sheetId="6" r:id="rId10"/>
  </sheets>
  <definedNames/>
  <calcPr/>
</workbook>
</file>

<file path=xl/sharedStrings.xml><?xml version="1.0" encoding="utf-8"?>
<sst xmlns="http://schemas.openxmlformats.org/spreadsheetml/2006/main" count="526" uniqueCount="152">
  <si>
    <t>SEMILLERO DE INVESIGACIÓN SAMI</t>
  </si>
  <si>
    <t>LISTADO DE ESTUDIANTES  ALTERNATIVA DE GRADO</t>
  </si>
  <si>
    <t>NOMBRE PROYECTO</t>
  </si>
  <si>
    <t>FECHA PUBLICACIÓN</t>
  </si>
  <si>
    <t>ESTUDIANTE</t>
  </si>
  <si>
    <t>DIRECTOR</t>
  </si>
  <si>
    <t>CODIRECTOR</t>
  </si>
  <si>
    <t>CÓDIGO</t>
  </si>
  <si>
    <t>NOMBRES Y APELLIDOS</t>
  </si>
  <si>
    <t>DOCUMENTO</t>
  </si>
  <si>
    <t>TELÉFONO</t>
  </si>
  <si>
    <t>DATOS</t>
  </si>
  <si>
    <t>CORREO ELECTRÓNICO</t>
  </si>
  <si>
    <t>Prototipo de videojuego formativo para apoyar la pronunciación de palabras en niños de grado primero del Gimnasio San Diego de Tunja</t>
  </si>
  <si>
    <t>Juan Esteban Niño Gamboa</t>
  </si>
  <si>
    <t>ANTEPROYECTO</t>
  </si>
  <si>
    <t>juanestnino@uniboyaca.edu.co</t>
  </si>
  <si>
    <t>Mauricio Ochoa Echeverría</t>
  </si>
  <si>
    <t>CEB Y CPI</t>
  </si>
  <si>
    <t>Miguel Stiven Sanabria Mendivelso</t>
  </si>
  <si>
    <t>Prototipo de micrositio web multimedia para proyectos interactivos de la Universidad de Boyacá</t>
  </si>
  <si>
    <t>Jose Manuel Rentería Andrade</t>
  </si>
  <si>
    <t>SEMESTRE SEMILLERO</t>
  </si>
  <si>
    <t>jmrenteria@uniboyaca.edu.co</t>
  </si>
  <si>
    <t>ESTADO</t>
  </si>
  <si>
    <t>JURADO</t>
  </si>
  <si>
    <t>Julián Esteban Rodríguez Cepeda</t>
  </si>
  <si>
    <t>CONCEPTO DE JURADO</t>
  </si>
  <si>
    <t>julestrodriguez@uniboyaca.edu.co</t>
  </si>
  <si>
    <t>Prototipo de videojuego para un recorrido virtual del edificio 12 de la Universidad de Boyacá</t>
  </si>
  <si>
    <t>Santiago David Bautista Espinel</t>
  </si>
  <si>
    <t>FECHA SUSTENTACIÓN ANTEPROYECTO</t>
  </si>
  <si>
    <t>sdbautista@uniboyaca.edu.co</t>
  </si>
  <si>
    <t>ESTADO CEB</t>
  </si>
  <si>
    <t>ESTADO CPI</t>
  </si>
  <si>
    <t>Lina Fernanda Otálora Silva</t>
  </si>
  <si>
    <t>lfotalora@uniboyaca.edu.co</t>
  </si>
  <si>
    <t>Prototipo de videojuego para recorrido virtual del edificio múltiple 2 de la Universidad de Boyacá</t>
  </si>
  <si>
    <t>Jessica Vanessa Niño Peña</t>
  </si>
  <si>
    <t>jvnino@uniboyaca.edu.co</t>
  </si>
  <si>
    <t>Daniel Santiago Martinez Perdomo</t>
  </si>
  <si>
    <t>Aplicativo móvil con realidad aumentada para la comprensión de las métricas y proporciones en el dibujo anatómico</t>
  </si>
  <si>
    <t>Desarrollo de una aplicación móvil para el apoyo al seguimiento emocional en estudiantes de la Universidad de Boyacá</t>
  </si>
  <si>
    <t>dansanmartinez@uniboyaca.edu.co</t>
  </si>
  <si>
    <t>David Alejandro Rosas Naranjo</t>
  </si>
  <si>
    <t>davrosas@uniboyaca.edu.co</t>
  </si>
  <si>
    <t>Videojuego como herramienta de aprendizaje del tema de balanceo de ecuaciones químicas por método de tanteo</t>
  </si>
  <si>
    <t>Paula Andrea Ortegón Lezama</t>
  </si>
  <si>
    <t>Juan Esteban Niño</t>
  </si>
  <si>
    <t>paortegon@uniboyaca.edu.co</t>
  </si>
  <si>
    <t>Jose Manuel Rentería</t>
  </si>
  <si>
    <t>N/A</t>
  </si>
  <si>
    <t>Alvaro Vargas Calero</t>
  </si>
  <si>
    <t>Daniel Alejandro Rodríguez</t>
  </si>
  <si>
    <t>Juan Sebastian Sanabria Mendivelso</t>
  </si>
  <si>
    <t>II</t>
  </si>
  <si>
    <t>jssanabriam@uniboyaca.edu.co</t>
  </si>
  <si>
    <t>I</t>
  </si>
  <si>
    <t>Prototipo de aplicación móvil con Realidad Aumentada para guía de entrenamiento en máquinas de gimnasio de la Universidad de Boyacá</t>
  </si>
  <si>
    <t>1. Propuesta</t>
  </si>
  <si>
    <t>darodrigueza@uniboyaca.edu.co</t>
  </si>
  <si>
    <t>Brandon Andres Castiblanco Costilla</t>
  </si>
  <si>
    <t>bracastiblanco@uniboyaca.edu.co</t>
  </si>
  <si>
    <t>Julián Hernando Vera Hernández</t>
  </si>
  <si>
    <t>Karen Juliana Barreto Peña</t>
  </si>
  <si>
    <t>kjbarreto@uniboyaca.edu.co</t>
  </si>
  <si>
    <t>4. Aprobación CB</t>
  </si>
  <si>
    <t>Manuel Francisco Corredor</t>
  </si>
  <si>
    <t>APROBADO</t>
  </si>
  <si>
    <t>2025-20</t>
  </si>
  <si>
    <t>2026-10</t>
  </si>
  <si>
    <t>2026-20</t>
  </si>
  <si>
    <t>III</t>
  </si>
  <si>
    <t>Aplicativo móvil con realidad aumentada para la práctica y adquisición de vocabulario de inglés a nivel A1</t>
  </si>
  <si>
    <t>Angy Juliana Farasica</t>
  </si>
  <si>
    <t>ajfarasica@uniboyaca.edu.co</t>
  </si>
  <si>
    <t>David Alberto Rodríguez Bohorquez</t>
  </si>
  <si>
    <t>3. Sustentación anteproyecto</t>
  </si>
  <si>
    <t>Oscar Leonardo Peréz</t>
  </si>
  <si>
    <t>Juliana  Valentina Parra Rodríguez</t>
  </si>
  <si>
    <t>Narrativa Web Interactiva para Divulgar la Historia de la Batalla del Pantano de Vargas, Paipa</t>
  </si>
  <si>
    <t>David Santiago Amaya Reyes</t>
  </si>
  <si>
    <t>322 3619293</t>
  </si>
  <si>
    <t>dsamaya@uniboyaca.edu.co</t>
  </si>
  <si>
    <t>NO ASIGNADO</t>
  </si>
  <si>
    <t>Juliana Valentina Parra Rodríguez</t>
  </si>
  <si>
    <t>Videojuego 2D para apoyar competencias matemáticas básicas de números enteros en niños</t>
  </si>
  <si>
    <t>Diana Sofia Benavides Monroy</t>
  </si>
  <si>
    <t>dsbenavides@uniboyaca.edu.co</t>
  </si>
  <si>
    <t>Elkin Javier Duran Alméciga</t>
  </si>
  <si>
    <t>APROBADO CON CORRECCIONES</t>
  </si>
  <si>
    <t>Camilo Guerrero</t>
  </si>
  <si>
    <t>Libro Interactivo para la Divulgación del Programa de Ingeniería en Multimedia de la Universidad de Boyacá</t>
  </si>
  <si>
    <t>Joao Antonio Alfonso Pinilla</t>
  </si>
  <si>
    <t>Sara Sofia Moreno Castro</t>
  </si>
  <si>
    <t>ssmoreno@uniboyaca.edu.co</t>
  </si>
  <si>
    <t>Recorrido virtual interactivo del edificio 4 de la Universidad de Boyacá</t>
  </si>
  <si>
    <t>Daniel Felipe Sainea</t>
  </si>
  <si>
    <t>dansainea@uniboyaca.edu.co</t>
  </si>
  <si>
    <t>2. Anteproyecto</t>
  </si>
  <si>
    <t>Desarrollo e implementación de un recorrido virtual 360° como estrategia para optimizar la orientación y experiencia de usuario en los escenarios deportivos de la Universidad de Boyacá, sede Tunja</t>
  </si>
  <si>
    <t>David Alejandro Gonzalez</t>
  </si>
  <si>
    <t xml:space="preserve">Juan Pablo Alba Martinez </t>
  </si>
  <si>
    <t>dagonzalezs@uniboyaca.edu.co</t>
  </si>
  <si>
    <t>jpalba@uniboyaca.edu.co</t>
  </si>
  <si>
    <t>Aplicación de realidad virtual para exposición gradual y controlada a espacios cerrados en personas con claustrofobia</t>
  </si>
  <si>
    <t>Hugo Alexander Fonseca Chaparro</t>
  </si>
  <si>
    <t>hafonseca@uniboyaca.edu.co</t>
  </si>
  <si>
    <t>DEBE VOLVER A PRESENTAR</t>
  </si>
  <si>
    <t>Gustavo Enrqiue Renza Alarcon</t>
  </si>
  <si>
    <t>Se retira de semillero</t>
  </si>
  <si>
    <t>IV</t>
  </si>
  <si>
    <t>Prototipo de videojuego 2D para recorrido virtual guiado de la Universidad de Boyacá sede Tunja</t>
  </si>
  <si>
    <t>Sergio Andrés Rangel Montaña</t>
  </si>
  <si>
    <t>sarangel@uniboyaca.edu.co</t>
  </si>
  <si>
    <t xml:space="preserve">Axel Camilo Prieto Tiria </t>
  </si>
  <si>
    <t>axeprieto@uniboyaca.edu.co</t>
  </si>
  <si>
    <t>Videojuego educativo 2D para el fortalecimiento de la lógica de programación en estudiantes de la Universidad de Boyacá</t>
  </si>
  <si>
    <t>Luna Natalia Bejarano Castellanos</t>
  </si>
  <si>
    <t>Inmersión y terapia: Videojuego para el tratamiento de la claustrofobia</t>
  </si>
  <si>
    <t>Yerson Leandro Ariza Chacón</t>
  </si>
  <si>
    <t>Videojuego para la visualización completa de la universidad de Boyacá</t>
  </si>
  <si>
    <t>Estudiante</t>
  </si>
  <si>
    <t>7. Sustentación proyecto</t>
  </si>
  <si>
    <t>Proyecto</t>
  </si>
  <si>
    <t>2025-10</t>
  </si>
  <si>
    <t>2027-10</t>
  </si>
  <si>
    <t>2027-20</t>
  </si>
  <si>
    <t>2028-10</t>
  </si>
  <si>
    <t>2028-20</t>
  </si>
  <si>
    <t>2029-10</t>
  </si>
  <si>
    <t>2029-20</t>
  </si>
  <si>
    <t>2030-10</t>
  </si>
  <si>
    <t>2030-20</t>
  </si>
  <si>
    <t>2031-10</t>
  </si>
  <si>
    <t>2031-20</t>
  </si>
  <si>
    <t>2032-10</t>
  </si>
  <si>
    <t>2032-20</t>
  </si>
  <si>
    <t>2033-10</t>
  </si>
  <si>
    <t>2033-20</t>
  </si>
  <si>
    <t>2034-10</t>
  </si>
  <si>
    <t>2034-20</t>
  </si>
  <si>
    <t>2035-10</t>
  </si>
  <si>
    <t>2035-20</t>
  </si>
  <si>
    <t>2036-10</t>
  </si>
  <si>
    <t>5. Desarrollo proyecto</t>
  </si>
  <si>
    <t>2036-20</t>
  </si>
  <si>
    <t>Jaquelin Arleth Lopez</t>
  </si>
  <si>
    <t>Prototipo de videojuego para divulgar el Puente de Boyacá</t>
  </si>
  <si>
    <t xml:space="preserve">Diana Patricia Acuña Cardozo </t>
  </si>
  <si>
    <t>dpacuna@uniboyaca.edu.co</t>
  </si>
  <si>
    <t>Carmen Inés Báez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</si>
</sst>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/>
    <font>
      <b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  <font>
      <color rgb="FF000000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7" fillId="0" fontId="5" numFmtId="0" xfId="0" applyBorder="1" applyFont="1"/>
    <xf borderId="6" fillId="0" fontId="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left" readingOrder="0" vertical="center"/>
    </xf>
    <xf borderId="0" fillId="0" fontId="10" numFmtId="49" xfId="0" applyAlignment="1" applyFont="1" applyNumberFormat="1">
      <alignment horizontal="left" vertical="center"/>
    </xf>
    <xf borderId="0" fillId="0" fontId="10" numFmtId="0" xfId="0" applyAlignment="1" applyFont="1">
      <alignment shrinkToFit="0" wrapText="0"/>
    </xf>
    <xf borderId="6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p8l8JJCjbDjoxGZQONI67Q7qvrdZ83x?usp=drive_link" TargetMode="External"/><Relationship Id="rId2" Type="http://schemas.openxmlformats.org/officeDocument/2006/relationships/hyperlink" Target="https://drive.google.com/drive/folders/1xJoQNtTKd9kOhJEK7q4KqNR56MyKzs8e?usp=drive_link" TargetMode="External"/><Relationship Id="rId3" Type="http://schemas.openxmlformats.org/officeDocument/2006/relationships/hyperlink" Target="https://drive.google.com/drive/folders/1oAbUORBf4zlOISkDs_HyZj3wcQrdrnLF?usp=drive_link" TargetMode="External"/><Relationship Id="rId4" Type="http://schemas.openxmlformats.org/officeDocument/2006/relationships/hyperlink" Target="https://drive.google.com/drive/folders/1VcHa7HbydQrI-K4IwuSRN2XAoU1eIiIb?usp=drive_link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drive/folders/1SnRoVsxKZ8uYP0i13vbwGpMvum4IJ8Qq?usp=drive_link" TargetMode="External"/><Relationship Id="rId9" Type="http://schemas.openxmlformats.org/officeDocument/2006/relationships/hyperlink" Target="https://drive.google.com/drive/folders/1h0koK-ZoF5JSDYLzNQ2PlvvEvjrqJT77?usp=drive_link" TargetMode="External"/><Relationship Id="rId5" Type="http://schemas.openxmlformats.org/officeDocument/2006/relationships/hyperlink" Target="https://drive.google.com/drive/folders/16VHEbtbNnKYMqeQofaPI-ttoLwx89Hk4?usp=drive_link" TargetMode="External"/><Relationship Id="rId6" Type="http://schemas.openxmlformats.org/officeDocument/2006/relationships/hyperlink" Target="https://drive.google.com/drive/folders/1LrxOLrBeydVN6DG3DYiYQW44cVZSL9Yv?usp=drive_link" TargetMode="External"/><Relationship Id="rId7" Type="http://schemas.openxmlformats.org/officeDocument/2006/relationships/hyperlink" Target="https://drive.google.com/drive/folders/1-yYfS1KqNmJXtjG6-9elJ_EoeoAuIB15?usp=drive_link" TargetMode="External"/><Relationship Id="rId8" Type="http://schemas.openxmlformats.org/officeDocument/2006/relationships/hyperlink" Target="https://drive.google.com/drive/folders/1iI0xlxijPnQuS1iEmHV5mAxIPSFkQTqz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p8l8JJCjbDjoxGZQONI67Q7qvrdZ83x?usp=drive_link" TargetMode="External"/><Relationship Id="rId2" Type="http://schemas.openxmlformats.org/officeDocument/2006/relationships/hyperlink" Target="https://drive.google.com/drive/folders/1xJoQNtTKd9kOhJEK7q4KqNR56MyKzs8e?usp=drive_link" TargetMode="External"/><Relationship Id="rId3" Type="http://schemas.openxmlformats.org/officeDocument/2006/relationships/hyperlink" Target="https://drive.google.com/drive/folders/1oAbUORBf4zlOISkDs_HyZj3wcQrdrnLF?usp=drive_link" TargetMode="External"/><Relationship Id="rId4" Type="http://schemas.openxmlformats.org/officeDocument/2006/relationships/hyperlink" Target="https://drive.google.com/drive/folders/1VcHa7HbydQrI-K4IwuSRN2XAoU1eIiIb?usp=drive_lin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drive/folders/16VHEbtbNnKYMqeQofaPI-ttoLwx89Hk4?usp=drive_link" TargetMode="External"/><Relationship Id="rId6" Type="http://schemas.openxmlformats.org/officeDocument/2006/relationships/hyperlink" Target="https://drive.google.com/drive/folders/1LrxOLrBeydVN6DG3DYiYQW44cVZSL9Yv?usp=drive_link" TargetMode="External"/><Relationship Id="rId7" Type="http://schemas.openxmlformats.org/officeDocument/2006/relationships/hyperlink" Target="https://drive.google.com/drive/folders/1h0koK-ZoF5JSDYLzNQ2PlvvEvjrqJT77?usp=drive_link" TargetMode="External"/><Relationship Id="rId8" Type="http://schemas.openxmlformats.org/officeDocument/2006/relationships/hyperlink" Target="https://drive.google.com/drive/folders/1SnRoVsxKZ8uYP0i13vbwGpMvum4IJ8Qq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p8l8JJCjbDjoxGZQONI67Q7qvrdZ83x?usp=drive_link" TargetMode="External"/><Relationship Id="rId2" Type="http://schemas.openxmlformats.org/officeDocument/2006/relationships/hyperlink" Target="https://drive.google.com/drive/folders/1xJoQNtTKd9kOhJEK7q4KqNR56MyKzs8e?usp=drive_link" TargetMode="External"/><Relationship Id="rId3" Type="http://schemas.openxmlformats.org/officeDocument/2006/relationships/hyperlink" Target="https://drive.google.com/drive/folders/1oAbUORBf4zlOISkDs_HyZj3wcQrdrnLF?usp=drive_link" TargetMode="External"/><Relationship Id="rId4" Type="http://schemas.openxmlformats.org/officeDocument/2006/relationships/hyperlink" Target="https://drive.google.com/drive/folders/1VcHa7HbydQrI-K4IwuSRN2XAoU1eIiIb?usp=drive_link" TargetMode="External"/><Relationship Id="rId5" Type="http://schemas.openxmlformats.org/officeDocument/2006/relationships/hyperlink" Target="https://drive.google.com/drive/folders/16VHEbtbNnKYMqeQofaPI-ttoLwx89Hk4?usp=drive_link" TargetMode="External"/><Relationship Id="rId6" Type="http://schemas.openxmlformats.org/officeDocument/2006/relationships/hyperlink" Target="https://drive.google.com/drive/folders/1LrxOLrBeydVN6DG3DYiYQW44cVZSL9Yv?usp=drive_link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3" width="27.0"/>
    <col customWidth="1" min="4" max="4" width="37.0"/>
    <col customWidth="1" min="5" max="6" width="14.38"/>
    <col customWidth="1" min="7" max="7" width="37.0"/>
    <col customWidth="1" min="8" max="9" width="34.5"/>
  </cols>
  <sheetData>
    <row r="1">
      <c r="A1" s="1" t="s">
        <v>0</v>
      </c>
    </row>
    <row r="2">
      <c r="A2" s="2" t="s">
        <v>1</v>
      </c>
    </row>
    <row r="3">
      <c r="A3" s="3"/>
      <c r="B3" s="4"/>
      <c r="C3" s="4"/>
      <c r="D3" s="4"/>
      <c r="E3" s="4"/>
      <c r="F3" s="4"/>
      <c r="G3" s="4"/>
      <c r="H3" s="4"/>
      <c r="I3" s="4"/>
    </row>
    <row r="4">
      <c r="A4" s="5" t="s">
        <v>2</v>
      </c>
      <c r="B4" s="6" t="s">
        <v>3</v>
      </c>
      <c r="C4" s="7" t="s">
        <v>4</v>
      </c>
      <c r="D4" s="8"/>
      <c r="E4" s="8"/>
      <c r="F4" s="8"/>
      <c r="G4" s="9"/>
      <c r="H4" s="5" t="s">
        <v>5</v>
      </c>
      <c r="I4" s="5" t="s">
        <v>6</v>
      </c>
    </row>
    <row r="5">
      <c r="A5" s="10"/>
      <c r="B5" s="10"/>
      <c r="C5" s="11" t="s">
        <v>7</v>
      </c>
      <c r="D5" s="12" t="s">
        <v>8</v>
      </c>
      <c r="E5" s="11" t="s">
        <v>9</v>
      </c>
      <c r="F5" s="11" t="s">
        <v>10</v>
      </c>
      <c r="G5" s="11" t="s">
        <v>12</v>
      </c>
      <c r="H5" s="10"/>
      <c r="I5" s="10"/>
    </row>
    <row r="6" ht="39.0" customHeight="1">
      <c r="A6" s="14" t="s">
        <v>13</v>
      </c>
      <c r="B6" s="14">
        <v>202410.0</v>
      </c>
      <c r="C6" s="14">
        <v>5.5821503E7</v>
      </c>
      <c r="D6" s="14" t="s">
        <v>14</v>
      </c>
      <c r="E6" s="14">
        <v>1.002366113E9</v>
      </c>
      <c r="F6" s="14">
        <v>3.19757138E9</v>
      </c>
      <c r="G6" s="14" t="s">
        <v>16</v>
      </c>
      <c r="H6" s="14" t="s">
        <v>17</v>
      </c>
      <c r="I6" s="15" t="s">
        <v>19</v>
      </c>
    </row>
    <row r="7" ht="39.0" customHeight="1">
      <c r="A7" s="10"/>
      <c r="B7" s="10"/>
      <c r="C7" s="10"/>
      <c r="D7" s="10"/>
      <c r="E7" s="10"/>
      <c r="F7" s="10"/>
      <c r="G7" s="10"/>
      <c r="H7" s="10"/>
      <c r="I7" s="10"/>
    </row>
    <row r="8" ht="39.0" customHeight="1">
      <c r="A8" s="14" t="s">
        <v>20</v>
      </c>
      <c r="B8" s="14">
        <v>202420.0</v>
      </c>
      <c r="C8" s="17">
        <v>5.5821504E7</v>
      </c>
      <c r="D8" s="17" t="s">
        <v>21</v>
      </c>
      <c r="E8" s="17">
        <v>1.005891777E9</v>
      </c>
      <c r="F8" s="17">
        <v>3.144574635E9</v>
      </c>
      <c r="G8" s="17" t="s">
        <v>23</v>
      </c>
      <c r="H8" s="14" t="s">
        <v>17</v>
      </c>
      <c r="I8" s="15" t="s">
        <v>19</v>
      </c>
    </row>
    <row r="9" ht="39.0" customHeight="1">
      <c r="A9" s="10"/>
      <c r="B9" s="10"/>
      <c r="C9" s="17">
        <v>5.5821009E7</v>
      </c>
      <c r="D9" s="17" t="s">
        <v>26</v>
      </c>
      <c r="E9" s="17">
        <v>1.007196027E9</v>
      </c>
      <c r="F9" s="17">
        <v>3.21251899E9</v>
      </c>
      <c r="G9" s="17" t="s">
        <v>28</v>
      </c>
      <c r="H9" s="10"/>
      <c r="I9" s="10"/>
    </row>
    <row r="10" ht="39.0" customHeight="1">
      <c r="A10" s="14" t="s">
        <v>29</v>
      </c>
      <c r="B10" s="14">
        <v>202510.0</v>
      </c>
      <c r="C10" s="17">
        <v>5.5821013E7</v>
      </c>
      <c r="D10" s="17" t="s">
        <v>30</v>
      </c>
      <c r="E10" s="17">
        <v>1.000353179E9</v>
      </c>
      <c r="F10" s="17">
        <v>3.16347022E9</v>
      </c>
      <c r="G10" s="17" t="s">
        <v>32</v>
      </c>
      <c r="H10" s="14" t="s">
        <v>17</v>
      </c>
      <c r="I10" s="15" t="s">
        <v>19</v>
      </c>
    </row>
    <row r="11" ht="39.0" customHeight="1">
      <c r="A11" s="10"/>
      <c r="B11" s="10"/>
      <c r="C11" s="17">
        <v>5.5821011E7</v>
      </c>
      <c r="D11" s="17" t="s">
        <v>35</v>
      </c>
      <c r="E11" s="17">
        <v>1.002329071E9</v>
      </c>
      <c r="F11" s="17">
        <v>3.243561758E9</v>
      </c>
      <c r="G11" s="17" t="s">
        <v>36</v>
      </c>
      <c r="H11" s="10"/>
      <c r="I11" s="10"/>
    </row>
    <row r="12" ht="39.0" customHeight="1">
      <c r="A12" s="14" t="s">
        <v>37</v>
      </c>
      <c r="B12" s="14">
        <v>202510.0</v>
      </c>
      <c r="C12" s="17">
        <v>5.5821503E7</v>
      </c>
      <c r="D12" s="17" t="s">
        <v>38</v>
      </c>
      <c r="E12" s="17">
        <v>1.002538167E9</v>
      </c>
      <c r="F12" s="17">
        <v>3.005642728E9</v>
      </c>
      <c r="G12" s="17" t="s">
        <v>39</v>
      </c>
      <c r="H12" s="14" t="s">
        <v>17</v>
      </c>
      <c r="I12" s="15" t="s">
        <v>19</v>
      </c>
    </row>
    <row r="13" ht="39.0" customHeight="1">
      <c r="A13" s="10"/>
      <c r="B13" s="10"/>
      <c r="C13" s="17">
        <v>5.5821002E7</v>
      </c>
      <c r="D13" s="17" t="s">
        <v>40</v>
      </c>
      <c r="E13" s="17">
        <v>1.007364924E9</v>
      </c>
      <c r="F13" s="17">
        <v>3.104304047E9</v>
      </c>
      <c r="G13" s="17" t="s">
        <v>43</v>
      </c>
      <c r="H13" s="10"/>
      <c r="I13" s="10"/>
    </row>
    <row r="14" ht="39.0" customHeight="1">
      <c r="A14" s="14" t="s">
        <v>37</v>
      </c>
      <c r="B14" s="14">
        <v>202510.0</v>
      </c>
      <c r="C14" s="17">
        <v>5.5821503E7</v>
      </c>
      <c r="D14" s="17" t="s">
        <v>38</v>
      </c>
      <c r="E14" s="17">
        <v>1.002538167E9</v>
      </c>
      <c r="F14" s="17">
        <v>3.005642728E9</v>
      </c>
      <c r="G14" s="17" t="s">
        <v>39</v>
      </c>
      <c r="H14" s="14" t="s">
        <v>17</v>
      </c>
      <c r="I14" s="15" t="s">
        <v>19</v>
      </c>
    </row>
    <row r="15" ht="39.0" customHeight="1">
      <c r="A15" s="10"/>
      <c r="B15" s="10"/>
      <c r="C15" s="17">
        <v>5.5821002E7</v>
      </c>
      <c r="D15" s="17" t="s">
        <v>40</v>
      </c>
      <c r="E15" s="17">
        <v>1.007364924E9</v>
      </c>
      <c r="F15" s="17">
        <v>3.104304047E9</v>
      </c>
      <c r="G15" s="17" t="s">
        <v>43</v>
      </c>
      <c r="H15" s="10"/>
      <c r="I15" s="10"/>
    </row>
    <row r="16" ht="39.0" customHeight="1">
      <c r="A16" s="14" t="s">
        <v>46</v>
      </c>
      <c r="B16" s="14">
        <v>202610.0</v>
      </c>
      <c r="C16" s="21">
        <v>5.5822015E7</v>
      </c>
      <c r="D16" s="21" t="s">
        <v>47</v>
      </c>
      <c r="E16" s="21">
        <v>1.110458967E9</v>
      </c>
      <c r="F16" s="21">
        <v>3.208045333E9</v>
      </c>
      <c r="G16" s="21" t="s">
        <v>49</v>
      </c>
      <c r="H16" s="14" t="s">
        <v>50</v>
      </c>
      <c r="I16" s="24" t="s">
        <v>52</v>
      </c>
    </row>
    <row r="17" ht="39.0" customHeight="1">
      <c r="A17" s="10"/>
      <c r="B17" s="10"/>
      <c r="C17" s="21">
        <v>5.5822013E7</v>
      </c>
      <c r="D17" s="21" t="s">
        <v>54</v>
      </c>
      <c r="E17" s="21">
        <v>1.058356843E9</v>
      </c>
      <c r="F17" s="21">
        <v>3.20853302E9</v>
      </c>
      <c r="G17" s="21" t="s">
        <v>56</v>
      </c>
      <c r="H17" s="10"/>
      <c r="I17" s="10"/>
    </row>
    <row r="18" ht="39.0" customHeight="1">
      <c r="A18" s="14" t="s">
        <v>58</v>
      </c>
      <c r="B18" s="14">
        <v>202610.0</v>
      </c>
      <c r="C18" s="14">
        <v>5.5822004E7</v>
      </c>
      <c r="D18" s="23" t="s">
        <v>61</v>
      </c>
      <c r="E18" s="23">
        <v>1.002692388E9</v>
      </c>
      <c r="F18" s="23">
        <v>3.202870744E9</v>
      </c>
      <c r="G18" s="23" t="s">
        <v>62</v>
      </c>
      <c r="H18" s="14" t="s">
        <v>48</v>
      </c>
      <c r="I18" s="24" t="s">
        <v>63</v>
      </c>
    </row>
    <row r="19" ht="39.0" customHeight="1">
      <c r="A19" s="10"/>
      <c r="B19" s="10"/>
      <c r="C19" s="10"/>
      <c r="D19" s="10"/>
      <c r="E19" s="10"/>
      <c r="F19" s="10"/>
      <c r="G19" s="10"/>
      <c r="H19" s="10"/>
      <c r="I19" s="10"/>
    </row>
    <row r="20" ht="39.0" customHeight="1">
      <c r="A20" s="28"/>
      <c r="B20" s="28"/>
      <c r="C20" s="28"/>
      <c r="D20" s="28"/>
      <c r="E20" s="28"/>
      <c r="F20" s="28"/>
      <c r="G20" s="28"/>
      <c r="H20" s="28"/>
      <c r="I20" s="29"/>
    </row>
    <row r="21" ht="39.0" customHeight="1">
      <c r="A21" s="30"/>
      <c r="B21" s="30"/>
      <c r="C21" s="30"/>
      <c r="D21" s="30"/>
      <c r="E21" s="30"/>
      <c r="F21" s="30"/>
      <c r="G21" s="30"/>
      <c r="H21" s="30"/>
      <c r="I21" s="29"/>
    </row>
    <row r="22" ht="39.0" customHeight="1">
      <c r="A22" s="30"/>
      <c r="B22" s="30"/>
      <c r="C22" s="30"/>
      <c r="D22" s="30"/>
      <c r="E22" s="30"/>
      <c r="F22" s="30"/>
      <c r="G22" s="30"/>
      <c r="H22" s="30"/>
      <c r="I22" s="29"/>
    </row>
    <row r="23" ht="39.0" customHeight="1">
      <c r="A23" s="30"/>
      <c r="B23" s="30"/>
      <c r="C23" s="30"/>
      <c r="D23" s="30"/>
      <c r="E23" s="30"/>
      <c r="F23" s="30"/>
      <c r="G23" s="30"/>
      <c r="H23" s="30"/>
      <c r="I23" s="29"/>
    </row>
  </sheetData>
  <mergeCells count="45">
    <mergeCell ref="A1:I1"/>
    <mergeCell ref="A2:I2"/>
    <mergeCell ref="A4:A5"/>
    <mergeCell ref="B4:B5"/>
    <mergeCell ref="C4:G4"/>
    <mergeCell ref="H4:H5"/>
    <mergeCell ref="I4:I5"/>
    <mergeCell ref="A6:A7"/>
    <mergeCell ref="B6:B7"/>
    <mergeCell ref="C6:C7"/>
    <mergeCell ref="D6:D7"/>
    <mergeCell ref="E6:E7"/>
    <mergeCell ref="F6:F7"/>
    <mergeCell ref="G6:G7"/>
    <mergeCell ref="H12:H13"/>
    <mergeCell ref="H14:H15"/>
    <mergeCell ref="H16:H17"/>
    <mergeCell ref="H18:H19"/>
    <mergeCell ref="A14:A15"/>
    <mergeCell ref="A16:A17"/>
    <mergeCell ref="A18:A19"/>
    <mergeCell ref="I14:I15"/>
    <mergeCell ref="I16:I17"/>
    <mergeCell ref="I18:I19"/>
    <mergeCell ref="H6:H7"/>
    <mergeCell ref="I6:I7"/>
    <mergeCell ref="H8:H9"/>
    <mergeCell ref="I8:I9"/>
    <mergeCell ref="H10:H11"/>
    <mergeCell ref="I10:I11"/>
    <mergeCell ref="I12:I13"/>
    <mergeCell ref="B16:B17"/>
    <mergeCell ref="B18:B19"/>
    <mergeCell ref="C18:C19"/>
    <mergeCell ref="D18:D19"/>
    <mergeCell ref="E18:E19"/>
    <mergeCell ref="F18:F19"/>
    <mergeCell ref="G18:G19"/>
    <mergeCell ref="A8:A9"/>
    <mergeCell ref="B8:B9"/>
    <mergeCell ref="A10:A11"/>
    <mergeCell ref="B10:B11"/>
    <mergeCell ref="A12:A13"/>
    <mergeCell ref="B12:B13"/>
    <mergeCell ref="B14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9.38"/>
    <col customWidth="1" min="2" max="2" width="27.0"/>
    <col customWidth="1" min="3" max="3" width="37.0"/>
    <col customWidth="1" min="4" max="5" width="14.38"/>
    <col customWidth="1" min="6" max="6" width="37.0"/>
    <col customWidth="1" min="7" max="8" width="34.5"/>
    <col customWidth="1" min="10" max="11" width="34.5"/>
    <col customWidth="1" min="12" max="15" width="33.63"/>
  </cols>
  <sheetData>
    <row r="1">
      <c r="A1" s="5" t="s">
        <v>2</v>
      </c>
      <c r="B1" s="13" t="s">
        <v>11</v>
      </c>
      <c r="C1" s="8"/>
      <c r="D1" s="8"/>
      <c r="E1" s="8"/>
      <c r="F1" s="8"/>
      <c r="G1" s="8"/>
      <c r="H1" s="8"/>
      <c r="I1" s="9"/>
      <c r="J1" s="13" t="s">
        <v>15</v>
      </c>
      <c r="K1" s="8"/>
      <c r="L1" s="8"/>
      <c r="M1" s="9"/>
      <c r="N1" s="13" t="s">
        <v>18</v>
      </c>
      <c r="O1" s="9"/>
    </row>
    <row r="2">
      <c r="A2" s="16"/>
      <c r="B2" s="7" t="s">
        <v>4</v>
      </c>
      <c r="C2" s="8"/>
      <c r="D2" s="8"/>
      <c r="E2" s="8"/>
      <c r="F2" s="9"/>
      <c r="G2" s="5" t="s">
        <v>5</v>
      </c>
      <c r="H2" s="5" t="s">
        <v>6</v>
      </c>
      <c r="I2" s="18" t="s">
        <v>22</v>
      </c>
      <c r="J2" s="6" t="s">
        <v>24</v>
      </c>
      <c r="K2" s="6" t="s">
        <v>25</v>
      </c>
      <c r="L2" s="19" t="s">
        <v>27</v>
      </c>
      <c r="M2" s="19" t="s">
        <v>31</v>
      </c>
      <c r="N2" s="6" t="s">
        <v>33</v>
      </c>
      <c r="O2" s="6" t="s">
        <v>34</v>
      </c>
    </row>
    <row r="3">
      <c r="A3" s="10"/>
      <c r="B3" s="11" t="s">
        <v>7</v>
      </c>
      <c r="C3" s="12" t="s">
        <v>8</v>
      </c>
      <c r="D3" s="11" t="s">
        <v>9</v>
      </c>
      <c r="E3" s="11" t="s">
        <v>10</v>
      </c>
      <c r="F3" s="11" t="s">
        <v>12</v>
      </c>
      <c r="G3" s="10"/>
      <c r="H3" s="10"/>
      <c r="I3" s="10"/>
      <c r="J3" s="10"/>
      <c r="K3" s="10"/>
      <c r="L3" s="10"/>
      <c r="M3" s="10"/>
      <c r="N3" s="10"/>
      <c r="O3" s="10"/>
    </row>
    <row r="4" ht="39.0" customHeight="1">
      <c r="A4" s="20" t="s">
        <v>41</v>
      </c>
      <c r="B4" s="23">
        <v>5.5823012E7</v>
      </c>
      <c r="C4" s="23" t="s">
        <v>53</v>
      </c>
      <c r="D4" s="23">
        <v>1.00655428E9</v>
      </c>
      <c r="E4" s="23">
        <v>3.10289174E9</v>
      </c>
      <c r="F4" s="23" t="s">
        <v>60</v>
      </c>
      <c r="G4" s="14" t="s">
        <v>50</v>
      </c>
      <c r="H4" s="15" t="s">
        <v>51</v>
      </c>
      <c r="I4" s="24" t="s">
        <v>57</v>
      </c>
      <c r="J4" s="14" t="s">
        <v>66</v>
      </c>
      <c r="K4" s="17" t="s">
        <v>67</v>
      </c>
      <c r="L4" s="25" t="s">
        <v>68</v>
      </c>
      <c r="M4" s="26"/>
      <c r="N4" s="27"/>
      <c r="O4" s="27"/>
    </row>
    <row r="5" ht="39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7" t="s">
        <v>48</v>
      </c>
      <c r="L5" s="25" t="s">
        <v>68</v>
      </c>
      <c r="M5" s="10"/>
      <c r="N5" s="10"/>
      <c r="O5" s="10"/>
    </row>
    <row r="6" ht="39.0" customHeight="1">
      <c r="A6" s="20" t="s">
        <v>73</v>
      </c>
      <c r="B6" s="23">
        <v>5.5823008E7</v>
      </c>
      <c r="C6" s="23" t="s">
        <v>74</v>
      </c>
      <c r="D6" s="23">
        <v>1.052838289E9</v>
      </c>
      <c r="E6" s="23">
        <v>3.102417847E9</v>
      </c>
      <c r="F6" s="23" t="s">
        <v>75</v>
      </c>
      <c r="G6" s="14" t="s">
        <v>50</v>
      </c>
      <c r="H6" s="23" t="s">
        <v>76</v>
      </c>
      <c r="I6" s="24" t="s">
        <v>57</v>
      </c>
      <c r="J6" s="14" t="s">
        <v>77</v>
      </c>
      <c r="K6" s="17" t="s">
        <v>78</v>
      </c>
      <c r="L6" s="25" t="s">
        <v>68</v>
      </c>
      <c r="M6" s="26"/>
      <c r="N6" s="27"/>
      <c r="O6" s="27"/>
    </row>
    <row r="7" ht="39.0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7" t="s">
        <v>84</v>
      </c>
      <c r="L7" s="25" t="s">
        <v>51</v>
      </c>
      <c r="M7" s="10"/>
      <c r="N7" s="10"/>
      <c r="O7" s="10"/>
    </row>
    <row r="8" ht="39.0" customHeight="1">
      <c r="A8" s="20" t="s">
        <v>80</v>
      </c>
      <c r="B8" s="14">
        <v>5.5823026E7</v>
      </c>
      <c r="C8" s="14" t="s">
        <v>81</v>
      </c>
      <c r="D8" s="15">
        <v>1.053442623E9</v>
      </c>
      <c r="E8" s="14" t="s">
        <v>82</v>
      </c>
      <c r="F8" s="14" t="s">
        <v>83</v>
      </c>
      <c r="G8" s="14" t="s">
        <v>67</v>
      </c>
      <c r="H8" s="15" t="s">
        <v>51</v>
      </c>
      <c r="I8" s="24" t="s">
        <v>57</v>
      </c>
      <c r="J8" s="14" t="s">
        <v>66</v>
      </c>
      <c r="K8" s="17" t="s">
        <v>78</v>
      </c>
      <c r="L8" s="25" t="s">
        <v>68</v>
      </c>
      <c r="M8" s="26">
        <v>46093.0</v>
      </c>
      <c r="N8" s="27" t="s">
        <v>68</v>
      </c>
      <c r="O8" s="27" t="s">
        <v>68</v>
      </c>
    </row>
    <row r="9" ht="39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7" t="s">
        <v>48</v>
      </c>
      <c r="L9" s="25" t="s">
        <v>68</v>
      </c>
      <c r="M9" s="10"/>
      <c r="N9" s="10"/>
      <c r="O9" s="10"/>
    </row>
    <row r="10" ht="39.0" customHeight="1">
      <c r="A10" s="20" t="s">
        <v>86</v>
      </c>
      <c r="B10" s="23">
        <v>5.5823004E7</v>
      </c>
      <c r="C10" s="23" t="s">
        <v>87</v>
      </c>
      <c r="D10" s="15">
        <v>1.053605222E9</v>
      </c>
      <c r="E10" s="23">
        <v>3.208006288E9</v>
      </c>
      <c r="F10" s="23" t="s">
        <v>88</v>
      </c>
      <c r="G10" s="14" t="s">
        <v>48</v>
      </c>
      <c r="H10" s="23" t="s">
        <v>93</v>
      </c>
      <c r="I10" s="24" t="s">
        <v>57</v>
      </c>
      <c r="J10" s="14" t="s">
        <v>66</v>
      </c>
      <c r="K10" s="17" t="s">
        <v>50</v>
      </c>
      <c r="L10" s="25" t="s">
        <v>90</v>
      </c>
      <c r="M10" s="26">
        <v>45995.0</v>
      </c>
      <c r="N10" s="27"/>
      <c r="O10" s="27"/>
    </row>
    <row r="11" ht="39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7" t="s">
        <v>91</v>
      </c>
      <c r="L11" s="25"/>
      <c r="M11" s="10"/>
      <c r="N11" s="10"/>
      <c r="O11" s="10"/>
    </row>
    <row r="12" ht="39.0" customHeight="1">
      <c r="A12" s="20" t="s">
        <v>92</v>
      </c>
      <c r="B12" s="14">
        <v>5.5823001E7</v>
      </c>
      <c r="C12" s="14" t="s">
        <v>94</v>
      </c>
      <c r="D12" s="15">
        <v>1.050090937E9</v>
      </c>
      <c r="E12" s="14">
        <v>3.193401044E9</v>
      </c>
      <c r="F12" s="14" t="s">
        <v>95</v>
      </c>
      <c r="G12" s="14" t="s">
        <v>78</v>
      </c>
      <c r="H12" s="14" t="s">
        <v>51</v>
      </c>
      <c r="I12" s="15" t="s">
        <v>57</v>
      </c>
      <c r="J12" s="14" t="s">
        <v>77</v>
      </c>
      <c r="K12" s="17" t="s">
        <v>50</v>
      </c>
      <c r="L12" s="25" t="s">
        <v>90</v>
      </c>
      <c r="M12" s="26">
        <v>45995.0</v>
      </c>
      <c r="N12" s="27"/>
      <c r="O12" s="27"/>
    </row>
    <row r="13" ht="39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7" t="s">
        <v>84</v>
      </c>
      <c r="L13" s="25" t="s">
        <v>51</v>
      </c>
      <c r="M13" s="10"/>
      <c r="N13" s="10"/>
      <c r="O13" s="10"/>
    </row>
    <row r="14" ht="39.0" customHeight="1">
      <c r="A14" s="35" t="s">
        <v>100</v>
      </c>
      <c r="B14" s="24">
        <v>5.5822022E7</v>
      </c>
      <c r="C14" s="23" t="s">
        <v>102</v>
      </c>
      <c r="D14" s="24">
        <v>1.016594474E9</v>
      </c>
      <c r="E14" s="24">
        <v>3.224684843E9</v>
      </c>
      <c r="F14" s="23" t="s">
        <v>104</v>
      </c>
      <c r="G14" s="14" t="s">
        <v>78</v>
      </c>
      <c r="H14" s="15" t="s">
        <v>51</v>
      </c>
      <c r="I14" s="15" t="s">
        <v>57</v>
      </c>
      <c r="J14" s="14" t="s">
        <v>99</v>
      </c>
      <c r="K14" s="17" t="s">
        <v>67</v>
      </c>
      <c r="L14" s="25" t="s">
        <v>108</v>
      </c>
      <c r="M14" s="26">
        <v>46093.0</v>
      </c>
      <c r="N14" s="27"/>
      <c r="O14" s="27"/>
    </row>
    <row r="15" ht="39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7" t="s">
        <v>48</v>
      </c>
      <c r="L15" s="25" t="s">
        <v>108</v>
      </c>
      <c r="M15" s="10"/>
      <c r="N15" s="10"/>
      <c r="O15" s="10"/>
    </row>
    <row r="16" ht="39.0" customHeight="1">
      <c r="A16" s="20" t="s">
        <v>96</v>
      </c>
      <c r="B16" s="34">
        <v>5.582301E7</v>
      </c>
      <c r="C16" s="17" t="s">
        <v>97</v>
      </c>
      <c r="D16" s="34">
        <v>1.050603819E9</v>
      </c>
      <c r="E16" s="34">
        <v>3.214780967E9</v>
      </c>
      <c r="F16" s="17" t="s">
        <v>98</v>
      </c>
      <c r="G16" s="14" t="s">
        <v>78</v>
      </c>
      <c r="H16" s="15" t="s">
        <v>51</v>
      </c>
      <c r="I16" s="15" t="s">
        <v>57</v>
      </c>
      <c r="J16" s="14" t="s">
        <v>99</v>
      </c>
      <c r="K16" s="17"/>
      <c r="L16" s="25"/>
      <c r="M16" s="27" t="s">
        <v>110</v>
      </c>
      <c r="N16" s="27"/>
      <c r="O16" s="27"/>
    </row>
    <row r="17" ht="39.0" customHeight="1">
      <c r="A17" s="10"/>
      <c r="B17" s="34">
        <v>5.5823014E7</v>
      </c>
      <c r="C17" s="17" t="s">
        <v>101</v>
      </c>
      <c r="D17" s="36"/>
      <c r="E17" s="34">
        <v>3.132418619E9</v>
      </c>
      <c r="F17" s="17" t="s">
        <v>103</v>
      </c>
      <c r="G17" s="10"/>
      <c r="H17" s="10"/>
      <c r="I17" s="10"/>
      <c r="J17" s="10"/>
      <c r="K17" s="17"/>
      <c r="L17" s="25"/>
      <c r="M17" s="10"/>
      <c r="N17" s="10"/>
      <c r="O17" s="10"/>
    </row>
    <row r="18" ht="39.0" customHeight="1">
      <c r="A18" s="20" t="s">
        <v>119</v>
      </c>
      <c r="B18" s="23">
        <v>5.5822501E7</v>
      </c>
      <c r="C18" s="23" t="s">
        <v>106</v>
      </c>
      <c r="D18" s="23">
        <v>1.002559661E9</v>
      </c>
      <c r="E18" s="23">
        <v>3.222738776E9</v>
      </c>
      <c r="F18" s="23" t="s">
        <v>107</v>
      </c>
      <c r="G18" s="14" t="s">
        <v>67</v>
      </c>
      <c r="H18" s="15" t="s">
        <v>51</v>
      </c>
      <c r="I18" s="24" t="s">
        <v>55</v>
      </c>
      <c r="J18" s="14" t="s">
        <v>77</v>
      </c>
      <c r="K18" s="17" t="s">
        <v>78</v>
      </c>
      <c r="L18" s="25" t="s">
        <v>90</v>
      </c>
      <c r="M18" s="26">
        <v>46090.0</v>
      </c>
      <c r="N18" s="27"/>
      <c r="O18" s="27"/>
    </row>
    <row r="19" ht="39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7" t="s">
        <v>84</v>
      </c>
      <c r="L19" s="25" t="s">
        <v>51</v>
      </c>
      <c r="M19" s="10"/>
      <c r="N19" s="10"/>
      <c r="O19" s="10"/>
    </row>
    <row r="20" ht="39.0" customHeight="1">
      <c r="A20" s="20" t="s">
        <v>121</v>
      </c>
      <c r="B20" s="21">
        <v>5.5822505E7</v>
      </c>
      <c r="C20" s="21" t="s">
        <v>113</v>
      </c>
      <c r="D20" s="21">
        <v>1.118528395E9</v>
      </c>
      <c r="E20" s="21">
        <v>3.115944471E9</v>
      </c>
      <c r="F20" s="21" t="s">
        <v>114</v>
      </c>
      <c r="G20" s="14" t="s">
        <v>67</v>
      </c>
      <c r="H20" s="15" t="s">
        <v>51</v>
      </c>
      <c r="I20" s="24" t="s">
        <v>55</v>
      </c>
      <c r="J20" s="14" t="s">
        <v>99</v>
      </c>
      <c r="K20" s="17" t="s">
        <v>48</v>
      </c>
      <c r="L20" s="25" t="s">
        <v>108</v>
      </c>
      <c r="M20" s="26">
        <v>45995.0</v>
      </c>
      <c r="N20" s="27"/>
      <c r="O20" s="27"/>
    </row>
    <row r="21" ht="39.0" customHeight="1">
      <c r="A21" s="10"/>
      <c r="B21" s="21">
        <v>5.5822508E7</v>
      </c>
      <c r="C21" s="21" t="s">
        <v>115</v>
      </c>
      <c r="D21" s="21">
        <v>1.052836321E9</v>
      </c>
      <c r="E21" s="21">
        <v>3.115856634E9</v>
      </c>
      <c r="F21" s="21" t="s">
        <v>116</v>
      </c>
      <c r="G21" s="10"/>
      <c r="H21" s="10"/>
      <c r="I21" s="10"/>
      <c r="J21" s="10"/>
      <c r="K21" s="17" t="s">
        <v>50</v>
      </c>
      <c r="L21" s="25" t="s">
        <v>108</v>
      </c>
      <c r="M21" s="10"/>
      <c r="N21" s="10"/>
      <c r="O21" s="10"/>
    </row>
    <row r="22" ht="39.0" customHeight="1">
      <c r="A22" s="20" t="s">
        <v>58</v>
      </c>
      <c r="B22" s="14">
        <v>5.5822004E7</v>
      </c>
      <c r="C22" s="23" t="s">
        <v>61</v>
      </c>
      <c r="D22" s="23">
        <v>1.002692388E9</v>
      </c>
      <c r="E22" s="23">
        <v>3.202870744E9</v>
      </c>
      <c r="F22" s="23" t="s">
        <v>62</v>
      </c>
      <c r="G22" s="14" t="s">
        <v>48</v>
      </c>
      <c r="H22" s="23" t="s">
        <v>63</v>
      </c>
      <c r="I22" s="24" t="s">
        <v>72</v>
      </c>
      <c r="J22" s="14" t="s">
        <v>145</v>
      </c>
      <c r="K22" s="17"/>
      <c r="L22" s="25"/>
      <c r="M22" s="26">
        <v>46076.0</v>
      </c>
      <c r="N22" s="27"/>
      <c r="O22" s="27"/>
    </row>
    <row r="23" ht="39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7"/>
      <c r="L23" s="25"/>
      <c r="M23" s="10"/>
      <c r="N23" s="10"/>
      <c r="O23" s="10"/>
    </row>
    <row r="24" ht="39.0" customHeight="1">
      <c r="A24" s="20" t="s">
        <v>46</v>
      </c>
      <c r="B24" s="21">
        <v>5.5822015E7</v>
      </c>
      <c r="C24" s="21" t="s">
        <v>47</v>
      </c>
      <c r="D24" s="21">
        <v>1.110458967E9</v>
      </c>
      <c r="E24" s="21">
        <v>3.208045333E9</v>
      </c>
      <c r="F24" s="21" t="s">
        <v>49</v>
      </c>
      <c r="G24" s="14" t="s">
        <v>50</v>
      </c>
      <c r="H24" s="23" t="s">
        <v>52</v>
      </c>
      <c r="I24" s="24" t="s">
        <v>72</v>
      </c>
      <c r="J24" s="14" t="s">
        <v>145</v>
      </c>
      <c r="K24" s="17"/>
      <c r="L24" s="25"/>
      <c r="M24" s="26">
        <v>45800.0</v>
      </c>
      <c r="N24" s="27" t="s">
        <v>68</v>
      </c>
      <c r="O24" s="27" t="s">
        <v>68</v>
      </c>
    </row>
    <row r="25" ht="39.0" customHeight="1">
      <c r="A25" s="10"/>
      <c r="B25" s="21">
        <v>5.5822013E7</v>
      </c>
      <c r="C25" s="21" t="s">
        <v>54</v>
      </c>
      <c r="D25" s="21">
        <v>1.058356843E9</v>
      </c>
      <c r="E25" s="21">
        <v>3.20853302E9</v>
      </c>
      <c r="F25" s="21" t="s">
        <v>56</v>
      </c>
      <c r="G25" s="10"/>
      <c r="H25" s="10"/>
      <c r="I25" s="10"/>
      <c r="J25" s="10"/>
      <c r="K25" s="17"/>
      <c r="L25" s="25"/>
      <c r="M25" s="10"/>
      <c r="N25" s="10"/>
      <c r="O25" s="10"/>
    </row>
    <row r="26" ht="39.0" customHeight="1">
      <c r="A26" s="42" t="s">
        <v>148</v>
      </c>
      <c r="B26" s="23">
        <v>5.5822002E7</v>
      </c>
      <c r="C26" s="23" t="s">
        <v>149</v>
      </c>
      <c r="D26" s="23">
        <v>1.049642635E9</v>
      </c>
      <c r="E26" s="23">
        <v>3.152350303E9</v>
      </c>
      <c r="F26" s="23" t="s">
        <v>150</v>
      </c>
      <c r="G26" s="14" t="s">
        <v>151</v>
      </c>
      <c r="H26" s="15" t="s">
        <v>51</v>
      </c>
      <c r="I26" s="24"/>
      <c r="J26" s="14" t="s">
        <v>59</v>
      </c>
      <c r="K26" s="17"/>
      <c r="L26" s="25"/>
      <c r="M26" s="26">
        <v>45720.0</v>
      </c>
      <c r="N26" s="27" t="s">
        <v>68</v>
      </c>
      <c r="O26" s="27" t="s">
        <v>68</v>
      </c>
    </row>
    <row r="27" ht="39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7"/>
      <c r="L27" s="25"/>
      <c r="M27" s="10"/>
      <c r="N27" s="10"/>
      <c r="O27" s="10"/>
    </row>
  </sheetData>
  <mergeCells count="155">
    <mergeCell ref="H6:H7"/>
    <mergeCell ref="I6:I7"/>
    <mergeCell ref="J6:J7"/>
    <mergeCell ref="M6:M7"/>
    <mergeCell ref="N6:N7"/>
    <mergeCell ref="O6:O7"/>
    <mergeCell ref="A6:A7"/>
    <mergeCell ref="B6:B7"/>
    <mergeCell ref="C6:C7"/>
    <mergeCell ref="D6:D7"/>
    <mergeCell ref="E6:E7"/>
    <mergeCell ref="F6:F7"/>
    <mergeCell ref="G6:G7"/>
    <mergeCell ref="H8:H9"/>
    <mergeCell ref="I8:I9"/>
    <mergeCell ref="J8:J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M10:M11"/>
    <mergeCell ref="N10:N11"/>
    <mergeCell ref="O10:O11"/>
    <mergeCell ref="A10:A11"/>
    <mergeCell ref="B10:B11"/>
    <mergeCell ref="C10:C11"/>
    <mergeCell ref="D10:D11"/>
    <mergeCell ref="E10:E11"/>
    <mergeCell ref="F10:F11"/>
    <mergeCell ref="G10:G11"/>
    <mergeCell ref="H12:H13"/>
    <mergeCell ref="I12:I13"/>
    <mergeCell ref="J12:J13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G12:G13"/>
    <mergeCell ref="I2:I3"/>
    <mergeCell ref="J2:J3"/>
    <mergeCell ref="K2:K3"/>
    <mergeCell ref="L2:L3"/>
    <mergeCell ref="M2:M3"/>
    <mergeCell ref="N2:N3"/>
    <mergeCell ref="M4:M5"/>
    <mergeCell ref="N4:N5"/>
    <mergeCell ref="O4:O5"/>
    <mergeCell ref="B1:I1"/>
    <mergeCell ref="J1:M1"/>
    <mergeCell ref="N1:O1"/>
    <mergeCell ref="B2:F2"/>
    <mergeCell ref="G2:G3"/>
    <mergeCell ref="H2:H3"/>
    <mergeCell ref="O2:O3"/>
    <mergeCell ref="G4:G5"/>
    <mergeCell ref="H4:H5"/>
    <mergeCell ref="I4:I5"/>
    <mergeCell ref="J4:J5"/>
    <mergeCell ref="A1:A3"/>
    <mergeCell ref="A4:A5"/>
    <mergeCell ref="B4:B5"/>
    <mergeCell ref="C4:C5"/>
    <mergeCell ref="D4:D5"/>
    <mergeCell ref="E4:E5"/>
    <mergeCell ref="F4:F5"/>
    <mergeCell ref="H14:H15"/>
    <mergeCell ref="I14:I15"/>
    <mergeCell ref="J14:J15"/>
    <mergeCell ref="M14:M15"/>
    <mergeCell ref="N14:N15"/>
    <mergeCell ref="O14:O15"/>
    <mergeCell ref="G22:G23"/>
    <mergeCell ref="G24:G25"/>
    <mergeCell ref="H24:H25"/>
    <mergeCell ref="I24:I25"/>
    <mergeCell ref="J24:J25"/>
    <mergeCell ref="M24:M25"/>
    <mergeCell ref="N24:N25"/>
    <mergeCell ref="O24:O25"/>
    <mergeCell ref="A22:A23"/>
    <mergeCell ref="B22:B23"/>
    <mergeCell ref="C22:C23"/>
    <mergeCell ref="D22:D23"/>
    <mergeCell ref="E22:E23"/>
    <mergeCell ref="F22:F23"/>
    <mergeCell ref="A24:A25"/>
    <mergeCell ref="G14:G15"/>
    <mergeCell ref="G16:G17"/>
    <mergeCell ref="H16:H17"/>
    <mergeCell ref="I16:I17"/>
    <mergeCell ref="J16:J17"/>
    <mergeCell ref="M16:M17"/>
    <mergeCell ref="N16:N17"/>
    <mergeCell ref="O16:O17"/>
    <mergeCell ref="A14:A15"/>
    <mergeCell ref="B14:B15"/>
    <mergeCell ref="C14:C15"/>
    <mergeCell ref="D14:D15"/>
    <mergeCell ref="E14:E15"/>
    <mergeCell ref="F14:F15"/>
    <mergeCell ref="A16:A17"/>
    <mergeCell ref="H18:H19"/>
    <mergeCell ref="I18:I19"/>
    <mergeCell ref="J18:J19"/>
    <mergeCell ref="M18:M19"/>
    <mergeCell ref="N18:N19"/>
    <mergeCell ref="O18:O19"/>
    <mergeCell ref="G18:G19"/>
    <mergeCell ref="G20:G21"/>
    <mergeCell ref="H20:H21"/>
    <mergeCell ref="I20:I21"/>
    <mergeCell ref="J20:J21"/>
    <mergeCell ref="M20:M21"/>
    <mergeCell ref="N20:N21"/>
    <mergeCell ref="O20:O21"/>
    <mergeCell ref="A18:A19"/>
    <mergeCell ref="B18:B19"/>
    <mergeCell ref="C18:C19"/>
    <mergeCell ref="D18:D19"/>
    <mergeCell ref="E18:E19"/>
    <mergeCell ref="F18:F19"/>
    <mergeCell ref="A20:A21"/>
    <mergeCell ref="H22:H23"/>
    <mergeCell ref="I22:I23"/>
    <mergeCell ref="J22:J23"/>
    <mergeCell ref="M22:M23"/>
    <mergeCell ref="N22:N23"/>
    <mergeCell ref="O22:O23"/>
    <mergeCell ref="H26:H27"/>
    <mergeCell ref="I26:I27"/>
    <mergeCell ref="J26:J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6:G27"/>
  </mergeCells>
  <dataValidations>
    <dataValidation type="list" allowBlank="1" showErrorMessage="1" sqref="N4:O4 N6:O6 N8:O8 N10:O10 N12:O12 N14:O14 N16:O16 N18:O18 N20:O20 N22:O22 N24:O24 N26:O26">
      <formula1>"APROBADO,RECHAZADO,N/A"</formula1>
    </dataValidation>
    <dataValidation type="list" allowBlank="1" showErrorMessage="1" sqref="I4 I6 I8 I10 I12 I14 I16 I18 I20 I22 I24 I26">
      <formula1>"I,II,III,IV"</formula1>
    </dataValidation>
    <dataValidation type="list" allowBlank="1" showErrorMessage="1" sqref="G4 G6 G8 G10 G12 G14 G16 G18 G20 G22 G24 G26 K4:K27">
      <formula1>"Jose Manuel Rentería,Manuel Francisco Corredor,Juan Esteban Niño,Oscar Leonardo Peréz,Carmen Inés Báez,Camilo Guerrero,NO ASIGNADO"</formula1>
    </dataValidation>
    <dataValidation type="list" allowBlank="1" showErrorMessage="1" sqref="J4 J6 J8 J10 J12 J14 J16 J18 J20 J22 J24 J26">
      <formula1>"1. Propuesta,2. Anteproyecto,3. Sustentación anteproyecto,4. Aprobación CB,5. Desarrollo proyecto,6. Radicación proyecto,7. Sustentación proyecto"</formula1>
    </dataValidation>
    <dataValidation type="list" allowBlank="1" showErrorMessage="1" sqref="L4:L27">
      <formula1>"APROBADO,APROBADO CON CORRECCIONES,DEBE VOLVER A PRESENTAR,N/A"</formula1>
    </dataValidation>
  </dataValidations>
  <hyperlinks>
    <hyperlink r:id="rId1" ref="A4"/>
    <hyperlink r:id="rId2" ref="A6"/>
    <hyperlink r:id="rId3" ref="A8"/>
    <hyperlink r:id="rId4" ref="A10"/>
    <hyperlink r:id="rId5" ref="A12"/>
    <hyperlink r:id="rId6" ref="A16"/>
    <hyperlink r:id="rId7" ref="A18"/>
    <hyperlink r:id="rId8" ref="A20"/>
    <hyperlink r:id="rId9" ref="A22"/>
    <hyperlink r:id="rId10" ref="A2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9.38"/>
    <col customWidth="1" min="2" max="2" width="27.0"/>
    <col customWidth="1" min="3" max="3" width="37.0"/>
    <col customWidth="1" min="4" max="5" width="14.38"/>
    <col customWidth="1" min="6" max="6" width="37.0"/>
    <col customWidth="1" min="7" max="8" width="34.5"/>
    <col customWidth="1" min="10" max="11" width="34.5"/>
    <col customWidth="1" min="12" max="15" width="33.63"/>
  </cols>
  <sheetData>
    <row r="1">
      <c r="A1" s="5" t="s">
        <v>2</v>
      </c>
      <c r="B1" s="13" t="s">
        <v>11</v>
      </c>
      <c r="C1" s="8"/>
      <c r="D1" s="8"/>
      <c r="E1" s="8"/>
      <c r="F1" s="8"/>
      <c r="G1" s="8"/>
      <c r="H1" s="8"/>
      <c r="I1" s="9"/>
      <c r="J1" s="13" t="s">
        <v>15</v>
      </c>
      <c r="K1" s="8"/>
      <c r="L1" s="8"/>
      <c r="M1" s="9"/>
      <c r="N1" s="13" t="s">
        <v>18</v>
      </c>
      <c r="O1" s="9"/>
    </row>
    <row r="2">
      <c r="A2" s="16"/>
      <c r="B2" s="7" t="s">
        <v>4</v>
      </c>
      <c r="C2" s="8"/>
      <c r="D2" s="8"/>
      <c r="E2" s="8"/>
      <c r="F2" s="9"/>
      <c r="G2" s="5" t="s">
        <v>5</v>
      </c>
      <c r="H2" s="5" t="s">
        <v>6</v>
      </c>
      <c r="I2" s="18" t="s">
        <v>22</v>
      </c>
      <c r="J2" s="6" t="s">
        <v>24</v>
      </c>
      <c r="K2" s="6" t="s">
        <v>25</v>
      </c>
      <c r="L2" s="19" t="s">
        <v>27</v>
      </c>
      <c r="M2" s="19" t="s">
        <v>31</v>
      </c>
      <c r="N2" s="6" t="s">
        <v>33</v>
      </c>
      <c r="O2" s="6" t="s">
        <v>34</v>
      </c>
    </row>
    <row r="3">
      <c r="A3" s="10"/>
      <c r="B3" s="11" t="s">
        <v>7</v>
      </c>
      <c r="C3" s="12" t="s">
        <v>8</v>
      </c>
      <c r="D3" s="11" t="s">
        <v>9</v>
      </c>
      <c r="E3" s="11" t="s">
        <v>10</v>
      </c>
      <c r="F3" s="11" t="s">
        <v>12</v>
      </c>
      <c r="G3" s="10"/>
      <c r="H3" s="10"/>
      <c r="I3" s="10"/>
      <c r="J3" s="10"/>
      <c r="K3" s="10"/>
      <c r="L3" s="10"/>
      <c r="M3" s="10"/>
      <c r="N3" s="10"/>
      <c r="O3" s="10"/>
    </row>
    <row r="4" ht="39.0" customHeight="1">
      <c r="A4" s="20" t="s">
        <v>42</v>
      </c>
      <c r="B4" s="17">
        <v>5.5822018E7</v>
      </c>
      <c r="C4" s="17" t="s">
        <v>44</v>
      </c>
      <c r="D4" s="17">
        <v>1.054283083E9</v>
      </c>
      <c r="E4" s="21"/>
      <c r="F4" s="22" t="s">
        <v>45</v>
      </c>
      <c r="G4" s="14" t="s">
        <v>48</v>
      </c>
      <c r="H4" s="15" t="s">
        <v>51</v>
      </c>
      <c r="I4" s="15" t="s">
        <v>57</v>
      </c>
      <c r="J4" s="14" t="s">
        <v>59</v>
      </c>
      <c r="K4" s="17"/>
      <c r="L4" s="25"/>
      <c r="M4" s="26"/>
      <c r="N4" s="27"/>
      <c r="O4" s="27"/>
    </row>
    <row r="5" ht="39.0" customHeight="1">
      <c r="A5" s="10"/>
      <c r="B5" s="17">
        <v>5.5823017E7</v>
      </c>
      <c r="C5" s="17" t="s">
        <v>64</v>
      </c>
      <c r="D5" s="17">
        <v>1.048846416E9</v>
      </c>
      <c r="E5" s="21"/>
      <c r="F5" s="22" t="s">
        <v>65</v>
      </c>
      <c r="G5" s="10"/>
      <c r="H5" s="10"/>
      <c r="I5" s="10"/>
      <c r="J5" s="10"/>
      <c r="K5" s="17"/>
      <c r="L5" s="25"/>
      <c r="M5" s="10"/>
      <c r="N5" s="10"/>
      <c r="O5" s="10"/>
    </row>
    <row r="6" ht="39.0" customHeight="1">
      <c r="A6" s="20" t="s">
        <v>41</v>
      </c>
      <c r="B6" s="23">
        <v>5.5823012E7</v>
      </c>
      <c r="C6" s="23" t="s">
        <v>53</v>
      </c>
      <c r="D6" s="23">
        <v>1.00655428E9</v>
      </c>
      <c r="E6" s="23">
        <v>3.10289174E9</v>
      </c>
      <c r="F6" s="23" t="s">
        <v>60</v>
      </c>
      <c r="G6" s="14" t="s">
        <v>50</v>
      </c>
      <c r="H6" s="15" t="s">
        <v>51</v>
      </c>
      <c r="I6" s="15" t="s">
        <v>55</v>
      </c>
      <c r="J6" s="14" t="s">
        <v>66</v>
      </c>
      <c r="K6" s="17" t="s">
        <v>67</v>
      </c>
      <c r="L6" s="25" t="s">
        <v>68</v>
      </c>
      <c r="M6" s="26"/>
      <c r="N6" s="27"/>
      <c r="O6" s="27"/>
    </row>
    <row r="7" ht="39.0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7" t="s">
        <v>48</v>
      </c>
      <c r="L7" s="25" t="s">
        <v>68</v>
      </c>
      <c r="M7" s="10"/>
      <c r="N7" s="10"/>
      <c r="O7" s="10"/>
    </row>
    <row r="8" ht="39.0" customHeight="1">
      <c r="A8" s="20" t="s">
        <v>73</v>
      </c>
      <c r="B8" s="23">
        <v>5.5823008E7</v>
      </c>
      <c r="C8" s="23" t="s">
        <v>74</v>
      </c>
      <c r="D8" s="23">
        <v>1.052838289E9</v>
      </c>
      <c r="E8" s="23">
        <v>3.102417847E9</v>
      </c>
      <c r="F8" s="23" t="s">
        <v>75</v>
      </c>
      <c r="G8" s="14" t="s">
        <v>50</v>
      </c>
      <c r="H8" s="23" t="s">
        <v>76</v>
      </c>
      <c r="I8" s="15" t="s">
        <v>55</v>
      </c>
      <c r="J8" s="14" t="s">
        <v>77</v>
      </c>
      <c r="K8" s="17" t="s">
        <v>78</v>
      </c>
      <c r="L8" s="25" t="s">
        <v>68</v>
      </c>
      <c r="M8" s="26">
        <v>46093.0</v>
      </c>
      <c r="N8" s="27" t="s">
        <v>68</v>
      </c>
      <c r="O8" s="27" t="s">
        <v>68</v>
      </c>
    </row>
    <row r="9" ht="39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7" t="s">
        <v>85</v>
      </c>
      <c r="L9" s="25" t="s">
        <v>68</v>
      </c>
      <c r="M9" s="10"/>
      <c r="N9" s="10"/>
      <c r="O9" s="10"/>
    </row>
    <row r="10" ht="39.0" customHeight="1">
      <c r="A10" s="20" t="s">
        <v>80</v>
      </c>
      <c r="B10" s="14">
        <v>5.5823026E7</v>
      </c>
      <c r="C10" s="14" t="s">
        <v>81</v>
      </c>
      <c r="D10" s="15">
        <v>1.053442623E9</v>
      </c>
      <c r="E10" s="14" t="s">
        <v>82</v>
      </c>
      <c r="F10" s="14" t="s">
        <v>83</v>
      </c>
      <c r="G10" s="14" t="s">
        <v>67</v>
      </c>
      <c r="H10" s="15" t="s">
        <v>51</v>
      </c>
      <c r="I10" s="15" t="s">
        <v>55</v>
      </c>
      <c r="J10" s="14" t="s">
        <v>66</v>
      </c>
      <c r="K10" s="17" t="s">
        <v>78</v>
      </c>
      <c r="L10" s="25" t="s">
        <v>68</v>
      </c>
      <c r="M10" s="26">
        <v>45995.0</v>
      </c>
      <c r="N10" s="27"/>
      <c r="O10" s="27"/>
    </row>
    <row r="11" ht="39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7" t="s">
        <v>48</v>
      </c>
      <c r="L11" s="25" t="s">
        <v>68</v>
      </c>
      <c r="M11" s="10"/>
      <c r="N11" s="10"/>
      <c r="O11" s="10"/>
    </row>
    <row r="12" ht="39.0" customHeight="1">
      <c r="A12" s="20" t="s">
        <v>86</v>
      </c>
      <c r="B12" s="23">
        <v>5.5823004E7</v>
      </c>
      <c r="C12" s="23" t="s">
        <v>87</v>
      </c>
      <c r="D12" s="15">
        <v>1.053605222E9</v>
      </c>
      <c r="E12" s="23">
        <v>3.208006288E9</v>
      </c>
      <c r="F12" s="23" t="s">
        <v>88</v>
      </c>
      <c r="G12" s="14" t="s">
        <v>48</v>
      </c>
      <c r="H12" s="14" t="s">
        <v>89</v>
      </c>
      <c r="I12" s="15" t="s">
        <v>55</v>
      </c>
      <c r="J12" s="14" t="s">
        <v>66</v>
      </c>
      <c r="K12" s="17" t="s">
        <v>50</v>
      </c>
      <c r="L12" s="25" t="s">
        <v>90</v>
      </c>
      <c r="M12" s="26">
        <v>45995.0</v>
      </c>
      <c r="N12" s="27"/>
      <c r="O12" s="27"/>
    </row>
    <row r="13" ht="39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7" t="s">
        <v>91</v>
      </c>
      <c r="L13" s="25" t="s">
        <v>90</v>
      </c>
      <c r="M13" s="10"/>
      <c r="N13" s="10"/>
      <c r="O13" s="10"/>
    </row>
    <row r="14" ht="39.0" customHeight="1">
      <c r="A14" s="20" t="s">
        <v>92</v>
      </c>
      <c r="B14" s="14">
        <v>5.5823001E7</v>
      </c>
      <c r="C14" s="14" t="s">
        <v>94</v>
      </c>
      <c r="D14" s="15">
        <v>1.050090937E9</v>
      </c>
      <c r="E14" s="14">
        <v>3.193401044E9</v>
      </c>
      <c r="F14" s="14" t="s">
        <v>95</v>
      </c>
      <c r="G14" s="14" t="s">
        <v>78</v>
      </c>
      <c r="H14" s="14" t="s">
        <v>51</v>
      </c>
      <c r="I14" s="15" t="s">
        <v>55</v>
      </c>
      <c r="J14" s="14" t="s">
        <v>77</v>
      </c>
      <c r="K14" s="17" t="s">
        <v>50</v>
      </c>
      <c r="L14" s="25" t="s">
        <v>90</v>
      </c>
      <c r="M14" s="26">
        <v>46093.0</v>
      </c>
      <c r="N14" s="27"/>
      <c r="O14" s="27"/>
    </row>
    <row r="15" ht="39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7" t="s">
        <v>48</v>
      </c>
      <c r="L15" s="25" t="s">
        <v>90</v>
      </c>
      <c r="M15" s="10"/>
      <c r="N15" s="10"/>
      <c r="O15" s="10"/>
    </row>
    <row r="16" ht="39.0" customHeight="1">
      <c r="A16" s="35" t="s">
        <v>100</v>
      </c>
      <c r="B16" s="24">
        <v>5.5822022E7</v>
      </c>
      <c r="C16" s="23" t="s">
        <v>102</v>
      </c>
      <c r="D16" s="24">
        <v>1.016594474E9</v>
      </c>
      <c r="E16" s="24">
        <v>3.224684843E9</v>
      </c>
      <c r="F16" s="23" t="s">
        <v>104</v>
      </c>
      <c r="G16" s="14" t="s">
        <v>78</v>
      </c>
      <c r="H16" s="15" t="s">
        <v>51</v>
      </c>
      <c r="I16" s="15" t="s">
        <v>55</v>
      </c>
      <c r="J16" s="14" t="s">
        <v>99</v>
      </c>
      <c r="K16" s="17" t="s">
        <v>67</v>
      </c>
      <c r="L16" s="25" t="s">
        <v>108</v>
      </c>
      <c r="M16" s="27" t="s">
        <v>110</v>
      </c>
      <c r="N16" s="27"/>
      <c r="O16" s="27"/>
    </row>
    <row r="17" ht="39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7" t="s">
        <v>48</v>
      </c>
      <c r="L17" s="25" t="s">
        <v>108</v>
      </c>
      <c r="M17" s="10"/>
      <c r="N17" s="10"/>
      <c r="O17" s="10"/>
    </row>
    <row r="18" ht="39.0" customHeight="1">
      <c r="A18" s="20" t="s">
        <v>96</v>
      </c>
      <c r="B18" s="34">
        <v>5.582301E7</v>
      </c>
      <c r="C18" s="17" t="s">
        <v>97</v>
      </c>
      <c r="D18" s="34">
        <v>1.050603819E9</v>
      </c>
      <c r="E18" s="34">
        <v>3.214780967E9</v>
      </c>
      <c r="F18" s="17" t="s">
        <v>98</v>
      </c>
      <c r="G18" s="14" t="s">
        <v>78</v>
      </c>
      <c r="H18" s="15" t="s">
        <v>51</v>
      </c>
      <c r="I18" s="15" t="s">
        <v>55</v>
      </c>
      <c r="J18" s="14" t="s">
        <v>99</v>
      </c>
      <c r="K18" s="17" t="s">
        <v>67</v>
      </c>
      <c r="L18" s="25" t="s">
        <v>90</v>
      </c>
      <c r="M18" s="26">
        <v>46090.0</v>
      </c>
      <c r="N18" s="27"/>
      <c r="O18" s="27"/>
    </row>
    <row r="19" ht="39.0" customHeight="1">
      <c r="A19" s="10"/>
      <c r="B19" s="34">
        <v>5.5823014E7</v>
      </c>
      <c r="C19" s="17" t="s">
        <v>101</v>
      </c>
      <c r="D19" s="34">
        <v>1.049608033E9</v>
      </c>
      <c r="E19" s="34">
        <v>3.132418619E9</v>
      </c>
      <c r="F19" s="17" t="s">
        <v>103</v>
      </c>
      <c r="G19" s="10"/>
      <c r="H19" s="10"/>
      <c r="I19" s="10"/>
      <c r="J19" s="10"/>
      <c r="K19" s="17" t="s">
        <v>48</v>
      </c>
      <c r="L19" s="25" t="s">
        <v>90</v>
      </c>
      <c r="M19" s="10"/>
      <c r="N19" s="10"/>
      <c r="O19" s="10"/>
    </row>
    <row r="20" ht="39.0" customHeight="1">
      <c r="A20" s="20" t="s">
        <v>105</v>
      </c>
      <c r="B20" s="23">
        <v>5.5822501E7</v>
      </c>
      <c r="C20" s="23" t="s">
        <v>106</v>
      </c>
      <c r="D20" s="23">
        <v>1.002559661E9</v>
      </c>
      <c r="E20" s="23">
        <v>3.222738776E9</v>
      </c>
      <c r="F20" s="23" t="s">
        <v>107</v>
      </c>
      <c r="G20" s="14" t="s">
        <v>67</v>
      </c>
      <c r="H20" s="15" t="s">
        <v>109</v>
      </c>
      <c r="I20" s="15" t="s">
        <v>72</v>
      </c>
      <c r="J20" s="14" t="s">
        <v>77</v>
      </c>
      <c r="K20" s="17" t="s">
        <v>78</v>
      </c>
      <c r="L20" s="25" t="s">
        <v>90</v>
      </c>
      <c r="M20" s="26">
        <v>45995.0</v>
      </c>
      <c r="N20" s="27"/>
      <c r="O20" s="27"/>
    </row>
    <row r="21" ht="39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7" t="s">
        <v>48</v>
      </c>
      <c r="L21" s="25" t="s">
        <v>90</v>
      </c>
      <c r="M21" s="10"/>
      <c r="N21" s="10"/>
      <c r="O21" s="10"/>
    </row>
    <row r="22" ht="39.0" customHeight="1">
      <c r="A22" s="20" t="s">
        <v>112</v>
      </c>
      <c r="B22" s="21">
        <v>5.5822505E7</v>
      </c>
      <c r="C22" s="21" t="s">
        <v>113</v>
      </c>
      <c r="D22" s="21">
        <v>1.118528395E9</v>
      </c>
      <c r="E22" s="21">
        <v>3.115944471E9</v>
      </c>
      <c r="F22" s="21" t="s">
        <v>114</v>
      </c>
      <c r="G22" s="14" t="s">
        <v>67</v>
      </c>
      <c r="H22" s="15" t="s">
        <v>51</v>
      </c>
      <c r="I22" s="15" t="s">
        <v>72</v>
      </c>
      <c r="J22" s="14" t="s">
        <v>77</v>
      </c>
      <c r="K22" s="17" t="s">
        <v>48</v>
      </c>
      <c r="L22" s="25" t="s">
        <v>90</v>
      </c>
      <c r="M22" s="26">
        <v>46076.0</v>
      </c>
      <c r="N22" s="27"/>
      <c r="O22" s="27"/>
    </row>
    <row r="23" ht="39.0" customHeight="1">
      <c r="A23" s="10"/>
      <c r="B23" s="21">
        <v>5.5822508E7</v>
      </c>
      <c r="C23" s="17" t="s">
        <v>115</v>
      </c>
      <c r="D23" s="21">
        <v>1.052836321E9</v>
      </c>
      <c r="E23" s="21">
        <v>3.115856634E9</v>
      </c>
      <c r="F23" s="21" t="s">
        <v>116</v>
      </c>
      <c r="G23" s="10"/>
      <c r="H23" s="10"/>
      <c r="I23" s="10"/>
      <c r="J23" s="10"/>
      <c r="K23" s="17" t="s">
        <v>50</v>
      </c>
      <c r="L23" s="25" t="s">
        <v>90</v>
      </c>
      <c r="M23" s="10"/>
      <c r="N23" s="10"/>
      <c r="O23" s="10"/>
    </row>
    <row r="24" ht="39.0" customHeight="1">
      <c r="A24" s="20" t="s">
        <v>58</v>
      </c>
      <c r="B24" s="14">
        <v>5.5822004E7</v>
      </c>
      <c r="C24" s="23" t="s">
        <v>61</v>
      </c>
      <c r="D24" s="23">
        <v>1.002692388E9</v>
      </c>
      <c r="E24" s="23">
        <v>3.202870744E9</v>
      </c>
      <c r="F24" s="23" t="s">
        <v>62</v>
      </c>
      <c r="G24" s="14" t="s">
        <v>48</v>
      </c>
      <c r="H24" s="23" t="s">
        <v>63</v>
      </c>
      <c r="I24" s="24" t="s">
        <v>72</v>
      </c>
      <c r="J24" s="14" t="s">
        <v>123</v>
      </c>
      <c r="K24" s="17" t="s">
        <v>67</v>
      </c>
      <c r="L24" s="25" t="s">
        <v>68</v>
      </c>
      <c r="M24" s="26">
        <v>45800.0</v>
      </c>
      <c r="N24" s="27" t="s">
        <v>68</v>
      </c>
      <c r="O24" s="27" t="s">
        <v>68</v>
      </c>
    </row>
    <row r="25" ht="39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7" t="s">
        <v>78</v>
      </c>
      <c r="L25" s="25" t="s">
        <v>68</v>
      </c>
      <c r="M25" s="10"/>
      <c r="N25" s="10"/>
      <c r="O25" s="10"/>
    </row>
    <row r="26" ht="39.0" customHeight="1">
      <c r="A26" s="20" t="s">
        <v>46</v>
      </c>
      <c r="B26" s="21">
        <v>5.5822015E7</v>
      </c>
      <c r="C26" s="21" t="s">
        <v>47</v>
      </c>
      <c r="D26" s="21">
        <v>1.110458967E9</v>
      </c>
      <c r="E26" s="21">
        <v>3.208045333E9</v>
      </c>
      <c r="F26" s="21" t="s">
        <v>49</v>
      </c>
      <c r="G26" s="14" t="s">
        <v>50</v>
      </c>
      <c r="H26" s="23" t="s">
        <v>52</v>
      </c>
      <c r="I26" s="24" t="s">
        <v>72</v>
      </c>
      <c r="J26" s="14" t="s">
        <v>123</v>
      </c>
      <c r="K26" s="17" t="s">
        <v>67</v>
      </c>
      <c r="L26" s="25" t="s">
        <v>68</v>
      </c>
      <c r="M26" s="26">
        <v>45720.0</v>
      </c>
      <c r="N26" s="27" t="s">
        <v>68</v>
      </c>
      <c r="O26" s="27" t="s">
        <v>68</v>
      </c>
    </row>
    <row r="27" ht="39.0" customHeight="1">
      <c r="A27" s="10"/>
      <c r="B27" s="21">
        <v>5.5822013E7</v>
      </c>
      <c r="C27" s="21" t="s">
        <v>54</v>
      </c>
      <c r="D27" s="21">
        <v>1.058356843E9</v>
      </c>
      <c r="E27" s="21">
        <v>3.20853302E9</v>
      </c>
      <c r="F27" s="21" t="s">
        <v>56</v>
      </c>
      <c r="G27" s="10"/>
      <c r="H27" s="10"/>
      <c r="I27" s="10"/>
      <c r="J27" s="10"/>
      <c r="K27" s="17" t="s">
        <v>147</v>
      </c>
      <c r="L27" s="25" t="s">
        <v>68</v>
      </c>
      <c r="M27" s="10"/>
      <c r="N27" s="10"/>
      <c r="O27" s="10"/>
    </row>
  </sheetData>
  <mergeCells count="150">
    <mergeCell ref="H8:H9"/>
    <mergeCell ref="I8:I9"/>
    <mergeCell ref="J8:J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M10:M11"/>
    <mergeCell ref="N10:N11"/>
    <mergeCell ref="O10:O11"/>
    <mergeCell ref="A10:A11"/>
    <mergeCell ref="B10:B11"/>
    <mergeCell ref="C10:C11"/>
    <mergeCell ref="D10:D11"/>
    <mergeCell ref="E10:E11"/>
    <mergeCell ref="F10:F11"/>
    <mergeCell ref="G10:G11"/>
    <mergeCell ref="H12:H13"/>
    <mergeCell ref="I12:I13"/>
    <mergeCell ref="J12:J13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G14:G15"/>
    <mergeCell ref="G16:G17"/>
    <mergeCell ref="G18:G19"/>
    <mergeCell ref="H18:H19"/>
    <mergeCell ref="I18:I19"/>
    <mergeCell ref="J18:J19"/>
    <mergeCell ref="M18:M19"/>
    <mergeCell ref="N18:N19"/>
    <mergeCell ref="O18:O19"/>
    <mergeCell ref="A16:A17"/>
    <mergeCell ref="B16:B17"/>
    <mergeCell ref="C16:C17"/>
    <mergeCell ref="D16:D17"/>
    <mergeCell ref="E16:E17"/>
    <mergeCell ref="F16:F17"/>
    <mergeCell ref="A18:A19"/>
    <mergeCell ref="H20:H21"/>
    <mergeCell ref="I20:I21"/>
    <mergeCell ref="J20:J21"/>
    <mergeCell ref="M20:M21"/>
    <mergeCell ref="N20:N21"/>
    <mergeCell ref="O20:O21"/>
    <mergeCell ref="G20:G21"/>
    <mergeCell ref="G22:G23"/>
    <mergeCell ref="H22:H23"/>
    <mergeCell ref="I22:I23"/>
    <mergeCell ref="J22:J23"/>
    <mergeCell ref="M22:M23"/>
    <mergeCell ref="N22:N23"/>
    <mergeCell ref="O22:O23"/>
    <mergeCell ref="A20:A21"/>
    <mergeCell ref="B20:B21"/>
    <mergeCell ref="C20:C21"/>
    <mergeCell ref="D20:D21"/>
    <mergeCell ref="E20:E21"/>
    <mergeCell ref="F20:F21"/>
    <mergeCell ref="A22:A23"/>
    <mergeCell ref="H24:H25"/>
    <mergeCell ref="I24:I25"/>
    <mergeCell ref="J24:J25"/>
    <mergeCell ref="M24:M25"/>
    <mergeCell ref="N24:N25"/>
    <mergeCell ref="O24:O25"/>
    <mergeCell ref="G24:G25"/>
    <mergeCell ref="G26:G27"/>
    <mergeCell ref="H26:H27"/>
    <mergeCell ref="I26:I27"/>
    <mergeCell ref="J26:J27"/>
    <mergeCell ref="M26:M27"/>
    <mergeCell ref="N26:N27"/>
    <mergeCell ref="O26:O27"/>
    <mergeCell ref="A24:A25"/>
    <mergeCell ref="B24:B25"/>
    <mergeCell ref="C24:C25"/>
    <mergeCell ref="D24:D25"/>
    <mergeCell ref="E24:E25"/>
    <mergeCell ref="F24:F25"/>
    <mergeCell ref="A26:A27"/>
    <mergeCell ref="I2:I3"/>
    <mergeCell ref="J2:J3"/>
    <mergeCell ref="G4:G5"/>
    <mergeCell ref="H4:H5"/>
    <mergeCell ref="I4:I5"/>
    <mergeCell ref="J4:J5"/>
    <mergeCell ref="K2:K3"/>
    <mergeCell ref="L2:L3"/>
    <mergeCell ref="M2:M3"/>
    <mergeCell ref="N2:N3"/>
    <mergeCell ref="M4:M5"/>
    <mergeCell ref="N4:N5"/>
    <mergeCell ref="O4:O5"/>
    <mergeCell ref="B1:I1"/>
    <mergeCell ref="J1:M1"/>
    <mergeCell ref="N1:O1"/>
    <mergeCell ref="B2:F2"/>
    <mergeCell ref="G2:G3"/>
    <mergeCell ref="H2:H3"/>
    <mergeCell ref="O2:O3"/>
    <mergeCell ref="F6:F7"/>
    <mergeCell ref="G6:G7"/>
    <mergeCell ref="H6:H7"/>
    <mergeCell ref="I6:I7"/>
    <mergeCell ref="J6:J7"/>
    <mergeCell ref="M6:M7"/>
    <mergeCell ref="N6:N7"/>
    <mergeCell ref="O6:O7"/>
    <mergeCell ref="A1:A3"/>
    <mergeCell ref="A4:A5"/>
    <mergeCell ref="A6:A7"/>
    <mergeCell ref="B6:B7"/>
    <mergeCell ref="C6:C7"/>
    <mergeCell ref="D6:D7"/>
    <mergeCell ref="E6:E7"/>
    <mergeCell ref="H16:H17"/>
    <mergeCell ref="I16:I17"/>
    <mergeCell ref="J16:J17"/>
    <mergeCell ref="M16:M17"/>
    <mergeCell ref="N16:N17"/>
    <mergeCell ref="O16:O17"/>
  </mergeCells>
  <dataValidations>
    <dataValidation type="list" allowBlank="1" showErrorMessage="1" sqref="N4:O4 N6:O6 N8:O8 N10:O10 N12:O12 N14:O14 N16:O16 N18:O18 N20:O20 N22:O22 N24:O24 N26:O26">
      <formula1>"APROBADO,RECHAZADO,N/A"</formula1>
    </dataValidation>
    <dataValidation type="list" allowBlank="1" showErrorMessage="1" sqref="G4 G6 G8 G10 G12 G14 G16 G18 G20 G22 G24 G26 K4:K27">
      <formula1>"Jose Manuel Rentería,Manuel Francisco Corredor,Juan Esteban Niño,Oscar Leonardo Peréz,NO ASIGNADO,Carmen Inés Báez,Jaquelin Arleth Lopez,Camilo Guerrero,Juliana Valentina Parra Rodríguez"</formula1>
    </dataValidation>
    <dataValidation type="list" allowBlank="1" showErrorMessage="1" sqref="I4 I6 I8 I10 I12 I14 I16 I18 I20 I22 I24 I26">
      <formula1>"I,II,III,IV"</formula1>
    </dataValidation>
    <dataValidation type="list" allowBlank="1" showErrorMessage="1" sqref="J4 J6 J8 J10 J12 J14 J16 J18 J20 J22 J24 J26">
      <formula1>"1. Propuesta,2. Anteproyecto,3. Sustentación anteproyecto,4. Aprobación CB,5. Desarrollo proyecto,6. Radicación proyecto,7. Sustentación proyecto"</formula1>
    </dataValidation>
    <dataValidation type="list" allowBlank="1" showErrorMessage="1" sqref="L4:L27">
      <formula1>"APROBADO,APROBADO CON CORRECCIONES,DEBE VOLVER A PRESENTAR,N/A"</formula1>
    </dataValidation>
  </dataValidations>
  <hyperlinks>
    <hyperlink r:id="rId1" ref="A6"/>
    <hyperlink r:id="rId2" ref="A8"/>
    <hyperlink r:id="rId3" ref="A10"/>
    <hyperlink r:id="rId4" ref="A12"/>
    <hyperlink r:id="rId5" ref="A14"/>
    <hyperlink r:id="rId6" ref="A18"/>
    <hyperlink r:id="rId7" ref="A24"/>
    <hyperlink r:id="rId8" ref="A26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9.38"/>
    <col customWidth="1" min="2" max="2" width="27.0"/>
    <col customWidth="1" min="3" max="3" width="37.0"/>
    <col customWidth="1" min="4" max="5" width="14.38"/>
    <col customWidth="1" min="6" max="6" width="37.0"/>
    <col customWidth="1" min="7" max="8" width="34.5"/>
    <col customWidth="1" min="10" max="11" width="34.5"/>
    <col customWidth="1" min="12" max="15" width="33.63"/>
  </cols>
  <sheetData>
    <row r="1">
      <c r="A1" s="5" t="s">
        <v>2</v>
      </c>
      <c r="B1" s="13" t="s">
        <v>11</v>
      </c>
      <c r="C1" s="8"/>
      <c r="D1" s="8"/>
      <c r="E1" s="8"/>
      <c r="F1" s="8"/>
      <c r="G1" s="8"/>
      <c r="H1" s="8"/>
      <c r="I1" s="9"/>
      <c r="J1" s="13" t="s">
        <v>15</v>
      </c>
      <c r="K1" s="8"/>
      <c r="L1" s="8"/>
      <c r="M1" s="9"/>
      <c r="N1" s="13" t="s">
        <v>18</v>
      </c>
      <c r="O1" s="9"/>
    </row>
    <row r="2">
      <c r="A2" s="16"/>
      <c r="B2" s="7" t="s">
        <v>4</v>
      </c>
      <c r="C2" s="8"/>
      <c r="D2" s="8"/>
      <c r="E2" s="8"/>
      <c r="F2" s="9"/>
      <c r="G2" s="5" t="s">
        <v>5</v>
      </c>
      <c r="H2" s="5" t="s">
        <v>6</v>
      </c>
      <c r="I2" s="18" t="s">
        <v>22</v>
      </c>
      <c r="J2" s="6" t="s">
        <v>24</v>
      </c>
      <c r="K2" s="6" t="s">
        <v>25</v>
      </c>
      <c r="L2" s="19" t="s">
        <v>27</v>
      </c>
      <c r="M2" s="19" t="s">
        <v>31</v>
      </c>
      <c r="N2" s="6" t="s">
        <v>33</v>
      </c>
      <c r="O2" s="6" t="s">
        <v>34</v>
      </c>
    </row>
    <row r="3">
      <c r="A3" s="10"/>
      <c r="B3" s="11" t="s">
        <v>7</v>
      </c>
      <c r="C3" s="12" t="s">
        <v>8</v>
      </c>
      <c r="D3" s="11" t="s">
        <v>9</v>
      </c>
      <c r="E3" s="11" t="s">
        <v>10</v>
      </c>
      <c r="F3" s="11" t="s">
        <v>12</v>
      </c>
      <c r="G3" s="10"/>
      <c r="H3" s="10"/>
      <c r="I3" s="10"/>
      <c r="J3" s="10"/>
      <c r="K3" s="10"/>
      <c r="L3" s="10"/>
      <c r="M3" s="10"/>
      <c r="N3" s="10"/>
      <c r="O3" s="10"/>
    </row>
    <row r="4" ht="39.0" customHeight="1">
      <c r="A4" s="20" t="s">
        <v>42</v>
      </c>
      <c r="B4" s="17">
        <v>5.5822018E7</v>
      </c>
      <c r="C4" s="17" t="s">
        <v>44</v>
      </c>
      <c r="D4" s="17">
        <v>1.054283083E9</v>
      </c>
      <c r="E4" s="21"/>
      <c r="F4" s="22" t="s">
        <v>45</v>
      </c>
      <c r="G4" s="14" t="s">
        <v>48</v>
      </c>
      <c r="H4" s="15" t="s">
        <v>51</v>
      </c>
      <c r="I4" s="15" t="s">
        <v>55</v>
      </c>
      <c r="J4" s="14" t="s">
        <v>59</v>
      </c>
      <c r="K4" s="17"/>
      <c r="L4" s="25"/>
      <c r="M4" s="26"/>
      <c r="N4" s="27"/>
      <c r="O4" s="27"/>
    </row>
    <row r="5" ht="39.0" customHeight="1">
      <c r="A5" s="10"/>
      <c r="B5" s="17">
        <v>5.5823017E7</v>
      </c>
      <c r="C5" s="17" t="s">
        <v>64</v>
      </c>
      <c r="D5" s="17">
        <v>1.048846416E9</v>
      </c>
      <c r="E5" s="21"/>
      <c r="F5" s="22" t="s">
        <v>65</v>
      </c>
      <c r="G5" s="10"/>
      <c r="H5" s="10"/>
      <c r="I5" s="10"/>
      <c r="J5" s="10"/>
      <c r="K5" s="17"/>
      <c r="L5" s="25"/>
      <c r="M5" s="10"/>
      <c r="N5" s="10"/>
      <c r="O5" s="10"/>
    </row>
    <row r="6" ht="39.0" customHeight="1">
      <c r="A6" s="20" t="s">
        <v>41</v>
      </c>
      <c r="B6" s="23">
        <v>5.5823012E7</v>
      </c>
      <c r="C6" s="23" t="s">
        <v>53</v>
      </c>
      <c r="D6" s="23">
        <v>1.00655428E9</v>
      </c>
      <c r="E6" s="23">
        <v>3.10289174E9</v>
      </c>
      <c r="F6" s="23" t="s">
        <v>60</v>
      </c>
      <c r="G6" s="14" t="s">
        <v>50</v>
      </c>
      <c r="H6" s="15" t="s">
        <v>51</v>
      </c>
      <c r="I6" s="15" t="s">
        <v>72</v>
      </c>
      <c r="J6" s="14" t="s">
        <v>66</v>
      </c>
      <c r="K6" s="17" t="s">
        <v>67</v>
      </c>
      <c r="L6" s="25" t="s">
        <v>68</v>
      </c>
      <c r="M6" s="26"/>
      <c r="N6" s="27"/>
      <c r="O6" s="27"/>
    </row>
    <row r="7" ht="39.0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7" t="s">
        <v>48</v>
      </c>
      <c r="L7" s="25" t="s">
        <v>68</v>
      </c>
      <c r="M7" s="10"/>
      <c r="N7" s="10"/>
      <c r="O7" s="10"/>
    </row>
    <row r="8" ht="39.0" customHeight="1">
      <c r="A8" s="20" t="s">
        <v>73</v>
      </c>
      <c r="B8" s="23">
        <v>5.5823008E7</v>
      </c>
      <c r="C8" s="23" t="s">
        <v>74</v>
      </c>
      <c r="D8" s="23">
        <v>1.052838289E9</v>
      </c>
      <c r="E8" s="23">
        <v>3.102417847E9</v>
      </c>
      <c r="F8" s="23" t="s">
        <v>75</v>
      </c>
      <c r="G8" s="14" t="s">
        <v>50</v>
      </c>
      <c r="H8" s="23" t="s">
        <v>76</v>
      </c>
      <c r="I8" s="15" t="s">
        <v>72</v>
      </c>
      <c r="J8" s="14" t="s">
        <v>77</v>
      </c>
      <c r="K8" s="17" t="s">
        <v>78</v>
      </c>
      <c r="L8" s="25" t="s">
        <v>68</v>
      </c>
      <c r="M8" s="26">
        <v>46093.0</v>
      </c>
      <c r="N8" s="27" t="s">
        <v>68</v>
      </c>
      <c r="O8" s="27" t="s">
        <v>68</v>
      </c>
    </row>
    <row r="9" ht="39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7" t="s">
        <v>79</v>
      </c>
      <c r="L9" s="25" t="s">
        <v>68</v>
      </c>
      <c r="M9" s="10"/>
      <c r="N9" s="10"/>
      <c r="O9" s="10"/>
    </row>
    <row r="10" ht="39.0" customHeight="1">
      <c r="A10" s="20" t="s">
        <v>80</v>
      </c>
      <c r="B10" s="14">
        <v>5.5823026E7</v>
      </c>
      <c r="C10" s="14" t="s">
        <v>81</v>
      </c>
      <c r="D10" s="15">
        <v>1.053442623E9</v>
      </c>
      <c r="E10" s="14" t="s">
        <v>82</v>
      </c>
      <c r="F10" s="14" t="s">
        <v>83</v>
      </c>
      <c r="G10" s="14" t="s">
        <v>67</v>
      </c>
      <c r="H10" s="15" t="s">
        <v>51</v>
      </c>
      <c r="I10" s="15" t="s">
        <v>72</v>
      </c>
      <c r="J10" s="14" t="s">
        <v>66</v>
      </c>
      <c r="K10" s="17" t="s">
        <v>78</v>
      </c>
      <c r="L10" s="25" t="s">
        <v>68</v>
      </c>
      <c r="M10" s="26">
        <v>45995.0</v>
      </c>
      <c r="N10" s="27"/>
      <c r="O10" s="27"/>
    </row>
    <row r="11" ht="39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7" t="s">
        <v>48</v>
      </c>
      <c r="L11" s="25" t="s">
        <v>68</v>
      </c>
      <c r="M11" s="10"/>
      <c r="N11" s="10"/>
      <c r="O11" s="10"/>
    </row>
    <row r="12" ht="39.0" customHeight="1">
      <c r="A12" s="20" t="s">
        <v>86</v>
      </c>
      <c r="B12" s="23">
        <v>5.5823004E7</v>
      </c>
      <c r="C12" s="23" t="s">
        <v>87</v>
      </c>
      <c r="D12" s="15">
        <v>1.053605222E9</v>
      </c>
      <c r="E12" s="23">
        <v>3.208006288E9</v>
      </c>
      <c r="F12" s="23" t="s">
        <v>88</v>
      </c>
      <c r="G12" s="14" t="s">
        <v>48</v>
      </c>
      <c r="H12" s="14" t="s">
        <v>89</v>
      </c>
      <c r="I12" s="15" t="s">
        <v>72</v>
      </c>
      <c r="J12" s="14" t="s">
        <v>66</v>
      </c>
      <c r="K12" s="17" t="s">
        <v>50</v>
      </c>
      <c r="L12" s="25" t="s">
        <v>90</v>
      </c>
      <c r="M12" s="26">
        <v>45995.0</v>
      </c>
      <c r="N12" s="27"/>
      <c r="O12" s="27"/>
    </row>
    <row r="13" ht="39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7" t="s">
        <v>91</v>
      </c>
      <c r="L13" s="25" t="s">
        <v>90</v>
      </c>
      <c r="M13" s="10"/>
      <c r="N13" s="10"/>
      <c r="O13" s="10"/>
    </row>
    <row r="14" ht="39.0" customHeight="1">
      <c r="A14" s="20" t="s">
        <v>92</v>
      </c>
      <c r="B14" s="14">
        <v>5.5823001E7</v>
      </c>
      <c r="C14" s="14" t="s">
        <v>94</v>
      </c>
      <c r="D14" s="15">
        <v>1.050090937E9</v>
      </c>
      <c r="E14" s="14">
        <v>3.193401044E9</v>
      </c>
      <c r="F14" s="14" t="s">
        <v>95</v>
      </c>
      <c r="G14" s="14" t="s">
        <v>78</v>
      </c>
      <c r="H14" s="14" t="s">
        <v>51</v>
      </c>
      <c r="I14" s="15" t="s">
        <v>72</v>
      </c>
      <c r="J14" s="14" t="s">
        <v>77</v>
      </c>
      <c r="K14" s="17" t="s">
        <v>50</v>
      </c>
      <c r="L14" s="25" t="s">
        <v>90</v>
      </c>
      <c r="M14" s="26">
        <v>46093.0</v>
      </c>
      <c r="N14" s="27"/>
      <c r="O14" s="27"/>
    </row>
    <row r="15" ht="39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7" t="s">
        <v>48</v>
      </c>
      <c r="L15" s="25" t="s">
        <v>90</v>
      </c>
      <c r="M15" s="10"/>
      <c r="N15" s="10"/>
      <c r="O15" s="10"/>
    </row>
    <row r="16" ht="39.0" customHeight="1">
      <c r="A16" s="20" t="s">
        <v>96</v>
      </c>
      <c r="B16" s="34">
        <v>5.582301E7</v>
      </c>
      <c r="C16" s="17" t="s">
        <v>97</v>
      </c>
      <c r="D16" s="34">
        <v>1.050603819E9</v>
      </c>
      <c r="E16" s="34">
        <v>3.214780967E9</v>
      </c>
      <c r="F16" s="17" t="s">
        <v>98</v>
      </c>
      <c r="G16" s="14" t="s">
        <v>78</v>
      </c>
      <c r="H16" s="15" t="s">
        <v>51</v>
      </c>
      <c r="I16" s="15" t="s">
        <v>72</v>
      </c>
      <c r="J16" s="14" t="s">
        <v>99</v>
      </c>
      <c r="K16" s="17" t="s">
        <v>67</v>
      </c>
      <c r="L16" s="25" t="s">
        <v>90</v>
      </c>
      <c r="M16" s="26">
        <v>46090.0</v>
      </c>
      <c r="N16" s="27"/>
      <c r="O16" s="27"/>
    </row>
    <row r="17" ht="39.0" customHeight="1">
      <c r="A17" s="10"/>
      <c r="B17" s="34">
        <v>5.5823014E7</v>
      </c>
      <c r="C17" s="17" t="s">
        <v>101</v>
      </c>
      <c r="D17" s="34">
        <v>1.049608033E9</v>
      </c>
      <c r="E17" s="34">
        <v>3.132418619E9</v>
      </c>
      <c r="F17" s="17" t="s">
        <v>103</v>
      </c>
      <c r="G17" s="10"/>
      <c r="H17" s="10"/>
      <c r="I17" s="10"/>
      <c r="J17" s="10"/>
      <c r="K17" s="17" t="s">
        <v>48</v>
      </c>
      <c r="L17" s="25" t="s">
        <v>90</v>
      </c>
      <c r="M17" s="10"/>
      <c r="N17" s="10"/>
      <c r="O17" s="10"/>
    </row>
    <row r="18" ht="39.0" customHeight="1">
      <c r="A18" s="20" t="s">
        <v>105</v>
      </c>
      <c r="B18" s="23">
        <v>5.5822501E7</v>
      </c>
      <c r="C18" s="23" t="s">
        <v>106</v>
      </c>
      <c r="D18" s="23">
        <v>1.002559661E9</v>
      </c>
      <c r="E18" s="23">
        <v>3.222738776E9</v>
      </c>
      <c r="F18" s="23" t="s">
        <v>107</v>
      </c>
      <c r="G18" s="14" t="s">
        <v>67</v>
      </c>
      <c r="H18" s="15" t="s">
        <v>109</v>
      </c>
      <c r="I18" s="15" t="s">
        <v>111</v>
      </c>
      <c r="J18" s="14" t="s">
        <v>77</v>
      </c>
      <c r="K18" s="17" t="s">
        <v>78</v>
      </c>
      <c r="L18" s="25" t="s">
        <v>90</v>
      </c>
      <c r="M18" s="26">
        <v>45995.0</v>
      </c>
      <c r="N18" s="27"/>
      <c r="O18" s="27"/>
    </row>
    <row r="19" ht="39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7" t="s">
        <v>48</v>
      </c>
      <c r="L19" s="25" t="s">
        <v>90</v>
      </c>
      <c r="M19" s="10"/>
      <c r="N19" s="10"/>
      <c r="O19" s="10"/>
    </row>
    <row r="20" ht="39.0" customHeight="1">
      <c r="A20" s="20" t="s">
        <v>112</v>
      </c>
      <c r="B20" s="21">
        <v>5.5822505E7</v>
      </c>
      <c r="C20" s="21" t="s">
        <v>113</v>
      </c>
      <c r="D20" s="21">
        <v>1.118528395E9</v>
      </c>
      <c r="E20" s="21">
        <v>3.115944471E9</v>
      </c>
      <c r="F20" s="21" t="s">
        <v>114</v>
      </c>
      <c r="G20" s="14" t="s">
        <v>67</v>
      </c>
      <c r="H20" s="15" t="s">
        <v>51</v>
      </c>
      <c r="I20" s="15" t="s">
        <v>111</v>
      </c>
      <c r="J20" s="14" t="s">
        <v>77</v>
      </c>
      <c r="K20" s="17" t="s">
        <v>48</v>
      </c>
      <c r="L20" s="25" t="s">
        <v>90</v>
      </c>
      <c r="M20" s="26">
        <v>46076.0</v>
      </c>
      <c r="N20" s="27"/>
      <c r="O20" s="27"/>
    </row>
    <row r="21" ht="39.0" customHeight="1">
      <c r="A21" s="10"/>
      <c r="B21" s="21">
        <v>5.5822508E7</v>
      </c>
      <c r="C21" s="17" t="s">
        <v>115</v>
      </c>
      <c r="D21" s="21">
        <v>1.052836321E9</v>
      </c>
      <c r="E21" s="21">
        <v>3.115856634E9</v>
      </c>
      <c r="F21" s="21" t="s">
        <v>116</v>
      </c>
      <c r="G21" s="10"/>
      <c r="H21" s="10"/>
      <c r="I21" s="10"/>
      <c r="J21" s="10"/>
      <c r="K21" s="17" t="s">
        <v>50</v>
      </c>
      <c r="L21" s="25" t="s">
        <v>90</v>
      </c>
      <c r="M21" s="10"/>
      <c r="N21" s="10"/>
      <c r="O21" s="10"/>
    </row>
    <row r="22" ht="39.0" customHeight="1">
      <c r="A22" s="20" t="s">
        <v>117</v>
      </c>
      <c r="B22" s="17">
        <v>5.5824027E7</v>
      </c>
      <c r="C22" s="17" t="s">
        <v>118</v>
      </c>
      <c r="D22" s="21"/>
      <c r="E22" s="21"/>
      <c r="F22" s="21"/>
      <c r="G22" s="14" t="s">
        <v>50</v>
      </c>
      <c r="H22" s="15" t="s">
        <v>51</v>
      </c>
      <c r="I22" s="15" t="s">
        <v>57</v>
      </c>
      <c r="J22" s="14" t="s">
        <v>59</v>
      </c>
      <c r="K22" s="17"/>
      <c r="L22" s="25"/>
      <c r="M22" s="26"/>
      <c r="N22" s="27"/>
      <c r="O22" s="27"/>
    </row>
    <row r="23" ht="39.0" customHeight="1">
      <c r="A23" s="10"/>
      <c r="B23" s="17">
        <v>5.5824001E7</v>
      </c>
      <c r="C23" s="17" t="s">
        <v>120</v>
      </c>
      <c r="D23" s="21"/>
      <c r="E23" s="21"/>
      <c r="F23" s="21"/>
      <c r="G23" s="10"/>
      <c r="H23" s="10"/>
      <c r="I23" s="10"/>
      <c r="J23" s="10"/>
      <c r="K23" s="17"/>
      <c r="L23" s="25"/>
      <c r="M23" s="10"/>
      <c r="N23" s="10"/>
      <c r="O23" s="10"/>
    </row>
  </sheetData>
  <mergeCells count="124">
    <mergeCell ref="H8:H9"/>
    <mergeCell ref="I8:I9"/>
    <mergeCell ref="J8:J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M10:M11"/>
    <mergeCell ref="N10:N11"/>
    <mergeCell ref="O10:O11"/>
    <mergeCell ref="A10:A11"/>
    <mergeCell ref="B10:B11"/>
    <mergeCell ref="C10:C11"/>
    <mergeCell ref="D10:D11"/>
    <mergeCell ref="E10:E11"/>
    <mergeCell ref="F10:F11"/>
    <mergeCell ref="G10:G11"/>
    <mergeCell ref="H12:H13"/>
    <mergeCell ref="I12:I13"/>
    <mergeCell ref="J12:J13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G12:G13"/>
    <mergeCell ref="G14:G15"/>
    <mergeCell ref="G16:G17"/>
    <mergeCell ref="H16:H17"/>
    <mergeCell ref="I16:I17"/>
    <mergeCell ref="J16:J17"/>
    <mergeCell ref="M16:M17"/>
    <mergeCell ref="N16:N17"/>
    <mergeCell ref="O16:O17"/>
    <mergeCell ref="A14:A15"/>
    <mergeCell ref="B14:B15"/>
    <mergeCell ref="C14:C15"/>
    <mergeCell ref="D14:D15"/>
    <mergeCell ref="E14:E15"/>
    <mergeCell ref="F14:F15"/>
    <mergeCell ref="A16:A17"/>
    <mergeCell ref="H18:H19"/>
    <mergeCell ref="I18:I19"/>
    <mergeCell ref="J18:J19"/>
    <mergeCell ref="M18:M19"/>
    <mergeCell ref="N18:N19"/>
    <mergeCell ref="O18:O19"/>
    <mergeCell ref="G18:G19"/>
    <mergeCell ref="G20:G21"/>
    <mergeCell ref="H20:H21"/>
    <mergeCell ref="I20:I21"/>
    <mergeCell ref="J20:J21"/>
    <mergeCell ref="M20:M21"/>
    <mergeCell ref="N20:N21"/>
    <mergeCell ref="O20:O21"/>
    <mergeCell ref="F18:F19"/>
    <mergeCell ref="G22:G23"/>
    <mergeCell ref="H22:H23"/>
    <mergeCell ref="I22:I23"/>
    <mergeCell ref="J22:J23"/>
    <mergeCell ref="M22:M23"/>
    <mergeCell ref="N22:N23"/>
    <mergeCell ref="O22:O23"/>
    <mergeCell ref="A18:A19"/>
    <mergeCell ref="B18:B19"/>
    <mergeCell ref="C18:C19"/>
    <mergeCell ref="D18:D19"/>
    <mergeCell ref="E18:E19"/>
    <mergeCell ref="A20:A21"/>
    <mergeCell ref="A22:A23"/>
    <mergeCell ref="I2:I3"/>
    <mergeCell ref="J2:J3"/>
    <mergeCell ref="G4:G5"/>
    <mergeCell ref="H4:H5"/>
    <mergeCell ref="I4:I5"/>
    <mergeCell ref="J4:J5"/>
    <mergeCell ref="K2:K3"/>
    <mergeCell ref="L2:L3"/>
    <mergeCell ref="M2:M3"/>
    <mergeCell ref="N2:N3"/>
    <mergeCell ref="M4:M5"/>
    <mergeCell ref="N4:N5"/>
    <mergeCell ref="O4:O5"/>
    <mergeCell ref="B1:I1"/>
    <mergeCell ref="J1:M1"/>
    <mergeCell ref="N1:O1"/>
    <mergeCell ref="B2:F2"/>
    <mergeCell ref="G2:G3"/>
    <mergeCell ref="H2:H3"/>
    <mergeCell ref="O2:O3"/>
    <mergeCell ref="F6:F7"/>
    <mergeCell ref="G6:G7"/>
    <mergeCell ref="H6:H7"/>
    <mergeCell ref="I6:I7"/>
    <mergeCell ref="J6:J7"/>
    <mergeCell ref="M6:M7"/>
    <mergeCell ref="N6:N7"/>
    <mergeCell ref="O6:O7"/>
    <mergeCell ref="A1:A3"/>
    <mergeCell ref="A4:A5"/>
    <mergeCell ref="A6:A7"/>
    <mergeCell ref="B6:B7"/>
    <mergeCell ref="C6:C7"/>
    <mergeCell ref="D6:D7"/>
    <mergeCell ref="E6:E7"/>
    <mergeCell ref="H14:H15"/>
    <mergeCell ref="I14:I15"/>
    <mergeCell ref="J14:J15"/>
    <mergeCell ref="M14:M15"/>
    <mergeCell ref="N14:N15"/>
    <mergeCell ref="O14:O15"/>
  </mergeCells>
  <dataValidations>
    <dataValidation type="list" allowBlank="1" showErrorMessage="1" sqref="N4:O4 N6:O6 N8:O8 N10:O10 N12:O12 N14:O14 N16:O16 N18:O18 N20:O20 N22:O22">
      <formula1>"APROBADO,RECHAZADO,N/A"</formula1>
    </dataValidation>
    <dataValidation type="list" allowBlank="1" showErrorMessage="1" sqref="I4 I6 I8 I10 I12 I14 I16 I18 I20 I22">
      <formula1>"I,II,III,IV"</formula1>
    </dataValidation>
    <dataValidation type="list" allowBlank="1" showErrorMessage="1" sqref="J4 J6 J8 J10 J12 J14 J16 J18 J20 J22">
      <formula1>"1. Propuesta,2. Anteproyecto,3. Sustentación anteproyecto,4. Aprobación CB,5. Desarrollo proyecto,6. Radicación proyecto,7. Sustentación proyecto"</formula1>
    </dataValidation>
    <dataValidation type="list" allowBlank="1" showErrorMessage="1" sqref="L4:L23">
      <formula1>"APROBADO,APROBADO CON CORRECCIONES,DEBE VOLVER A PRESENTAR,N/A"</formula1>
    </dataValidation>
    <dataValidation type="list" allowBlank="1" showErrorMessage="1" sqref="G4 G6 G8 G10 G12 G14 G16 G18 G20 G22 K4:K23">
      <formula1>"Jose Manuel Rentería,Manuel Francisco Corredor,Juan Esteban Niño,Oscar Leonardo Peréz,NO ASIGNADO,Carmen Inés Báez,Camilo Guerrero,Jaquelin Arleth Lopez,Juliana  Valentina Parra Rodríguez"</formula1>
    </dataValidation>
  </dataValidations>
  <hyperlinks>
    <hyperlink r:id="rId1" ref="A6"/>
    <hyperlink r:id="rId2" ref="A8"/>
    <hyperlink r:id="rId3" ref="A10"/>
    <hyperlink r:id="rId4" ref="A12"/>
    <hyperlink r:id="rId5" ref="A14"/>
    <hyperlink r:id="rId6" ref="A16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8.13"/>
  </cols>
  <sheetData>
    <row r="1">
      <c r="A1" s="31" t="s">
        <v>69</v>
      </c>
      <c r="B1" s="31" t="s">
        <v>70</v>
      </c>
      <c r="C1" s="31" t="s">
        <v>71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>
      <c r="A2" s="33" t="str">
        <f>IFERROR(__xludf.DUMMYFUNCTION("IFERROR(
UNIQUE(
  FILTER(
    INDIRECT(""'"" &amp; A1 &amp; ""'!C6:C""),
    INDIRECT(""'"" &amp; A1 &amp; ""'!C6:C"") &lt;&gt; """"
  )
),)"),"Angy Juliana Farasica")</f>
        <v>Angy Juliana Farasica</v>
      </c>
      <c r="B2" s="33" t="str">
        <f>IFERROR(__xludf.DUMMYFUNCTION("IFERROR(
UNIQUE(
  FILTER(
    INDIRECT(""'"" &amp; B1 &amp; ""'!C6:C""),
    INDIRECT(""'"" &amp; B1 &amp; ""'!C6:C"") &lt;&gt; """"
  )
),)"),"Daniel Alejandro Rodríguez")</f>
        <v>Daniel Alejandro Rodríguez</v>
      </c>
      <c r="C2" s="33" t="str">
        <f>IFERROR(__xludf.DUMMYFUNCTION("IFERROR(
UNIQUE(
  FILTER(
    INDIRECT(""'"" &amp; C1 &amp; ""'!C6:C""),
    INDIRECT(""'"" &amp; C1 &amp; ""'!C6:C"") &lt;&gt; """"
  )
),)"),"Daniel Alejandro Rodríguez")</f>
        <v>Daniel Alejandro Rodríguez</v>
      </c>
      <c r="D2" s="33" t="str">
        <f>IFERROR(__xludf.DUMMYFUNCTION("IFERROR(
UNIQUE(
  FILTER(
    INDIRECT(""'"" &amp; D1 &amp; ""'!C6:C""),
    INDIRECT(""'"" &amp; D1 &amp; ""'!C6:C"") &lt;&gt; """"
  )
),)"),"Sara Sofia Moreno Castro")</f>
        <v>Sara Sofia Moreno Castro</v>
      </c>
      <c r="E2" s="33" t="str">
        <f>IFERROR(__xludf.DUMMYFUNCTION("IFERROR(
UNIQUE(
  FILTER(
    INDIRECT(""'"" &amp; E1 &amp; ""'!C6:C""),
    INDIRECT(""'"" &amp; E1 &amp; ""'!C6:C"") &lt;&gt; """"
  )
),)"),"Sara Sofia Moreno Castro")</f>
        <v>Sara Sofia Moreno Castro</v>
      </c>
      <c r="F2" s="33" t="str">
        <f>IFERROR(__xludf.DUMMYFUNCTION("IFERROR(
UNIQUE(
  FILTER(
    INDIRECT(""'"" &amp; F1 &amp; ""'!C6:C""),
    INDIRECT(""'"" &amp; F1 &amp; ""'!C6:C"") &lt;&gt; """"
  )
),)"),"Sara Sofia Moreno Castro")</f>
        <v>Sara Sofia Moreno Castro</v>
      </c>
      <c r="G2" s="33" t="str">
        <f>IFERROR(__xludf.DUMMYFUNCTION("IFERROR(
UNIQUE(
  FILTER(
    INDIRECT(""'"" &amp; G1 &amp; ""'!C6:C""),
    INDIRECT(""'"" &amp; G1 &amp; ""'!C6:C"") &lt;&gt; """"
  )
),)"),"Sara Sofia Moreno Castro")</f>
        <v>Sara Sofia Moreno Castro</v>
      </c>
      <c r="H2" s="33" t="str">
        <f>IFERROR(__xludf.DUMMYFUNCTION("IFERROR(
UNIQUE(
  FILTER(
    INDIRECT(""'"" &amp; H1 &amp; ""'!C6:C""),
    INDIRECT(""'"" &amp; H1 &amp; ""'!C6:C"") &lt;&gt; """"
  )
),)"),"Sara Sofia Moreno Castro")</f>
        <v>Sara Sofia Moreno Castro</v>
      </c>
      <c r="I2" s="33" t="str">
        <f>IFERROR(__xludf.DUMMYFUNCTION("IFERROR(
UNIQUE(
  FILTER(
    INDIRECT(""'"" &amp; I1 &amp; ""'!C6:C""),
    INDIRECT(""'"" &amp; I1 &amp; ""'!C6:C"") &lt;&gt; """"
  )
),)"),"Sara Sofia Moreno Castro")</f>
        <v>Sara Sofia Moreno Castro</v>
      </c>
      <c r="J2" s="33" t="str">
        <f>IFERROR(__xludf.DUMMYFUNCTION("IFERROR(
UNIQUE(
  FILTER(
    INDIRECT(""'"" &amp; J1 &amp; ""'!C6:C""),
    INDIRECT(""'"" &amp; J1 &amp; ""'!C6:C"") &lt;&gt; """"
  )
),)"),"Sara Sofia Moreno Castro")</f>
        <v>Sara Sofia Moreno Castro</v>
      </c>
      <c r="K2" s="33" t="str">
        <f>IFERROR(__xludf.DUMMYFUNCTION("IFERROR(
UNIQUE(
  FILTER(
    INDIRECT(""'"" &amp; K1 &amp; ""'!C6:C""),
    INDIRECT(""'"" &amp; K1 &amp; ""'!C6:C"") &lt;&gt; """"
  )
),)"),"Sara Sofia Moreno Castro")</f>
        <v>Sara Sofia Moreno Castro</v>
      </c>
      <c r="L2" s="33" t="str">
        <f>IFERROR(__xludf.DUMMYFUNCTION("IFERROR(
UNIQUE(
  FILTER(
    INDIRECT(""'"" &amp; L1 &amp; ""'!C6:C""),
    INDIRECT(""'"" &amp; L1 &amp; ""'!C6:C"") &lt;&gt; """"
  )
),)"),"Sara Sofia Moreno Castro")</f>
        <v>Sara Sofia Moreno Castro</v>
      </c>
      <c r="M2" s="33" t="str">
        <f>IFERROR(__xludf.DUMMYFUNCTION("IFERROR(
UNIQUE(
  FILTER(
    INDIRECT(""'"" &amp; M1 &amp; ""'!C6:C""),
    INDIRECT(""'"" &amp; M1 &amp; ""'!C6:C"") &lt;&gt; """"
  )
),)"),"Sara Sofia Moreno Castro")</f>
        <v>Sara Sofia Moreno Castro</v>
      </c>
      <c r="N2" s="33" t="str">
        <f>IFERROR(__xludf.DUMMYFUNCTION("IFERROR(
UNIQUE(
  FILTER(
    INDIRECT(""'"" &amp; N1 &amp; ""'!C6:C""),
    INDIRECT(""'"" &amp; N1 &amp; ""'!C6:C"") &lt;&gt; """"
  )
),)"),"Sara Sofia Moreno Castro")</f>
        <v>Sara Sofia Moreno Castro</v>
      </c>
      <c r="O2" s="33" t="str">
        <f>IFERROR(__xludf.DUMMYFUNCTION("IFERROR(
UNIQUE(
  FILTER(
    INDIRECT(""'"" &amp; O1 &amp; ""'!C6:C""),
    INDIRECT(""'"" &amp; O1 &amp; ""'!C6:C"") &lt;&gt; """"
  )
),)"),"Sara Sofia Moreno Castro")</f>
        <v>Sara Sofia Moreno Castro</v>
      </c>
    </row>
    <row r="3">
      <c r="A3" s="33" t="str">
        <f>IFERROR(__xludf.DUMMYFUNCTION("""COMPUTED_VALUE"""),"David Santiago Amaya Reyes")</f>
        <v>David Santiago Amaya Reyes</v>
      </c>
      <c r="B3" s="33" t="str">
        <f>IFERROR(__xludf.DUMMYFUNCTION("""COMPUTED_VALUE"""),"Angy Juliana Farasica")</f>
        <v>Angy Juliana Farasica</v>
      </c>
      <c r="C3" s="33" t="str">
        <f>IFERROR(__xludf.DUMMYFUNCTION("""COMPUTED_VALUE"""),"Angy Juliana Farasica")</f>
        <v>Angy Juliana Farasica</v>
      </c>
      <c r="D3" s="33" t="str">
        <f>IFERROR(__xludf.DUMMYFUNCTION("""COMPUTED_VALUE"""),"Daniel Felipe Sainea")</f>
        <v>Daniel Felipe Sainea</v>
      </c>
      <c r="E3" s="33" t="str">
        <f>IFERROR(__xludf.DUMMYFUNCTION("""COMPUTED_VALUE"""),"Daniel Felipe Sainea")</f>
        <v>Daniel Felipe Sainea</v>
      </c>
      <c r="F3" s="33" t="str">
        <f>IFERROR(__xludf.DUMMYFUNCTION("""COMPUTED_VALUE"""),"Daniel Felipe Sainea")</f>
        <v>Daniel Felipe Sainea</v>
      </c>
      <c r="G3" s="33" t="str">
        <f>IFERROR(__xludf.DUMMYFUNCTION("""COMPUTED_VALUE"""),"Daniel Felipe Sainea")</f>
        <v>Daniel Felipe Sainea</v>
      </c>
      <c r="H3" s="33" t="str">
        <f>IFERROR(__xludf.DUMMYFUNCTION("""COMPUTED_VALUE"""),"Daniel Felipe Sainea")</f>
        <v>Daniel Felipe Sainea</v>
      </c>
      <c r="I3" s="33" t="str">
        <f>IFERROR(__xludf.DUMMYFUNCTION("""COMPUTED_VALUE"""),"Daniel Felipe Sainea")</f>
        <v>Daniel Felipe Sainea</v>
      </c>
      <c r="J3" s="33" t="str">
        <f>IFERROR(__xludf.DUMMYFUNCTION("""COMPUTED_VALUE"""),"Daniel Felipe Sainea")</f>
        <v>Daniel Felipe Sainea</v>
      </c>
      <c r="K3" s="33" t="str">
        <f>IFERROR(__xludf.DUMMYFUNCTION("""COMPUTED_VALUE"""),"Daniel Felipe Sainea")</f>
        <v>Daniel Felipe Sainea</v>
      </c>
      <c r="L3" s="33" t="str">
        <f>IFERROR(__xludf.DUMMYFUNCTION("""COMPUTED_VALUE"""),"Daniel Felipe Sainea")</f>
        <v>Daniel Felipe Sainea</v>
      </c>
      <c r="M3" s="33" t="str">
        <f>IFERROR(__xludf.DUMMYFUNCTION("""COMPUTED_VALUE"""),"Daniel Felipe Sainea")</f>
        <v>Daniel Felipe Sainea</v>
      </c>
      <c r="N3" s="33" t="str">
        <f>IFERROR(__xludf.DUMMYFUNCTION("""COMPUTED_VALUE"""),"Daniel Felipe Sainea")</f>
        <v>Daniel Felipe Sainea</v>
      </c>
      <c r="O3" s="33" t="str">
        <f>IFERROR(__xludf.DUMMYFUNCTION("""COMPUTED_VALUE"""),"Daniel Felipe Sainea")</f>
        <v>Daniel Felipe Sainea</v>
      </c>
    </row>
    <row r="4">
      <c r="A4" s="33" t="str">
        <f>IFERROR(__xludf.DUMMYFUNCTION("""COMPUTED_VALUE"""),"Diana Sofia Benavides Monroy")</f>
        <v>Diana Sofia Benavides Monroy</v>
      </c>
      <c r="B4" s="33" t="str">
        <f>IFERROR(__xludf.DUMMYFUNCTION("""COMPUTED_VALUE"""),"David Santiago Amaya Reyes")</f>
        <v>David Santiago Amaya Reyes</v>
      </c>
      <c r="C4" s="33" t="str">
        <f>IFERROR(__xludf.DUMMYFUNCTION("""COMPUTED_VALUE"""),"David Santiago Amaya Reyes")</f>
        <v>David Santiago Amaya Reyes</v>
      </c>
      <c r="D4" s="33" t="str">
        <f>IFERROR(__xludf.DUMMYFUNCTION("""COMPUTED_VALUE"""),"David Alejandro Gonzalez")</f>
        <v>David Alejandro Gonzalez</v>
      </c>
      <c r="E4" s="33" t="str">
        <f>IFERROR(__xludf.DUMMYFUNCTION("""COMPUTED_VALUE"""),"David Alejandro Gonzalez")</f>
        <v>David Alejandro Gonzalez</v>
      </c>
      <c r="F4" s="33" t="str">
        <f>IFERROR(__xludf.DUMMYFUNCTION("""COMPUTED_VALUE"""),"David Alejandro Gonzalez")</f>
        <v>David Alejandro Gonzalez</v>
      </c>
      <c r="G4" s="33" t="str">
        <f>IFERROR(__xludf.DUMMYFUNCTION("""COMPUTED_VALUE"""),"David Alejandro Gonzalez")</f>
        <v>David Alejandro Gonzalez</v>
      </c>
      <c r="H4" s="33" t="str">
        <f>IFERROR(__xludf.DUMMYFUNCTION("""COMPUTED_VALUE"""),"David Alejandro Gonzalez")</f>
        <v>David Alejandro Gonzalez</v>
      </c>
      <c r="I4" s="33" t="str">
        <f>IFERROR(__xludf.DUMMYFUNCTION("""COMPUTED_VALUE"""),"David Alejandro Gonzalez")</f>
        <v>David Alejandro Gonzalez</v>
      </c>
      <c r="J4" s="33" t="str">
        <f>IFERROR(__xludf.DUMMYFUNCTION("""COMPUTED_VALUE"""),"David Alejandro Gonzalez")</f>
        <v>David Alejandro Gonzalez</v>
      </c>
      <c r="K4" s="33" t="str">
        <f>IFERROR(__xludf.DUMMYFUNCTION("""COMPUTED_VALUE"""),"David Alejandro Gonzalez")</f>
        <v>David Alejandro Gonzalez</v>
      </c>
      <c r="L4" s="33" t="str">
        <f>IFERROR(__xludf.DUMMYFUNCTION("""COMPUTED_VALUE"""),"David Alejandro Gonzalez")</f>
        <v>David Alejandro Gonzalez</v>
      </c>
      <c r="M4" s="33" t="str">
        <f>IFERROR(__xludf.DUMMYFUNCTION("""COMPUTED_VALUE"""),"David Alejandro Gonzalez")</f>
        <v>David Alejandro Gonzalez</v>
      </c>
      <c r="N4" s="33" t="str">
        <f>IFERROR(__xludf.DUMMYFUNCTION("""COMPUTED_VALUE"""),"David Alejandro Gonzalez")</f>
        <v>David Alejandro Gonzalez</v>
      </c>
      <c r="O4" s="33" t="str">
        <f>IFERROR(__xludf.DUMMYFUNCTION("""COMPUTED_VALUE"""),"David Alejandro Gonzalez")</f>
        <v>David Alejandro Gonzalez</v>
      </c>
    </row>
    <row r="5">
      <c r="A5" s="33" t="str">
        <f>IFERROR(__xludf.DUMMYFUNCTION("""COMPUTED_VALUE"""),"Sara Sofia Moreno Castro")</f>
        <v>Sara Sofia Moreno Castro</v>
      </c>
      <c r="B5" s="33" t="str">
        <f>IFERROR(__xludf.DUMMYFUNCTION("""COMPUTED_VALUE"""),"Diana Sofia Benavides Monroy")</f>
        <v>Diana Sofia Benavides Monroy</v>
      </c>
      <c r="C5" s="33" t="str">
        <f>IFERROR(__xludf.DUMMYFUNCTION("""COMPUTED_VALUE"""),"Diana Sofia Benavides Monroy")</f>
        <v>Diana Sofia Benavides Monroy</v>
      </c>
      <c r="D5" s="33" t="str">
        <f>IFERROR(__xludf.DUMMYFUNCTION("""COMPUTED_VALUE"""),"Hugo Alexander Fonseca Chaparro")</f>
        <v>Hugo Alexander Fonseca Chaparro</v>
      </c>
      <c r="E5" s="33" t="str">
        <f>IFERROR(__xludf.DUMMYFUNCTION("""COMPUTED_VALUE"""),"Hugo Alexander Fonseca Chaparro")</f>
        <v>Hugo Alexander Fonseca Chaparro</v>
      </c>
      <c r="F5" s="33" t="str">
        <f>IFERROR(__xludf.DUMMYFUNCTION("""COMPUTED_VALUE"""),"Hugo Alexander Fonseca Chaparro")</f>
        <v>Hugo Alexander Fonseca Chaparro</v>
      </c>
      <c r="G5" s="33" t="str">
        <f>IFERROR(__xludf.DUMMYFUNCTION("""COMPUTED_VALUE"""),"Hugo Alexander Fonseca Chaparro")</f>
        <v>Hugo Alexander Fonseca Chaparro</v>
      </c>
      <c r="H5" s="33" t="str">
        <f>IFERROR(__xludf.DUMMYFUNCTION("""COMPUTED_VALUE"""),"Hugo Alexander Fonseca Chaparro")</f>
        <v>Hugo Alexander Fonseca Chaparro</v>
      </c>
      <c r="I5" s="33" t="str">
        <f>IFERROR(__xludf.DUMMYFUNCTION("""COMPUTED_VALUE"""),"Hugo Alexander Fonseca Chaparro")</f>
        <v>Hugo Alexander Fonseca Chaparro</v>
      </c>
      <c r="J5" s="33" t="str">
        <f>IFERROR(__xludf.DUMMYFUNCTION("""COMPUTED_VALUE"""),"Hugo Alexander Fonseca Chaparro")</f>
        <v>Hugo Alexander Fonseca Chaparro</v>
      </c>
      <c r="K5" s="33" t="str">
        <f>IFERROR(__xludf.DUMMYFUNCTION("""COMPUTED_VALUE"""),"Hugo Alexander Fonseca Chaparro")</f>
        <v>Hugo Alexander Fonseca Chaparro</v>
      </c>
      <c r="L5" s="33" t="str">
        <f>IFERROR(__xludf.DUMMYFUNCTION("""COMPUTED_VALUE"""),"Hugo Alexander Fonseca Chaparro")</f>
        <v>Hugo Alexander Fonseca Chaparro</v>
      </c>
      <c r="M5" s="33" t="str">
        <f>IFERROR(__xludf.DUMMYFUNCTION("""COMPUTED_VALUE"""),"Hugo Alexander Fonseca Chaparro")</f>
        <v>Hugo Alexander Fonseca Chaparro</v>
      </c>
      <c r="N5" s="33" t="str">
        <f>IFERROR(__xludf.DUMMYFUNCTION("""COMPUTED_VALUE"""),"Hugo Alexander Fonseca Chaparro")</f>
        <v>Hugo Alexander Fonseca Chaparro</v>
      </c>
      <c r="O5" s="33" t="str">
        <f>IFERROR(__xludf.DUMMYFUNCTION("""COMPUTED_VALUE"""),"Hugo Alexander Fonseca Chaparro")</f>
        <v>Hugo Alexander Fonseca Chaparro</v>
      </c>
    </row>
    <row r="6">
      <c r="A6" s="33" t="str">
        <f>IFERROR(__xludf.DUMMYFUNCTION("""COMPUTED_VALUE"""),"Juan Pablo Alba Martinez ")</f>
        <v>Juan Pablo Alba Martinez </v>
      </c>
      <c r="B6" s="33" t="str">
        <f>IFERROR(__xludf.DUMMYFUNCTION("""COMPUTED_VALUE"""),"Sara Sofia Moreno Castro")</f>
        <v>Sara Sofia Moreno Castro</v>
      </c>
      <c r="C6" s="33" t="str">
        <f>IFERROR(__xludf.DUMMYFUNCTION("""COMPUTED_VALUE"""),"Sara Sofia Moreno Castro")</f>
        <v>Sara Sofia Moreno Castro</v>
      </c>
      <c r="D6" s="33" t="str">
        <f>IFERROR(__xludf.DUMMYFUNCTION("""COMPUTED_VALUE"""),"Sergio Andrés Rangel Montaña")</f>
        <v>Sergio Andrés Rangel Montaña</v>
      </c>
      <c r="E6" s="33" t="str">
        <f>IFERROR(__xludf.DUMMYFUNCTION("""COMPUTED_VALUE"""),"Sergio Andrés Rangel Montaña")</f>
        <v>Sergio Andrés Rangel Montaña</v>
      </c>
      <c r="F6" s="33" t="str">
        <f>IFERROR(__xludf.DUMMYFUNCTION("""COMPUTED_VALUE"""),"Sergio Andrés Rangel Montaña")</f>
        <v>Sergio Andrés Rangel Montaña</v>
      </c>
      <c r="G6" s="33" t="str">
        <f>IFERROR(__xludf.DUMMYFUNCTION("""COMPUTED_VALUE"""),"Sergio Andrés Rangel Montaña")</f>
        <v>Sergio Andrés Rangel Montaña</v>
      </c>
      <c r="H6" s="33" t="str">
        <f>IFERROR(__xludf.DUMMYFUNCTION("""COMPUTED_VALUE"""),"Sergio Andrés Rangel Montaña")</f>
        <v>Sergio Andrés Rangel Montaña</v>
      </c>
      <c r="I6" s="33" t="str">
        <f>IFERROR(__xludf.DUMMYFUNCTION("""COMPUTED_VALUE"""),"Sergio Andrés Rangel Montaña")</f>
        <v>Sergio Andrés Rangel Montaña</v>
      </c>
      <c r="J6" s="33" t="str">
        <f>IFERROR(__xludf.DUMMYFUNCTION("""COMPUTED_VALUE"""),"Sergio Andrés Rangel Montaña")</f>
        <v>Sergio Andrés Rangel Montaña</v>
      </c>
      <c r="K6" s="33" t="str">
        <f>IFERROR(__xludf.DUMMYFUNCTION("""COMPUTED_VALUE"""),"Sergio Andrés Rangel Montaña")</f>
        <v>Sergio Andrés Rangel Montaña</v>
      </c>
      <c r="L6" s="33" t="str">
        <f>IFERROR(__xludf.DUMMYFUNCTION("""COMPUTED_VALUE"""),"Sergio Andrés Rangel Montaña")</f>
        <v>Sergio Andrés Rangel Montaña</v>
      </c>
      <c r="M6" s="33" t="str">
        <f>IFERROR(__xludf.DUMMYFUNCTION("""COMPUTED_VALUE"""),"Sergio Andrés Rangel Montaña")</f>
        <v>Sergio Andrés Rangel Montaña</v>
      </c>
      <c r="N6" s="33" t="str">
        <f>IFERROR(__xludf.DUMMYFUNCTION("""COMPUTED_VALUE"""),"Sergio Andrés Rangel Montaña")</f>
        <v>Sergio Andrés Rangel Montaña</v>
      </c>
      <c r="O6" s="33" t="str">
        <f>IFERROR(__xludf.DUMMYFUNCTION("""COMPUTED_VALUE"""),"Sergio Andrés Rangel Montaña")</f>
        <v>Sergio Andrés Rangel Montaña</v>
      </c>
    </row>
    <row r="7">
      <c r="A7" s="33" t="str">
        <f>IFERROR(__xludf.DUMMYFUNCTION("""COMPUTED_VALUE"""),"Daniel Felipe Sainea")</f>
        <v>Daniel Felipe Sainea</v>
      </c>
      <c r="B7" s="33" t="str">
        <f>IFERROR(__xludf.DUMMYFUNCTION("""COMPUTED_VALUE"""),"Juan Pablo Alba Martinez ")</f>
        <v>Juan Pablo Alba Martinez </v>
      </c>
      <c r="C7" s="33" t="str">
        <f>IFERROR(__xludf.DUMMYFUNCTION("""COMPUTED_VALUE"""),"Daniel Felipe Sainea")</f>
        <v>Daniel Felipe Sainea</v>
      </c>
      <c r="D7" s="33" t="str">
        <f>IFERROR(__xludf.DUMMYFUNCTION("""COMPUTED_VALUE"""),"Axel Camilo Prieto Tiria ")</f>
        <v>Axel Camilo Prieto Tiria </v>
      </c>
      <c r="E7" s="33" t="str">
        <f>IFERROR(__xludf.DUMMYFUNCTION("""COMPUTED_VALUE"""),"Axel Camilo Prieto Tiria ")</f>
        <v>Axel Camilo Prieto Tiria </v>
      </c>
      <c r="F7" s="33" t="str">
        <f>IFERROR(__xludf.DUMMYFUNCTION("""COMPUTED_VALUE"""),"Axel Camilo Prieto Tiria ")</f>
        <v>Axel Camilo Prieto Tiria </v>
      </c>
      <c r="G7" s="33" t="str">
        <f>IFERROR(__xludf.DUMMYFUNCTION("""COMPUTED_VALUE"""),"Axel Camilo Prieto Tiria ")</f>
        <v>Axel Camilo Prieto Tiria </v>
      </c>
      <c r="H7" s="33" t="str">
        <f>IFERROR(__xludf.DUMMYFUNCTION("""COMPUTED_VALUE"""),"Axel Camilo Prieto Tiria ")</f>
        <v>Axel Camilo Prieto Tiria </v>
      </c>
      <c r="I7" s="33" t="str">
        <f>IFERROR(__xludf.DUMMYFUNCTION("""COMPUTED_VALUE"""),"Axel Camilo Prieto Tiria ")</f>
        <v>Axel Camilo Prieto Tiria </v>
      </c>
      <c r="J7" s="33" t="str">
        <f>IFERROR(__xludf.DUMMYFUNCTION("""COMPUTED_VALUE"""),"Axel Camilo Prieto Tiria ")</f>
        <v>Axel Camilo Prieto Tiria </v>
      </c>
      <c r="K7" s="33" t="str">
        <f>IFERROR(__xludf.DUMMYFUNCTION("""COMPUTED_VALUE"""),"Axel Camilo Prieto Tiria ")</f>
        <v>Axel Camilo Prieto Tiria </v>
      </c>
      <c r="L7" s="33" t="str">
        <f>IFERROR(__xludf.DUMMYFUNCTION("""COMPUTED_VALUE"""),"Axel Camilo Prieto Tiria ")</f>
        <v>Axel Camilo Prieto Tiria </v>
      </c>
      <c r="M7" s="33" t="str">
        <f>IFERROR(__xludf.DUMMYFUNCTION("""COMPUTED_VALUE"""),"Axel Camilo Prieto Tiria ")</f>
        <v>Axel Camilo Prieto Tiria </v>
      </c>
      <c r="N7" s="33" t="str">
        <f>IFERROR(__xludf.DUMMYFUNCTION("""COMPUTED_VALUE"""),"Axel Camilo Prieto Tiria ")</f>
        <v>Axel Camilo Prieto Tiria </v>
      </c>
      <c r="O7" s="33" t="str">
        <f>IFERROR(__xludf.DUMMYFUNCTION("""COMPUTED_VALUE"""),"Axel Camilo Prieto Tiria ")</f>
        <v>Axel Camilo Prieto Tiria </v>
      </c>
    </row>
    <row r="8">
      <c r="A8" s="33" t="str">
        <f>IFERROR(__xludf.DUMMYFUNCTION("""COMPUTED_VALUE"""),"David Alejandro Gonzalez")</f>
        <v>David Alejandro Gonzalez</v>
      </c>
      <c r="B8" s="33" t="str">
        <f>IFERROR(__xludf.DUMMYFUNCTION("""COMPUTED_VALUE"""),"Daniel Felipe Sainea")</f>
        <v>Daniel Felipe Sainea</v>
      </c>
      <c r="C8" s="33" t="str">
        <f>IFERROR(__xludf.DUMMYFUNCTION("""COMPUTED_VALUE"""),"David Alejandro Gonzalez")</f>
        <v>David Alejandro Gonzalez</v>
      </c>
      <c r="D8" s="33" t="str">
        <f>IFERROR(__xludf.DUMMYFUNCTION("""COMPUTED_VALUE"""),"Luna Natalia Bejarano Castellanos")</f>
        <v>Luna Natalia Bejarano Castellanos</v>
      </c>
      <c r="E8" s="33" t="str">
        <f>IFERROR(__xludf.DUMMYFUNCTION("""COMPUTED_VALUE"""),"Luna Natalia Bejarano Castellanos")</f>
        <v>Luna Natalia Bejarano Castellanos</v>
      </c>
      <c r="F8" s="33" t="str">
        <f>IFERROR(__xludf.DUMMYFUNCTION("""COMPUTED_VALUE"""),"Luna Natalia Bejarano Castellanos")</f>
        <v>Luna Natalia Bejarano Castellanos</v>
      </c>
      <c r="G8" s="33" t="str">
        <f>IFERROR(__xludf.DUMMYFUNCTION("""COMPUTED_VALUE"""),"Luna Natalia Bejarano Castellanos")</f>
        <v>Luna Natalia Bejarano Castellanos</v>
      </c>
      <c r="H8" s="33" t="str">
        <f>IFERROR(__xludf.DUMMYFUNCTION("""COMPUTED_VALUE"""),"Luna Natalia Bejarano Castellanos")</f>
        <v>Luna Natalia Bejarano Castellanos</v>
      </c>
      <c r="I8" s="33" t="str">
        <f>IFERROR(__xludf.DUMMYFUNCTION("""COMPUTED_VALUE"""),"Luna Natalia Bejarano Castellanos")</f>
        <v>Luna Natalia Bejarano Castellanos</v>
      </c>
      <c r="J8" s="33" t="str">
        <f>IFERROR(__xludf.DUMMYFUNCTION("""COMPUTED_VALUE"""),"Luna Natalia Bejarano Castellanos")</f>
        <v>Luna Natalia Bejarano Castellanos</v>
      </c>
      <c r="K8" s="33" t="str">
        <f>IFERROR(__xludf.DUMMYFUNCTION("""COMPUTED_VALUE"""),"Luna Natalia Bejarano Castellanos")</f>
        <v>Luna Natalia Bejarano Castellanos</v>
      </c>
      <c r="L8" s="33" t="str">
        <f>IFERROR(__xludf.DUMMYFUNCTION("""COMPUTED_VALUE"""),"Luna Natalia Bejarano Castellanos")</f>
        <v>Luna Natalia Bejarano Castellanos</v>
      </c>
      <c r="M8" s="33" t="str">
        <f>IFERROR(__xludf.DUMMYFUNCTION("""COMPUTED_VALUE"""),"Luna Natalia Bejarano Castellanos")</f>
        <v>Luna Natalia Bejarano Castellanos</v>
      </c>
      <c r="N8" s="33" t="str">
        <f>IFERROR(__xludf.DUMMYFUNCTION("""COMPUTED_VALUE"""),"Luna Natalia Bejarano Castellanos")</f>
        <v>Luna Natalia Bejarano Castellanos</v>
      </c>
      <c r="O8" s="33" t="str">
        <f>IFERROR(__xludf.DUMMYFUNCTION("""COMPUTED_VALUE"""),"Luna Natalia Bejarano Castellanos")</f>
        <v>Luna Natalia Bejarano Castellanos</v>
      </c>
    </row>
    <row r="9">
      <c r="A9" s="33" t="str">
        <f>IFERROR(__xludf.DUMMYFUNCTION("""COMPUTED_VALUE"""),"Hugo Alexander Fonseca Chaparro")</f>
        <v>Hugo Alexander Fonseca Chaparro</v>
      </c>
      <c r="B9" s="33" t="str">
        <f>IFERROR(__xludf.DUMMYFUNCTION("""COMPUTED_VALUE"""),"David Alejandro Gonzalez")</f>
        <v>David Alejandro Gonzalez</v>
      </c>
      <c r="C9" s="33" t="str">
        <f>IFERROR(__xludf.DUMMYFUNCTION("""COMPUTED_VALUE"""),"Hugo Alexander Fonseca Chaparro")</f>
        <v>Hugo Alexander Fonseca Chaparro</v>
      </c>
      <c r="D9" s="33" t="str">
        <f>IFERROR(__xludf.DUMMYFUNCTION("""COMPUTED_VALUE"""),"Yerson Leandro Ariza Chacón")</f>
        <v>Yerson Leandro Ariza Chacón</v>
      </c>
      <c r="E9" s="33" t="str">
        <f>IFERROR(__xludf.DUMMYFUNCTION("""COMPUTED_VALUE"""),"Yerson Leandro Ariza Chacón")</f>
        <v>Yerson Leandro Ariza Chacón</v>
      </c>
      <c r="F9" s="33" t="str">
        <f>IFERROR(__xludf.DUMMYFUNCTION("""COMPUTED_VALUE"""),"Yerson Leandro Ariza Chacón")</f>
        <v>Yerson Leandro Ariza Chacón</v>
      </c>
      <c r="G9" s="33" t="str">
        <f>IFERROR(__xludf.DUMMYFUNCTION("""COMPUTED_VALUE"""),"Yerson Leandro Ariza Chacón")</f>
        <v>Yerson Leandro Ariza Chacón</v>
      </c>
      <c r="H9" s="33" t="str">
        <f>IFERROR(__xludf.DUMMYFUNCTION("""COMPUTED_VALUE"""),"Yerson Leandro Ariza Chacón")</f>
        <v>Yerson Leandro Ariza Chacón</v>
      </c>
      <c r="I9" s="33" t="str">
        <f>IFERROR(__xludf.DUMMYFUNCTION("""COMPUTED_VALUE"""),"Yerson Leandro Ariza Chacón")</f>
        <v>Yerson Leandro Ariza Chacón</v>
      </c>
      <c r="J9" s="33" t="str">
        <f>IFERROR(__xludf.DUMMYFUNCTION("""COMPUTED_VALUE"""),"Yerson Leandro Ariza Chacón")</f>
        <v>Yerson Leandro Ariza Chacón</v>
      </c>
      <c r="K9" s="33" t="str">
        <f>IFERROR(__xludf.DUMMYFUNCTION("""COMPUTED_VALUE"""),"Yerson Leandro Ariza Chacón")</f>
        <v>Yerson Leandro Ariza Chacón</v>
      </c>
      <c r="L9" s="33" t="str">
        <f>IFERROR(__xludf.DUMMYFUNCTION("""COMPUTED_VALUE"""),"Yerson Leandro Ariza Chacón")</f>
        <v>Yerson Leandro Ariza Chacón</v>
      </c>
      <c r="M9" s="33" t="str">
        <f>IFERROR(__xludf.DUMMYFUNCTION("""COMPUTED_VALUE"""),"Yerson Leandro Ariza Chacón")</f>
        <v>Yerson Leandro Ariza Chacón</v>
      </c>
      <c r="N9" s="33" t="str">
        <f>IFERROR(__xludf.DUMMYFUNCTION("""COMPUTED_VALUE"""),"Yerson Leandro Ariza Chacón")</f>
        <v>Yerson Leandro Ariza Chacón</v>
      </c>
      <c r="O9" s="33" t="str">
        <f>IFERROR(__xludf.DUMMYFUNCTION("""COMPUTED_VALUE"""),"Yerson Leandro Ariza Chacón")</f>
        <v>Yerson Leandro Ariza Chacón</v>
      </c>
    </row>
    <row r="10">
      <c r="A10" s="33" t="str">
        <f>IFERROR(__xludf.DUMMYFUNCTION("""COMPUTED_VALUE"""),"Sergio Andrés Rangel Montaña")</f>
        <v>Sergio Andrés Rangel Montaña</v>
      </c>
      <c r="B10" s="33" t="str">
        <f>IFERROR(__xludf.DUMMYFUNCTION("""COMPUTED_VALUE"""),"Hugo Alexander Fonseca Chaparro")</f>
        <v>Hugo Alexander Fonseca Chaparro</v>
      </c>
      <c r="C10" s="33" t="str">
        <f>IFERROR(__xludf.DUMMYFUNCTION("""COMPUTED_VALUE"""),"Sergio Andrés Rangel Montaña")</f>
        <v>Sergio Andrés Rangel Montaña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>
      <c r="A11" s="33" t="str">
        <f>IFERROR(__xludf.DUMMYFUNCTION("""COMPUTED_VALUE"""),"Axel Camilo Prieto Tiria ")</f>
        <v>Axel Camilo Prieto Tiria </v>
      </c>
      <c r="B11" s="33" t="str">
        <f>IFERROR(__xludf.DUMMYFUNCTION("""COMPUTED_VALUE"""),"Sergio Andrés Rangel Montaña")</f>
        <v>Sergio Andrés Rangel Montaña</v>
      </c>
      <c r="C11" s="33" t="str">
        <f>IFERROR(__xludf.DUMMYFUNCTION("""COMPUTED_VALUE"""),"Axel Camilo Prieto Tiria ")</f>
        <v>Axel Camilo Prieto Tiria 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>
      <c r="A12" s="33" t="str">
        <f>IFERROR(__xludf.DUMMYFUNCTION("""COMPUTED_VALUE"""),"Brandon Andres Castiblanco Costilla")</f>
        <v>Brandon Andres Castiblanco Costilla</v>
      </c>
      <c r="B12" s="33" t="str">
        <f>IFERROR(__xludf.DUMMYFUNCTION("""COMPUTED_VALUE"""),"Axel Camilo Prieto Tiria ")</f>
        <v>Axel Camilo Prieto Tiria </v>
      </c>
      <c r="C12" s="33" t="str">
        <f>IFERROR(__xludf.DUMMYFUNCTION("""COMPUTED_VALUE"""),"Luna Natalia Bejarano Castellanos")</f>
        <v>Luna Natalia Bejarano Castellanos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>
      <c r="A13" s="33" t="str">
        <f>IFERROR(__xludf.DUMMYFUNCTION("""COMPUTED_VALUE"""),"Paula Andrea Ortegón Lezama")</f>
        <v>Paula Andrea Ortegón Lezama</v>
      </c>
      <c r="B13" s="33" t="str">
        <f>IFERROR(__xludf.DUMMYFUNCTION("""COMPUTED_VALUE"""),"Brandon Andres Castiblanco Costilla")</f>
        <v>Brandon Andres Castiblanco Costilla</v>
      </c>
      <c r="C13" s="33" t="str">
        <f>IFERROR(__xludf.DUMMYFUNCTION("""COMPUTED_VALUE"""),"Yerson Leandro Ariza Chacón")</f>
        <v>Yerson Leandro Ariza Chacón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>
      <c r="A14" s="33" t="str">
        <f>IFERROR(__xludf.DUMMYFUNCTION("""COMPUTED_VALUE"""),"Juan Sebastian Sanabria Mendivelso")</f>
        <v>Juan Sebastian Sanabria Mendivelso</v>
      </c>
      <c r="B14" s="33" t="str">
        <f>IFERROR(__xludf.DUMMYFUNCTION("""COMPUTED_VALUE"""),"Paula Andrea Ortegón Lezama")</f>
        <v>Paula Andrea Ortegón Lezama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>
      <c r="A15" s="33" t="str">
        <f>IFERROR(__xludf.DUMMYFUNCTION("""COMPUTED_VALUE"""),"Diana Patricia Acuña Cardozo ")</f>
        <v>Diana Patricia Acuña Cardozo </v>
      </c>
      <c r="B15" s="33" t="str">
        <f>IFERROR(__xludf.DUMMYFUNCTION("""COMPUTED_VALUE"""),"Juan Sebastian Sanabria Mendivelso")</f>
        <v>Juan Sebastian Sanabria Mendivelso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7.75"/>
  </cols>
  <sheetData>
    <row r="1">
      <c r="A1" s="37" t="s">
        <v>122</v>
      </c>
      <c r="B1" s="37" t="s">
        <v>124</v>
      </c>
      <c r="C1" s="38" t="s">
        <v>125</v>
      </c>
      <c r="D1" s="38" t="s">
        <v>69</v>
      </c>
      <c r="E1" s="38" t="s">
        <v>70</v>
      </c>
      <c r="F1" s="38" t="s">
        <v>71</v>
      </c>
      <c r="G1" s="38" t="s">
        <v>126</v>
      </c>
      <c r="H1" s="38" t="s">
        <v>127</v>
      </c>
      <c r="I1" s="38" t="s">
        <v>128</v>
      </c>
      <c r="J1" s="38" t="s">
        <v>129</v>
      </c>
      <c r="K1" s="38" t="s">
        <v>130</v>
      </c>
      <c r="L1" s="38" t="s">
        <v>131</v>
      </c>
      <c r="M1" s="38" t="s">
        <v>132</v>
      </c>
      <c r="N1" s="38" t="s">
        <v>133</v>
      </c>
      <c r="O1" s="38" t="s">
        <v>134</v>
      </c>
      <c r="P1" s="38" t="s">
        <v>135</v>
      </c>
      <c r="Q1" s="38" t="s">
        <v>136</v>
      </c>
      <c r="R1" s="38" t="s">
        <v>137</v>
      </c>
      <c r="S1" s="38" t="s">
        <v>138</v>
      </c>
      <c r="T1" s="38" t="s">
        <v>139</v>
      </c>
      <c r="U1" s="38" t="s">
        <v>140</v>
      </c>
      <c r="V1" s="38" t="s">
        <v>141</v>
      </c>
      <c r="W1" s="38" t="s">
        <v>142</v>
      </c>
      <c r="X1" s="38" t="s">
        <v>143</v>
      </c>
      <c r="Y1" s="38" t="s">
        <v>144</v>
      </c>
      <c r="Z1" s="38" t="s">
        <v>146</v>
      </c>
    </row>
    <row r="2" ht="67.5" customHeight="1">
      <c r="A2" s="39" t="str">
        <f>IFERROR(__xludf.DUMMYFUNCTION("UNIQUE(
  FILTER(
    FLATTEN(Datos!A2:Z1000),
    FLATTEN(Datos!A2:Z1000)&lt;&gt;""""
  )
)"),"Angy Juliana Farasica")</f>
        <v>Angy Juliana Farasica</v>
      </c>
      <c r="B2" s="40" t="str">
        <f>IFERROR(__xludf.DUMMYFUNCTION("IFERROR(
  LET(
    periodos, C$1:Z$1,
    marcas, C2:Z2,
    pos, MAX(
          FILTER(
            COLUMN(marcas)-COLUMN(C2)+1,
            marcas=""X""
          )
        ),
    ultimo, INDEX(periodos, pos),
    XLOOKUP(
      $A2,
      INDIRECT(""'"&amp;"""&amp;ultimo&amp;""'!C:C""),
      INDIRECT(""'""&amp;ultimo&amp;""'!A:A"")
    )
  ),
  """"
)"),"Aplicativo móvil con realidad aumentada para la práctica y adquisición de vocabulario de inglés a nivel A1")</f>
        <v>Aplicativo móvil con realidad aumentada para la práctica y adquisición de vocabulario de inglés a nivel A1</v>
      </c>
      <c r="C2" s="41" t="str">
        <f t="shared" ref="C2:Z2" si="1">IF(
  COUNTIF(
    INDIRECT("'"&amp;C$1&amp;"'!C:C"),
    $A2
  )&gt;0,
  "X",
  ""
)</f>
        <v/>
      </c>
      <c r="D2" s="41" t="str">
        <f t="shared" si="1"/>
        <v>X</v>
      </c>
      <c r="E2" s="41" t="str">
        <f t="shared" si="1"/>
        <v>X</v>
      </c>
      <c r="F2" s="41" t="str">
        <f t="shared" si="1"/>
        <v>X</v>
      </c>
      <c r="G2" s="41" t="str">
        <f t="shared" si="1"/>
        <v/>
      </c>
      <c r="H2" s="41" t="str">
        <f t="shared" si="1"/>
        <v/>
      </c>
      <c r="I2" s="41" t="str">
        <f t="shared" si="1"/>
        <v/>
      </c>
      <c r="J2" s="41" t="str">
        <f t="shared" si="1"/>
        <v/>
      </c>
      <c r="K2" s="41" t="str">
        <f t="shared" si="1"/>
        <v/>
      </c>
      <c r="L2" s="41" t="str">
        <f t="shared" si="1"/>
        <v/>
      </c>
      <c r="M2" s="41" t="str">
        <f t="shared" si="1"/>
        <v/>
      </c>
      <c r="N2" s="41" t="str">
        <f t="shared" si="1"/>
        <v/>
      </c>
      <c r="O2" s="41" t="str">
        <f t="shared" si="1"/>
        <v/>
      </c>
      <c r="P2" s="41" t="str">
        <f t="shared" si="1"/>
        <v/>
      </c>
      <c r="Q2" s="41" t="str">
        <f t="shared" si="1"/>
        <v/>
      </c>
      <c r="R2" s="41" t="str">
        <f t="shared" si="1"/>
        <v/>
      </c>
      <c r="S2" s="41" t="str">
        <f t="shared" si="1"/>
        <v/>
      </c>
      <c r="T2" s="41" t="str">
        <f t="shared" si="1"/>
        <v/>
      </c>
      <c r="U2" s="41" t="str">
        <f t="shared" si="1"/>
        <v/>
      </c>
      <c r="V2" s="41" t="str">
        <f t="shared" si="1"/>
        <v/>
      </c>
      <c r="W2" s="41" t="str">
        <f t="shared" si="1"/>
        <v/>
      </c>
      <c r="X2" s="41" t="str">
        <f t="shared" si="1"/>
        <v/>
      </c>
      <c r="Y2" s="41" t="str">
        <f t="shared" si="1"/>
        <v/>
      </c>
      <c r="Z2" s="41" t="str">
        <f t="shared" si="1"/>
        <v/>
      </c>
    </row>
    <row r="3" ht="67.5" customHeight="1">
      <c r="A3" s="39" t="str">
        <f>IFERROR(__xludf.DUMMYFUNCTION("""COMPUTED_VALUE"""),"Daniel Alejandro Rodríguez")</f>
        <v>Daniel Alejandro Rodríguez</v>
      </c>
      <c r="B3" s="40" t="str">
        <f>IFERROR(__xludf.DUMMYFUNCTION("IFERROR(
  LET(
    periodos, C$1:Z$1,
    marcas, C3:Z3,
    pos, MAX(
          FILTER(
            COLUMN(marcas)-COLUMN(C3)+1,
            marcas=""X""
          )
        ),
    ultimo, INDEX(periodos, pos),
    XLOOKUP(
      $A3,
      INDIRECT(""'"&amp;"""&amp;ultimo&amp;""'!C:C""),
      INDIRECT(""'""&amp;ultimo&amp;""'!A:A"")
    )
  ),
  """"
)"),"Aplicativo móvil con realidad aumentada para la comprensión de las métricas y proporciones en el dibujo anatómico")</f>
        <v>Aplicativo móvil con realidad aumentada para la comprensión de las métricas y proporciones en el dibujo anatómico</v>
      </c>
      <c r="C3" s="41" t="str">
        <f t="shared" ref="C3:J3" si="2">IF(
  COUNTIF(
    INDIRECT("'"&amp;C$1&amp;"'!C:C"),
    $A3
  )&gt;0,
  "X",
  ""
)</f>
        <v/>
      </c>
      <c r="D3" s="41" t="str">
        <f t="shared" si="2"/>
        <v>X</v>
      </c>
      <c r="E3" s="41" t="str">
        <f t="shared" si="2"/>
        <v>X</v>
      </c>
      <c r="F3" s="41" t="str">
        <f t="shared" si="2"/>
        <v>X</v>
      </c>
      <c r="G3" s="41" t="str">
        <f t="shared" si="2"/>
        <v/>
      </c>
      <c r="H3" s="41" t="str">
        <f t="shared" si="2"/>
        <v/>
      </c>
      <c r="I3" s="41" t="str">
        <f t="shared" si="2"/>
        <v/>
      </c>
      <c r="J3" s="41" t="str">
        <f t="shared" si="2"/>
        <v/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67.5" customHeight="1">
      <c r="A4" s="39" t="str">
        <f>IFERROR(__xludf.DUMMYFUNCTION("""COMPUTED_VALUE"""),"Sara Sofia Moreno Castro")</f>
        <v>Sara Sofia Moreno Castro</v>
      </c>
      <c r="B4" s="40" t="str">
        <f>IFERROR(__xludf.DUMMYFUNCTION("IFERROR(
  LET(
    periodos, C$1:Z$1,
    marcas, C4:Z4,
    pos, MAX(
          FILTER(
            COLUMN(marcas)-COLUMN(C4)+1,
            marcas=""X""
          )
        ),
    ultimo, INDEX(periodos, pos),
    XLOOKUP(
      $A4,
      INDIRECT(""'"&amp;"""&amp;ultimo&amp;""'!C:C""),
      INDIRECT(""'""&amp;ultimo&amp;""'!A:A"")
    )
  ),
  """"
)"),"Libro Interactivo para la Divulgación del Programa de Ingeniería en Multimedia de la Universidad de Boyacá")</f>
        <v>Libro Interactivo para la Divulgación del Programa de Ingeniería en Multimedia de la Universidad de Boyacá</v>
      </c>
      <c r="C4" s="41" t="str">
        <f t="shared" ref="C4:J4" si="3">IF(
  COUNTIF(
    INDIRECT("'"&amp;C$1&amp;"'!C:C"),
    $A4
  )&gt;0,
  "X",
  ""
)</f>
        <v/>
      </c>
      <c r="D4" s="41" t="str">
        <f t="shared" si="3"/>
        <v>X</v>
      </c>
      <c r="E4" s="41" t="str">
        <f t="shared" si="3"/>
        <v>X</v>
      </c>
      <c r="F4" s="41" t="str">
        <f t="shared" si="3"/>
        <v>X</v>
      </c>
      <c r="G4" s="41" t="str">
        <f t="shared" si="3"/>
        <v/>
      </c>
      <c r="H4" s="41" t="str">
        <f t="shared" si="3"/>
        <v/>
      </c>
      <c r="I4" s="41" t="str">
        <f t="shared" si="3"/>
        <v/>
      </c>
      <c r="J4" s="41" t="str">
        <f t="shared" si="3"/>
        <v/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67.5" customHeight="1">
      <c r="A5" s="39" t="str">
        <f>IFERROR(__xludf.DUMMYFUNCTION("""COMPUTED_VALUE"""),"David Santiago Amaya Reyes")</f>
        <v>David Santiago Amaya Reyes</v>
      </c>
      <c r="B5" s="40" t="str">
        <f>IFERROR(__xludf.DUMMYFUNCTION("IFERROR(
  LET(
    periodos, C$1:Z$1,
    marcas, C5:Z5,
    pos, MAX(
          FILTER(
            COLUMN(marcas)-COLUMN(C5)+1,
            marcas=""X""
          )
        ),
    ultimo, INDEX(periodos, pos),
    XLOOKUP(
      $A5,
      INDIRECT(""'"&amp;"""&amp;ultimo&amp;""'!C:C""),
      INDIRECT(""'""&amp;ultimo&amp;""'!A:A"")
    )
  ),
  """"
)"),"Narrativa Web Interactiva para Divulgar la Historia de la Batalla del Pantano de Vargas, Paipa")</f>
        <v>Narrativa Web Interactiva para Divulgar la Historia de la Batalla del Pantano de Vargas, Paipa</v>
      </c>
      <c r="C5" s="41" t="str">
        <f t="shared" ref="C5:J5" si="4">IF(
  COUNTIF(
    INDIRECT("'"&amp;C$1&amp;"'!C:C"),
    $A5
  )&gt;0,
  "X",
  ""
)</f>
        <v/>
      </c>
      <c r="D5" s="41" t="str">
        <f t="shared" si="4"/>
        <v>X</v>
      </c>
      <c r="E5" s="41" t="str">
        <f t="shared" si="4"/>
        <v>X</v>
      </c>
      <c r="F5" s="41" t="str">
        <f t="shared" si="4"/>
        <v>X</v>
      </c>
      <c r="G5" s="41" t="str">
        <f t="shared" si="4"/>
        <v/>
      </c>
      <c r="H5" s="41" t="str">
        <f t="shared" si="4"/>
        <v/>
      </c>
      <c r="I5" s="41" t="str">
        <f t="shared" si="4"/>
        <v/>
      </c>
      <c r="J5" s="41" t="str">
        <f t="shared" si="4"/>
        <v/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67.5" customHeight="1">
      <c r="A6" s="39" t="str">
        <f>IFERROR(__xludf.DUMMYFUNCTION("""COMPUTED_VALUE"""),"Daniel Felipe Sainea")</f>
        <v>Daniel Felipe Sainea</v>
      </c>
      <c r="B6" s="40" t="str">
        <f>IFERROR(__xludf.DUMMYFUNCTION("IFERROR(
  LET(
    periodos, C$1:Z$1,
    marcas, C6:Z6,
    pos, MAX(
          FILTER(
            COLUMN(marcas)-COLUMN(C6)+1,
            marcas=""X""
          )
        ),
    ultimo, INDEX(periodos, pos),
    XLOOKUP(
      $A6,
      INDIRECT(""'"&amp;"""&amp;ultimo&amp;""'!C:C""),
      INDIRECT(""'""&amp;ultimo&amp;""'!A:A"")
    )
  ),
  """"
)"),"Recorrido virtual interactivo del edificio 4 de la Universidad de Boyacá")</f>
        <v>Recorrido virtual interactivo del edificio 4 de la Universidad de Boyacá</v>
      </c>
      <c r="C6" s="41" t="str">
        <f t="shared" ref="C6:J6" si="5">IF(
  COUNTIF(
    INDIRECT("'"&amp;C$1&amp;"'!C:C"),
    $A6
  )&gt;0,
  "X",
  ""
)</f>
        <v/>
      </c>
      <c r="D6" s="41" t="str">
        <f t="shared" si="5"/>
        <v>X</v>
      </c>
      <c r="E6" s="41" t="str">
        <f t="shared" si="5"/>
        <v>X</v>
      </c>
      <c r="F6" s="41" t="str">
        <f t="shared" si="5"/>
        <v>X</v>
      </c>
      <c r="G6" s="41" t="str">
        <f t="shared" si="5"/>
        <v/>
      </c>
      <c r="H6" s="41" t="str">
        <f t="shared" si="5"/>
        <v/>
      </c>
      <c r="I6" s="41" t="str">
        <f t="shared" si="5"/>
        <v/>
      </c>
      <c r="J6" s="41" t="str">
        <f t="shared" si="5"/>
        <v/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67.5" customHeight="1">
      <c r="A7" s="39" t="str">
        <f>IFERROR(__xludf.DUMMYFUNCTION("""COMPUTED_VALUE"""),"Diana Sofia Benavides Monroy")</f>
        <v>Diana Sofia Benavides Monroy</v>
      </c>
      <c r="B7" s="40" t="str">
        <f>IFERROR(__xludf.DUMMYFUNCTION("IFERROR(
  LET(
    periodos, C$1:Z$1,
    marcas, C7:Z7,
    pos, MAX(
          FILTER(
            COLUMN(marcas)-COLUMN(C7)+1,
            marcas=""X""
          )
        ),
    ultimo, INDEX(periodos, pos),
    XLOOKUP(
      $A7,
      INDIRECT(""'"&amp;"""&amp;ultimo&amp;""'!C:C""),
      INDIRECT(""'""&amp;ultimo&amp;""'!A:A"")
    )
  ),
  """"
)"),"Videojuego 2D para apoyar competencias matemáticas básicas de números enteros en niños")</f>
        <v>Videojuego 2D para apoyar competencias matemáticas básicas de números enteros en niños</v>
      </c>
      <c r="C7" s="41" t="str">
        <f t="shared" ref="C7:J7" si="6">IF(
  COUNTIF(
    INDIRECT("'"&amp;C$1&amp;"'!C:C"),
    $A7
  )&gt;0,
  "X",
  ""
)</f>
        <v/>
      </c>
      <c r="D7" s="41" t="str">
        <f t="shared" si="6"/>
        <v>X</v>
      </c>
      <c r="E7" s="41" t="str">
        <f t="shared" si="6"/>
        <v>X</v>
      </c>
      <c r="F7" s="41" t="str">
        <f t="shared" si="6"/>
        <v>X</v>
      </c>
      <c r="G7" s="41" t="str">
        <f t="shared" si="6"/>
        <v/>
      </c>
      <c r="H7" s="41" t="str">
        <f t="shared" si="6"/>
        <v/>
      </c>
      <c r="I7" s="41" t="str">
        <f t="shared" si="6"/>
        <v/>
      </c>
      <c r="J7" s="41" t="str">
        <f t="shared" si="6"/>
        <v/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67.5" customHeight="1">
      <c r="A8" s="39" t="str">
        <f>IFERROR(__xludf.DUMMYFUNCTION("""COMPUTED_VALUE"""),"David Alejandro Gonzalez")</f>
        <v>David Alejandro Gonzalez</v>
      </c>
      <c r="B8" s="43" t="str">
        <f>IFERROR(__xludf.DUMMYFUNCTION("IFERROR(
  LET(
    periodos, C$1:Z$1,
    marcas, C8:Z8,
    pos, MAX(
          FILTER(
            COLUMN(marcas)-COLUMN(C8)+1,
            marcas=""X""
          )
        ),
    ultimo, INDEX(periodos, pos),
    XLOOKUP(
      $A8,
      INDIRECT(""'"&amp;"""&amp;ultimo&amp;""'!C:C""),
      INDIRECT(""'""&amp;ultimo&amp;""'!A:A"")
    )
  ),
  """"
)"),"")</f>
        <v/>
      </c>
      <c r="C8" s="41" t="str">
        <f t="shared" ref="C8:J8" si="7">IF(
  COUNTIF(
    INDIRECT("'"&amp;C$1&amp;"'!C:C"),
    $A8
  )&gt;0,
  "X",
  ""
)</f>
        <v/>
      </c>
      <c r="D8" s="41" t="str">
        <f t="shared" si="7"/>
        <v>X</v>
      </c>
      <c r="E8" s="41" t="str">
        <f t="shared" si="7"/>
        <v>X</v>
      </c>
      <c r="F8" s="41" t="str">
        <f t="shared" si="7"/>
        <v>X</v>
      </c>
      <c r="G8" s="41" t="str">
        <f t="shared" si="7"/>
        <v/>
      </c>
      <c r="H8" s="41" t="str">
        <f t="shared" si="7"/>
        <v/>
      </c>
      <c r="I8" s="41" t="str">
        <f t="shared" si="7"/>
        <v/>
      </c>
      <c r="J8" s="41" t="str">
        <f t="shared" si="7"/>
        <v/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67.5" customHeight="1">
      <c r="A9" s="39" t="str">
        <f>IFERROR(__xludf.DUMMYFUNCTION("""COMPUTED_VALUE"""),"Hugo Alexander Fonseca Chaparro")</f>
        <v>Hugo Alexander Fonseca Chaparro</v>
      </c>
      <c r="B9" s="43" t="str">
        <f>IFERROR(__xludf.DUMMYFUNCTION("IFERROR(
  LET(
    periodos, C$1:Z$1,
    marcas, C9:Z9,
    pos, MAX(
          FILTER(
            COLUMN(marcas)-COLUMN(C9)+1,
            marcas=""X""
          )
        ),
    ultimo, INDEX(periodos, pos),
    XLOOKUP(
      $A9,
      INDIRECT(""'"&amp;"""&amp;ultimo&amp;""'!C:C""),
      INDIRECT(""'""&amp;ultimo&amp;""'!A:A"")
    )
  ),
  """"
)"),"Aplicación de realidad virtual para exposición gradual y controlada a espacios cerrados en personas con claustrofobia")</f>
        <v>Aplicación de realidad virtual para exposición gradual y controlada a espacios cerrados en personas con claustrofobia</v>
      </c>
      <c r="C9" s="41" t="str">
        <f t="shared" ref="C9:J9" si="8">IF(
  COUNTIF(
    INDIRECT("'"&amp;C$1&amp;"'!C:C"),
    $A9
  )&gt;0,
  "X",
  ""
)</f>
        <v/>
      </c>
      <c r="D9" s="41" t="str">
        <f t="shared" si="8"/>
        <v>X</v>
      </c>
      <c r="E9" s="41" t="str">
        <f t="shared" si="8"/>
        <v>X</v>
      </c>
      <c r="F9" s="41" t="str">
        <f t="shared" si="8"/>
        <v>X</v>
      </c>
      <c r="G9" s="41" t="str">
        <f t="shared" si="8"/>
        <v/>
      </c>
      <c r="H9" s="41" t="str">
        <f t="shared" si="8"/>
        <v/>
      </c>
      <c r="I9" s="41" t="str">
        <f t="shared" si="8"/>
        <v/>
      </c>
      <c r="J9" s="41" t="str">
        <f t="shared" si="8"/>
        <v/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67.5" customHeight="1">
      <c r="A10" s="39" t="str">
        <f>IFERROR(__xludf.DUMMYFUNCTION("""COMPUTED_VALUE"""),"Juan Pablo Alba Martinez ")</f>
        <v>Juan Pablo Alba Martinez </v>
      </c>
      <c r="B10" s="43" t="str">
        <f>IFERROR(__xludf.DUMMYFUNCTION("IFERROR(
  LET(
    periodos, C$1:Z$1,
    marcas, C10:Z10,
    pos, MAX(
          FILTER(
            COLUMN(marcas)-COLUMN(C10)+1,
            marcas=""X""
          )
        ),
    ultimo, INDEX(periodos, pos),
    XLOOKUP(
      $A10,
      INDIRECT"&amp;"(""'""&amp;ultimo&amp;""'!C:C""),
      INDIRECT(""'""&amp;ultimo&amp;""'!A:A"")
    )
  ),
  """"
)"),"Desarrollo e implementación de un recorrido virtual 360° como estrategia para optimizar la orientación y experiencia de usuario en los escenarios deportivos de la Universidad de Boyacá, sede Tunja")</f>
        <v>Desarrollo e implementación de un recorrido virtual 360° como estrategia para optimizar la orientación y experiencia de usuario en los escenarios deportivos de la Universidad de Boyacá, sede Tunja</v>
      </c>
      <c r="C10" s="41" t="str">
        <f t="shared" ref="C10:J10" si="9">IF(
  COUNTIF(
    INDIRECT("'"&amp;C$1&amp;"'!C:C"),
    $A10
  )&gt;0,
  "X",
  ""
)</f>
        <v/>
      </c>
      <c r="D10" s="41" t="str">
        <f t="shared" si="9"/>
        <v>X</v>
      </c>
      <c r="E10" s="41" t="str">
        <f t="shared" si="9"/>
        <v>X</v>
      </c>
      <c r="F10" s="41" t="str">
        <f t="shared" si="9"/>
        <v/>
      </c>
      <c r="G10" s="41" t="str">
        <f t="shared" si="9"/>
        <v/>
      </c>
      <c r="H10" s="41" t="str">
        <f t="shared" si="9"/>
        <v/>
      </c>
      <c r="I10" s="41" t="str">
        <f t="shared" si="9"/>
        <v/>
      </c>
      <c r="J10" s="41" t="str">
        <f t="shared" si="9"/>
        <v/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67.5" customHeight="1">
      <c r="A11" s="39" t="str">
        <f>IFERROR(__xludf.DUMMYFUNCTION("""COMPUTED_VALUE"""),"Sergio Andrés Rangel Montaña")</f>
        <v>Sergio Andrés Rangel Montaña</v>
      </c>
      <c r="B11" s="43" t="str">
        <f>IFERROR(__xludf.DUMMYFUNCTION("IFERROR(
  LET(
    periodos, C$1:Z$1,
    marcas, C11:Z11,
    pos, MAX(
          FILTER(
            COLUMN(marcas)-COLUMN(C11)+1,
            marcas=""X""
          )
        ),
    ultimo, INDEX(periodos, pos),
    XLOOKUP(
      $A11,
      INDIRECT"&amp;"(""'""&amp;ultimo&amp;""'!C:C""),
      INDIRECT(""'""&amp;ultimo&amp;""'!A:A"")
    )
  ),
  """"
)"),"Prototipo de videojuego 2D para recorrido virtual guiado de la Universidad de Boyacá sede Tunja")</f>
        <v>Prototipo de videojuego 2D para recorrido virtual guiado de la Universidad de Boyacá sede Tunja</v>
      </c>
      <c r="C11" s="41" t="str">
        <f t="shared" ref="C11:J11" si="10">IF(
  COUNTIF(
    INDIRECT("'"&amp;C$1&amp;"'!C:C"),
    $A11
  )&gt;0,
  "X",
  ""
)</f>
        <v/>
      </c>
      <c r="D11" s="41" t="str">
        <f t="shared" si="10"/>
        <v>X</v>
      </c>
      <c r="E11" s="41" t="str">
        <f t="shared" si="10"/>
        <v>X</v>
      </c>
      <c r="F11" s="41" t="str">
        <f t="shared" si="10"/>
        <v>X</v>
      </c>
      <c r="G11" s="41" t="str">
        <f t="shared" si="10"/>
        <v/>
      </c>
      <c r="H11" s="41" t="str">
        <f t="shared" si="10"/>
        <v/>
      </c>
      <c r="I11" s="41" t="str">
        <f t="shared" si="10"/>
        <v/>
      </c>
      <c r="J11" s="41" t="str">
        <f t="shared" si="10"/>
        <v/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67.5" customHeight="1">
      <c r="A12" s="39" t="str">
        <f>IFERROR(__xludf.DUMMYFUNCTION("""COMPUTED_VALUE"""),"Axel Camilo Prieto Tiria ")</f>
        <v>Axel Camilo Prieto Tiria </v>
      </c>
      <c r="B12" s="43" t="str">
        <f>IFERROR(__xludf.DUMMYFUNCTION("IFERROR(
  LET(
    periodos, C$1:Z$1,
    marcas, C12:Z12,
    pos, MAX(
          FILTER(
            COLUMN(marcas)-COLUMN(C12)+1,
            marcas=""X""
          )
        ),
    ultimo, INDEX(periodos, pos),
    XLOOKUP(
      $A12,
      INDIRECT"&amp;"(""'""&amp;ultimo&amp;""'!C:C""),
      INDIRECT(""'""&amp;ultimo&amp;""'!A:A"")
    )
  ),
  """"
)"),"")</f>
        <v/>
      </c>
      <c r="C12" s="41" t="str">
        <f t="shared" ref="C12:J12" si="11">IF(
  COUNTIF(
    INDIRECT("'"&amp;C$1&amp;"'!C:C"),
    $A12
  )&gt;0,
  "X",
  ""
)</f>
        <v/>
      </c>
      <c r="D12" s="41" t="str">
        <f t="shared" si="11"/>
        <v>X</v>
      </c>
      <c r="E12" s="41" t="str">
        <f t="shared" si="11"/>
        <v>X</v>
      </c>
      <c r="F12" s="41" t="str">
        <f t="shared" si="11"/>
        <v>X</v>
      </c>
      <c r="G12" s="41" t="str">
        <f t="shared" si="11"/>
        <v/>
      </c>
      <c r="H12" s="41" t="str">
        <f t="shared" si="11"/>
        <v/>
      </c>
      <c r="I12" s="41" t="str">
        <f t="shared" si="11"/>
        <v/>
      </c>
      <c r="J12" s="41" t="str">
        <f t="shared" si="11"/>
        <v/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67.5" customHeight="1">
      <c r="A13" s="39" t="str">
        <f>IFERROR(__xludf.DUMMYFUNCTION("""COMPUTED_VALUE"""),"Luna Natalia Bejarano Castellanos")</f>
        <v>Luna Natalia Bejarano Castellanos</v>
      </c>
      <c r="B13" s="43" t="str">
        <f>IFERROR(__xludf.DUMMYFUNCTION("IFERROR(
  LET(
    periodos, C$1:Z$1,
    marcas, C13:Z13,
    pos, MAX(
          FILTER(
            COLUMN(marcas)-COLUMN(C13)+1,
            marcas=""X""
          )
        ),
    ultimo, INDEX(periodos, pos),
    XLOOKUP(
      $A13,
      INDIRECT"&amp;"(""'""&amp;ultimo&amp;""'!C:C""),
      INDIRECT(""'""&amp;ultimo&amp;""'!A:A"")
    )
  ),
  """"
)"),"Videojuego educativo 2D para el fortalecimiento de la lógica de programación en estudiantes de la Universidad de Boyacá")</f>
        <v>Videojuego educativo 2D para el fortalecimiento de la lógica de programación en estudiantes de la Universidad de Boyacá</v>
      </c>
      <c r="C13" s="41" t="str">
        <f t="shared" ref="C13:J13" si="12">IF(
  COUNTIF(
    INDIRECT("'"&amp;C$1&amp;"'!C:C"),
    $A13
  )&gt;0,
  "X",
  ""
)</f>
        <v/>
      </c>
      <c r="D13" s="41" t="str">
        <f t="shared" si="12"/>
        <v/>
      </c>
      <c r="E13" s="41" t="str">
        <f t="shared" si="12"/>
        <v/>
      </c>
      <c r="F13" s="41" t="str">
        <f t="shared" si="12"/>
        <v>X</v>
      </c>
      <c r="G13" s="41" t="str">
        <f t="shared" si="12"/>
        <v/>
      </c>
      <c r="H13" s="41" t="str">
        <f t="shared" si="12"/>
        <v/>
      </c>
      <c r="I13" s="41" t="str">
        <f t="shared" si="12"/>
        <v/>
      </c>
      <c r="J13" s="41" t="str">
        <f t="shared" si="12"/>
        <v/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67.5" customHeight="1">
      <c r="A14" s="39" t="str">
        <f>IFERROR(__xludf.DUMMYFUNCTION("""COMPUTED_VALUE"""),"Yerson Leandro Ariza Chacón")</f>
        <v>Yerson Leandro Ariza Chacón</v>
      </c>
      <c r="B14" s="43" t="str">
        <f>IFERROR(__xludf.DUMMYFUNCTION("IFERROR(
  LET(
    periodos, C$1:Z$1,
    marcas, C14:Z14,
    pos, MAX(
          FILTER(
            COLUMN(marcas)-COLUMN(C14)+1,
            marcas=""X""
          )
        ),
    ultimo, INDEX(periodos, pos),
    XLOOKUP(
      $A14,
      INDIRECT"&amp;"(""'""&amp;ultimo&amp;""'!C:C""),
      INDIRECT(""'""&amp;ultimo&amp;""'!A:A"")
    )
  ),
  """"
)"),"")</f>
        <v/>
      </c>
      <c r="C14" s="41" t="str">
        <f t="shared" ref="C14:J14" si="13">IF(
  COUNTIF(
    INDIRECT("'"&amp;C$1&amp;"'!C:C"),
    $A14
  )&gt;0,
  "X",
  ""
)</f>
        <v/>
      </c>
      <c r="D14" s="41" t="str">
        <f t="shared" si="13"/>
        <v/>
      </c>
      <c r="E14" s="41" t="str">
        <f t="shared" si="13"/>
        <v/>
      </c>
      <c r="F14" s="41" t="str">
        <f t="shared" si="13"/>
        <v>X</v>
      </c>
      <c r="G14" s="41" t="str">
        <f t="shared" si="13"/>
        <v/>
      </c>
      <c r="H14" s="41" t="str">
        <f t="shared" si="13"/>
        <v/>
      </c>
      <c r="I14" s="41" t="str">
        <f t="shared" si="13"/>
        <v/>
      </c>
      <c r="J14" s="41" t="str">
        <f t="shared" si="13"/>
        <v/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67.5" customHeight="1">
      <c r="A15" s="39" t="str">
        <f>IFERROR(__xludf.DUMMYFUNCTION("""COMPUTED_VALUE"""),"Brandon Andres Castiblanco Costilla")</f>
        <v>Brandon Andres Castiblanco Costilla</v>
      </c>
      <c r="B15" s="40" t="str">
        <f>IFERROR(__xludf.DUMMYFUNCTION("IFERROR(
  LET(
    periodos, C$1:Z$1,
    marcas, C15:Z15,
    pos, MAX(
          FILTER(
            COLUMN(marcas)-COLUMN(C15)+1,
            marcas=""X""
          )
        ),
    ultimo, INDEX(periodos, pos),
    XLOOKUP(
      $A15,
      INDIRECT"&amp;"(""'""&amp;ultimo&amp;""'!C:C""),
      INDIRECT(""'""&amp;ultimo&amp;""'!A:A"")
    )
  ),
  """"
)"),"Prototipo de aplicación móvil con Realidad Aumentada para guía de entrenamiento en máquinas de gimnasio de la Universidad de Boyacá")</f>
        <v>Prototipo de aplicación móvil con Realidad Aumentada para guía de entrenamiento en máquinas de gimnasio de la Universidad de Boyacá</v>
      </c>
      <c r="C15" s="41" t="str">
        <f t="shared" ref="C15:J15" si="14">IF(
  COUNTIF(
    INDIRECT("'"&amp;C$1&amp;"'!C:C"),
    $A15
  )&gt;0,
  "X",
  ""
)</f>
        <v/>
      </c>
      <c r="D15" s="41" t="str">
        <f t="shared" si="14"/>
        <v>X</v>
      </c>
      <c r="E15" s="41" t="str">
        <f t="shared" si="14"/>
        <v>X</v>
      </c>
      <c r="F15" s="41" t="str">
        <f t="shared" si="14"/>
        <v/>
      </c>
      <c r="G15" s="41" t="str">
        <f t="shared" si="14"/>
        <v/>
      </c>
      <c r="H15" s="41" t="str">
        <f t="shared" si="14"/>
        <v/>
      </c>
      <c r="I15" s="41" t="str">
        <f t="shared" si="14"/>
        <v/>
      </c>
      <c r="J15" s="41" t="str">
        <f t="shared" si="14"/>
        <v/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67.5" customHeight="1">
      <c r="A16" s="39" t="str">
        <f>IFERROR(__xludf.DUMMYFUNCTION("""COMPUTED_VALUE"""),"Paula Andrea Ortegón Lezama")</f>
        <v>Paula Andrea Ortegón Lezama</v>
      </c>
      <c r="B16" s="40" t="str">
        <f>IFERROR(__xludf.DUMMYFUNCTION("IFERROR(
  LET(
    periodos, C$1:Z$1,
    marcas, C16:Z16,
    pos, MAX(
          FILTER(
            COLUMN(marcas)-COLUMN(C16)+1,
            marcas=""X""
          )
        ),
    ultimo, INDEX(periodos, pos),
    XLOOKUP(
      $A16,
      INDIRECT"&amp;"(""'""&amp;ultimo&amp;""'!C:C""),
      INDIRECT(""'""&amp;ultimo&amp;""'!A:A"")
    )
  ),
  """"
)"),"Videojuego como herramienta de aprendizaje del tema de balanceo de ecuaciones químicas por método de tanteo")</f>
        <v>Videojuego como herramienta de aprendizaje del tema de balanceo de ecuaciones químicas por método de tanteo</v>
      </c>
      <c r="C16" s="41" t="str">
        <f t="shared" ref="C16:J16" si="15">IF(
  COUNTIF(
    INDIRECT("'"&amp;C$1&amp;"'!C:C"),
    $A16
  )&gt;0,
  "X",
  ""
)</f>
        <v/>
      </c>
      <c r="D16" s="41" t="str">
        <f t="shared" si="15"/>
        <v>X</v>
      </c>
      <c r="E16" s="41" t="str">
        <f t="shared" si="15"/>
        <v>X</v>
      </c>
      <c r="F16" s="41" t="str">
        <f t="shared" si="15"/>
        <v/>
      </c>
      <c r="G16" s="41" t="str">
        <f t="shared" si="15"/>
        <v/>
      </c>
      <c r="H16" s="41" t="str">
        <f t="shared" si="15"/>
        <v/>
      </c>
      <c r="I16" s="41" t="str">
        <f t="shared" si="15"/>
        <v/>
      </c>
      <c r="J16" s="41" t="str">
        <f t="shared" si="15"/>
        <v/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67.5" customHeight="1">
      <c r="A17" s="39" t="str">
        <f>IFERROR(__xludf.DUMMYFUNCTION("""COMPUTED_VALUE"""),"Juan Sebastian Sanabria Mendivelso")</f>
        <v>Juan Sebastian Sanabria Mendivelso</v>
      </c>
      <c r="B17" s="43" t="str">
        <f>IFERROR(__xludf.DUMMYFUNCTION("IFERROR(
  LET(
    periodos, C$1:Z$1,
    marcas, C17:Z17,
    pos, MAX(
          FILTER(
            COLUMN(marcas)-COLUMN(C17)+1,
            marcas=""X""
          )
        ),
    ultimo, INDEX(periodos, pos),
    XLOOKUP(
      $A17,
      INDIRECT"&amp;"(""'""&amp;ultimo&amp;""'!C:C""),
      INDIRECT(""'""&amp;ultimo&amp;""'!A:A"")
    )
  ),
  """"
)"),"")</f>
        <v/>
      </c>
      <c r="C17" s="41" t="str">
        <f t="shared" ref="C17:J17" si="16">IF(
  COUNTIF(
    INDIRECT("'"&amp;C$1&amp;"'!C:C"),
    $A17
  )&gt;0,
  "X",
  ""
)</f>
        <v/>
      </c>
      <c r="D17" s="41" t="str">
        <f t="shared" si="16"/>
        <v>X</v>
      </c>
      <c r="E17" s="41" t="str">
        <f t="shared" si="16"/>
        <v>X</v>
      </c>
      <c r="F17" s="41" t="str">
        <f t="shared" si="16"/>
        <v/>
      </c>
      <c r="G17" s="41" t="str">
        <f t="shared" si="16"/>
        <v/>
      </c>
      <c r="H17" s="41" t="str">
        <f t="shared" si="16"/>
        <v/>
      </c>
      <c r="I17" s="41" t="str">
        <f t="shared" si="16"/>
        <v/>
      </c>
      <c r="J17" s="41" t="str">
        <f t="shared" si="16"/>
        <v/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67.5" customHeight="1">
      <c r="A18" s="39" t="str">
        <f>IFERROR(__xludf.DUMMYFUNCTION("""COMPUTED_VALUE"""),"Diana Patricia Acuña Cardozo ")</f>
        <v>Diana Patricia Acuña Cardozo </v>
      </c>
      <c r="B18" s="43" t="str">
        <f>IFERROR(__xludf.DUMMYFUNCTION("IFERROR(
  LET(
    periodos, C$1:Z$1,
    marcas, C18:Z18,
    pos, MAX(
          FILTER(
            COLUMN(marcas)-COLUMN(C18)+1,
            marcas=""X""
          )
        ),
    ultimo, INDEX(periodos, pos),
    XLOOKUP(
      $A18,
      INDIRECT"&amp;"(""'""&amp;ultimo&amp;""'!C:C""),
      INDIRECT(""'""&amp;ultimo&amp;""'!A:A"")
    )
  ),
  """"
)"),"Prototipo de videojuego para divulgar el Puente de Boyacá")</f>
        <v>Prototipo de videojuego para divulgar el Puente de Boyacá</v>
      </c>
      <c r="C18" s="41" t="str">
        <f t="shared" ref="C18:J18" si="17">IF(
  COUNTIF(
    INDIRECT("'"&amp;C$1&amp;"'!C:C"),
    $A18
  )&gt;0,
  "X",
  ""
)</f>
        <v/>
      </c>
      <c r="D18" s="41" t="str">
        <f t="shared" si="17"/>
        <v>X</v>
      </c>
      <c r="E18" s="41" t="str">
        <f t="shared" si="17"/>
        <v/>
      </c>
      <c r="F18" s="41" t="str">
        <f t="shared" si="17"/>
        <v/>
      </c>
      <c r="G18" s="41" t="str">
        <f t="shared" si="17"/>
        <v/>
      </c>
      <c r="H18" s="41" t="str">
        <f t="shared" si="17"/>
        <v/>
      </c>
      <c r="I18" s="41" t="str">
        <f t="shared" si="17"/>
        <v/>
      </c>
      <c r="J18" s="41" t="str">
        <f t="shared" si="17"/>
        <v/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67.5" customHeight="1">
      <c r="A19" s="39"/>
      <c r="B19" s="43" t="str">
        <f>IFERROR(__xludf.DUMMYFUNCTION("IFERROR(
  LET(
    periodos, C$1:Z$1,
    marcas, C19:Z19,
    pos, MAX(
          FILTER(
            COLUMN(marcas)-COLUMN(C19)+1,
            marcas=""X""
          )
        ),
    ultimo, INDEX(periodos, pos),
    XLOOKUP(
      $A19,
      INDIRECT"&amp;"(""'""&amp;ultimo&amp;""'!C:C""),
      INDIRECT(""'""&amp;ultimo&amp;""'!A:A"")
    )
  ),
  """"
)"),"")</f>
        <v/>
      </c>
      <c r="C19" s="41" t="str">
        <f t="shared" ref="C19:J19" si="18">IF(
  COUNTIF(
    INDIRECT("'"&amp;C$1&amp;"'!C:C"),
    $A19
  )&gt;0,
  "X",
  ""
)</f>
        <v/>
      </c>
      <c r="D19" s="41" t="str">
        <f t="shared" si="18"/>
        <v/>
      </c>
      <c r="E19" s="41" t="str">
        <f t="shared" si="18"/>
        <v/>
      </c>
      <c r="F19" s="41" t="str">
        <f t="shared" si="18"/>
        <v/>
      </c>
      <c r="G19" s="41" t="str">
        <f t="shared" si="18"/>
        <v/>
      </c>
      <c r="H19" s="41" t="str">
        <f t="shared" si="18"/>
        <v/>
      </c>
      <c r="I19" s="41" t="str">
        <f t="shared" si="18"/>
        <v/>
      </c>
      <c r="J19" s="41" t="str">
        <f t="shared" si="18"/>
        <v/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67.5" customHeight="1">
      <c r="A20" s="39"/>
      <c r="B20" s="43" t="str">
        <f>IFERROR(__xludf.DUMMYFUNCTION("IFERROR(
  LET(
    periodos, C$1:Z$1,
    marcas, C20:Z20,
    pos, MAX(
          FILTER(
            COLUMN(marcas)-COLUMN(C20)+1,
            marcas=""X""
          )
        ),
    ultimo, INDEX(periodos, pos),
    XLOOKUP(
      $A20,
      INDIRECT"&amp;"(""'""&amp;ultimo&amp;""'!C:C""),
      INDIRECT(""'""&amp;ultimo&amp;""'!A:A"")
    )
  ),
  """"
)"),"")</f>
        <v/>
      </c>
      <c r="C20" s="41" t="str">
        <f t="shared" ref="C20:J20" si="19">IF(
  COUNTIF(
    INDIRECT("'"&amp;C$1&amp;"'!C:C"),
    $A20
  )&gt;0,
  "X",
  ""
)</f>
        <v/>
      </c>
      <c r="D20" s="41" t="str">
        <f t="shared" si="19"/>
        <v/>
      </c>
      <c r="E20" s="41" t="str">
        <f t="shared" si="19"/>
        <v/>
      </c>
      <c r="F20" s="41" t="str">
        <f t="shared" si="19"/>
        <v/>
      </c>
      <c r="G20" s="41" t="str">
        <f t="shared" si="19"/>
        <v/>
      </c>
      <c r="H20" s="41" t="str">
        <f t="shared" si="19"/>
        <v/>
      </c>
      <c r="I20" s="41" t="str">
        <f t="shared" si="19"/>
        <v/>
      </c>
      <c r="J20" s="41" t="str">
        <f t="shared" si="19"/>
        <v/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67.5" customHeight="1">
      <c r="A21" s="39"/>
      <c r="B21" s="43" t="str">
        <f>IFERROR(__xludf.DUMMYFUNCTION("IFERROR(
  LET(
    periodos, C$1:Z$1,
    marcas, C21:Z21,
    pos, MAX(
          FILTER(
            COLUMN(marcas)-COLUMN(C21)+1,
            marcas=""X""
          )
        ),
    ultimo, INDEX(periodos, pos),
    XLOOKUP(
      $A21,
      INDIRECT"&amp;"(""'""&amp;ultimo&amp;""'!C:C""),
      INDIRECT(""'""&amp;ultimo&amp;""'!A:A"")
    )
  ),
  """"
)"),"")</f>
        <v/>
      </c>
      <c r="C21" s="41" t="str">
        <f t="shared" ref="C21:J21" si="20">IF(
  COUNTIF(
    INDIRECT("'"&amp;C$1&amp;"'!C:C"),
    $A21
  )&gt;0,
  "X",
  ""
)</f>
        <v/>
      </c>
      <c r="D21" s="41" t="str">
        <f t="shared" si="20"/>
        <v/>
      </c>
      <c r="E21" s="41" t="str">
        <f t="shared" si="20"/>
        <v/>
      </c>
      <c r="F21" s="41" t="str">
        <f t="shared" si="20"/>
        <v/>
      </c>
      <c r="G21" s="41" t="str">
        <f t="shared" si="20"/>
        <v/>
      </c>
      <c r="H21" s="41" t="str">
        <f t="shared" si="20"/>
        <v/>
      </c>
      <c r="I21" s="41" t="str">
        <f t="shared" si="20"/>
        <v/>
      </c>
      <c r="J21" s="41" t="str">
        <f t="shared" si="20"/>
        <v/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67.5" customHeight="1">
      <c r="A22" s="39"/>
      <c r="B22" s="43" t="str">
        <f>IFERROR(__xludf.DUMMYFUNCTION("IFERROR(
  LET(
    periodos, C$1:Z$1,
    marcas, C22:Z22,
    pos, MAX(
          FILTER(
            COLUMN(marcas)-COLUMN(C22)+1,
            marcas=""X""
          )
        ),
    ultimo, INDEX(periodos, pos),
    XLOOKUP(
      $A22,
      INDIRECT"&amp;"(""'""&amp;ultimo&amp;""'!C:C""),
      INDIRECT(""'""&amp;ultimo&amp;""'!A:A"")
    )
  ),
  """"
)"),"")</f>
        <v/>
      </c>
      <c r="C22" s="41" t="str">
        <f t="shared" ref="C22:J22" si="21">IF(
  COUNTIF(
    INDIRECT("'"&amp;C$1&amp;"'!C:C"),
    $A22
  )&gt;0,
  "X",
  ""
)</f>
        <v/>
      </c>
      <c r="D22" s="41" t="str">
        <f t="shared" si="21"/>
        <v/>
      </c>
      <c r="E22" s="41" t="str">
        <f t="shared" si="21"/>
        <v/>
      </c>
      <c r="F22" s="41" t="str">
        <f t="shared" si="21"/>
        <v/>
      </c>
      <c r="G22" s="41" t="str">
        <f t="shared" si="21"/>
        <v/>
      </c>
      <c r="H22" s="41" t="str">
        <f t="shared" si="21"/>
        <v/>
      </c>
      <c r="I22" s="41" t="str">
        <f t="shared" si="21"/>
        <v/>
      </c>
      <c r="J22" s="41" t="str">
        <f t="shared" si="21"/>
        <v/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67.5" customHeight="1">
      <c r="A23" s="39"/>
      <c r="B23" s="43" t="str">
        <f>IFERROR(__xludf.DUMMYFUNCTION("IFERROR(
  LET(
    periodos, C$1:Z$1,
    marcas, C23:Z23,
    pos, MAX(
          FILTER(
            COLUMN(marcas)-COLUMN(C23)+1,
            marcas=""X""
          )
        ),
    ultimo, INDEX(periodos, pos),
    XLOOKUP(
      $A23,
      INDIRECT"&amp;"(""'""&amp;ultimo&amp;""'!C:C""),
      INDIRECT(""'""&amp;ultimo&amp;""'!A:A"")
    )
  ),
  """"
)"),"")</f>
        <v/>
      </c>
      <c r="C23" s="41" t="str">
        <f t="shared" ref="C23:J23" si="22">IF(
  COUNTIF(
    INDIRECT("'"&amp;C$1&amp;"'!C:C"),
    $A23
  )&gt;0,
  "X",
  ""
)</f>
        <v/>
      </c>
      <c r="D23" s="41" t="str">
        <f t="shared" si="22"/>
        <v/>
      </c>
      <c r="E23" s="41" t="str">
        <f t="shared" si="22"/>
        <v/>
      </c>
      <c r="F23" s="41" t="str">
        <f t="shared" si="22"/>
        <v/>
      </c>
      <c r="G23" s="41" t="str">
        <f t="shared" si="22"/>
        <v/>
      </c>
      <c r="H23" s="41" t="str">
        <f t="shared" si="22"/>
        <v/>
      </c>
      <c r="I23" s="41" t="str">
        <f t="shared" si="22"/>
        <v/>
      </c>
      <c r="J23" s="41" t="str">
        <f t="shared" si="22"/>
        <v/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67.5" customHeight="1">
      <c r="A24" s="39"/>
      <c r="B24" s="43" t="str">
        <f>IFERROR(__xludf.DUMMYFUNCTION("IFERROR(
  LET(
    periodos, C$1:Z$1,
    marcas, C24:Z24,
    pos, MAX(
          FILTER(
            COLUMN(marcas)-COLUMN(C24)+1,
            marcas=""X""
          )
        ),
    ultimo, INDEX(periodos, pos),
    XLOOKUP(
      $A24,
      INDIRECT"&amp;"(""'""&amp;ultimo&amp;""'!C:C""),
      INDIRECT(""'""&amp;ultimo&amp;""'!A:A"")
    )
  ),
  """"
)"),"")</f>
        <v/>
      </c>
      <c r="C24" s="41" t="str">
        <f t="shared" ref="C24:J24" si="23">IF(
  COUNTIF(
    INDIRECT("'"&amp;C$1&amp;"'!C:C"),
    $A24
  )&gt;0,
  "X",
  ""
)</f>
        <v/>
      </c>
      <c r="D24" s="41" t="str">
        <f t="shared" si="23"/>
        <v/>
      </c>
      <c r="E24" s="41" t="str">
        <f t="shared" si="23"/>
        <v/>
      </c>
      <c r="F24" s="41" t="str">
        <f t="shared" si="23"/>
        <v/>
      </c>
      <c r="G24" s="41" t="str">
        <f t="shared" si="23"/>
        <v/>
      </c>
      <c r="H24" s="41" t="str">
        <f t="shared" si="23"/>
        <v/>
      </c>
      <c r="I24" s="41" t="str">
        <f t="shared" si="23"/>
        <v/>
      </c>
      <c r="J24" s="41" t="str">
        <f t="shared" si="23"/>
        <v/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67.5" customHeight="1">
      <c r="A25" s="39"/>
      <c r="B25" s="43" t="str">
        <f>IFERROR(__xludf.DUMMYFUNCTION("IFERROR(
  LET(
    periodos, C$1:Z$1,
    marcas, C25:Z25,
    pos, MAX(
          FILTER(
            COLUMN(marcas)-COLUMN(C25)+1,
            marcas=""X""
          )
        ),
    ultimo, INDEX(periodos, pos),
    XLOOKUP(
      $A25,
      INDIRECT"&amp;"(""'""&amp;ultimo&amp;""'!C:C""),
      INDIRECT(""'""&amp;ultimo&amp;""'!A:A"")
    )
  ),
  """"
)"),"")</f>
        <v/>
      </c>
      <c r="C25" s="41" t="str">
        <f t="shared" ref="C25:J25" si="24">IF(
  COUNTIF(
    INDIRECT("'"&amp;C$1&amp;"'!C:C"),
    $A25
  )&gt;0,
  "X",
  ""
)</f>
        <v/>
      </c>
      <c r="D25" s="41" t="str">
        <f t="shared" si="24"/>
        <v/>
      </c>
      <c r="E25" s="41" t="str">
        <f t="shared" si="24"/>
        <v/>
      </c>
      <c r="F25" s="41" t="str">
        <f t="shared" si="24"/>
        <v/>
      </c>
      <c r="G25" s="41" t="str">
        <f t="shared" si="24"/>
        <v/>
      </c>
      <c r="H25" s="41" t="str">
        <f t="shared" si="24"/>
        <v/>
      </c>
      <c r="I25" s="41" t="str">
        <f t="shared" si="24"/>
        <v/>
      </c>
      <c r="J25" s="41" t="str">
        <f t="shared" si="24"/>
        <v/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67.5" customHeight="1">
      <c r="A26" s="39"/>
      <c r="B26" s="43" t="str">
        <f>IFERROR(__xludf.DUMMYFUNCTION("IFERROR(
  LET(
    periodos, C$1:Z$1,
    marcas, C26:Z26,
    pos, MAX(
          FILTER(
            COLUMN(marcas)-COLUMN(C26)+1,
            marcas=""X""
          )
        ),
    ultimo, INDEX(periodos, pos),
    XLOOKUP(
      $A26,
      INDIRECT"&amp;"(""'""&amp;ultimo&amp;""'!C:C""),
      INDIRECT(""'""&amp;ultimo&amp;""'!A:A"")
    )
  ),
  """"
)"),"")</f>
        <v/>
      </c>
      <c r="C26" s="41" t="str">
        <f t="shared" ref="C26:J26" si="25">IF(
  COUNTIF(
    INDIRECT("'"&amp;C$1&amp;"'!C:C"),
    $A26
  )&gt;0,
  "X",
  ""
)</f>
        <v/>
      </c>
      <c r="D26" s="41" t="str">
        <f t="shared" si="25"/>
        <v/>
      </c>
      <c r="E26" s="41" t="str">
        <f t="shared" si="25"/>
        <v/>
      </c>
      <c r="F26" s="41" t="str">
        <f t="shared" si="25"/>
        <v/>
      </c>
      <c r="G26" s="41" t="str">
        <f t="shared" si="25"/>
        <v/>
      </c>
      <c r="H26" s="41" t="str">
        <f t="shared" si="25"/>
        <v/>
      </c>
      <c r="I26" s="41" t="str">
        <f t="shared" si="25"/>
        <v/>
      </c>
      <c r="J26" s="41" t="str">
        <f t="shared" si="25"/>
        <v/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67.5" customHeight="1">
      <c r="A27" s="39"/>
      <c r="B27" s="43" t="str">
        <f>IFERROR(__xludf.DUMMYFUNCTION("IFERROR(
  LET(
    periodos, C$1:Z$1,
    marcas, C27:Z27,
    pos, MAX(
          FILTER(
            COLUMN(marcas)-COLUMN(C27)+1,
            marcas=""X""
          )
        ),
    ultimo, INDEX(periodos, pos),
    XLOOKUP(
      $A27,
      INDIRECT"&amp;"(""'""&amp;ultimo&amp;""'!C:C""),
      INDIRECT(""'""&amp;ultimo&amp;""'!A:A"")
    )
  ),
  """"
)"),"")</f>
        <v/>
      </c>
      <c r="C27" s="41" t="str">
        <f t="shared" ref="C27:J27" si="26">IF(
  COUNTIF(
    INDIRECT("'"&amp;C$1&amp;"'!C:C"),
    $A27
  )&gt;0,
  "X",
  ""
)</f>
        <v/>
      </c>
      <c r="D27" s="41" t="str">
        <f t="shared" si="26"/>
        <v/>
      </c>
      <c r="E27" s="41" t="str">
        <f t="shared" si="26"/>
        <v/>
      </c>
      <c r="F27" s="41" t="str">
        <f t="shared" si="26"/>
        <v/>
      </c>
      <c r="G27" s="41" t="str">
        <f t="shared" si="26"/>
        <v/>
      </c>
      <c r="H27" s="41" t="str">
        <f t="shared" si="26"/>
        <v/>
      </c>
      <c r="I27" s="41" t="str">
        <f t="shared" si="26"/>
        <v/>
      </c>
      <c r="J27" s="41" t="str">
        <f t="shared" si="26"/>
        <v/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67.5" customHeight="1">
      <c r="A28" s="39"/>
      <c r="B28" s="43" t="str">
        <f>IFERROR(__xludf.DUMMYFUNCTION("IFERROR(
  LET(
    periodos, C$1:Z$1,
    marcas, C28:Z28,
    pos, MAX(
          FILTER(
            COLUMN(marcas)-COLUMN(C28)+1,
            marcas=""X""
          )
        ),
    ultimo, INDEX(periodos, pos),
    XLOOKUP(
      $A28,
      INDIRECT"&amp;"(""'""&amp;ultimo&amp;""'!C:C""),
      INDIRECT(""'""&amp;ultimo&amp;""'!A:A"")
    )
  ),
  """"
)"),"")</f>
        <v/>
      </c>
      <c r="C28" s="41" t="str">
        <f t="shared" ref="C28:J28" si="27">IF(
  COUNTIF(
    INDIRECT("'"&amp;C$1&amp;"'!C:C"),
    $A28
  )&gt;0,
  "X",
  ""
)</f>
        <v/>
      </c>
      <c r="D28" s="41" t="str">
        <f t="shared" si="27"/>
        <v/>
      </c>
      <c r="E28" s="41" t="str">
        <f t="shared" si="27"/>
        <v/>
      </c>
      <c r="F28" s="41" t="str">
        <f t="shared" si="27"/>
        <v/>
      </c>
      <c r="G28" s="41" t="str">
        <f t="shared" si="27"/>
        <v/>
      </c>
      <c r="H28" s="41" t="str">
        <f t="shared" si="27"/>
        <v/>
      </c>
      <c r="I28" s="41" t="str">
        <f t="shared" si="27"/>
        <v/>
      </c>
      <c r="J28" s="41" t="str">
        <f t="shared" si="27"/>
        <v/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67.5" customHeight="1">
      <c r="A29" s="39"/>
      <c r="B29" s="43" t="str">
        <f>IFERROR(__xludf.DUMMYFUNCTION("IFERROR(
  LET(
    periodos, C$1:Z$1,
    marcas, C29:Z29,
    pos, MAX(
          FILTER(
            COLUMN(marcas)-COLUMN(C29)+1,
            marcas=""X""
          )
        ),
    ultimo, INDEX(periodos, pos),
    XLOOKUP(
      $A29,
      INDIRECT"&amp;"(""'""&amp;ultimo&amp;""'!C:C""),
      INDIRECT(""'""&amp;ultimo&amp;""'!A:A"")
    )
  ),
  """"
)"),"")</f>
        <v/>
      </c>
      <c r="C29" s="41" t="str">
        <f t="shared" ref="C29:J29" si="28">IF(
  COUNTIF(
    INDIRECT("'"&amp;C$1&amp;"'!C:C"),
    $A29
  )&gt;0,
  "X",
  ""
)</f>
        <v/>
      </c>
      <c r="D29" s="41" t="str">
        <f t="shared" si="28"/>
        <v/>
      </c>
      <c r="E29" s="41" t="str">
        <f t="shared" si="28"/>
        <v/>
      </c>
      <c r="F29" s="41" t="str">
        <f t="shared" si="28"/>
        <v/>
      </c>
      <c r="G29" s="41" t="str">
        <f t="shared" si="28"/>
        <v/>
      </c>
      <c r="H29" s="41" t="str">
        <f t="shared" si="28"/>
        <v/>
      </c>
      <c r="I29" s="41" t="str">
        <f t="shared" si="28"/>
        <v/>
      </c>
      <c r="J29" s="41" t="str">
        <f t="shared" si="28"/>
        <v/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67.5" customHeight="1">
      <c r="A30" s="39"/>
      <c r="B30" s="43" t="str">
        <f>IFERROR(__xludf.DUMMYFUNCTION("IFERROR(
  LET(
    periodos, C$1:Z$1,
    marcas, C30:Z30,
    pos, MAX(
          FILTER(
            COLUMN(marcas)-COLUMN(C30)+1,
            marcas=""X""
          )
        ),
    ultimo, INDEX(periodos, pos),
    XLOOKUP(
      $A30,
      INDIRECT"&amp;"(""'""&amp;ultimo&amp;""'!C:C""),
      INDIRECT(""'""&amp;ultimo&amp;""'!A:A"")
    )
  ),
  """"
)"),"")</f>
        <v/>
      </c>
      <c r="C30" s="41" t="str">
        <f t="shared" ref="C30:J30" si="29">IF(
  COUNTIF(
    INDIRECT("'"&amp;C$1&amp;"'!C:C"),
    $A30
  )&gt;0,
  "X",
  ""
)</f>
        <v/>
      </c>
      <c r="D30" s="41" t="str">
        <f t="shared" si="29"/>
        <v/>
      </c>
      <c r="E30" s="41" t="str">
        <f t="shared" si="29"/>
        <v/>
      </c>
      <c r="F30" s="41" t="str">
        <f t="shared" si="29"/>
        <v/>
      </c>
      <c r="G30" s="41" t="str">
        <f t="shared" si="29"/>
        <v/>
      </c>
      <c r="H30" s="41" t="str">
        <f t="shared" si="29"/>
        <v/>
      </c>
      <c r="I30" s="41" t="str">
        <f t="shared" si="29"/>
        <v/>
      </c>
      <c r="J30" s="41" t="str">
        <f t="shared" si="29"/>
        <v/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67.5" customHeight="1">
      <c r="A31" s="39"/>
      <c r="B31" s="43" t="str">
        <f>IFERROR(__xludf.DUMMYFUNCTION("IFERROR(
  LET(
    periodos, C$1:Z$1,
    marcas, C31:Z31,
    pos, MAX(
          FILTER(
            COLUMN(marcas)-COLUMN(C31)+1,
            marcas=""X""
          )
        ),
    ultimo, INDEX(periodos, pos),
    XLOOKUP(
      $A31,
      INDIRECT"&amp;"(""'""&amp;ultimo&amp;""'!C:C""),
      INDIRECT(""'""&amp;ultimo&amp;""'!A:A"")
    )
  ),
  """"
)"),"")</f>
        <v/>
      </c>
      <c r="C31" s="41" t="str">
        <f t="shared" ref="C31:J31" si="30">IF(
  COUNTIF(
    INDIRECT("'"&amp;C$1&amp;"'!C:C"),
    $A31
  )&gt;0,
  "X",
  ""
)</f>
        <v/>
      </c>
      <c r="D31" s="41" t="str">
        <f t="shared" si="30"/>
        <v/>
      </c>
      <c r="E31" s="41" t="str">
        <f t="shared" si="30"/>
        <v/>
      </c>
      <c r="F31" s="41" t="str">
        <f t="shared" si="30"/>
        <v/>
      </c>
      <c r="G31" s="41" t="str">
        <f t="shared" si="30"/>
        <v/>
      </c>
      <c r="H31" s="41" t="str">
        <f t="shared" si="30"/>
        <v/>
      </c>
      <c r="I31" s="41" t="str">
        <f t="shared" si="30"/>
        <v/>
      </c>
      <c r="J31" s="41" t="str">
        <f t="shared" si="30"/>
        <v/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67.5" customHeight="1">
      <c r="A32" s="39"/>
      <c r="B32" s="43" t="str">
        <f>IFERROR(__xludf.DUMMYFUNCTION("IFERROR(
  LET(
    periodos, C$1:Z$1,
    marcas, C32:Z32,
    pos, MAX(
          FILTER(
            COLUMN(marcas)-COLUMN(C32)+1,
            marcas=""X""
          )
        ),
    ultimo, INDEX(periodos, pos),
    XLOOKUP(
      $A32,
      INDIRECT"&amp;"(""'""&amp;ultimo&amp;""'!C:C""),
      INDIRECT(""'""&amp;ultimo&amp;""'!A:A"")
    )
  ),
  """"
)"),"")</f>
        <v/>
      </c>
      <c r="C32" s="41" t="str">
        <f t="shared" ref="C32:J32" si="31">IF(
  COUNTIF(
    INDIRECT("'"&amp;C$1&amp;"'!C:C"),
    $A32
  )&gt;0,
  "X",
  ""
)</f>
        <v/>
      </c>
      <c r="D32" s="41" t="str">
        <f t="shared" si="31"/>
        <v/>
      </c>
      <c r="E32" s="41" t="str">
        <f t="shared" si="31"/>
        <v/>
      </c>
      <c r="F32" s="41" t="str">
        <f t="shared" si="31"/>
        <v/>
      </c>
      <c r="G32" s="41" t="str">
        <f t="shared" si="31"/>
        <v/>
      </c>
      <c r="H32" s="41" t="str">
        <f t="shared" si="31"/>
        <v/>
      </c>
      <c r="I32" s="41" t="str">
        <f t="shared" si="31"/>
        <v/>
      </c>
      <c r="J32" s="41" t="str">
        <f t="shared" si="31"/>
        <v/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67.5" customHeight="1">
      <c r="A33" s="39"/>
      <c r="B33" s="43" t="str">
        <f>IFERROR(__xludf.DUMMYFUNCTION("IFERROR(
  LET(
    periodos, C$1:Z$1,
    marcas, C33:Z33,
    pos, MAX(
          FILTER(
            COLUMN(marcas)-COLUMN(C33)+1,
            marcas=""X""
          )
        ),
    ultimo, INDEX(periodos, pos),
    XLOOKUP(
      $A33,
      INDIRECT"&amp;"(""'""&amp;ultimo&amp;""'!C:C""),
      INDIRECT(""'""&amp;ultimo&amp;""'!A:A"")
    )
  ),
  """"
)"),"")</f>
        <v/>
      </c>
      <c r="C33" s="41" t="str">
        <f t="shared" ref="C33:J33" si="32">IF(
  COUNTIF(
    INDIRECT("'"&amp;C$1&amp;"'!C:C"),
    $A33
  )&gt;0,
  "X",
  ""
)</f>
        <v/>
      </c>
      <c r="D33" s="41" t="str">
        <f t="shared" si="32"/>
        <v/>
      </c>
      <c r="E33" s="41" t="str">
        <f t="shared" si="32"/>
        <v/>
      </c>
      <c r="F33" s="41" t="str">
        <f t="shared" si="32"/>
        <v/>
      </c>
      <c r="G33" s="41" t="str">
        <f t="shared" si="32"/>
        <v/>
      </c>
      <c r="H33" s="41" t="str">
        <f t="shared" si="32"/>
        <v/>
      </c>
      <c r="I33" s="41" t="str">
        <f t="shared" si="32"/>
        <v/>
      </c>
      <c r="J33" s="41" t="str">
        <f t="shared" si="32"/>
        <v/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67.5" customHeight="1">
      <c r="A34" s="39"/>
      <c r="B34" s="43" t="str">
        <f>IFERROR(__xludf.DUMMYFUNCTION("IFERROR(
  LET(
    periodos, C$1:Z$1,
    marcas, C34:Z34,
    pos, MAX(
          FILTER(
            COLUMN(marcas)-COLUMN(C34)+1,
            marcas=""X""
          )
        ),
    ultimo, INDEX(periodos, pos),
    XLOOKUP(
      $A34,
      INDIRECT"&amp;"(""'""&amp;ultimo&amp;""'!C:C""),
      INDIRECT(""'""&amp;ultimo&amp;""'!A:A"")
    )
  ),
  """"
)"),"")</f>
        <v/>
      </c>
      <c r="C34" s="41" t="str">
        <f t="shared" ref="C34:J34" si="33">IF(
  COUNTIF(
    INDIRECT("'"&amp;C$1&amp;"'!C:C"),
    $A34
  )&gt;0,
  "X",
  ""
)</f>
        <v/>
      </c>
      <c r="D34" s="41" t="str">
        <f t="shared" si="33"/>
        <v/>
      </c>
      <c r="E34" s="41" t="str">
        <f t="shared" si="33"/>
        <v/>
      </c>
      <c r="F34" s="41" t="str">
        <f t="shared" si="33"/>
        <v/>
      </c>
      <c r="G34" s="41" t="str">
        <f t="shared" si="33"/>
        <v/>
      </c>
      <c r="H34" s="41" t="str">
        <f t="shared" si="33"/>
        <v/>
      </c>
      <c r="I34" s="41" t="str">
        <f t="shared" si="33"/>
        <v/>
      </c>
      <c r="J34" s="41" t="str">
        <f t="shared" si="33"/>
        <v/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67.5" customHeight="1">
      <c r="A35" s="39"/>
      <c r="B35" s="43" t="str">
        <f>IFERROR(__xludf.DUMMYFUNCTION("IFERROR(
  LET(
    periodos, C$1:Z$1,
    marcas, C35:Z35,
    pos, MAX(
          FILTER(
            COLUMN(marcas)-COLUMN(C35)+1,
            marcas=""X""
          )
        ),
    ultimo, INDEX(periodos, pos),
    XLOOKUP(
      $A35,
      INDIRECT"&amp;"(""'""&amp;ultimo&amp;""'!C:C""),
      INDIRECT(""'""&amp;ultimo&amp;""'!A:A"")
    )
  ),
  """"
)"),"")</f>
        <v/>
      </c>
      <c r="C35" s="41" t="str">
        <f t="shared" ref="C35:J35" si="34">IF(
  COUNTIF(
    INDIRECT("'"&amp;C$1&amp;"'!C:C"),
    $A35
  )&gt;0,
  "X",
  ""
)</f>
        <v/>
      </c>
      <c r="D35" s="41" t="str">
        <f t="shared" si="34"/>
        <v/>
      </c>
      <c r="E35" s="41" t="str">
        <f t="shared" si="34"/>
        <v/>
      </c>
      <c r="F35" s="41" t="str">
        <f t="shared" si="34"/>
        <v/>
      </c>
      <c r="G35" s="41" t="str">
        <f t="shared" si="34"/>
        <v/>
      </c>
      <c r="H35" s="41" t="str">
        <f t="shared" si="34"/>
        <v/>
      </c>
      <c r="I35" s="41" t="str">
        <f t="shared" si="34"/>
        <v/>
      </c>
      <c r="J35" s="41" t="str">
        <f t="shared" si="34"/>
        <v/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67.5" customHeight="1">
      <c r="A36" s="39"/>
      <c r="B36" s="43" t="str">
        <f>IFERROR(__xludf.DUMMYFUNCTION("IFERROR(
  LET(
    periodos, C$1:Z$1,
    marcas, C36:Z36,
    pos, MAX(
          FILTER(
            COLUMN(marcas)-COLUMN(C36)+1,
            marcas=""X""
          )
        ),
    ultimo, INDEX(periodos, pos),
    XLOOKUP(
      $A36,
      INDIRECT"&amp;"(""'""&amp;ultimo&amp;""'!C:C""),
      INDIRECT(""'""&amp;ultimo&amp;""'!A:A"")
    )
  ),
  """"
)"),"")</f>
        <v/>
      </c>
      <c r="C36" s="41" t="str">
        <f t="shared" ref="C36:J36" si="35">IF(
  COUNTIF(
    INDIRECT("'"&amp;C$1&amp;"'!C:C"),
    $A36
  )&gt;0,
  "X",
  ""
)</f>
        <v/>
      </c>
      <c r="D36" s="41" t="str">
        <f t="shared" si="35"/>
        <v/>
      </c>
      <c r="E36" s="41" t="str">
        <f t="shared" si="35"/>
        <v/>
      </c>
      <c r="F36" s="41" t="str">
        <f t="shared" si="35"/>
        <v/>
      </c>
      <c r="G36" s="41" t="str">
        <f t="shared" si="35"/>
        <v/>
      </c>
      <c r="H36" s="41" t="str">
        <f t="shared" si="35"/>
        <v/>
      </c>
      <c r="I36" s="41" t="str">
        <f t="shared" si="35"/>
        <v/>
      </c>
      <c r="J36" s="41" t="str">
        <f t="shared" si="35"/>
        <v/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67.5" customHeight="1">
      <c r="A37" s="39"/>
      <c r="B37" s="43" t="str">
        <f>IFERROR(__xludf.DUMMYFUNCTION("IFERROR(
  LET(
    periodos, C$1:Z$1,
    marcas, C37:Z37,
    pos, MAX(
          FILTER(
            COLUMN(marcas)-COLUMN(C37)+1,
            marcas=""X""
          )
        ),
    ultimo, INDEX(periodos, pos),
    XLOOKUP(
      $A37,
      INDIRECT"&amp;"(""'""&amp;ultimo&amp;""'!C:C""),
      INDIRECT(""'""&amp;ultimo&amp;""'!A:A"")
    )
  ),
  """"
)"),"")</f>
        <v/>
      </c>
      <c r="C37" s="41" t="str">
        <f t="shared" ref="C37:J37" si="36">IF(
  COUNTIF(
    INDIRECT("'"&amp;C$1&amp;"'!C:C"),
    $A37
  )&gt;0,
  "X",
  ""
)</f>
        <v/>
      </c>
      <c r="D37" s="41" t="str">
        <f t="shared" si="36"/>
        <v/>
      </c>
      <c r="E37" s="41" t="str">
        <f t="shared" si="36"/>
        <v/>
      </c>
      <c r="F37" s="41" t="str">
        <f t="shared" si="36"/>
        <v/>
      </c>
      <c r="G37" s="41" t="str">
        <f t="shared" si="36"/>
        <v/>
      </c>
      <c r="H37" s="41" t="str">
        <f t="shared" si="36"/>
        <v/>
      </c>
      <c r="I37" s="41" t="str">
        <f t="shared" si="36"/>
        <v/>
      </c>
      <c r="J37" s="41" t="str">
        <f t="shared" si="36"/>
        <v/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67.5" customHeight="1">
      <c r="A38" s="39"/>
      <c r="B38" s="43" t="str">
        <f>IFERROR(__xludf.DUMMYFUNCTION("IFERROR(
  LET(
    periodos, C$1:Z$1,
    marcas, C38:Z38,
    pos, MAX(
          FILTER(
            COLUMN(marcas)-COLUMN(C38)+1,
            marcas=""X""
          )
        ),
    ultimo, INDEX(periodos, pos),
    XLOOKUP(
      $A38,
      INDIRECT"&amp;"(""'""&amp;ultimo&amp;""'!C:C""),
      INDIRECT(""'""&amp;ultimo&amp;""'!A:A"")
    )
  ),
  """"
)"),"")</f>
        <v/>
      </c>
      <c r="C38" s="41" t="str">
        <f t="shared" ref="C38:J38" si="37">IF(
  COUNTIF(
    INDIRECT("'"&amp;C$1&amp;"'!C:C"),
    $A38
  )&gt;0,
  "X",
  ""
)</f>
        <v/>
      </c>
      <c r="D38" s="41" t="str">
        <f t="shared" si="37"/>
        <v/>
      </c>
      <c r="E38" s="41" t="str">
        <f t="shared" si="37"/>
        <v/>
      </c>
      <c r="F38" s="41" t="str">
        <f t="shared" si="37"/>
        <v/>
      </c>
      <c r="G38" s="41" t="str">
        <f t="shared" si="37"/>
        <v/>
      </c>
      <c r="H38" s="41" t="str">
        <f t="shared" si="37"/>
        <v/>
      </c>
      <c r="I38" s="41" t="str">
        <f t="shared" si="37"/>
        <v/>
      </c>
      <c r="J38" s="41" t="str">
        <f t="shared" si="37"/>
        <v/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67.5" customHeight="1">
      <c r="A39" s="39"/>
      <c r="B39" s="43" t="str">
        <f>IFERROR(__xludf.DUMMYFUNCTION("IFERROR(
  LET(
    periodos, C$1:Z$1,
    marcas, C39:Z39,
    pos, MAX(
          FILTER(
            COLUMN(marcas)-COLUMN(C39)+1,
            marcas=""X""
          )
        ),
    ultimo, INDEX(periodos, pos),
    XLOOKUP(
      $A39,
      INDIRECT"&amp;"(""'""&amp;ultimo&amp;""'!C:C""),
      INDIRECT(""'""&amp;ultimo&amp;""'!A:A"")
    )
  ),
  """"
)"),"")</f>
        <v/>
      </c>
      <c r="C39" s="41" t="str">
        <f t="shared" ref="C39:J39" si="38">IF(
  COUNTIF(
    INDIRECT("'"&amp;C$1&amp;"'!C:C"),
    $A39
  )&gt;0,
  "X",
  ""
)</f>
        <v/>
      </c>
      <c r="D39" s="41" t="str">
        <f t="shared" si="38"/>
        <v/>
      </c>
      <c r="E39" s="41" t="str">
        <f t="shared" si="38"/>
        <v/>
      </c>
      <c r="F39" s="41" t="str">
        <f t="shared" si="38"/>
        <v/>
      </c>
      <c r="G39" s="41" t="str">
        <f t="shared" si="38"/>
        <v/>
      </c>
      <c r="H39" s="41" t="str">
        <f t="shared" si="38"/>
        <v/>
      </c>
      <c r="I39" s="41" t="str">
        <f t="shared" si="38"/>
        <v/>
      </c>
      <c r="J39" s="41" t="str">
        <f t="shared" si="38"/>
        <v/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67.5" customHeight="1">
      <c r="A40" s="39"/>
      <c r="B40" s="43" t="str">
        <f>IFERROR(__xludf.DUMMYFUNCTION("IFERROR(
  LET(
    periodos, C$1:Z$1,
    marcas, C40:Z40,
    pos, MAX(
          FILTER(
            COLUMN(marcas)-COLUMN(C40)+1,
            marcas=""X""
          )
        ),
    ultimo, INDEX(periodos, pos),
    XLOOKUP(
      $A40,
      INDIRECT"&amp;"(""'""&amp;ultimo&amp;""'!C:C""),
      INDIRECT(""'""&amp;ultimo&amp;""'!A:A"")
    )
  ),
  """"
)"),"")</f>
        <v/>
      </c>
      <c r="C40" s="41" t="str">
        <f t="shared" ref="C40:J40" si="39">IF(
  COUNTIF(
    INDIRECT("'"&amp;C$1&amp;"'!C:C"),
    $A40
  )&gt;0,
  "X",
  ""
)</f>
        <v/>
      </c>
      <c r="D40" s="41" t="str">
        <f t="shared" si="39"/>
        <v/>
      </c>
      <c r="E40" s="41" t="str">
        <f t="shared" si="39"/>
        <v/>
      </c>
      <c r="F40" s="41" t="str">
        <f t="shared" si="39"/>
        <v/>
      </c>
      <c r="G40" s="41" t="str">
        <f t="shared" si="39"/>
        <v/>
      </c>
      <c r="H40" s="41" t="str">
        <f t="shared" si="39"/>
        <v/>
      </c>
      <c r="I40" s="41" t="str">
        <f t="shared" si="39"/>
        <v/>
      </c>
      <c r="J40" s="41" t="str">
        <f t="shared" si="39"/>
        <v/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67.5" customHeight="1">
      <c r="A41" s="39"/>
      <c r="B41" s="43" t="str">
        <f>IFERROR(__xludf.DUMMYFUNCTION("IFERROR(
  LET(
    periodos, C$1:Z$1,
    marcas, C41:Z41,
    pos, MAX(
          FILTER(
            COLUMN(marcas)-COLUMN(C41)+1,
            marcas=""X""
          )
        ),
    ultimo, INDEX(periodos, pos),
    XLOOKUP(
      $A41,
      INDIRECT"&amp;"(""'""&amp;ultimo&amp;""'!C:C""),
      INDIRECT(""'""&amp;ultimo&amp;""'!A:A"")
    )
  ),
  """"
)"),"")</f>
        <v/>
      </c>
      <c r="C41" s="41" t="str">
        <f t="shared" ref="C41:J41" si="40">IF(
  COUNTIF(
    INDIRECT("'"&amp;C$1&amp;"'!C:C"),
    $A41
  )&gt;0,
  "X",
  ""
)</f>
        <v/>
      </c>
      <c r="D41" s="41" t="str">
        <f t="shared" si="40"/>
        <v/>
      </c>
      <c r="E41" s="41" t="str">
        <f t="shared" si="40"/>
        <v/>
      </c>
      <c r="F41" s="41" t="str">
        <f t="shared" si="40"/>
        <v/>
      </c>
      <c r="G41" s="41" t="str">
        <f t="shared" si="40"/>
        <v/>
      </c>
      <c r="H41" s="41" t="str">
        <f t="shared" si="40"/>
        <v/>
      </c>
      <c r="I41" s="41" t="str">
        <f t="shared" si="40"/>
        <v/>
      </c>
      <c r="J41" s="41" t="str">
        <f t="shared" si="40"/>
        <v/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67.5" customHeight="1">
      <c r="A42" s="39"/>
      <c r="B42" s="43" t="str">
        <f>IFERROR(__xludf.DUMMYFUNCTION("IFERROR(
  LET(
    periodos, C$1:Z$1,
    marcas, C42:Z42,
    pos, MAX(
          FILTER(
            COLUMN(marcas)-COLUMN(C42)+1,
            marcas=""X""
          )
        ),
    ultimo, INDEX(periodos, pos),
    XLOOKUP(
      $A42,
      INDIRECT"&amp;"(""'""&amp;ultimo&amp;""'!C:C""),
      INDIRECT(""'""&amp;ultimo&amp;""'!A:A"")
    )
  ),
  """"
)"),"")</f>
        <v/>
      </c>
      <c r="C42" s="41" t="str">
        <f t="shared" ref="C42:J42" si="41">IF(
  COUNTIF(
    INDIRECT("'"&amp;C$1&amp;"'!C:C"),
    $A42
  )&gt;0,
  "X",
  ""
)</f>
        <v/>
      </c>
      <c r="D42" s="41" t="str">
        <f t="shared" si="41"/>
        <v/>
      </c>
      <c r="E42" s="41" t="str">
        <f t="shared" si="41"/>
        <v/>
      </c>
      <c r="F42" s="41" t="str">
        <f t="shared" si="41"/>
        <v/>
      </c>
      <c r="G42" s="41" t="str">
        <f t="shared" si="41"/>
        <v/>
      </c>
      <c r="H42" s="41" t="str">
        <f t="shared" si="41"/>
        <v/>
      </c>
      <c r="I42" s="41" t="str">
        <f t="shared" si="41"/>
        <v/>
      </c>
      <c r="J42" s="41" t="str">
        <f t="shared" si="41"/>
        <v/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67.5" customHeight="1">
      <c r="A43" s="39"/>
      <c r="B43" s="43" t="str">
        <f>IFERROR(__xludf.DUMMYFUNCTION("IFERROR(
  LET(
    periodos, C$1:Z$1,
    marcas, C43:Z43,
    pos, MAX(
          FILTER(
            COLUMN(marcas)-COLUMN(C43)+1,
            marcas=""X""
          )
        ),
    ultimo, INDEX(periodos, pos),
    XLOOKUP(
      $A43,
      INDIRECT"&amp;"(""'""&amp;ultimo&amp;""'!C:C""),
      INDIRECT(""'""&amp;ultimo&amp;""'!A:A"")
    )
  ),
  """"
)"),"")</f>
        <v/>
      </c>
      <c r="C43" s="41" t="str">
        <f t="shared" ref="C43:J43" si="42">IF(
  COUNTIF(
    INDIRECT("'"&amp;C$1&amp;"'!C:C"),
    $A43
  )&gt;0,
  "X",
  ""
)</f>
        <v/>
      </c>
      <c r="D43" s="41" t="str">
        <f t="shared" si="42"/>
        <v/>
      </c>
      <c r="E43" s="41" t="str">
        <f t="shared" si="42"/>
        <v/>
      </c>
      <c r="F43" s="41" t="str">
        <f t="shared" si="42"/>
        <v/>
      </c>
      <c r="G43" s="41" t="str">
        <f t="shared" si="42"/>
        <v/>
      </c>
      <c r="H43" s="41" t="str">
        <f t="shared" si="42"/>
        <v/>
      </c>
      <c r="I43" s="41" t="str">
        <f t="shared" si="42"/>
        <v/>
      </c>
      <c r="J43" s="41" t="str">
        <f t="shared" si="42"/>
        <v/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67.5" customHeight="1">
      <c r="A44" s="39"/>
      <c r="B44" s="43" t="str">
        <f>IFERROR(__xludf.DUMMYFUNCTION("IFERROR(
  LET(
    periodos, C$1:Z$1,
    marcas, C44:Z44,
    pos, MAX(
          FILTER(
            COLUMN(marcas)-COLUMN(C44)+1,
            marcas=""X""
          )
        ),
    ultimo, INDEX(periodos, pos),
    XLOOKUP(
      $A44,
      INDIRECT"&amp;"(""'""&amp;ultimo&amp;""'!C:C""),
      INDIRECT(""'""&amp;ultimo&amp;""'!A:A"")
    )
  ),
  """"
)"),"")</f>
        <v/>
      </c>
      <c r="C44" s="41" t="str">
        <f t="shared" ref="C44:J44" si="43">IF(
  COUNTIF(
    INDIRECT("'"&amp;C$1&amp;"'!C:C"),
    $A44
  )&gt;0,
  "X",
  ""
)</f>
        <v/>
      </c>
      <c r="D44" s="41" t="str">
        <f t="shared" si="43"/>
        <v/>
      </c>
      <c r="E44" s="41" t="str">
        <f t="shared" si="43"/>
        <v/>
      </c>
      <c r="F44" s="41" t="str">
        <f t="shared" si="43"/>
        <v/>
      </c>
      <c r="G44" s="41" t="str">
        <f t="shared" si="43"/>
        <v/>
      </c>
      <c r="H44" s="41" t="str">
        <f t="shared" si="43"/>
        <v/>
      </c>
      <c r="I44" s="41" t="str">
        <f t="shared" si="43"/>
        <v/>
      </c>
      <c r="J44" s="41" t="str">
        <f t="shared" si="43"/>
        <v/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67.5" customHeight="1">
      <c r="A45" s="39"/>
      <c r="B45" s="43" t="str">
        <f>IFERROR(__xludf.DUMMYFUNCTION("IFERROR(
  LET(
    periodos, C$1:Z$1,
    marcas, C45:Z45,
    pos, MAX(
          FILTER(
            COLUMN(marcas)-COLUMN(C45)+1,
            marcas=""X""
          )
        ),
    ultimo, INDEX(periodos, pos),
    XLOOKUP(
      $A45,
      INDIRECT"&amp;"(""'""&amp;ultimo&amp;""'!C:C""),
      INDIRECT(""'""&amp;ultimo&amp;""'!A:A"")
    )
  ),
  """"
)"),"")</f>
        <v/>
      </c>
      <c r="C45" s="41" t="str">
        <f t="shared" ref="C45:J45" si="44">IF(
  COUNTIF(
    INDIRECT("'"&amp;C$1&amp;"'!C:C"),
    $A45
  )&gt;0,
  "X",
  ""
)</f>
        <v/>
      </c>
      <c r="D45" s="41" t="str">
        <f t="shared" si="44"/>
        <v/>
      </c>
      <c r="E45" s="41" t="str">
        <f t="shared" si="44"/>
        <v/>
      </c>
      <c r="F45" s="41" t="str">
        <f t="shared" si="44"/>
        <v/>
      </c>
      <c r="G45" s="41" t="str">
        <f t="shared" si="44"/>
        <v/>
      </c>
      <c r="H45" s="41" t="str">
        <f t="shared" si="44"/>
        <v/>
      </c>
      <c r="I45" s="41" t="str">
        <f t="shared" si="44"/>
        <v/>
      </c>
      <c r="J45" s="41" t="str">
        <f t="shared" si="44"/>
        <v/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67.5" customHeight="1">
      <c r="A46" s="39"/>
      <c r="B46" s="43" t="str">
        <f>IFERROR(__xludf.DUMMYFUNCTION("IFERROR(
  LET(
    periodos, C$1:Z$1,
    marcas, C46:Z46,
    pos, MAX(
          FILTER(
            COLUMN(marcas)-COLUMN(C46)+1,
            marcas=""X""
          )
        ),
    ultimo, INDEX(periodos, pos),
    XLOOKUP(
      $A46,
      INDIRECT"&amp;"(""'""&amp;ultimo&amp;""'!C:C""),
      INDIRECT(""'""&amp;ultimo&amp;""'!A:A"")
    )
  ),
  """"
)"),"")</f>
        <v/>
      </c>
      <c r="C46" s="41" t="str">
        <f t="shared" ref="C46:J46" si="45">IF(
  COUNTIF(
    INDIRECT("'"&amp;C$1&amp;"'!C:C"),
    $A46
  )&gt;0,
  "X",
  ""
)</f>
        <v/>
      </c>
      <c r="D46" s="41" t="str">
        <f t="shared" si="45"/>
        <v/>
      </c>
      <c r="E46" s="41" t="str">
        <f t="shared" si="45"/>
        <v/>
      </c>
      <c r="F46" s="41" t="str">
        <f t="shared" si="45"/>
        <v/>
      </c>
      <c r="G46" s="41" t="str">
        <f t="shared" si="45"/>
        <v/>
      </c>
      <c r="H46" s="41" t="str">
        <f t="shared" si="45"/>
        <v/>
      </c>
      <c r="I46" s="41" t="str">
        <f t="shared" si="45"/>
        <v/>
      </c>
      <c r="J46" s="41" t="str">
        <f t="shared" si="45"/>
        <v/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67.5" customHeight="1">
      <c r="A47" s="39"/>
      <c r="B47" s="43" t="str">
        <f>IFERROR(__xludf.DUMMYFUNCTION("IFERROR(
  LET(
    periodos, C$1:Z$1,
    marcas, C47:Z47,
    pos, MAX(
          FILTER(
            COLUMN(marcas)-COLUMN(C47)+1,
            marcas=""X""
          )
        ),
    ultimo, INDEX(periodos, pos),
    XLOOKUP(
      $A47,
      INDIRECT"&amp;"(""'""&amp;ultimo&amp;""'!C:C""),
      INDIRECT(""'""&amp;ultimo&amp;""'!A:A"")
    )
  ),
  """"
)"),"")</f>
        <v/>
      </c>
      <c r="C47" s="41" t="str">
        <f t="shared" ref="C47:J47" si="46">IF(
  COUNTIF(
    INDIRECT("'"&amp;C$1&amp;"'!C:C"),
    $A47
  )&gt;0,
  "X",
  ""
)</f>
        <v/>
      </c>
      <c r="D47" s="41" t="str">
        <f t="shared" si="46"/>
        <v/>
      </c>
      <c r="E47" s="41" t="str">
        <f t="shared" si="46"/>
        <v/>
      </c>
      <c r="F47" s="41" t="str">
        <f t="shared" si="46"/>
        <v/>
      </c>
      <c r="G47" s="41" t="str">
        <f t="shared" si="46"/>
        <v/>
      </c>
      <c r="H47" s="41" t="str">
        <f t="shared" si="46"/>
        <v/>
      </c>
      <c r="I47" s="41" t="str">
        <f t="shared" si="46"/>
        <v/>
      </c>
      <c r="J47" s="41" t="str">
        <f t="shared" si="46"/>
        <v/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67.5" customHeight="1">
      <c r="A48" s="39"/>
      <c r="B48" s="43" t="str">
        <f>IFERROR(__xludf.DUMMYFUNCTION("IFERROR(
  LET(
    periodos, C$1:Z$1,
    marcas, C48:Z48,
    pos, MAX(
          FILTER(
            COLUMN(marcas)-COLUMN(C48)+1,
            marcas=""X""
          )
        ),
    ultimo, INDEX(periodos, pos),
    XLOOKUP(
      $A48,
      INDIRECT"&amp;"(""'""&amp;ultimo&amp;""'!C:C""),
      INDIRECT(""'""&amp;ultimo&amp;""'!A:A"")
    )
  ),
  """"
)"),"")</f>
        <v/>
      </c>
      <c r="C48" s="41" t="str">
        <f t="shared" ref="C48:J48" si="47">IF(
  COUNTIF(
    INDIRECT("'"&amp;C$1&amp;"'!C:C"),
    $A48
  )&gt;0,
  "X",
  ""
)</f>
        <v/>
      </c>
      <c r="D48" s="41" t="str">
        <f t="shared" si="47"/>
        <v/>
      </c>
      <c r="E48" s="41" t="str">
        <f t="shared" si="47"/>
        <v/>
      </c>
      <c r="F48" s="41" t="str">
        <f t="shared" si="47"/>
        <v/>
      </c>
      <c r="G48" s="41" t="str">
        <f t="shared" si="47"/>
        <v/>
      </c>
      <c r="H48" s="41" t="str">
        <f t="shared" si="47"/>
        <v/>
      </c>
      <c r="I48" s="41" t="str">
        <f t="shared" si="47"/>
        <v/>
      </c>
      <c r="J48" s="41" t="str">
        <f t="shared" si="47"/>
        <v/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67.5" customHeight="1">
      <c r="A49" s="39"/>
      <c r="B49" s="43" t="str">
        <f>IFERROR(__xludf.DUMMYFUNCTION("IFERROR(
  LET(
    periodos, C$1:Z$1,
    marcas, C49:Z49,
    pos, MAX(
          FILTER(
            COLUMN(marcas)-COLUMN(C49)+1,
            marcas=""X""
          )
        ),
    ultimo, INDEX(periodos, pos),
    XLOOKUP(
      $A49,
      INDIRECT"&amp;"(""'""&amp;ultimo&amp;""'!C:C""),
      INDIRECT(""'""&amp;ultimo&amp;""'!A:A"")
    )
  ),
  """"
)"),"")</f>
        <v/>
      </c>
      <c r="C49" s="41" t="str">
        <f t="shared" ref="C49:J49" si="48">IF(
  COUNTIF(
    INDIRECT("'"&amp;C$1&amp;"'!C:C"),
    $A49
  )&gt;0,
  "X",
  ""
)</f>
        <v/>
      </c>
      <c r="D49" s="41" t="str">
        <f t="shared" si="48"/>
        <v/>
      </c>
      <c r="E49" s="41" t="str">
        <f t="shared" si="48"/>
        <v/>
      </c>
      <c r="F49" s="41" t="str">
        <f t="shared" si="48"/>
        <v/>
      </c>
      <c r="G49" s="41" t="str">
        <f t="shared" si="48"/>
        <v/>
      </c>
      <c r="H49" s="41" t="str">
        <f t="shared" si="48"/>
        <v/>
      </c>
      <c r="I49" s="41" t="str">
        <f t="shared" si="48"/>
        <v/>
      </c>
      <c r="J49" s="41" t="str">
        <f t="shared" si="48"/>
        <v/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67.5" customHeight="1">
      <c r="A50" s="39"/>
      <c r="B50" s="43" t="str">
        <f>IFERROR(__xludf.DUMMYFUNCTION("IFERROR(
  LET(
    periodos, C$1:Z$1,
    marcas, C50:Z50,
    pos, MAX(
          FILTER(
            COLUMN(marcas)-COLUMN(C50)+1,
            marcas=""X""
          )
        ),
    ultimo, INDEX(periodos, pos),
    XLOOKUP(
      $A50,
      INDIRECT"&amp;"(""'""&amp;ultimo&amp;""'!C:C""),
      INDIRECT(""'""&amp;ultimo&amp;""'!A:A"")
    )
  ),
  """"
)"),"")</f>
        <v/>
      </c>
      <c r="C50" s="41" t="str">
        <f t="shared" ref="C50:J50" si="49">IF(
  COUNTIF(
    INDIRECT("'"&amp;C$1&amp;"'!C:C"),
    $A50
  )&gt;0,
  "X",
  ""
)</f>
        <v/>
      </c>
      <c r="D50" s="41" t="str">
        <f t="shared" si="49"/>
        <v/>
      </c>
      <c r="E50" s="41" t="str">
        <f t="shared" si="49"/>
        <v/>
      </c>
      <c r="F50" s="41" t="str">
        <f t="shared" si="49"/>
        <v/>
      </c>
      <c r="G50" s="41" t="str">
        <f t="shared" si="49"/>
        <v/>
      </c>
      <c r="H50" s="41" t="str">
        <f t="shared" si="49"/>
        <v/>
      </c>
      <c r="I50" s="41" t="str">
        <f t="shared" si="49"/>
        <v/>
      </c>
      <c r="J50" s="41" t="str">
        <f t="shared" si="49"/>
        <v/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67.5" customHeight="1">
      <c r="A51" s="39"/>
      <c r="B51" s="43" t="str">
        <f>IFERROR(__xludf.DUMMYFUNCTION("IFERROR(
  LET(
    periodos, C$1:Z$1,
    marcas, C51:Z51,
    pos, MAX(
          FILTER(
            COLUMN(marcas)-COLUMN(C51)+1,
            marcas=""X""
          )
        ),
    ultimo, INDEX(periodos, pos),
    XLOOKUP(
      $A51,
      INDIRECT"&amp;"(""'""&amp;ultimo&amp;""'!C:C""),
      INDIRECT(""'""&amp;ultimo&amp;""'!A:A"")
    )
  ),
  """"
)"),"")</f>
        <v/>
      </c>
      <c r="C51" s="41" t="str">
        <f t="shared" ref="C51:J51" si="50">IF(
  COUNTIF(
    INDIRECT("'"&amp;C$1&amp;"'!C:C"),
    $A51
  )&gt;0,
  "X",
  ""
)</f>
        <v/>
      </c>
      <c r="D51" s="41" t="str">
        <f t="shared" si="50"/>
        <v/>
      </c>
      <c r="E51" s="41" t="str">
        <f t="shared" si="50"/>
        <v/>
      </c>
      <c r="F51" s="41" t="str">
        <f t="shared" si="50"/>
        <v/>
      </c>
      <c r="G51" s="41" t="str">
        <f t="shared" si="50"/>
        <v/>
      </c>
      <c r="H51" s="41" t="str">
        <f t="shared" si="50"/>
        <v/>
      </c>
      <c r="I51" s="41" t="str">
        <f t="shared" si="50"/>
        <v/>
      </c>
      <c r="J51" s="41" t="str">
        <f t="shared" si="50"/>
        <v/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67.5" customHeight="1">
      <c r="A52" s="39"/>
      <c r="B52" s="43" t="str">
        <f>IFERROR(__xludf.DUMMYFUNCTION("IFERROR(
  LET(
    periodos, C$1:Z$1,
    marcas, C52:Z52,
    pos, MAX(
          FILTER(
            COLUMN(marcas)-COLUMN(C52)+1,
            marcas=""X""
          )
        ),
    ultimo, INDEX(periodos, pos),
    XLOOKUP(
      $A52,
      INDIRECT"&amp;"(""'""&amp;ultimo&amp;""'!C:C""),
      INDIRECT(""'""&amp;ultimo&amp;""'!A:A"")
    )
  ),
  """"
)"),"")</f>
        <v/>
      </c>
      <c r="C52" s="41" t="str">
        <f t="shared" ref="C52:J52" si="51">IF(
  COUNTIF(
    INDIRECT("'"&amp;C$1&amp;"'!C:C"),
    $A52
  )&gt;0,
  "X",
  ""
)</f>
        <v/>
      </c>
      <c r="D52" s="41" t="str">
        <f t="shared" si="51"/>
        <v/>
      </c>
      <c r="E52" s="41" t="str">
        <f t="shared" si="51"/>
        <v/>
      </c>
      <c r="F52" s="41" t="str">
        <f t="shared" si="51"/>
        <v/>
      </c>
      <c r="G52" s="41" t="str">
        <f t="shared" si="51"/>
        <v/>
      </c>
      <c r="H52" s="41" t="str">
        <f t="shared" si="51"/>
        <v/>
      </c>
      <c r="I52" s="41" t="str">
        <f t="shared" si="51"/>
        <v/>
      </c>
      <c r="J52" s="41" t="str">
        <f t="shared" si="51"/>
        <v/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67.5" customHeight="1">
      <c r="A53" s="39"/>
      <c r="B53" s="43" t="str">
        <f>IFERROR(__xludf.DUMMYFUNCTION("IFERROR(
  LET(
    periodos, C$1:Z$1,
    marcas, C53:Z53,
    pos, MAX(
          FILTER(
            COLUMN(marcas)-COLUMN(C53)+1,
            marcas=""X""
          )
        ),
    ultimo, INDEX(periodos, pos),
    XLOOKUP(
      $A53,
      INDIRECT"&amp;"(""'""&amp;ultimo&amp;""'!C:C""),
      INDIRECT(""'""&amp;ultimo&amp;""'!A:A"")
    )
  ),
  """"
)"),"")</f>
        <v/>
      </c>
      <c r="C53" s="41" t="str">
        <f t="shared" ref="C53:J53" si="52">IF(
  COUNTIF(
    INDIRECT("'"&amp;C$1&amp;"'!C:C"),
    $A53
  )&gt;0,
  "X",
  ""
)</f>
        <v/>
      </c>
      <c r="D53" s="41" t="str">
        <f t="shared" si="52"/>
        <v/>
      </c>
      <c r="E53" s="41" t="str">
        <f t="shared" si="52"/>
        <v/>
      </c>
      <c r="F53" s="41" t="str">
        <f t="shared" si="52"/>
        <v/>
      </c>
      <c r="G53" s="41" t="str">
        <f t="shared" si="52"/>
        <v/>
      </c>
      <c r="H53" s="41" t="str">
        <f t="shared" si="52"/>
        <v/>
      </c>
      <c r="I53" s="41" t="str">
        <f t="shared" si="52"/>
        <v/>
      </c>
      <c r="J53" s="41" t="str">
        <f t="shared" si="52"/>
        <v/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67.5" customHeight="1">
      <c r="A54" s="39"/>
      <c r="B54" s="43" t="str">
        <f>IFERROR(__xludf.DUMMYFUNCTION("IFERROR(
  LET(
    periodos, C$1:Z$1,
    marcas, C54:Z54,
    pos, MAX(
          FILTER(
            COLUMN(marcas)-COLUMN(C54)+1,
            marcas=""X""
          )
        ),
    ultimo, INDEX(periodos, pos),
    XLOOKUP(
      $A54,
      INDIRECT"&amp;"(""'""&amp;ultimo&amp;""'!C:C""),
      INDIRECT(""'""&amp;ultimo&amp;""'!A:A"")
    )
  ),
  """"
)"),"")</f>
        <v/>
      </c>
      <c r="C54" s="41" t="str">
        <f t="shared" ref="C54:J54" si="53">IF(
  COUNTIF(
    INDIRECT("'"&amp;C$1&amp;"'!C:C"),
    $A54
  )&gt;0,
  "X",
  ""
)</f>
        <v/>
      </c>
      <c r="D54" s="41" t="str">
        <f t="shared" si="53"/>
        <v/>
      </c>
      <c r="E54" s="41" t="str">
        <f t="shared" si="53"/>
        <v/>
      </c>
      <c r="F54" s="41" t="str">
        <f t="shared" si="53"/>
        <v/>
      </c>
      <c r="G54" s="41" t="str">
        <f t="shared" si="53"/>
        <v/>
      </c>
      <c r="H54" s="41" t="str">
        <f t="shared" si="53"/>
        <v/>
      </c>
      <c r="I54" s="41" t="str">
        <f t="shared" si="53"/>
        <v/>
      </c>
      <c r="J54" s="41" t="str">
        <f t="shared" si="53"/>
        <v/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67.5" customHeight="1">
      <c r="A55" s="39"/>
      <c r="B55" s="43" t="str">
        <f>IFERROR(__xludf.DUMMYFUNCTION("IFERROR(
  LET(
    periodos, C$1:Z$1,
    marcas, C55:Z55,
    pos, MAX(
          FILTER(
            COLUMN(marcas)-COLUMN(C55)+1,
            marcas=""X""
          )
        ),
    ultimo, INDEX(periodos, pos),
    XLOOKUP(
      $A55,
      INDIRECT"&amp;"(""'""&amp;ultimo&amp;""'!C:C""),
      INDIRECT(""'""&amp;ultimo&amp;""'!A:A"")
    )
  ),
  """"
)"),"")</f>
        <v/>
      </c>
      <c r="C55" s="41" t="str">
        <f t="shared" ref="C55:J55" si="54">IF(
  COUNTIF(
    INDIRECT("'"&amp;C$1&amp;"'!C:C"),
    $A55
  )&gt;0,
  "X",
  ""
)</f>
        <v/>
      </c>
      <c r="D55" s="41" t="str">
        <f t="shared" si="54"/>
        <v/>
      </c>
      <c r="E55" s="41" t="str">
        <f t="shared" si="54"/>
        <v/>
      </c>
      <c r="F55" s="41" t="str">
        <f t="shared" si="54"/>
        <v/>
      </c>
      <c r="G55" s="41" t="str">
        <f t="shared" si="54"/>
        <v/>
      </c>
      <c r="H55" s="41" t="str">
        <f t="shared" si="54"/>
        <v/>
      </c>
      <c r="I55" s="41" t="str">
        <f t="shared" si="54"/>
        <v/>
      </c>
      <c r="J55" s="41" t="str">
        <f t="shared" si="54"/>
        <v/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67.5" customHeight="1">
      <c r="A56" s="39"/>
      <c r="B56" s="43" t="str">
        <f>IFERROR(__xludf.DUMMYFUNCTION("IFERROR(
  LET(
    periodos, C$1:Z$1,
    marcas, C56:Z56,
    pos, MAX(
          FILTER(
            COLUMN(marcas)-COLUMN(C56)+1,
            marcas=""X""
          )
        ),
    ultimo, INDEX(periodos, pos),
    XLOOKUP(
      $A56,
      INDIRECT"&amp;"(""'""&amp;ultimo&amp;""'!C:C""),
      INDIRECT(""'""&amp;ultimo&amp;""'!A:A"")
    )
  ),
  """"
)"),"")</f>
        <v/>
      </c>
      <c r="C56" s="41" t="str">
        <f t="shared" ref="C56:J56" si="55">IF(
  COUNTIF(
    INDIRECT("'"&amp;C$1&amp;"'!C:C"),
    $A56
  )&gt;0,
  "X",
  ""
)</f>
        <v/>
      </c>
      <c r="D56" s="41" t="str">
        <f t="shared" si="55"/>
        <v/>
      </c>
      <c r="E56" s="41" t="str">
        <f t="shared" si="55"/>
        <v/>
      </c>
      <c r="F56" s="41" t="str">
        <f t="shared" si="55"/>
        <v/>
      </c>
      <c r="G56" s="41" t="str">
        <f t="shared" si="55"/>
        <v/>
      </c>
      <c r="H56" s="41" t="str">
        <f t="shared" si="55"/>
        <v/>
      </c>
      <c r="I56" s="41" t="str">
        <f t="shared" si="55"/>
        <v/>
      </c>
      <c r="J56" s="41" t="str">
        <f t="shared" si="55"/>
        <v/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67.5" customHeight="1">
      <c r="A57" s="39"/>
      <c r="B57" s="43" t="str">
        <f>IFERROR(__xludf.DUMMYFUNCTION("IFERROR(
  LET(
    periodos, C$1:Z$1,
    marcas, C57:Z57,
    pos, MAX(
          FILTER(
            COLUMN(marcas)-COLUMN(C57)+1,
            marcas=""X""
          )
        ),
    ultimo, INDEX(periodos, pos),
    XLOOKUP(
      $A57,
      INDIRECT"&amp;"(""'""&amp;ultimo&amp;""'!C:C""),
      INDIRECT(""'""&amp;ultimo&amp;""'!A:A"")
    )
  ),
  """"
)"),"")</f>
        <v/>
      </c>
      <c r="C57" s="41" t="str">
        <f t="shared" ref="C57:J57" si="56">IF(
  COUNTIF(
    INDIRECT("'"&amp;C$1&amp;"'!C:C"),
    $A57
  )&gt;0,
  "X",
  ""
)</f>
        <v/>
      </c>
      <c r="D57" s="41" t="str">
        <f t="shared" si="56"/>
        <v/>
      </c>
      <c r="E57" s="41" t="str">
        <f t="shared" si="56"/>
        <v/>
      </c>
      <c r="F57" s="41" t="str">
        <f t="shared" si="56"/>
        <v/>
      </c>
      <c r="G57" s="41" t="str">
        <f t="shared" si="56"/>
        <v/>
      </c>
      <c r="H57" s="41" t="str">
        <f t="shared" si="56"/>
        <v/>
      </c>
      <c r="I57" s="41" t="str">
        <f t="shared" si="56"/>
        <v/>
      </c>
      <c r="J57" s="41" t="str">
        <f t="shared" si="56"/>
        <v/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67.5" customHeight="1">
      <c r="A58" s="39"/>
      <c r="B58" s="43" t="str">
        <f>IFERROR(__xludf.DUMMYFUNCTION("IFERROR(
  LET(
    periodos, C$1:Z$1,
    marcas, C58:Z58,
    pos, MAX(
          FILTER(
            COLUMN(marcas)-COLUMN(C58)+1,
            marcas=""X""
          )
        ),
    ultimo, INDEX(periodos, pos),
    XLOOKUP(
      $A58,
      INDIRECT"&amp;"(""'""&amp;ultimo&amp;""'!C:C""),
      INDIRECT(""'""&amp;ultimo&amp;""'!A:A"")
    )
  ),
  """"
)"),"")</f>
        <v/>
      </c>
      <c r="C58" s="41" t="str">
        <f t="shared" ref="C58:J58" si="57">IF(
  COUNTIF(
    INDIRECT("'"&amp;C$1&amp;"'!C:C"),
    $A58
  )&gt;0,
  "X",
  ""
)</f>
        <v/>
      </c>
      <c r="D58" s="41" t="str">
        <f t="shared" si="57"/>
        <v/>
      </c>
      <c r="E58" s="41" t="str">
        <f t="shared" si="57"/>
        <v/>
      </c>
      <c r="F58" s="41" t="str">
        <f t="shared" si="57"/>
        <v/>
      </c>
      <c r="G58" s="41" t="str">
        <f t="shared" si="57"/>
        <v/>
      </c>
      <c r="H58" s="41" t="str">
        <f t="shared" si="57"/>
        <v/>
      </c>
      <c r="I58" s="41" t="str">
        <f t="shared" si="57"/>
        <v/>
      </c>
      <c r="J58" s="41" t="str">
        <f t="shared" si="57"/>
        <v/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67.5" customHeight="1">
      <c r="A59" s="39"/>
      <c r="B59" s="43" t="str">
        <f>IFERROR(__xludf.DUMMYFUNCTION("IFERROR(
  LET(
    periodos, C$1:Z$1,
    marcas, C59:Z59,
    pos, MAX(
          FILTER(
            COLUMN(marcas)-COLUMN(C59)+1,
            marcas=""X""
          )
        ),
    ultimo, INDEX(periodos, pos),
    XLOOKUP(
      $A59,
      INDIRECT"&amp;"(""'""&amp;ultimo&amp;""'!C:C""),
      INDIRECT(""'""&amp;ultimo&amp;""'!A:A"")
    )
  ),
  """"
)"),"")</f>
        <v/>
      </c>
      <c r="C59" s="41" t="str">
        <f t="shared" ref="C59:J59" si="58">IF(
  COUNTIF(
    INDIRECT("'"&amp;C$1&amp;"'!C:C"),
    $A59
  )&gt;0,
  "X",
  ""
)</f>
        <v/>
      </c>
      <c r="D59" s="41" t="str">
        <f t="shared" si="58"/>
        <v/>
      </c>
      <c r="E59" s="41" t="str">
        <f t="shared" si="58"/>
        <v/>
      </c>
      <c r="F59" s="41" t="str">
        <f t="shared" si="58"/>
        <v/>
      </c>
      <c r="G59" s="41" t="str">
        <f t="shared" si="58"/>
        <v/>
      </c>
      <c r="H59" s="41" t="str">
        <f t="shared" si="58"/>
        <v/>
      </c>
      <c r="I59" s="41" t="str">
        <f t="shared" si="58"/>
        <v/>
      </c>
      <c r="J59" s="41" t="str">
        <f t="shared" si="58"/>
        <v/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67.5" customHeight="1">
      <c r="A60" s="39"/>
      <c r="B60" s="43" t="str">
        <f>IFERROR(__xludf.DUMMYFUNCTION("IFERROR(
  LET(
    periodos, C$1:Z$1,
    marcas, C60:Z60,
    pos, MAX(
          FILTER(
            COLUMN(marcas)-COLUMN(C60)+1,
            marcas=""X""
          )
        ),
    ultimo, INDEX(periodos, pos),
    XLOOKUP(
      $A60,
      INDIRECT"&amp;"(""'""&amp;ultimo&amp;""'!C:C""),
      INDIRECT(""'""&amp;ultimo&amp;""'!A:A"")
    )
  ),
  """"
)"),"")</f>
        <v/>
      </c>
      <c r="C60" s="41" t="str">
        <f t="shared" ref="C60:J60" si="59">IF(
  COUNTIF(
    INDIRECT("'"&amp;C$1&amp;"'!C:C"),
    $A60
  )&gt;0,
  "X",
  ""
)</f>
        <v/>
      </c>
      <c r="D60" s="41" t="str">
        <f t="shared" si="59"/>
        <v/>
      </c>
      <c r="E60" s="41" t="str">
        <f t="shared" si="59"/>
        <v/>
      </c>
      <c r="F60" s="41" t="str">
        <f t="shared" si="59"/>
        <v/>
      </c>
      <c r="G60" s="41" t="str">
        <f t="shared" si="59"/>
        <v/>
      </c>
      <c r="H60" s="41" t="str">
        <f t="shared" si="59"/>
        <v/>
      </c>
      <c r="I60" s="41" t="str">
        <f t="shared" si="59"/>
        <v/>
      </c>
      <c r="J60" s="41" t="str">
        <f t="shared" si="59"/>
        <v/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67.5" customHeight="1">
      <c r="A61" s="39"/>
      <c r="B61" s="43" t="str">
        <f>IFERROR(__xludf.DUMMYFUNCTION("IFERROR(
  LET(
    periodos, C$1:Z$1,
    marcas, C61:Z61,
    pos, MAX(
          FILTER(
            COLUMN(marcas)-COLUMN(C61)+1,
            marcas=""X""
          )
        ),
    ultimo, INDEX(periodos, pos),
    XLOOKUP(
      $A61,
      INDIRECT"&amp;"(""'""&amp;ultimo&amp;""'!C:C""),
      INDIRECT(""'""&amp;ultimo&amp;""'!A:A"")
    )
  ),
  """"
)"),"")</f>
        <v/>
      </c>
      <c r="C61" s="41" t="str">
        <f t="shared" ref="C61:J61" si="60">IF(
  COUNTIF(
    INDIRECT("'"&amp;C$1&amp;"'!C:C"),
    $A61
  )&gt;0,
  "X",
  ""
)</f>
        <v/>
      </c>
      <c r="D61" s="41" t="str">
        <f t="shared" si="60"/>
        <v/>
      </c>
      <c r="E61" s="41" t="str">
        <f t="shared" si="60"/>
        <v/>
      </c>
      <c r="F61" s="41" t="str">
        <f t="shared" si="60"/>
        <v/>
      </c>
      <c r="G61" s="41" t="str">
        <f t="shared" si="60"/>
        <v/>
      </c>
      <c r="H61" s="41" t="str">
        <f t="shared" si="60"/>
        <v/>
      </c>
      <c r="I61" s="41" t="str">
        <f t="shared" si="60"/>
        <v/>
      </c>
      <c r="J61" s="41" t="str">
        <f t="shared" si="60"/>
        <v/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67.5" customHeight="1">
      <c r="A62" s="39"/>
      <c r="B62" s="43" t="str">
        <f>IFERROR(__xludf.DUMMYFUNCTION("IFERROR(
  LET(
    periodos, C$1:Z$1,
    marcas, C62:Z62,
    pos, MAX(
          FILTER(
            COLUMN(marcas)-COLUMN(C62)+1,
            marcas=""X""
          )
        ),
    ultimo, INDEX(periodos, pos),
    XLOOKUP(
      $A62,
      INDIRECT"&amp;"(""'""&amp;ultimo&amp;""'!C:C""),
      INDIRECT(""'""&amp;ultimo&amp;""'!A:A"")
    )
  ),
  """"
)"),"")</f>
        <v/>
      </c>
      <c r="C62" s="41" t="str">
        <f t="shared" ref="C62:J62" si="61">IF(
  COUNTIF(
    INDIRECT("'"&amp;C$1&amp;"'!C:C"),
    $A62
  )&gt;0,
  "X",
  ""
)</f>
        <v/>
      </c>
      <c r="D62" s="41" t="str">
        <f t="shared" si="61"/>
        <v/>
      </c>
      <c r="E62" s="41" t="str">
        <f t="shared" si="61"/>
        <v/>
      </c>
      <c r="F62" s="41" t="str">
        <f t="shared" si="61"/>
        <v/>
      </c>
      <c r="G62" s="41" t="str">
        <f t="shared" si="61"/>
        <v/>
      </c>
      <c r="H62" s="41" t="str">
        <f t="shared" si="61"/>
        <v/>
      </c>
      <c r="I62" s="41" t="str">
        <f t="shared" si="61"/>
        <v/>
      </c>
      <c r="J62" s="41" t="str">
        <f t="shared" si="61"/>
        <v/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67.5" customHeight="1">
      <c r="A63" s="39"/>
      <c r="B63" s="43" t="str">
        <f>IFERROR(__xludf.DUMMYFUNCTION("IFERROR(
  LET(
    periodos, C$1:Z$1,
    marcas, C63:Z63,
    pos, MAX(
          FILTER(
            COLUMN(marcas)-COLUMN(C63)+1,
            marcas=""X""
          )
        ),
    ultimo, INDEX(periodos, pos),
    XLOOKUP(
      $A63,
      INDIRECT"&amp;"(""'""&amp;ultimo&amp;""'!C:C""),
      INDIRECT(""'""&amp;ultimo&amp;""'!A:A"")
    )
  ),
  """"
)"),"")</f>
        <v/>
      </c>
      <c r="C63" s="41" t="str">
        <f t="shared" ref="C63:J63" si="62">IF(
  COUNTIF(
    INDIRECT("'"&amp;C$1&amp;"'!C:C"),
    $A63
  )&gt;0,
  "X",
  ""
)</f>
        <v/>
      </c>
      <c r="D63" s="41" t="str">
        <f t="shared" si="62"/>
        <v/>
      </c>
      <c r="E63" s="41" t="str">
        <f t="shared" si="62"/>
        <v/>
      </c>
      <c r="F63" s="41" t="str">
        <f t="shared" si="62"/>
        <v/>
      </c>
      <c r="G63" s="41" t="str">
        <f t="shared" si="62"/>
        <v/>
      </c>
      <c r="H63" s="41" t="str">
        <f t="shared" si="62"/>
        <v/>
      </c>
      <c r="I63" s="41" t="str">
        <f t="shared" si="62"/>
        <v/>
      </c>
      <c r="J63" s="41" t="str">
        <f t="shared" si="62"/>
        <v/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67.5" customHeight="1">
      <c r="A64" s="39"/>
      <c r="B64" s="43" t="str">
        <f>IFERROR(__xludf.DUMMYFUNCTION("IFERROR(
  LET(
    periodos, C$1:Z$1,
    marcas, C64:Z64,
    pos, MAX(
          FILTER(
            COLUMN(marcas)-COLUMN(C64)+1,
            marcas=""X""
          )
        ),
    ultimo, INDEX(periodos, pos),
    XLOOKUP(
      $A64,
      INDIRECT"&amp;"(""'""&amp;ultimo&amp;""'!C:C""),
      INDIRECT(""'""&amp;ultimo&amp;""'!A:A"")
    )
  ),
  """"
)"),"")</f>
        <v/>
      </c>
      <c r="C64" s="41" t="str">
        <f t="shared" ref="C64:J64" si="63">IF(
  COUNTIF(
    INDIRECT("'"&amp;C$1&amp;"'!C:C"),
    $A64
  )&gt;0,
  "X",
  ""
)</f>
        <v/>
      </c>
      <c r="D64" s="41" t="str">
        <f t="shared" si="63"/>
        <v/>
      </c>
      <c r="E64" s="41" t="str">
        <f t="shared" si="63"/>
        <v/>
      </c>
      <c r="F64" s="41" t="str">
        <f t="shared" si="63"/>
        <v/>
      </c>
      <c r="G64" s="41" t="str">
        <f t="shared" si="63"/>
        <v/>
      </c>
      <c r="H64" s="41" t="str">
        <f t="shared" si="63"/>
        <v/>
      </c>
      <c r="I64" s="41" t="str">
        <f t="shared" si="63"/>
        <v/>
      </c>
      <c r="J64" s="41" t="str">
        <f t="shared" si="63"/>
        <v/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67.5" customHeight="1">
      <c r="A65" s="39"/>
      <c r="B65" s="43" t="str">
        <f>IFERROR(__xludf.DUMMYFUNCTION("IFERROR(
  LET(
    periodos, C$1:Z$1,
    marcas, C65:Z65,
    pos, MAX(
          FILTER(
            COLUMN(marcas)-COLUMN(C65)+1,
            marcas=""X""
          )
        ),
    ultimo, INDEX(periodos, pos),
    XLOOKUP(
      $A65,
      INDIRECT"&amp;"(""'""&amp;ultimo&amp;""'!C:C""),
      INDIRECT(""'""&amp;ultimo&amp;""'!A:A"")
    )
  ),
  """"
)"),"")</f>
        <v/>
      </c>
      <c r="C65" s="41" t="str">
        <f t="shared" ref="C65:J65" si="64">IF(
  COUNTIF(
    INDIRECT("'"&amp;C$1&amp;"'!C:C"),
    $A65
  )&gt;0,
  "X",
  ""
)</f>
        <v/>
      </c>
      <c r="D65" s="41" t="str">
        <f t="shared" si="64"/>
        <v/>
      </c>
      <c r="E65" s="41" t="str">
        <f t="shared" si="64"/>
        <v/>
      </c>
      <c r="F65" s="41" t="str">
        <f t="shared" si="64"/>
        <v/>
      </c>
      <c r="G65" s="41" t="str">
        <f t="shared" si="64"/>
        <v/>
      </c>
      <c r="H65" s="41" t="str">
        <f t="shared" si="64"/>
        <v/>
      </c>
      <c r="I65" s="41" t="str">
        <f t="shared" si="64"/>
        <v/>
      </c>
      <c r="J65" s="41" t="str">
        <f t="shared" si="64"/>
        <v/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67.5" customHeight="1">
      <c r="A66" s="39"/>
      <c r="B66" s="43" t="str">
        <f>IFERROR(__xludf.DUMMYFUNCTION("IFERROR(
  LET(
    periodos, C$1:Z$1,
    marcas, C66:Z66,
    pos, MAX(
          FILTER(
            COLUMN(marcas)-COLUMN(C66)+1,
            marcas=""X""
          )
        ),
    ultimo, INDEX(periodos, pos),
    XLOOKUP(
      $A66,
      INDIRECT"&amp;"(""'""&amp;ultimo&amp;""'!C:C""),
      INDIRECT(""'""&amp;ultimo&amp;""'!A:A"")
    )
  ),
  """"
)"),"")</f>
        <v/>
      </c>
      <c r="C66" s="41" t="str">
        <f t="shared" ref="C66:J66" si="65">IF(
  COUNTIF(
    INDIRECT("'"&amp;C$1&amp;"'!C:C"),
    $A66
  )&gt;0,
  "X",
  ""
)</f>
        <v/>
      </c>
      <c r="D66" s="41" t="str">
        <f t="shared" si="65"/>
        <v/>
      </c>
      <c r="E66" s="41" t="str">
        <f t="shared" si="65"/>
        <v/>
      </c>
      <c r="F66" s="41" t="str">
        <f t="shared" si="65"/>
        <v/>
      </c>
      <c r="G66" s="41" t="str">
        <f t="shared" si="65"/>
        <v/>
      </c>
      <c r="H66" s="41" t="str">
        <f t="shared" si="65"/>
        <v/>
      </c>
      <c r="I66" s="41" t="str">
        <f t="shared" si="65"/>
        <v/>
      </c>
      <c r="J66" s="41" t="str">
        <f t="shared" si="65"/>
        <v/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67.5" customHeight="1">
      <c r="A67" s="39"/>
      <c r="B67" s="43" t="str">
        <f>IFERROR(__xludf.DUMMYFUNCTION("IFERROR(
  LET(
    periodos, C$1:Z$1,
    marcas, C67:Z67,
    pos, MAX(
          FILTER(
            COLUMN(marcas)-COLUMN(C67)+1,
            marcas=""X""
          )
        ),
    ultimo, INDEX(periodos, pos),
    XLOOKUP(
      $A67,
      INDIRECT"&amp;"(""'""&amp;ultimo&amp;""'!C:C""),
      INDIRECT(""'""&amp;ultimo&amp;""'!A:A"")
    )
  ),
  """"
)"),"")</f>
        <v/>
      </c>
      <c r="C67" s="41" t="str">
        <f t="shared" ref="C67:J67" si="66">IF(
  COUNTIF(
    INDIRECT("'"&amp;C$1&amp;"'!C:C"),
    $A67
  )&gt;0,
  "X",
  ""
)</f>
        <v/>
      </c>
      <c r="D67" s="41" t="str">
        <f t="shared" si="66"/>
        <v/>
      </c>
      <c r="E67" s="41" t="str">
        <f t="shared" si="66"/>
        <v/>
      </c>
      <c r="F67" s="41" t="str">
        <f t="shared" si="66"/>
        <v/>
      </c>
      <c r="G67" s="41" t="str">
        <f t="shared" si="66"/>
        <v/>
      </c>
      <c r="H67" s="41" t="str">
        <f t="shared" si="66"/>
        <v/>
      </c>
      <c r="I67" s="41" t="str">
        <f t="shared" si="66"/>
        <v/>
      </c>
      <c r="J67" s="41" t="str">
        <f t="shared" si="66"/>
        <v/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67.5" customHeight="1">
      <c r="A68" s="39"/>
      <c r="B68" s="43" t="str">
        <f>IFERROR(__xludf.DUMMYFUNCTION("IFERROR(
  LET(
    periodos, C$1:Z$1,
    marcas, C68:Z68,
    pos, MAX(
          FILTER(
            COLUMN(marcas)-COLUMN(C68)+1,
            marcas=""X""
          )
        ),
    ultimo, INDEX(periodos, pos),
    XLOOKUP(
      $A68,
      INDIRECT"&amp;"(""'""&amp;ultimo&amp;""'!C:C""),
      INDIRECT(""'""&amp;ultimo&amp;""'!A:A"")
    )
  ),
  """"
)"),"")</f>
        <v/>
      </c>
      <c r="C68" s="41" t="str">
        <f t="shared" ref="C68:J68" si="67">IF(
  COUNTIF(
    INDIRECT("'"&amp;C$1&amp;"'!C:C"),
    $A68
  )&gt;0,
  "X",
  ""
)</f>
        <v/>
      </c>
      <c r="D68" s="41" t="str">
        <f t="shared" si="67"/>
        <v/>
      </c>
      <c r="E68" s="41" t="str">
        <f t="shared" si="67"/>
        <v/>
      </c>
      <c r="F68" s="41" t="str">
        <f t="shared" si="67"/>
        <v/>
      </c>
      <c r="G68" s="41" t="str">
        <f t="shared" si="67"/>
        <v/>
      </c>
      <c r="H68" s="41" t="str">
        <f t="shared" si="67"/>
        <v/>
      </c>
      <c r="I68" s="41" t="str">
        <f t="shared" si="67"/>
        <v/>
      </c>
      <c r="J68" s="41" t="str">
        <f t="shared" si="67"/>
        <v/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67.5" customHeight="1">
      <c r="A69" s="39"/>
      <c r="B69" s="43" t="str">
        <f>IFERROR(__xludf.DUMMYFUNCTION("IFERROR(
  LET(
    periodos, C$1:Z$1,
    marcas, C69:Z69,
    pos, MAX(
          FILTER(
            COLUMN(marcas)-COLUMN(C69)+1,
            marcas=""X""
          )
        ),
    ultimo, INDEX(periodos, pos),
    XLOOKUP(
      $A69,
      INDIRECT"&amp;"(""'""&amp;ultimo&amp;""'!C:C""),
      INDIRECT(""'""&amp;ultimo&amp;""'!A:A"")
    )
  ),
  """"
)"),"")</f>
        <v/>
      </c>
      <c r="C69" s="41" t="str">
        <f t="shared" ref="C69:J69" si="68">IF(
  COUNTIF(
    INDIRECT("'"&amp;C$1&amp;"'!C:C"),
    $A69
  )&gt;0,
  "X",
  ""
)</f>
        <v/>
      </c>
      <c r="D69" s="41" t="str">
        <f t="shared" si="68"/>
        <v/>
      </c>
      <c r="E69" s="41" t="str">
        <f t="shared" si="68"/>
        <v/>
      </c>
      <c r="F69" s="41" t="str">
        <f t="shared" si="68"/>
        <v/>
      </c>
      <c r="G69" s="41" t="str">
        <f t="shared" si="68"/>
        <v/>
      </c>
      <c r="H69" s="41" t="str">
        <f t="shared" si="68"/>
        <v/>
      </c>
      <c r="I69" s="41" t="str">
        <f t="shared" si="68"/>
        <v/>
      </c>
      <c r="J69" s="41" t="str">
        <f t="shared" si="68"/>
        <v/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67.5" customHeight="1">
      <c r="A70" s="39"/>
      <c r="B70" s="43" t="str">
        <f>IFERROR(__xludf.DUMMYFUNCTION("IFERROR(
  LET(
    periodos, C$1:Z$1,
    marcas, C70:Z70,
    pos, MAX(
          FILTER(
            COLUMN(marcas)-COLUMN(C70)+1,
            marcas=""X""
          )
        ),
    ultimo, INDEX(periodos, pos),
    XLOOKUP(
      $A70,
      INDIRECT"&amp;"(""'""&amp;ultimo&amp;""'!C:C""),
      INDIRECT(""'""&amp;ultimo&amp;""'!A:A"")
    )
  ),
  """"
)"),"")</f>
        <v/>
      </c>
      <c r="C70" s="41" t="str">
        <f t="shared" ref="C70:J70" si="69">IF(
  COUNTIF(
    INDIRECT("'"&amp;C$1&amp;"'!C:C"),
    $A70
  )&gt;0,
  "X",
  ""
)</f>
        <v/>
      </c>
      <c r="D70" s="41" t="str">
        <f t="shared" si="69"/>
        <v/>
      </c>
      <c r="E70" s="41" t="str">
        <f t="shared" si="69"/>
        <v/>
      </c>
      <c r="F70" s="41" t="str">
        <f t="shared" si="69"/>
        <v/>
      </c>
      <c r="G70" s="41" t="str">
        <f t="shared" si="69"/>
        <v/>
      </c>
      <c r="H70" s="41" t="str">
        <f t="shared" si="69"/>
        <v/>
      </c>
      <c r="I70" s="41" t="str">
        <f t="shared" si="69"/>
        <v/>
      </c>
      <c r="J70" s="41" t="str">
        <f t="shared" si="69"/>
        <v/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67.5" customHeight="1">
      <c r="A71" s="39"/>
      <c r="B71" s="43" t="str">
        <f>IFERROR(__xludf.DUMMYFUNCTION("IFERROR(
  LET(
    periodos, C$1:Z$1,
    marcas, C71:Z71,
    pos, MAX(
          FILTER(
            COLUMN(marcas)-COLUMN(C71)+1,
            marcas=""X""
          )
        ),
    ultimo, INDEX(periodos, pos),
    XLOOKUP(
      $A71,
      INDIRECT"&amp;"(""'""&amp;ultimo&amp;""'!C:C""),
      INDIRECT(""'""&amp;ultimo&amp;""'!A:A"")
    )
  ),
  """"
)"),"")</f>
        <v/>
      </c>
      <c r="C71" s="41" t="str">
        <f t="shared" ref="C71:J71" si="70">IF(
  COUNTIF(
    INDIRECT("'"&amp;C$1&amp;"'!C:C"),
    $A71
  )&gt;0,
  "X",
  ""
)</f>
        <v/>
      </c>
      <c r="D71" s="41" t="str">
        <f t="shared" si="70"/>
        <v/>
      </c>
      <c r="E71" s="41" t="str">
        <f t="shared" si="70"/>
        <v/>
      </c>
      <c r="F71" s="41" t="str">
        <f t="shared" si="70"/>
        <v/>
      </c>
      <c r="G71" s="41" t="str">
        <f t="shared" si="70"/>
        <v/>
      </c>
      <c r="H71" s="41" t="str">
        <f t="shared" si="70"/>
        <v/>
      </c>
      <c r="I71" s="41" t="str">
        <f t="shared" si="70"/>
        <v/>
      </c>
      <c r="J71" s="41" t="str">
        <f t="shared" si="70"/>
        <v/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67.5" customHeight="1">
      <c r="A72" s="39"/>
      <c r="B72" s="43" t="str">
        <f>IFERROR(__xludf.DUMMYFUNCTION("IFERROR(
  LET(
    periodos, C$1:Z$1,
    marcas, C72:Z72,
    pos, MAX(
          FILTER(
            COLUMN(marcas)-COLUMN(C72)+1,
            marcas=""X""
          )
        ),
    ultimo, INDEX(periodos, pos),
    XLOOKUP(
      $A72,
      INDIRECT"&amp;"(""'""&amp;ultimo&amp;""'!C:C""),
      INDIRECT(""'""&amp;ultimo&amp;""'!A:A"")
    )
  ),
  """"
)"),"")</f>
        <v/>
      </c>
      <c r="C72" s="41" t="str">
        <f t="shared" ref="C72:J72" si="71">IF(
  COUNTIF(
    INDIRECT("'"&amp;C$1&amp;"'!C:C"),
    $A72
  )&gt;0,
  "X",
  ""
)</f>
        <v/>
      </c>
      <c r="D72" s="41" t="str">
        <f t="shared" si="71"/>
        <v/>
      </c>
      <c r="E72" s="41" t="str">
        <f t="shared" si="71"/>
        <v/>
      </c>
      <c r="F72" s="41" t="str">
        <f t="shared" si="71"/>
        <v/>
      </c>
      <c r="G72" s="41" t="str">
        <f t="shared" si="71"/>
        <v/>
      </c>
      <c r="H72" s="41" t="str">
        <f t="shared" si="71"/>
        <v/>
      </c>
      <c r="I72" s="41" t="str">
        <f t="shared" si="71"/>
        <v/>
      </c>
      <c r="J72" s="41" t="str">
        <f t="shared" si="71"/>
        <v/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67.5" customHeight="1">
      <c r="A73" s="39"/>
      <c r="B73" s="43" t="str">
        <f>IFERROR(__xludf.DUMMYFUNCTION("IFERROR(
  LET(
    periodos, C$1:Z$1,
    marcas, C73:Z73,
    pos, MAX(
          FILTER(
            COLUMN(marcas)-COLUMN(C73)+1,
            marcas=""X""
          )
        ),
    ultimo, INDEX(periodos, pos),
    XLOOKUP(
      $A73,
      INDIRECT"&amp;"(""'""&amp;ultimo&amp;""'!C:C""),
      INDIRECT(""'""&amp;ultimo&amp;""'!A:A"")
    )
  ),
  """"
)"),"")</f>
        <v/>
      </c>
      <c r="C73" s="41" t="str">
        <f t="shared" ref="C73:J73" si="72">IF(
  COUNTIF(
    INDIRECT("'"&amp;C$1&amp;"'!C:C"),
    $A73
  )&gt;0,
  "X",
  ""
)</f>
        <v/>
      </c>
      <c r="D73" s="41" t="str">
        <f t="shared" si="72"/>
        <v/>
      </c>
      <c r="E73" s="41" t="str">
        <f t="shared" si="72"/>
        <v/>
      </c>
      <c r="F73" s="41" t="str">
        <f t="shared" si="72"/>
        <v/>
      </c>
      <c r="G73" s="41" t="str">
        <f t="shared" si="72"/>
        <v/>
      </c>
      <c r="H73" s="41" t="str">
        <f t="shared" si="72"/>
        <v/>
      </c>
      <c r="I73" s="41" t="str">
        <f t="shared" si="72"/>
        <v/>
      </c>
      <c r="J73" s="41" t="str">
        <f t="shared" si="72"/>
        <v/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67.5" customHeight="1">
      <c r="A74" s="39"/>
      <c r="B74" s="43" t="str">
        <f>IFERROR(__xludf.DUMMYFUNCTION("IFERROR(
  LET(
    periodos, C$1:Z$1,
    marcas, C74:Z74,
    pos, MAX(
          FILTER(
            COLUMN(marcas)-COLUMN(C74)+1,
            marcas=""X""
          )
        ),
    ultimo, INDEX(periodos, pos),
    XLOOKUP(
      $A74,
      INDIRECT"&amp;"(""'""&amp;ultimo&amp;""'!C:C""),
      INDIRECT(""'""&amp;ultimo&amp;""'!A:A"")
    )
  ),
  """"
)"),"")</f>
        <v/>
      </c>
      <c r="C74" s="41" t="str">
        <f t="shared" ref="C74:J74" si="73">IF(
  COUNTIF(
    INDIRECT("'"&amp;C$1&amp;"'!C:C"),
    $A74
  )&gt;0,
  "X",
  ""
)</f>
        <v/>
      </c>
      <c r="D74" s="41" t="str">
        <f t="shared" si="73"/>
        <v/>
      </c>
      <c r="E74" s="41" t="str">
        <f t="shared" si="73"/>
        <v/>
      </c>
      <c r="F74" s="41" t="str">
        <f t="shared" si="73"/>
        <v/>
      </c>
      <c r="G74" s="41" t="str">
        <f t="shared" si="73"/>
        <v/>
      </c>
      <c r="H74" s="41" t="str">
        <f t="shared" si="73"/>
        <v/>
      </c>
      <c r="I74" s="41" t="str">
        <f t="shared" si="73"/>
        <v/>
      </c>
      <c r="J74" s="41" t="str">
        <f t="shared" si="73"/>
        <v/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67.5" customHeight="1">
      <c r="A75" s="39"/>
      <c r="B75" s="43" t="str">
        <f>IFERROR(__xludf.DUMMYFUNCTION("IFERROR(
  LET(
    periodos, C$1:Z$1,
    marcas, C75:Z75,
    pos, MAX(
          FILTER(
            COLUMN(marcas)-COLUMN(C75)+1,
            marcas=""X""
          )
        ),
    ultimo, INDEX(periodos, pos),
    XLOOKUP(
      $A75,
      INDIRECT"&amp;"(""'""&amp;ultimo&amp;""'!C:C""),
      INDIRECT(""'""&amp;ultimo&amp;""'!A:A"")
    )
  ),
  """"
)"),"")</f>
        <v/>
      </c>
      <c r="C75" s="41" t="str">
        <f t="shared" ref="C75:J75" si="74">IF(
  COUNTIF(
    INDIRECT("'"&amp;C$1&amp;"'!C:C"),
    $A75
  )&gt;0,
  "X",
  ""
)</f>
        <v/>
      </c>
      <c r="D75" s="41" t="str">
        <f t="shared" si="74"/>
        <v/>
      </c>
      <c r="E75" s="41" t="str">
        <f t="shared" si="74"/>
        <v/>
      </c>
      <c r="F75" s="41" t="str">
        <f t="shared" si="74"/>
        <v/>
      </c>
      <c r="G75" s="41" t="str">
        <f t="shared" si="74"/>
        <v/>
      </c>
      <c r="H75" s="41" t="str">
        <f t="shared" si="74"/>
        <v/>
      </c>
      <c r="I75" s="41" t="str">
        <f t="shared" si="74"/>
        <v/>
      </c>
      <c r="J75" s="41" t="str">
        <f t="shared" si="74"/>
        <v/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67.5" customHeight="1">
      <c r="A76" s="39"/>
      <c r="B76" s="43" t="str">
        <f>IFERROR(__xludf.DUMMYFUNCTION("IFERROR(
  LET(
    periodos, C$1:Z$1,
    marcas, C76:Z76,
    pos, MAX(
          FILTER(
            COLUMN(marcas)-COLUMN(C76)+1,
            marcas=""X""
          )
        ),
    ultimo, INDEX(periodos, pos),
    XLOOKUP(
      $A76,
      INDIRECT"&amp;"(""'""&amp;ultimo&amp;""'!C:C""),
      INDIRECT(""'""&amp;ultimo&amp;""'!A:A"")
    )
  ),
  """"
)"),"")</f>
        <v/>
      </c>
      <c r="C76" s="41" t="str">
        <f t="shared" ref="C76:J76" si="75">IF(
  COUNTIF(
    INDIRECT("'"&amp;C$1&amp;"'!C:C"),
    $A76
  )&gt;0,
  "X",
  ""
)</f>
        <v/>
      </c>
      <c r="D76" s="41" t="str">
        <f t="shared" si="75"/>
        <v/>
      </c>
      <c r="E76" s="41" t="str">
        <f t="shared" si="75"/>
        <v/>
      </c>
      <c r="F76" s="41" t="str">
        <f t="shared" si="75"/>
        <v/>
      </c>
      <c r="G76" s="41" t="str">
        <f t="shared" si="75"/>
        <v/>
      </c>
      <c r="H76" s="41" t="str">
        <f t="shared" si="75"/>
        <v/>
      </c>
      <c r="I76" s="41" t="str">
        <f t="shared" si="75"/>
        <v/>
      </c>
      <c r="J76" s="41" t="str">
        <f t="shared" si="75"/>
        <v/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67.5" customHeight="1">
      <c r="A77" s="39"/>
      <c r="B77" s="43" t="str">
        <f>IFERROR(__xludf.DUMMYFUNCTION("IFERROR(
  LET(
    periodos, C$1:Z$1,
    marcas, C77:Z77,
    pos, MAX(
          FILTER(
            COLUMN(marcas)-COLUMN(C77)+1,
            marcas=""X""
          )
        ),
    ultimo, INDEX(periodos, pos),
    XLOOKUP(
      $A77,
      INDIRECT"&amp;"(""'""&amp;ultimo&amp;""'!C:C""),
      INDIRECT(""'""&amp;ultimo&amp;""'!A:A"")
    )
  ),
  """"
)"),"")</f>
        <v/>
      </c>
      <c r="C77" s="41" t="str">
        <f t="shared" ref="C77:J77" si="76">IF(
  COUNTIF(
    INDIRECT("'"&amp;C$1&amp;"'!C:C"),
    $A77
  )&gt;0,
  "X",
  ""
)</f>
        <v/>
      </c>
      <c r="D77" s="41" t="str">
        <f t="shared" si="76"/>
        <v/>
      </c>
      <c r="E77" s="41" t="str">
        <f t="shared" si="76"/>
        <v/>
      </c>
      <c r="F77" s="41" t="str">
        <f t="shared" si="76"/>
        <v/>
      </c>
      <c r="G77" s="41" t="str">
        <f t="shared" si="76"/>
        <v/>
      </c>
      <c r="H77" s="41" t="str">
        <f t="shared" si="76"/>
        <v/>
      </c>
      <c r="I77" s="41" t="str">
        <f t="shared" si="76"/>
        <v/>
      </c>
      <c r="J77" s="41" t="str">
        <f t="shared" si="76"/>
        <v/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67.5" customHeight="1">
      <c r="A78" s="39"/>
      <c r="B78" s="43" t="str">
        <f>IFERROR(__xludf.DUMMYFUNCTION("IFERROR(
  LET(
    periodos, C$1:Z$1,
    marcas, C78:Z78,
    pos, MAX(
          FILTER(
            COLUMN(marcas)-COLUMN(C78)+1,
            marcas=""X""
          )
        ),
    ultimo, INDEX(periodos, pos),
    XLOOKUP(
      $A78,
      INDIRECT"&amp;"(""'""&amp;ultimo&amp;""'!C:C""),
      INDIRECT(""'""&amp;ultimo&amp;""'!A:A"")
    )
  ),
  """"
)"),"")</f>
        <v/>
      </c>
      <c r="C78" s="41" t="str">
        <f t="shared" ref="C78:J78" si="77">IF(
  COUNTIF(
    INDIRECT("'"&amp;C$1&amp;"'!C:C"),
    $A78
  )&gt;0,
  "X",
  ""
)</f>
        <v/>
      </c>
      <c r="D78" s="41" t="str">
        <f t="shared" si="77"/>
        <v/>
      </c>
      <c r="E78" s="41" t="str">
        <f t="shared" si="77"/>
        <v/>
      </c>
      <c r="F78" s="41" t="str">
        <f t="shared" si="77"/>
        <v/>
      </c>
      <c r="G78" s="41" t="str">
        <f t="shared" si="77"/>
        <v/>
      </c>
      <c r="H78" s="41" t="str">
        <f t="shared" si="77"/>
        <v/>
      </c>
      <c r="I78" s="41" t="str">
        <f t="shared" si="77"/>
        <v/>
      </c>
      <c r="J78" s="41" t="str">
        <f t="shared" si="77"/>
        <v/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67.5" customHeight="1">
      <c r="A79" s="39"/>
      <c r="B79" s="43" t="str">
        <f>IFERROR(__xludf.DUMMYFUNCTION("IFERROR(
  LET(
    periodos, C$1:Z$1,
    marcas, C79:Z79,
    pos, MAX(
          FILTER(
            COLUMN(marcas)-COLUMN(C79)+1,
            marcas=""X""
          )
        ),
    ultimo, INDEX(periodos, pos),
    XLOOKUP(
      $A79,
      INDIRECT"&amp;"(""'""&amp;ultimo&amp;""'!C:C""),
      INDIRECT(""'""&amp;ultimo&amp;""'!A:A"")
    )
  ),
  """"
)"),"")</f>
        <v/>
      </c>
      <c r="C79" s="41" t="str">
        <f t="shared" ref="C79:J79" si="78">IF(
  COUNTIF(
    INDIRECT("'"&amp;C$1&amp;"'!C:C"),
    $A79
  )&gt;0,
  "X",
  ""
)</f>
        <v/>
      </c>
      <c r="D79" s="41" t="str">
        <f t="shared" si="78"/>
        <v/>
      </c>
      <c r="E79" s="41" t="str">
        <f t="shared" si="78"/>
        <v/>
      </c>
      <c r="F79" s="41" t="str">
        <f t="shared" si="78"/>
        <v/>
      </c>
      <c r="G79" s="41" t="str">
        <f t="shared" si="78"/>
        <v/>
      </c>
      <c r="H79" s="41" t="str">
        <f t="shared" si="78"/>
        <v/>
      </c>
      <c r="I79" s="41" t="str">
        <f t="shared" si="78"/>
        <v/>
      </c>
      <c r="J79" s="41" t="str">
        <f t="shared" si="78"/>
        <v/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67.5" customHeight="1">
      <c r="A80" s="39"/>
      <c r="B80" s="43" t="str">
        <f>IFERROR(__xludf.DUMMYFUNCTION("IFERROR(
  LET(
    periodos, C$1:Z$1,
    marcas, C80:Z80,
    pos, MAX(
          FILTER(
            COLUMN(marcas)-COLUMN(C80)+1,
            marcas=""X""
          )
        ),
    ultimo, INDEX(periodos, pos),
    XLOOKUP(
      $A80,
      INDIRECT"&amp;"(""'""&amp;ultimo&amp;""'!C:C""),
      INDIRECT(""'""&amp;ultimo&amp;""'!A:A"")
    )
  ),
  """"
)"),"")</f>
        <v/>
      </c>
      <c r="C80" s="41" t="str">
        <f t="shared" ref="C80:J80" si="79">IF(
  COUNTIF(
    INDIRECT("'"&amp;C$1&amp;"'!C:C"),
    $A80
  )&gt;0,
  "X",
  ""
)</f>
        <v/>
      </c>
      <c r="D80" s="41" t="str">
        <f t="shared" si="79"/>
        <v/>
      </c>
      <c r="E80" s="41" t="str">
        <f t="shared" si="79"/>
        <v/>
      </c>
      <c r="F80" s="41" t="str">
        <f t="shared" si="79"/>
        <v/>
      </c>
      <c r="G80" s="41" t="str">
        <f t="shared" si="79"/>
        <v/>
      </c>
      <c r="H80" s="41" t="str">
        <f t="shared" si="79"/>
        <v/>
      </c>
      <c r="I80" s="41" t="str">
        <f t="shared" si="79"/>
        <v/>
      </c>
      <c r="J80" s="41" t="str">
        <f t="shared" si="79"/>
        <v/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67.5" customHeight="1">
      <c r="A81" s="39"/>
      <c r="B81" s="43" t="str">
        <f>IFERROR(__xludf.DUMMYFUNCTION("IFERROR(
  LET(
    periodos, C$1:Z$1,
    marcas, C81:Z81,
    pos, MAX(
          FILTER(
            COLUMN(marcas)-COLUMN(C81)+1,
            marcas=""X""
          )
        ),
    ultimo, INDEX(periodos, pos),
    XLOOKUP(
      $A81,
      INDIRECT"&amp;"(""'""&amp;ultimo&amp;""'!C:C""),
      INDIRECT(""'""&amp;ultimo&amp;""'!A:A"")
    )
  ),
  """"
)"),"")</f>
        <v/>
      </c>
      <c r="C81" s="41" t="str">
        <f t="shared" ref="C81:J81" si="80">IF(
  COUNTIF(
    INDIRECT("'"&amp;C$1&amp;"'!C:C"),
    $A81
  )&gt;0,
  "X",
  ""
)</f>
        <v/>
      </c>
      <c r="D81" s="41" t="str">
        <f t="shared" si="80"/>
        <v/>
      </c>
      <c r="E81" s="41" t="str">
        <f t="shared" si="80"/>
        <v/>
      </c>
      <c r="F81" s="41" t="str">
        <f t="shared" si="80"/>
        <v/>
      </c>
      <c r="G81" s="41" t="str">
        <f t="shared" si="80"/>
        <v/>
      </c>
      <c r="H81" s="41" t="str">
        <f t="shared" si="80"/>
        <v/>
      </c>
      <c r="I81" s="41" t="str">
        <f t="shared" si="80"/>
        <v/>
      </c>
      <c r="J81" s="41" t="str">
        <f t="shared" si="80"/>
        <v/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67.5" customHeight="1">
      <c r="A82" s="39"/>
      <c r="B82" s="43" t="str">
        <f>IFERROR(__xludf.DUMMYFUNCTION("IFERROR(
  LET(
    periodos, C$1:Z$1,
    marcas, C82:Z82,
    pos, MAX(
          FILTER(
            COLUMN(marcas)-COLUMN(C82)+1,
            marcas=""X""
          )
        ),
    ultimo, INDEX(periodos, pos),
    XLOOKUP(
      $A82,
      INDIRECT"&amp;"(""'""&amp;ultimo&amp;""'!C:C""),
      INDIRECT(""'""&amp;ultimo&amp;""'!A:A"")
    )
  ),
  """"
)"),"")</f>
        <v/>
      </c>
      <c r="C82" s="41" t="str">
        <f t="shared" ref="C82:J82" si="81">IF(
  COUNTIF(
    INDIRECT("'"&amp;C$1&amp;"'!C:C"),
    $A82
  )&gt;0,
  "X",
  ""
)</f>
        <v/>
      </c>
      <c r="D82" s="41" t="str">
        <f t="shared" si="81"/>
        <v/>
      </c>
      <c r="E82" s="41" t="str">
        <f t="shared" si="81"/>
        <v/>
      </c>
      <c r="F82" s="41" t="str">
        <f t="shared" si="81"/>
        <v/>
      </c>
      <c r="G82" s="41" t="str">
        <f t="shared" si="81"/>
        <v/>
      </c>
      <c r="H82" s="41" t="str">
        <f t="shared" si="81"/>
        <v/>
      </c>
      <c r="I82" s="41" t="str">
        <f t="shared" si="81"/>
        <v/>
      </c>
      <c r="J82" s="41" t="str">
        <f t="shared" si="81"/>
        <v/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67.5" customHeight="1">
      <c r="A83" s="39"/>
      <c r="B83" s="43" t="str">
        <f>IFERROR(__xludf.DUMMYFUNCTION("IFERROR(
  LET(
    periodos, C$1:Z$1,
    marcas, C83:Z83,
    pos, MAX(
          FILTER(
            COLUMN(marcas)-COLUMN(C83)+1,
            marcas=""X""
          )
        ),
    ultimo, INDEX(periodos, pos),
    XLOOKUP(
      $A83,
      INDIRECT"&amp;"(""'""&amp;ultimo&amp;""'!C:C""),
      INDIRECT(""'""&amp;ultimo&amp;""'!A:A"")
    )
  ),
  """"
)"),"")</f>
        <v/>
      </c>
      <c r="C83" s="41" t="str">
        <f t="shared" ref="C83:J83" si="82">IF(
  COUNTIF(
    INDIRECT("'"&amp;C$1&amp;"'!C:C"),
    $A83
  )&gt;0,
  "X",
  ""
)</f>
        <v/>
      </c>
      <c r="D83" s="41" t="str">
        <f t="shared" si="82"/>
        <v/>
      </c>
      <c r="E83" s="41" t="str">
        <f t="shared" si="82"/>
        <v/>
      </c>
      <c r="F83" s="41" t="str">
        <f t="shared" si="82"/>
        <v/>
      </c>
      <c r="G83" s="41" t="str">
        <f t="shared" si="82"/>
        <v/>
      </c>
      <c r="H83" s="41" t="str">
        <f t="shared" si="82"/>
        <v/>
      </c>
      <c r="I83" s="41" t="str">
        <f t="shared" si="82"/>
        <v/>
      </c>
      <c r="J83" s="41" t="str">
        <f t="shared" si="82"/>
        <v/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67.5" customHeight="1">
      <c r="A84" s="39"/>
      <c r="B84" s="43" t="str">
        <f>IFERROR(__xludf.DUMMYFUNCTION("IFERROR(
  LET(
    periodos, C$1:Z$1,
    marcas, C84:Z84,
    pos, MAX(
          FILTER(
            COLUMN(marcas)-COLUMN(C84)+1,
            marcas=""X""
          )
        ),
    ultimo, INDEX(periodos, pos),
    XLOOKUP(
      $A84,
      INDIRECT"&amp;"(""'""&amp;ultimo&amp;""'!C:C""),
      INDIRECT(""'""&amp;ultimo&amp;""'!A:A"")
    )
  ),
  """"
)"),"")</f>
        <v/>
      </c>
      <c r="C84" s="41" t="str">
        <f t="shared" ref="C84:J84" si="83">IF(
  COUNTIF(
    INDIRECT("'"&amp;C$1&amp;"'!C:C"),
    $A84
  )&gt;0,
  "X",
  ""
)</f>
        <v/>
      </c>
      <c r="D84" s="41" t="str">
        <f t="shared" si="83"/>
        <v/>
      </c>
      <c r="E84" s="41" t="str">
        <f t="shared" si="83"/>
        <v/>
      </c>
      <c r="F84" s="41" t="str">
        <f t="shared" si="83"/>
        <v/>
      </c>
      <c r="G84" s="41" t="str">
        <f t="shared" si="83"/>
        <v/>
      </c>
      <c r="H84" s="41" t="str">
        <f t="shared" si="83"/>
        <v/>
      </c>
      <c r="I84" s="41" t="str">
        <f t="shared" si="83"/>
        <v/>
      </c>
      <c r="J84" s="41" t="str">
        <f t="shared" si="83"/>
        <v/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67.5" customHeight="1">
      <c r="A85" s="39"/>
      <c r="B85" s="43" t="str">
        <f>IFERROR(__xludf.DUMMYFUNCTION("IFERROR(
  LET(
    periodos, C$1:Z$1,
    marcas, C85:Z85,
    pos, MAX(
          FILTER(
            COLUMN(marcas)-COLUMN(C85)+1,
            marcas=""X""
          )
        ),
    ultimo, INDEX(periodos, pos),
    XLOOKUP(
      $A85,
      INDIRECT"&amp;"(""'""&amp;ultimo&amp;""'!C:C""),
      INDIRECT(""'""&amp;ultimo&amp;""'!A:A"")
    )
  ),
  """"
)"),"")</f>
        <v/>
      </c>
      <c r="C85" s="41" t="str">
        <f t="shared" ref="C85:J85" si="84">IF(
  COUNTIF(
    INDIRECT("'"&amp;C$1&amp;"'!C:C"),
    $A85
  )&gt;0,
  "X",
  ""
)</f>
        <v/>
      </c>
      <c r="D85" s="41" t="str">
        <f t="shared" si="84"/>
        <v/>
      </c>
      <c r="E85" s="41" t="str">
        <f t="shared" si="84"/>
        <v/>
      </c>
      <c r="F85" s="41" t="str">
        <f t="shared" si="84"/>
        <v/>
      </c>
      <c r="G85" s="41" t="str">
        <f t="shared" si="84"/>
        <v/>
      </c>
      <c r="H85" s="41" t="str">
        <f t="shared" si="84"/>
        <v/>
      </c>
      <c r="I85" s="41" t="str">
        <f t="shared" si="84"/>
        <v/>
      </c>
      <c r="J85" s="41" t="str">
        <f t="shared" si="84"/>
        <v/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67.5" customHeight="1">
      <c r="A86" s="39"/>
      <c r="B86" s="43" t="str">
        <f>IFERROR(__xludf.DUMMYFUNCTION("IFERROR(
  LET(
    periodos, C$1:Z$1,
    marcas, C86:Z86,
    pos, MAX(
          FILTER(
            COLUMN(marcas)-COLUMN(C86)+1,
            marcas=""X""
          )
        ),
    ultimo, INDEX(periodos, pos),
    XLOOKUP(
      $A86,
      INDIRECT"&amp;"(""'""&amp;ultimo&amp;""'!C:C""),
      INDIRECT(""'""&amp;ultimo&amp;""'!A:A"")
    )
  ),
  """"
)"),"")</f>
        <v/>
      </c>
      <c r="C86" s="41" t="str">
        <f t="shared" ref="C86:J86" si="85">IF(
  COUNTIF(
    INDIRECT("'"&amp;C$1&amp;"'!C:C"),
    $A86
  )&gt;0,
  "X",
  ""
)</f>
        <v/>
      </c>
      <c r="D86" s="41" t="str">
        <f t="shared" si="85"/>
        <v/>
      </c>
      <c r="E86" s="41" t="str">
        <f t="shared" si="85"/>
        <v/>
      </c>
      <c r="F86" s="41" t="str">
        <f t="shared" si="85"/>
        <v/>
      </c>
      <c r="G86" s="41" t="str">
        <f t="shared" si="85"/>
        <v/>
      </c>
      <c r="H86" s="41" t="str">
        <f t="shared" si="85"/>
        <v/>
      </c>
      <c r="I86" s="41" t="str">
        <f t="shared" si="85"/>
        <v/>
      </c>
      <c r="J86" s="41" t="str">
        <f t="shared" si="85"/>
        <v/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67.5" customHeight="1">
      <c r="A87" s="39"/>
      <c r="B87" s="43" t="str">
        <f>IFERROR(__xludf.DUMMYFUNCTION("IFERROR(
  LET(
    periodos, C$1:Z$1,
    marcas, C87:Z87,
    pos, MAX(
          FILTER(
            COLUMN(marcas)-COLUMN(C87)+1,
            marcas=""X""
          )
        ),
    ultimo, INDEX(periodos, pos),
    XLOOKUP(
      $A87,
      INDIRECT"&amp;"(""'""&amp;ultimo&amp;""'!C:C""),
      INDIRECT(""'""&amp;ultimo&amp;""'!A:A"")
    )
  ),
  """"
)"),"")</f>
        <v/>
      </c>
      <c r="C87" s="41" t="str">
        <f t="shared" ref="C87:J87" si="86">IF(
  COUNTIF(
    INDIRECT("'"&amp;C$1&amp;"'!C:C"),
    $A87
  )&gt;0,
  "X",
  ""
)</f>
        <v/>
      </c>
      <c r="D87" s="41" t="str">
        <f t="shared" si="86"/>
        <v/>
      </c>
      <c r="E87" s="41" t="str">
        <f t="shared" si="86"/>
        <v/>
      </c>
      <c r="F87" s="41" t="str">
        <f t="shared" si="86"/>
        <v/>
      </c>
      <c r="G87" s="41" t="str">
        <f t="shared" si="86"/>
        <v/>
      </c>
      <c r="H87" s="41" t="str">
        <f t="shared" si="86"/>
        <v/>
      </c>
      <c r="I87" s="41" t="str">
        <f t="shared" si="86"/>
        <v/>
      </c>
      <c r="J87" s="41" t="str">
        <f t="shared" si="86"/>
        <v/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67.5" customHeight="1">
      <c r="A88" s="39"/>
      <c r="B88" s="43" t="str">
        <f>IFERROR(__xludf.DUMMYFUNCTION("IFERROR(
  LET(
    periodos, C$1:Z$1,
    marcas, C88:Z88,
    pos, MAX(
          FILTER(
            COLUMN(marcas)-COLUMN(C88)+1,
            marcas=""X""
          )
        ),
    ultimo, INDEX(periodos, pos),
    XLOOKUP(
      $A88,
      INDIRECT"&amp;"(""'""&amp;ultimo&amp;""'!C:C""),
      INDIRECT(""'""&amp;ultimo&amp;""'!A:A"")
    )
  ),
  """"
)"),"")</f>
        <v/>
      </c>
      <c r="C88" s="41" t="str">
        <f t="shared" ref="C88:J88" si="87">IF(
  COUNTIF(
    INDIRECT("'"&amp;C$1&amp;"'!C:C"),
    $A88
  )&gt;0,
  "X",
  ""
)</f>
        <v/>
      </c>
      <c r="D88" s="41" t="str">
        <f t="shared" si="87"/>
        <v/>
      </c>
      <c r="E88" s="41" t="str">
        <f t="shared" si="87"/>
        <v/>
      </c>
      <c r="F88" s="41" t="str">
        <f t="shared" si="87"/>
        <v/>
      </c>
      <c r="G88" s="41" t="str">
        <f t="shared" si="87"/>
        <v/>
      </c>
      <c r="H88" s="41" t="str">
        <f t="shared" si="87"/>
        <v/>
      </c>
      <c r="I88" s="41" t="str">
        <f t="shared" si="87"/>
        <v/>
      </c>
      <c r="J88" s="41" t="str">
        <f t="shared" si="87"/>
        <v/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67.5" customHeight="1">
      <c r="A89" s="39"/>
      <c r="B89" s="43" t="str">
        <f>IFERROR(__xludf.DUMMYFUNCTION("IFERROR(
  LET(
    periodos, C$1:Z$1,
    marcas, C89:Z89,
    pos, MAX(
          FILTER(
            COLUMN(marcas)-COLUMN(C89)+1,
            marcas=""X""
          )
        ),
    ultimo, INDEX(periodos, pos),
    XLOOKUP(
      $A89,
      INDIRECT"&amp;"(""'""&amp;ultimo&amp;""'!C:C""),
      INDIRECT(""'""&amp;ultimo&amp;""'!A:A"")
    )
  ),
  """"
)"),"")</f>
        <v/>
      </c>
      <c r="C89" s="41" t="str">
        <f t="shared" ref="C89:J89" si="88">IF(
  COUNTIF(
    INDIRECT("'"&amp;C$1&amp;"'!C:C"),
    $A89
  )&gt;0,
  "X",
  ""
)</f>
        <v/>
      </c>
      <c r="D89" s="41" t="str">
        <f t="shared" si="88"/>
        <v/>
      </c>
      <c r="E89" s="41" t="str">
        <f t="shared" si="88"/>
        <v/>
      </c>
      <c r="F89" s="41" t="str">
        <f t="shared" si="88"/>
        <v/>
      </c>
      <c r="G89" s="41" t="str">
        <f t="shared" si="88"/>
        <v/>
      </c>
      <c r="H89" s="41" t="str">
        <f t="shared" si="88"/>
        <v/>
      </c>
      <c r="I89" s="41" t="str">
        <f t="shared" si="88"/>
        <v/>
      </c>
      <c r="J89" s="41" t="str">
        <f t="shared" si="88"/>
        <v/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67.5" customHeight="1">
      <c r="A90" s="39"/>
      <c r="B90" s="43" t="str">
        <f>IFERROR(__xludf.DUMMYFUNCTION("IFERROR(
  LET(
    periodos, C$1:Z$1,
    marcas, C90:Z90,
    pos, MAX(
          FILTER(
            COLUMN(marcas)-COLUMN(C90)+1,
            marcas=""X""
          )
        ),
    ultimo, INDEX(periodos, pos),
    XLOOKUP(
      $A90,
      INDIRECT"&amp;"(""'""&amp;ultimo&amp;""'!C:C""),
      INDIRECT(""'""&amp;ultimo&amp;""'!A:A"")
    )
  ),
  """"
)"),"")</f>
        <v/>
      </c>
      <c r="C90" s="41" t="str">
        <f t="shared" ref="C90:J90" si="89">IF(
  COUNTIF(
    INDIRECT("'"&amp;C$1&amp;"'!C:C"),
    $A90
  )&gt;0,
  "X",
  ""
)</f>
        <v/>
      </c>
      <c r="D90" s="41" t="str">
        <f t="shared" si="89"/>
        <v/>
      </c>
      <c r="E90" s="41" t="str">
        <f t="shared" si="89"/>
        <v/>
      </c>
      <c r="F90" s="41" t="str">
        <f t="shared" si="89"/>
        <v/>
      </c>
      <c r="G90" s="41" t="str">
        <f t="shared" si="89"/>
        <v/>
      </c>
      <c r="H90" s="41" t="str">
        <f t="shared" si="89"/>
        <v/>
      </c>
      <c r="I90" s="41" t="str">
        <f t="shared" si="89"/>
        <v/>
      </c>
      <c r="J90" s="41" t="str">
        <f t="shared" si="89"/>
        <v/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67.5" customHeight="1">
      <c r="A91" s="39"/>
      <c r="B91" s="43" t="str">
        <f>IFERROR(__xludf.DUMMYFUNCTION("IFERROR(
  LET(
    periodos, C$1:Z$1,
    marcas, C91:Z91,
    pos, MAX(
          FILTER(
            COLUMN(marcas)-COLUMN(C91)+1,
            marcas=""X""
          )
        ),
    ultimo, INDEX(periodos, pos),
    XLOOKUP(
      $A91,
      INDIRECT"&amp;"(""'""&amp;ultimo&amp;""'!C:C""),
      INDIRECT(""'""&amp;ultimo&amp;""'!A:A"")
    )
  ),
  """"
)"),"")</f>
        <v/>
      </c>
      <c r="C91" s="41" t="str">
        <f t="shared" ref="C91:J91" si="90">IF(
  COUNTIF(
    INDIRECT("'"&amp;C$1&amp;"'!C:C"),
    $A91
  )&gt;0,
  "X",
  ""
)</f>
        <v/>
      </c>
      <c r="D91" s="41" t="str">
        <f t="shared" si="90"/>
        <v/>
      </c>
      <c r="E91" s="41" t="str">
        <f t="shared" si="90"/>
        <v/>
      </c>
      <c r="F91" s="41" t="str">
        <f t="shared" si="90"/>
        <v/>
      </c>
      <c r="G91" s="41" t="str">
        <f t="shared" si="90"/>
        <v/>
      </c>
      <c r="H91" s="41" t="str">
        <f t="shared" si="90"/>
        <v/>
      </c>
      <c r="I91" s="41" t="str">
        <f t="shared" si="90"/>
        <v/>
      </c>
      <c r="J91" s="41" t="str">
        <f t="shared" si="90"/>
        <v/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67.5" customHeight="1">
      <c r="A92" s="39"/>
      <c r="B92" s="43" t="str">
        <f>IFERROR(__xludf.DUMMYFUNCTION("IFERROR(
  LET(
    periodos, C$1:Z$1,
    marcas, C92:Z92,
    pos, MAX(
          FILTER(
            COLUMN(marcas)-COLUMN(C92)+1,
            marcas=""X""
          )
        ),
    ultimo, INDEX(periodos, pos),
    XLOOKUP(
      $A92,
      INDIRECT"&amp;"(""'""&amp;ultimo&amp;""'!C:C""),
      INDIRECT(""'""&amp;ultimo&amp;""'!A:A"")
    )
  ),
  """"
)"),"")</f>
        <v/>
      </c>
      <c r="C92" s="41" t="str">
        <f t="shared" ref="C92:J92" si="91">IF(
  COUNTIF(
    INDIRECT("'"&amp;C$1&amp;"'!C:C"),
    $A92
  )&gt;0,
  "X",
  ""
)</f>
        <v/>
      </c>
      <c r="D92" s="41" t="str">
        <f t="shared" si="91"/>
        <v/>
      </c>
      <c r="E92" s="41" t="str">
        <f t="shared" si="91"/>
        <v/>
      </c>
      <c r="F92" s="41" t="str">
        <f t="shared" si="91"/>
        <v/>
      </c>
      <c r="G92" s="41" t="str">
        <f t="shared" si="91"/>
        <v/>
      </c>
      <c r="H92" s="41" t="str">
        <f t="shared" si="91"/>
        <v/>
      </c>
      <c r="I92" s="41" t="str">
        <f t="shared" si="91"/>
        <v/>
      </c>
      <c r="J92" s="41" t="str">
        <f t="shared" si="91"/>
        <v/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67.5" customHeight="1">
      <c r="A93" s="39"/>
      <c r="B93" s="43" t="str">
        <f>IFERROR(__xludf.DUMMYFUNCTION("IFERROR(
  LET(
    periodos, C$1:Z$1,
    marcas, C93:Z93,
    pos, MAX(
          FILTER(
            COLUMN(marcas)-COLUMN(C93)+1,
            marcas=""X""
          )
        ),
    ultimo, INDEX(periodos, pos),
    XLOOKUP(
      $A93,
      INDIRECT"&amp;"(""'""&amp;ultimo&amp;""'!C:C""),
      INDIRECT(""'""&amp;ultimo&amp;""'!A:A"")
    )
  ),
  """"
)"),"")</f>
        <v/>
      </c>
      <c r="C93" s="41" t="str">
        <f t="shared" ref="C93:J93" si="92">IF(
  COUNTIF(
    INDIRECT("'"&amp;C$1&amp;"'!C:C"),
    $A93
  )&gt;0,
  "X",
  ""
)</f>
        <v/>
      </c>
      <c r="D93" s="41" t="str">
        <f t="shared" si="92"/>
        <v/>
      </c>
      <c r="E93" s="41" t="str">
        <f t="shared" si="92"/>
        <v/>
      </c>
      <c r="F93" s="41" t="str">
        <f t="shared" si="92"/>
        <v/>
      </c>
      <c r="G93" s="41" t="str">
        <f t="shared" si="92"/>
        <v/>
      </c>
      <c r="H93" s="41" t="str">
        <f t="shared" si="92"/>
        <v/>
      </c>
      <c r="I93" s="41" t="str">
        <f t="shared" si="92"/>
        <v/>
      </c>
      <c r="J93" s="41" t="str">
        <f t="shared" si="92"/>
        <v/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67.5" customHeight="1">
      <c r="A94" s="39"/>
      <c r="B94" s="43" t="str">
        <f>IFERROR(__xludf.DUMMYFUNCTION("IFERROR(
  LET(
    periodos, C$1:Z$1,
    marcas, C94:Z94,
    pos, MAX(
          FILTER(
            COLUMN(marcas)-COLUMN(C94)+1,
            marcas=""X""
          )
        ),
    ultimo, INDEX(periodos, pos),
    XLOOKUP(
      $A94,
      INDIRECT"&amp;"(""'""&amp;ultimo&amp;""'!C:C""),
      INDIRECT(""'""&amp;ultimo&amp;""'!A:A"")
    )
  ),
  """"
)"),"")</f>
        <v/>
      </c>
      <c r="C94" s="41" t="str">
        <f t="shared" ref="C94:J94" si="93">IF(
  COUNTIF(
    INDIRECT("'"&amp;C$1&amp;"'!C:C"),
    $A94
  )&gt;0,
  "X",
  ""
)</f>
        <v/>
      </c>
      <c r="D94" s="41" t="str">
        <f t="shared" si="93"/>
        <v/>
      </c>
      <c r="E94" s="41" t="str">
        <f t="shared" si="93"/>
        <v/>
      </c>
      <c r="F94" s="41" t="str">
        <f t="shared" si="93"/>
        <v/>
      </c>
      <c r="G94" s="41" t="str">
        <f t="shared" si="93"/>
        <v/>
      </c>
      <c r="H94" s="41" t="str">
        <f t="shared" si="93"/>
        <v/>
      </c>
      <c r="I94" s="41" t="str">
        <f t="shared" si="93"/>
        <v/>
      </c>
      <c r="J94" s="41" t="str">
        <f t="shared" si="93"/>
        <v/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67.5" customHeight="1">
      <c r="A95" s="39"/>
      <c r="B95" s="43" t="str">
        <f>IFERROR(__xludf.DUMMYFUNCTION("IFERROR(
  LET(
    periodos, C$1:Z$1,
    marcas, C95:Z95,
    pos, MAX(
          FILTER(
            COLUMN(marcas)-COLUMN(C95)+1,
            marcas=""X""
          )
        ),
    ultimo, INDEX(periodos, pos),
    XLOOKUP(
      $A95,
      INDIRECT"&amp;"(""'""&amp;ultimo&amp;""'!C:C""),
      INDIRECT(""'""&amp;ultimo&amp;""'!A:A"")
    )
  ),
  """"
)"),"")</f>
        <v/>
      </c>
      <c r="C95" s="41" t="str">
        <f t="shared" ref="C95:J95" si="94">IF(
  COUNTIF(
    INDIRECT("'"&amp;C$1&amp;"'!C:C"),
    $A95
  )&gt;0,
  "X",
  ""
)</f>
        <v/>
      </c>
      <c r="D95" s="41" t="str">
        <f t="shared" si="94"/>
        <v/>
      </c>
      <c r="E95" s="41" t="str">
        <f t="shared" si="94"/>
        <v/>
      </c>
      <c r="F95" s="41" t="str">
        <f t="shared" si="94"/>
        <v/>
      </c>
      <c r="G95" s="41" t="str">
        <f t="shared" si="94"/>
        <v/>
      </c>
      <c r="H95" s="41" t="str">
        <f t="shared" si="94"/>
        <v/>
      </c>
      <c r="I95" s="41" t="str">
        <f t="shared" si="94"/>
        <v/>
      </c>
      <c r="J95" s="41" t="str">
        <f t="shared" si="94"/>
        <v/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67.5" customHeight="1">
      <c r="A96" s="39"/>
      <c r="B96" s="43" t="str">
        <f>IFERROR(__xludf.DUMMYFUNCTION("IFERROR(
  LET(
    periodos, C$1:Z$1,
    marcas, C96:Z96,
    pos, MAX(
          FILTER(
            COLUMN(marcas)-COLUMN(C96)+1,
            marcas=""X""
          )
        ),
    ultimo, INDEX(periodos, pos),
    XLOOKUP(
      $A96,
      INDIRECT"&amp;"(""'""&amp;ultimo&amp;""'!C:C""),
      INDIRECT(""'""&amp;ultimo&amp;""'!A:A"")
    )
  ),
  """"
)"),"")</f>
        <v/>
      </c>
      <c r="C96" s="41" t="str">
        <f t="shared" ref="C96:J96" si="95">IF(
  COUNTIF(
    INDIRECT("'"&amp;C$1&amp;"'!C:C"),
    $A96
  )&gt;0,
  "X",
  ""
)</f>
        <v/>
      </c>
      <c r="D96" s="41" t="str">
        <f t="shared" si="95"/>
        <v/>
      </c>
      <c r="E96" s="41" t="str">
        <f t="shared" si="95"/>
        <v/>
      </c>
      <c r="F96" s="41" t="str">
        <f t="shared" si="95"/>
        <v/>
      </c>
      <c r="G96" s="41" t="str">
        <f t="shared" si="95"/>
        <v/>
      </c>
      <c r="H96" s="41" t="str">
        <f t="shared" si="95"/>
        <v/>
      </c>
      <c r="I96" s="41" t="str">
        <f t="shared" si="95"/>
        <v/>
      </c>
      <c r="J96" s="41" t="str">
        <f t="shared" si="95"/>
        <v/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67.5" customHeight="1">
      <c r="A97" s="39"/>
      <c r="B97" s="43" t="str">
        <f>IFERROR(__xludf.DUMMYFUNCTION("IFERROR(
  LET(
    periodos, C$1:Z$1,
    marcas, C97:Z97,
    pos, MAX(
          FILTER(
            COLUMN(marcas)-COLUMN(C97)+1,
            marcas=""X""
          )
        ),
    ultimo, INDEX(periodos, pos),
    XLOOKUP(
      $A97,
      INDIRECT"&amp;"(""'""&amp;ultimo&amp;""'!C:C""),
      INDIRECT(""'""&amp;ultimo&amp;""'!A:A"")
    )
  ),
  """"
)"),"")</f>
        <v/>
      </c>
      <c r="C97" s="41" t="str">
        <f t="shared" ref="C97:J97" si="96">IF(
  COUNTIF(
    INDIRECT("'"&amp;C$1&amp;"'!C:C"),
    $A97
  )&gt;0,
  "X",
  ""
)</f>
        <v/>
      </c>
      <c r="D97" s="41" t="str">
        <f t="shared" si="96"/>
        <v/>
      </c>
      <c r="E97" s="41" t="str">
        <f t="shared" si="96"/>
        <v/>
      </c>
      <c r="F97" s="41" t="str">
        <f t="shared" si="96"/>
        <v/>
      </c>
      <c r="G97" s="41" t="str">
        <f t="shared" si="96"/>
        <v/>
      </c>
      <c r="H97" s="41" t="str">
        <f t="shared" si="96"/>
        <v/>
      </c>
      <c r="I97" s="41" t="str">
        <f t="shared" si="96"/>
        <v/>
      </c>
      <c r="J97" s="41" t="str">
        <f t="shared" si="96"/>
        <v/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67.5" customHeight="1">
      <c r="A98" s="39"/>
      <c r="B98" s="43" t="str">
        <f>IFERROR(__xludf.DUMMYFUNCTION("IFERROR(
  LET(
    periodos, C$1:Z$1,
    marcas, C98:Z98,
    pos, MAX(
          FILTER(
            COLUMN(marcas)-COLUMN(C98)+1,
            marcas=""X""
          )
        ),
    ultimo, INDEX(periodos, pos),
    XLOOKUP(
      $A98,
      INDIRECT"&amp;"(""'""&amp;ultimo&amp;""'!C:C""),
      INDIRECT(""'""&amp;ultimo&amp;""'!A:A"")
    )
  ),
  """"
)"),"")</f>
        <v/>
      </c>
      <c r="C98" s="41" t="str">
        <f t="shared" ref="C98:J98" si="97">IF(
  COUNTIF(
    INDIRECT("'"&amp;C$1&amp;"'!C:C"),
    $A98
  )&gt;0,
  "X",
  ""
)</f>
        <v/>
      </c>
      <c r="D98" s="41" t="str">
        <f t="shared" si="97"/>
        <v/>
      </c>
      <c r="E98" s="41" t="str">
        <f t="shared" si="97"/>
        <v/>
      </c>
      <c r="F98" s="41" t="str">
        <f t="shared" si="97"/>
        <v/>
      </c>
      <c r="G98" s="41" t="str">
        <f t="shared" si="97"/>
        <v/>
      </c>
      <c r="H98" s="41" t="str">
        <f t="shared" si="97"/>
        <v/>
      </c>
      <c r="I98" s="41" t="str">
        <f t="shared" si="97"/>
        <v/>
      </c>
      <c r="J98" s="41" t="str">
        <f t="shared" si="97"/>
        <v/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67.5" customHeight="1">
      <c r="A99" s="39"/>
      <c r="B99" s="43" t="str">
        <f>IFERROR(__xludf.DUMMYFUNCTION("IFERROR(
  LET(
    periodos, C$1:Z$1,
    marcas, C99:Z99,
    pos, MAX(
          FILTER(
            COLUMN(marcas)-COLUMN(C99)+1,
            marcas=""X""
          )
        ),
    ultimo, INDEX(periodos, pos),
    XLOOKUP(
      $A99,
      INDIRECT"&amp;"(""'""&amp;ultimo&amp;""'!C:C""),
      INDIRECT(""'""&amp;ultimo&amp;""'!A:A"")
    )
  ),
  """"
)"),"")</f>
        <v/>
      </c>
      <c r="C99" s="41" t="str">
        <f t="shared" ref="C99:J99" si="98">IF(
  COUNTIF(
    INDIRECT("'"&amp;C$1&amp;"'!C:C"),
    $A99
  )&gt;0,
  "X",
  ""
)</f>
        <v/>
      </c>
      <c r="D99" s="41" t="str">
        <f t="shared" si="98"/>
        <v/>
      </c>
      <c r="E99" s="41" t="str">
        <f t="shared" si="98"/>
        <v/>
      </c>
      <c r="F99" s="41" t="str">
        <f t="shared" si="98"/>
        <v/>
      </c>
      <c r="G99" s="41" t="str">
        <f t="shared" si="98"/>
        <v/>
      </c>
      <c r="H99" s="41" t="str">
        <f t="shared" si="98"/>
        <v/>
      </c>
      <c r="I99" s="41" t="str">
        <f t="shared" si="98"/>
        <v/>
      </c>
      <c r="J99" s="41" t="str">
        <f t="shared" si="98"/>
        <v/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67.5" customHeight="1">
      <c r="A100" s="39"/>
      <c r="B100" s="43" t="str">
        <f>IFERROR(__xludf.DUMMYFUNCTION("IFERROR(
  LET(
    periodos, C$1:Z$1,
    marcas, C100:Z100,
    pos, MAX(
          FILTER(
            COLUMN(marcas)-COLUMN(C100)+1,
            marcas=""X""
          )
        ),
    ultimo, INDEX(periodos, pos),
    XLOOKUP(
      $A100,
      INDI"&amp;"RECT(""'""&amp;ultimo&amp;""'!C:C""),
      INDIRECT(""'""&amp;ultimo&amp;""'!A:A"")
    )
  ),
  """"
)"),"")</f>
        <v/>
      </c>
      <c r="C100" s="41" t="str">
        <f t="shared" ref="C100:J100" si="99">IF(
  COUNTIF(
    INDIRECT("'"&amp;C$1&amp;"'!C:C"),
    $A100
  )&gt;0,
  "X",
  ""
)</f>
        <v/>
      </c>
      <c r="D100" s="41" t="str">
        <f t="shared" si="99"/>
        <v/>
      </c>
      <c r="E100" s="41" t="str">
        <f t="shared" si="99"/>
        <v/>
      </c>
      <c r="F100" s="41" t="str">
        <f t="shared" si="99"/>
        <v/>
      </c>
      <c r="G100" s="41" t="str">
        <f t="shared" si="99"/>
        <v/>
      </c>
      <c r="H100" s="41" t="str">
        <f t="shared" si="99"/>
        <v/>
      </c>
      <c r="I100" s="41" t="str">
        <f t="shared" si="99"/>
        <v/>
      </c>
      <c r="J100" s="41" t="str">
        <f t="shared" si="99"/>
        <v/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67.5" customHeight="1">
      <c r="A101" s="39"/>
      <c r="B101" s="43" t="str">
        <f>IFERROR(__xludf.DUMMYFUNCTION("IFERROR(
  LET(
    periodos, C$1:Z$1,
    marcas, C101:Z101,
    pos, MAX(
          FILTER(
            COLUMN(marcas)-COLUMN(C101)+1,
            marcas=""X""
          )
        ),
    ultimo, INDEX(periodos, pos),
    XLOOKUP(
      $A101,
      INDI"&amp;"RECT(""'""&amp;ultimo&amp;""'!C:C""),
      INDIRECT(""'""&amp;ultimo&amp;""'!A:A"")
    )
  ),
  """"
)"),"")</f>
        <v/>
      </c>
      <c r="C101" s="41" t="str">
        <f t="shared" ref="C101:J101" si="100">IF(
  COUNTIF(
    INDIRECT("'"&amp;C$1&amp;"'!C:C"),
    $A101
  )&gt;0,
  "X",
  ""
)</f>
        <v/>
      </c>
      <c r="D101" s="41" t="str">
        <f t="shared" si="100"/>
        <v/>
      </c>
      <c r="E101" s="41" t="str">
        <f t="shared" si="100"/>
        <v/>
      </c>
      <c r="F101" s="41" t="str">
        <f t="shared" si="100"/>
        <v/>
      </c>
      <c r="G101" s="41" t="str">
        <f t="shared" si="100"/>
        <v/>
      </c>
      <c r="H101" s="41" t="str">
        <f t="shared" si="100"/>
        <v/>
      </c>
      <c r="I101" s="41" t="str">
        <f t="shared" si="100"/>
        <v/>
      </c>
      <c r="J101" s="41" t="str">
        <f t="shared" si="100"/>
        <v/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67.5" customHeight="1">
      <c r="A102" s="39"/>
      <c r="B102" s="43" t="str">
        <f>IFERROR(__xludf.DUMMYFUNCTION("IFERROR(
  LET(
    periodos, C$1:Z$1,
    marcas, C102:Z102,
    pos, MAX(
          FILTER(
            COLUMN(marcas)-COLUMN(C102)+1,
            marcas=""X""
          )
        ),
    ultimo, INDEX(periodos, pos),
    XLOOKUP(
      $A102,
      INDI"&amp;"RECT(""'""&amp;ultimo&amp;""'!C:C""),
      INDIRECT(""'""&amp;ultimo&amp;""'!A:A"")
    )
  ),
  """"
)"),"")</f>
        <v/>
      </c>
      <c r="C102" s="41" t="str">
        <f t="shared" ref="C102:J102" si="101">IF(
  COUNTIF(
    INDIRECT("'"&amp;C$1&amp;"'!C:C"),
    $A102
  )&gt;0,
  "X",
  ""
)</f>
        <v/>
      </c>
      <c r="D102" s="41" t="str">
        <f t="shared" si="101"/>
        <v/>
      </c>
      <c r="E102" s="41" t="str">
        <f t="shared" si="101"/>
        <v/>
      </c>
      <c r="F102" s="41" t="str">
        <f t="shared" si="101"/>
        <v/>
      </c>
      <c r="G102" s="41" t="str">
        <f t="shared" si="101"/>
        <v/>
      </c>
      <c r="H102" s="41" t="str">
        <f t="shared" si="101"/>
        <v/>
      </c>
      <c r="I102" s="41" t="str">
        <f t="shared" si="101"/>
        <v/>
      </c>
      <c r="J102" s="41" t="str">
        <f t="shared" si="101"/>
        <v/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67.5" customHeight="1">
      <c r="A103" s="39"/>
      <c r="B103" s="43" t="str">
        <f>IFERROR(__xludf.DUMMYFUNCTION("IFERROR(
  LET(
    periodos, C$1:Z$1,
    marcas, C103:Z103,
    pos, MAX(
          FILTER(
            COLUMN(marcas)-COLUMN(C103)+1,
            marcas=""X""
          )
        ),
    ultimo, INDEX(periodos, pos),
    XLOOKUP(
      $A103,
      INDI"&amp;"RECT(""'""&amp;ultimo&amp;""'!C:C""),
      INDIRECT(""'""&amp;ultimo&amp;""'!A:A"")
    )
  ),
  """"
)"),"")</f>
        <v/>
      </c>
      <c r="C103" s="41" t="str">
        <f t="shared" ref="C103:J103" si="102">IF(
  COUNTIF(
    INDIRECT("'"&amp;C$1&amp;"'!C:C"),
    $A103
  )&gt;0,
  "X",
  ""
)</f>
        <v/>
      </c>
      <c r="D103" s="41" t="str">
        <f t="shared" si="102"/>
        <v/>
      </c>
      <c r="E103" s="41" t="str">
        <f t="shared" si="102"/>
        <v/>
      </c>
      <c r="F103" s="41" t="str">
        <f t="shared" si="102"/>
        <v/>
      </c>
      <c r="G103" s="41" t="str">
        <f t="shared" si="102"/>
        <v/>
      </c>
      <c r="H103" s="41" t="str">
        <f t="shared" si="102"/>
        <v/>
      </c>
      <c r="I103" s="41" t="str">
        <f t="shared" si="102"/>
        <v/>
      </c>
      <c r="J103" s="41" t="str">
        <f t="shared" si="102"/>
        <v/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67.5" customHeight="1">
      <c r="A104" s="39"/>
      <c r="B104" s="43" t="str">
        <f>IFERROR(__xludf.DUMMYFUNCTION("IFERROR(
  LET(
    periodos, C$1:Z$1,
    marcas, C104:Z104,
    pos, MAX(
          FILTER(
            COLUMN(marcas)-COLUMN(C104)+1,
            marcas=""X""
          )
        ),
    ultimo, INDEX(periodos, pos),
    XLOOKUP(
      $A104,
      INDI"&amp;"RECT(""'""&amp;ultimo&amp;""'!C:C""),
      INDIRECT(""'""&amp;ultimo&amp;""'!A:A"")
    )
  ),
  """"
)"),"")</f>
        <v/>
      </c>
      <c r="C104" s="41" t="str">
        <f t="shared" ref="C104:J104" si="103">IF(
  COUNTIF(
    INDIRECT("'"&amp;C$1&amp;"'!C:C"),
    $A104
  )&gt;0,
  "X",
  ""
)</f>
        <v/>
      </c>
      <c r="D104" s="41" t="str">
        <f t="shared" si="103"/>
        <v/>
      </c>
      <c r="E104" s="41" t="str">
        <f t="shared" si="103"/>
        <v/>
      </c>
      <c r="F104" s="41" t="str">
        <f t="shared" si="103"/>
        <v/>
      </c>
      <c r="G104" s="41" t="str">
        <f t="shared" si="103"/>
        <v/>
      </c>
      <c r="H104" s="41" t="str">
        <f t="shared" si="103"/>
        <v/>
      </c>
      <c r="I104" s="41" t="str">
        <f t="shared" si="103"/>
        <v/>
      </c>
      <c r="J104" s="41" t="str">
        <f t="shared" si="103"/>
        <v/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67.5" customHeight="1">
      <c r="A105" s="39"/>
      <c r="B105" s="43" t="str">
        <f>IFERROR(__xludf.DUMMYFUNCTION("IFERROR(
  LET(
    periodos, C$1:Z$1,
    marcas, C105:Z105,
    pos, MAX(
          FILTER(
            COLUMN(marcas)-COLUMN(C105)+1,
            marcas=""X""
          )
        ),
    ultimo, INDEX(periodos, pos),
    XLOOKUP(
      $A105,
      INDI"&amp;"RECT(""'""&amp;ultimo&amp;""'!C:C""),
      INDIRECT(""'""&amp;ultimo&amp;""'!A:A"")
    )
  ),
  """"
)"),"")</f>
        <v/>
      </c>
      <c r="C105" s="41" t="str">
        <f t="shared" ref="C105:J105" si="104">IF(
  COUNTIF(
    INDIRECT("'"&amp;C$1&amp;"'!C:C"),
    $A105
  )&gt;0,
  "X",
  ""
)</f>
        <v/>
      </c>
      <c r="D105" s="41" t="str">
        <f t="shared" si="104"/>
        <v/>
      </c>
      <c r="E105" s="41" t="str">
        <f t="shared" si="104"/>
        <v/>
      </c>
      <c r="F105" s="41" t="str">
        <f t="shared" si="104"/>
        <v/>
      </c>
      <c r="G105" s="41" t="str">
        <f t="shared" si="104"/>
        <v/>
      </c>
      <c r="H105" s="41" t="str">
        <f t="shared" si="104"/>
        <v/>
      </c>
      <c r="I105" s="41" t="str">
        <f t="shared" si="104"/>
        <v/>
      </c>
      <c r="J105" s="41" t="str">
        <f t="shared" si="104"/>
        <v/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67.5" customHeight="1">
      <c r="A106" s="39"/>
      <c r="B106" s="43" t="str">
        <f>IFERROR(__xludf.DUMMYFUNCTION("IFERROR(
  LET(
    periodos, C$1:Z$1,
    marcas, C106:Z106,
    pos, MAX(
          FILTER(
            COLUMN(marcas)-COLUMN(C106)+1,
            marcas=""X""
          )
        ),
    ultimo, INDEX(periodos, pos),
    XLOOKUP(
      $A106,
      INDI"&amp;"RECT(""'""&amp;ultimo&amp;""'!C:C""),
      INDIRECT(""'""&amp;ultimo&amp;""'!A:A"")
    )
  ),
  """"
)"),"")</f>
        <v/>
      </c>
      <c r="C106" s="41" t="str">
        <f t="shared" ref="C106:J106" si="105">IF(
  COUNTIF(
    INDIRECT("'"&amp;C$1&amp;"'!C:C"),
    $A106
  )&gt;0,
  "X",
  ""
)</f>
        <v/>
      </c>
      <c r="D106" s="41" t="str">
        <f t="shared" si="105"/>
        <v/>
      </c>
      <c r="E106" s="41" t="str">
        <f t="shared" si="105"/>
        <v/>
      </c>
      <c r="F106" s="41" t="str">
        <f t="shared" si="105"/>
        <v/>
      </c>
      <c r="G106" s="41" t="str">
        <f t="shared" si="105"/>
        <v/>
      </c>
      <c r="H106" s="41" t="str">
        <f t="shared" si="105"/>
        <v/>
      </c>
      <c r="I106" s="41" t="str">
        <f t="shared" si="105"/>
        <v/>
      </c>
      <c r="J106" s="41" t="str">
        <f t="shared" si="105"/>
        <v/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67.5" customHeight="1">
      <c r="A107" s="39"/>
      <c r="B107" s="43" t="str">
        <f>IFERROR(__xludf.DUMMYFUNCTION("IFERROR(
  LET(
    periodos, C$1:Z$1,
    marcas, C107:Z107,
    pos, MAX(
          FILTER(
            COLUMN(marcas)-COLUMN(C107)+1,
            marcas=""X""
          )
        ),
    ultimo, INDEX(periodos, pos),
    XLOOKUP(
      $A107,
      INDI"&amp;"RECT(""'""&amp;ultimo&amp;""'!C:C""),
      INDIRECT(""'""&amp;ultimo&amp;""'!A:A"")
    )
  ),
  """"
)"),"")</f>
        <v/>
      </c>
      <c r="C107" s="41" t="str">
        <f t="shared" ref="C107:J107" si="106">IF(
  COUNTIF(
    INDIRECT("'"&amp;C$1&amp;"'!C:C"),
    $A107
  )&gt;0,
  "X",
  ""
)</f>
        <v/>
      </c>
      <c r="D107" s="41" t="str">
        <f t="shared" si="106"/>
        <v/>
      </c>
      <c r="E107" s="41" t="str">
        <f t="shared" si="106"/>
        <v/>
      </c>
      <c r="F107" s="41" t="str">
        <f t="shared" si="106"/>
        <v/>
      </c>
      <c r="G107" s="41" t="str">
        <f t="shared" si="106"/>
        <v/>
      </c>
      <c r="H107" s="41" t="str">
        <f t="shared" si="106"/>
        <v/>
      </c>
      <c r="I107" s="41" t="str">
        <f t="shared" si="106"/>
        <v/>
      </c>
      <c r="J107" s="41" t="str">
        <f t="shared" si="106"/>
        <v/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67.5" customHeight="1">
      <c r="A108" s="39"/>
      <c r="B108" s="43" t="str">
        <f>IFERROR(__xludf.DUMMYFUNCTION("IFERROR(
  LET(
    periodos, C$1:Z$1,
    marcas, C108:Z108,
    pos, MAX(
          FILTER(
            COLUMN(marcas)-COLUMN(C108)+1,
            marcas=""X""
          )
        ),
    ultimo, INDEX(periodos, pos),
    XLOOKUP(
      $A108,
      INDI"&amp;"RECT(""'""&amp;ultimo&amp;""'!C:C""),
      INDIRECT(""'""&amp;ultimo&amp;""'!A:A"")
    )
  ),
  """"
)"),"")</f>
        <v/>
      </c>
      <c r="C108" s="41" t="str">
        <f t="shared" ref="C108:J108" si="107">IF(
  COUNTIF(
    INDIRECT("'"&amp;C$1&amp;"'!C:C"),
    $A108
  )&gt;0,
  "X",
  ""
)</f>
        <v/>
      </c>
      <c r="D108" s="41" t="str">
        <f t="shared" si="107"/>
        <v/>
      </c>
      <c r="E108" s="41" t="str">
        <f t="shared" si="107"/>
        <v/>
      </c>
      <c r="F108" s="41" t="str">
        <f t="shared" si="107"/>
        <v/>
      </c>
      <c r="G108" s="41" t="str">
        <f t="shared" si="107"/>
        <v/>
      </c>
      <c r="H108" s="41" t="str">
        <f t="shared" si="107"/>
        <v/>
      </c>
      <c r="I108" s="41" t="str">
        <f t="shared" si="107"/>
        <v/>
      </c>
      <c r="J108" s="41" t="str">
        <f t="shared" si="107"/>
        <v/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67.5" customHeight="1">
      <c r="A109" s="39"/>
      <c r="B109" s="43" t="str">
        <f>IFERROR(__xludf.DUMMYFUNCTION("IFERROR(
  LET(
    periodos, C$1:Z$1,
    marcas, C109:Z109,
    pos, MAX(
          FILTER(
            COLUMN(marcas)-COLUMN(C109)+1,
            marcas=""X""
          )
        ),
    ultimo, INDEX(periodos, pos),
    XLOOKUP(
      $A109,
      INDI"&amp;"RECT(""'""&amp;ultimo&amp;""'!C:C""),
      INDIRECT(""'""&amp;ultimo&amp;""'!A:A"")
    )
  ),
  """"
)"),"")</f>
        <v/>
      </c>
      <c r="C109" s="41" t="str">
        <f t="shared" ref="C109:J109" si="108">IF(
  COUNTIF(
    INDIRECT("'"&amp;C$1&amp;"'!C:C"),
    $A109
  )&gt;0,
  "X",
  ""
)</f>
        <v/>
      </c>
      <c r="D109" s="41" t="str">
        <f t="shared" si="108"/>
        <v/>
      </c>
      <c r="E109" s="41" t="str">
        <f t="shared" si="108"/>
        <v/>
      </c>
      <c r="F109" s="41" t="str">
        <f t="shared" si="108"/>
        <v/>
      </c>
      <c r="G109" s="41" t="str">
        <f t="shared" si="108"/>
        <v/>
      </c>
      <c r="H109" s="41" t="str">
        <f t="shared" si="108"/>
        <v/>
      </c>
      <c r="I109" s="41" t="str">
        <f t="shared" si="108"/>
        <v/>
      </c>
      <c r="J109" s="41" t="str">
        <f t="shared" si="108"/>
        <v/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67.5" customHeight="1">
      <c r="A110" s="39"/>
      <c r="B110" s="43" t="str">
        <f>IFERROR(__xludf.DUMMYFUNCTION("IFERROR(
  LET(
    periodos, C$1:Z$1,
    marcas, C110:Z110,
    pos, MAX(
          FILTER(
            COLUMN(marcas)-COLUMN(C110)+1,
            marcas=""X""
          )
        ),
    ultimo, INDEX(periodos, pos),
    XLOOKUP(
      $A110,
      INDI"&amp;"RECT(""'""&amp;ultimo&amp;""'!C:C""),
      INDIRECT(""'""&amp;ultimo&amp;""'!A:A"")
    )
  ),
  """"
)"),"")</f>
        <v/>
      </c>
      <c r="C110" s="41" t="str">
        <f t="shared" ref="C110:J110" si="109">IF(
  COUNTIF(
    INDIRECT("'"&amp;C$1&amp;"'!C:C"),
    $A110
  )&gt;0,
  "X",
  ""
)</f>
        <v/>
      </c>
      <c r="D110" s="41" t="str">
        <f t="shared" si="109"/>
        <v/>
      </c>
      <c r="E110" s="41" t="str">
        <f t="shared" si="109"/>
        <v/>
      </c>
      <c r="F110" s="41" t="str">
        <f t="shared" si="109"/>
        <v/>
      </c>
      <c r="G110" s="41" t="str">
        <f t="shared" si="109"/>
        <v/>
      </c>
      <c r="H110" s="41" t="str">
        <f t="shared" si="109"/>
        <v/>
      </c>
      <c r="I110" s="41" t="str">
        <f t="shared" si="109"/>
        <v/>
      </c>
      <c r="J110" s="41" t="str">
        <f t="shared" si="109"/>
        <v/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67.5" customHeight="1">
      <c r="A111" s="39"/>
      <c r="B111" s="43" t="str">
        <f>IFERROR(__xludf.DUMMYFUNCTION("IFERROR(
  LET(
    periodos, C$1:Z$1,
    marcas, C111:Z111,
    pos, MAX(
          FILTER(
            COLUMN(marcas)-COLUMN(C111)+1,
            marcas=""X""
          )
        ),
    ultimo, INDEX(periodos, pos),
    XLOOKUP(
      $A111,
      INDI"&amp;"RECT(""'""&amp;ultimo&amp;""'!C:C""),
      INDIRECT(""'""&amp;ultimo&amp;""'!A:A"")
    )
  ),
  """"
)"),"")</f>
        <v/>
      </c>
      <c r="C111" s="41" t="str">
        <f t="shared" ref="C111:J111" si="110">IF(
  COUNTIF(
    INDIRECT("'"&amp;C$1&amp;"'!C:C"),
    $A111
  )&gt;0,
  "X",
  ""
)</f>
        <v/>
      </c>
      <c r="D111" s="41" t="str">
        <f t="shared" si="110"/>
        <v/>
      </c>
      <c r="E111" s="41" t="str">
        <f t="shared" si="110"/>
        <v/>
      </c>
      <c r="F111" s="41" t="str">
        <f t="shared" si="110"/>
        <v/>
      </c>
      <c r="G111" s="41" t="str">
        <f t="shared" si="110"/>
        <v/>
      </c>
      <c r="H111" s="41" t="str">
        <f t="shared" si="110"/>
        <v/>
      </c>
      <c r="I111" s="41" t="str">
        <f t="shared" si="110"/>
        <v/>
      </c>
      <c r="J111" s="41" t="str">
        <f t="shared" si="110"/>
        <v/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67.5" customHeight="1">
      <c r="A112" s="39"/>
      <c r="B112" s="43" t="str">
        <f>IFERROR(__xludf.DUMMYFUNCTION("IFERROR(
  LET(
    periodos, C$1:Z$1,
    marcas, C112:Z112,
    pos, MAX(
          FILTER(
            COLUMN(marcas)-COLUMN(C112)+1,
            marcas=""X""
          )
        ),
    ultimo, INDEX(periodos, pos),
    XLOOKUP(
      $A112,
      INDI"&amp;"RECT(""'""&amp;ultimo&amp;""'!C:C""),
      INDIRECT(""'""&amp;ultimo&amp;""'!A:A"")
    )
  ),
  """"
)"),"")</f>
        <v/>
      </c>
      <c r="C112" s="41" t="str">
        <f t="shared" ref="C112:J112" si="111">IF(
  COUNTIF(
    INDIRECT("'"&amp;C$1&amp;"'!C:C"),
    $A112
  )&gt;0,
  "X",
  ""
)</f>
        <v/>
      </c>
      <c r="D112" s="41" t="str">
        <f t="shared" si="111"/>
        <v/>
      </c>
      <c r="E112" s="41" t="str">
        <f t="shared" si="111"/>
        <v/>
      </c>
      <c r="F112" s="41" t="str">
        <f t="shared" si="111"/>
        <v/>
      </c>
      <c r="G112" s="41" t="str">
        <f t="shared" si="111"/>
        <v/>
      </c>
      <c r="H112" s="41" t="str">
        <f t="shared" si="111"/>
        <v/>
      </c>
      <c r="I112" s="41" t="str">
        <f t="shared" si="111"/>
        <v/>
      </c>
      <c r="J112" s="41" t="str">
        <f t="shared" si="111"/>
        <v/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67.5" customHeight="1">
      <c r="A113" s="39"/>
      <c r="B113" s="43" t="str">
        <f>IFERROR(__xludf.DUMMYFUNCTION("IFERROR(
  LET(
    periodos, C$1:Z$1,
    marcas, C113:Z113,
    pos, MAX(
          FILTER(
            COLUMN(marcas)-COLUMN(C113)+1,
            marcas=""X""
          )
        ),
    ultimo, INDEX(periodos, pos),
    XLOOKUP(
      $A113,
      INDI"&amp;"RECT(""'""&amp;ultimo&amp;""'!C:C""),
      INDIRECT(""'""&amp;ultimo&amp;""'!A:A"")
    )
  ),
  """"
)"),"")</f>
        <v/>
      </c>
      <c r="C113" s="41" t="str">
        <f t="shared" ref="C113:J113" si="112">IF(
  COUNTIF(
    INDIRECT("'"&amp;C$1&amp;"'!C:C"),
    $A113
  )&gt;0,
  "X",
  ""
)</f>
        <v/>
      </c>
      <c r="D113" s="41" t="str">
        <f t="shared" si="112"/>
        <v/>
      </c>
      <c r="E113" s="41" t="str">
        <f t="shared" si="112"/>
        <v/>
      </c>
      <c r="F113" s="41" t="str">
        <f t="shared" si="112"/>
        <v/>
      </c>
      <c r="G113" s="41" t="str">
        <f t="shared" si="112"/>
        <v/>
      </c>
      <c r="H113" s="41" t="str">
        <f t="shared" si="112"/>
        <v/>
      </c>
      <c r="I113" s="41" t="str">
        <f t="shared" si="112"/>
        <v/>
      </c>
      <c r="J113" s="41" t="str">
        <f t="shared" si="112"/>
        <v/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67.5" customHeight="1">
      <c r="A114" s="39"/>
      <c r="B114" s="43" t="str">
        <f>IFERROR(__xludf.DUMMYFUNCTION("IFERROR(
  LET(
    periodos, C$1:Z$1,
    marcas, C114:Z114,
    pos, MAX(
          FILTER(
            COLUMN(marcas)-COLUMN(C114)+1,
            marcas=""X""
          )
        ),
    ultimo, INDEX(periodos, pos),
    XLOOKUP(
      $A114,
      INDI"&amp;"RECT(""'""&amp;ultimo&amp;""'!C:C""),
      INDIRECT(""'""&amp;ultimo&amp;""'!A:A"")
    )
  ),
  """"
)"),"")</f>
        <v/>
      </c>
      <c r="C114" s="41" t="str">
        <f t="shared" ref="C114:J114" si="113">IF(
  COUNTIF(
    INDIRECT("'"&amp;C$1&amp;"'!C:C"),
    $A114
  )&gt;0,
  "X",
  ""
)</f>
        <v/>
      </c>
      <c r="D114" s="41" t="str">
        <f t="shared" si="113"/>
        <v/>
      </c>
      <c r="E114" s="41" t="str">
        <f t="shared" si="113"/>
        <v/>
      </c>
      <c r="F114" s="41" t="str">
        <f t="shared" si="113"/>
        <v/>
      </c>
      <c r="G114" s="41" t="str">
        <f t="shared" si="113"/>
        <v/>
      </c>
      <c r="H114" s="41" t="str">
        <f t="shared" si="113"/>
        <v/>
      </c>
      <c r="I114" s="41" t="str">
        <f t="shared" si="113"/>
        <v/>
      </c>
      <c r="J114" s="41" t="str">
        <f t="shared" si="113"/>
        <v/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67.5" customHeight="1">
      <c r="A115" s="39"/>
      <c r="B115" s="43" t="str">
        <f>IFERROR(__xludf.DUMMYFUNCTION("IFERROR(
  LET(
    periodos, C$1:Z$1,
    marcas, C115:Z115,
    pos, MAX(
          FILTER(
            COLUMN(marcas)-COLUMN(C115)+1,
            marcas=""X""
          )
        ),
    ultimo, INDEX(periodos, pos),
    XLOOKUP(
      $A115,
      INDI"&amp;"RECT(""'""&amp;ultimo&amp;""'!C:C""),
      INDIRECT(""'""&amp;ultimo&amp;""'!A:A"")
    )
  ),
  """"
)"),"")</f>
        <v/>
      </c>
      <c r="C115" s="41" t="str">
        <f t="shared" ref="C115:J115" si="114">IF(
  COUNTIF(
    INDIRECT("'"&amp;C$1&amp;"'!C:C"),
    $A115
  )&gt;0,
  "X",
  ""
)</f>
        <v/>
      </c>
      <c r="D115" s="41" t="str">
        <f t="shared" si="114"/>
        <v/>
      </c>
      <c r="E115" s="41" t="str">
        <f t="shared" si="114"/>
        <v/>
      </c>
      <c r="F115" s="41" t="str">
        <f t="shared" si="114"/>
        <v/>
      </c>
      <c r="G115" s="41" t="str">
        <f t="shared" si="114"/>
        <v/>
      </c>
      <c r="H115" s="41" t="str">
        <f t="shared" si="114"/>
        <v/>
      </c>
      <c r="I115" s="41" t="str">
        <f t="shared" si="114"/>
        <v/>
      </c>
      <c r="J115" s="41" t="str">
        <f t="shared" si="114"/>
        <v/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67.5" customHeight="1">
      <c r="A116" s="39"/>
      <c r="B116" s="43" t="str">
        <f>IFERROR(__xludf.DUMMYFUNCTION("IFERROR(
  LET(
    periodos, C$1:Z$1,
    marcas, C116:Z116,
    pos, MAX(
          FILTER(
            COLUMN(marcas)-COLUMN(C116)+1,
            marcas=""X""
          )
        ),
    ultimo, INDEX(periodos, pos),
    XLOOKUP(
      $A116,
      INDI"&amp;"RECT(""'""&amp;ultimo&amp;""'!C:C""),
      INDIRECT(""'""&amp;ultimo&amp;""'!A:A"")
    )
  ),
  """"
)"),"")</f>
        <v/>
      </c>
      <c r="C116" s="41" t="str">
        <f t="shared" ref="C116:J116" si="115">IF(
  COUNTIF(
    INDIRECT("'"&amp;C$1&amp;"'!C:C"),
    $A116
  )&gt;0,
  "X",
  ""
)</f>
        <v/>
      </c>
      <c r="D116" s="41" t="str">
        <f t="shared" si="115"/>
        <v/>
      </c>
      <c r="E116" s="41" t="str">
        <f t="shared" si="115"/>
        <v/>
      </c>
      <c r="F116" s="41" t="str">
        <f t="shared" si="115"/>
        <v/>
      </c>
      <c r="G116" s="41" t="str">
        <f t="shared" si="115"/>
        <v/>
      </c>
      <c r="H116" s="41" t="str">
        <f t="shared" si="115"/>
        <v/>
      </c>
      <c r="I116" s="41" t="str">
        <f t="shared" si="115"/>
        <v/>
      </c>
      <c r="J116" s="41" t="str">
        <f t="shared" si="115"/>
        <v/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67.5" customHeight="1">
      <c r="A117" s="39"/>
      <c r="B117" s="43" t="str">
        <f>IFERROR(__xludf.DUMMYFUNCTION("IFERROR(
  LET(
    periodos, C$1:Z$1,
    marcas, C117:Z117,
    pos, MAX(
          FILTER(
            COLUMN(marcas)-COLUMN(C117)+1,
            marcas=""X""
          )
        ),
    ultimo, INDEX(periodos, pos),
    XLOOKUP(
      $A117,
      INDI"&amp;"RECT(""'""&amp;ultimo&amp;""'!C:C""),
      INDIRECT(""'""&amp;ultimo&amp;""'!A:A"")
    )
  ),
  """"
)"),"")</f>
        <v/>
      </c>
      <c r="C117" s="41" t="str">
        <f t="shared" ref="C117:J117" si="116">IF(
  COUNTIF(
    INDIRECT("'"&amp;C$1&amp;"'!C:C"),
    $A117
  )&gt;0,
  "X",
  ""
)</f>
        <v/>
      </c>
      <c r="D117" s="41" t="str">
        <f t="shared" si="116"/>
        <v/>
      </c>
      <c r="E117" s="41" t="str">
        <f t="shared" si="116"/>
        <v/>
      </c>
      <c r="F117" s="41" t="str">
        <f t="shared" si="116"/>
        <v/>
      </c>
      <c r="G117" s="41" t="str">
        <f t="shared" si="116"/>
        <v/>
      </c>
      <c r="H117" s="41" t="str">
        <f t="shared" si="116"/>
        <v/>
      </c>
      <c r="I117" s="41" t="str">
        <f t="shared" si="116"/>
        <v/>
      </c>
      <c r="J117" s="41" t="str">
        <f t="shared" si="116"/>
        <v/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67.5" customHeight="1">
      <c r="A118" s="39"/>
      <c r="B118" s="43" t="str">
        <f>IFERROR(__xludf.DUMMYFUNCTION("IFERROR(
  LET(
    periodos, C$1:Z$1,
    marcas, C118:Z118,
    pos, MAX(
          FILTER(
            COLUMN(marcas)-COLUMN(C118)+1,
            marcas=""X""
          )
        ),
    ultimo, INDEX(periodos, pos),
    XLOOKUP(
      $A118,
      INDI"&amp;"RECT(""'""&amp;ultimo&amp;""'!C:C""),
      INDIRECT(""'""&amp;ultimo&amp;""'!A:A"")
    )
  ),
  """"
)"),"")</f>
        <v/>
      </c>
      <c r="C118" s="41" t="str">
        <f t="shared" ref="C118:J118" si="117">IF(
  COUNTIF(
    INDIRECT("'"&amp;C$1&amp;"'!C:C"),
    $A118
  )&gt;0,
  "X",
  ""
)</f>
        <v/>
      </c>
      <c r="D118" s="41" t="str">
        <f t="shared" si="117"/>
        <v/>
      </c>
      <c r="E118" s="41" t="str">
        <f t="shared" si="117"/>
        <v/>
      </c>
      <c r="F118" s="41" t="str">
        <f t="shared" si="117"/>
        <v/>
      </c>
      <c r="G118" s="41" t="str">
        <f t="shared" si="117"/>
        <v/>
      </c>
      <c r="H118" s="41" t="str">
        <f t="shared" si="117"/>
        <v/>
      </c>
      <c r="I118" s="41" t="str">
        <f t="shared" si="117"/>
        <v/>
      </c>
      <c r="J118" s="41" t="str">
        <f t="shared" si="117"/>
        <v/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67.5" customHeight="1">
      <c r="A119" s="39"/>
      <c r="B119" s="43" t="str">
        <f>IFERROR(__xludf.DUMMYFUNCTION("IFERROR(
  LET(
    periodos, C$1:Z$1,
    marcas, C119:Z119,
    pos, MAX(
          FILTER(
            COLUMN(marcas)-COLUMN(C119)+1,
            marcas=""X""
          )
        ),
    ultimo, INDEX(periodos, pos),
    XLOOKUP(
      $A119,
      INDI"&amp;"RECT(""'""&amp;ultimo&amp;""'!C:C""),
      INDIRECT(""'""&amp;ultimo&amp;""'!A:A"")
    )
  ),
  """"
)"),"")</f>
        <v/>
      </c>
      <c r="C119" s="41" t="str">
        <f t="shared" ref="C119:J119" si="118">IF(
  COUNTIF(
    INDIRECT("'"&amp;C$1&amp;"'!C:C"),
    $A119
  )&gt;0,
  "X",
  ""
)</f>
        <v/>
      </c>
      <c r="D119" s="41" t="str">
        <f t="shared" si="118"/>
        <v/>
      </c>
      <c r="E119" s="41" t="str">
        <f t="shared" si="118"/>
        <v/>
      </c>
      <c r="F119" s="41" t="str">
        <f t="shared" si="118"/>
        <v/>
      </c>
      <c r="G119" s="41" t="str">
        <f t="shared" si="118"/>
        <v/>
      </c>
      <c r="H119" s="41" t="str">
        <f t="shared" si="118"/>
        <v/>
      </c>
      <c r="I119" s="41" t="str">
        <f t="shared" si="118"/>
        <v/>
      </c>
      <c r="J119" s="41" t="str">
        <f t="shared" si="118"/>
        <v/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67.5" customHeight="1">
      <c r="A120" s="39"/>
      <c r="B120" s="43" t="str">
        <f>IFERROR(__xludf.DUMMYFUNCTION("IFERROR(
  LET(
    periodos, C$1:Z$1,
    marcas, C120:Z120,
    pos, MAX(
          FILTER(
            COLUMN(marcas)-COLUMN(C120)+1,
            marcas=""X""
          )
        ),
    ultimo, INDEX(periodos, pos),
    XLOOKUP(
      $A120,
      INDI"&amp;"RECT(""'""&amp;ultimo&amp;""'!C:C""),
      INDIRECT(""'""&amp;ultimo&amp;""'!A:A"")
    )
  ),
  """"
)"),"")</f>
        <v/>
      </c>
      <c r="C120" s="41" t="str">
        <f t="shared" ref="C120:J120" si="119">IF(
  COUNTIF(
    INDIRECT("'"&amp;C$1&amp;"'!C:C"),
    $A120
  )&gt;0,
  "X",
  ""
)</f>
        <v/>
      </c>
      <c r="D120" s="41" t="str">
        <f t="shared" si="119"/>
        <v/>
      </c>
      <c r="E120" s="41" t="str">
        <f t="shared" si="119"/>
        <v/>
      </c>
      <c r="F120" s="41" t="str">
        <f t="shared" si="119"/>
        <v/>
      </c>
      <c r="G120" s="41" t="str">
        <f t="shared" si="119"/>
        <v/>
      </c>
      <c r="H120" s="41" t="str">
        <f t="shared" si="119"/>
        <v/>
      </c>
      <c r="I120" s="41" t="str">
        <f t="shared" si="119"/>
        <v/>
      </c>
      <c r="J120" s="41" t="str">
        <f t="shared" si="119"/>
        <v/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67.5" customHeight="1">
      <c r="A121" s="39"/>
      <c r="B121" s="43" t="str">
        <f>IFERROR(__xludf.DUMMYFUNCTION("IFERROR(
  LET(
    periodos, C$1:Z$1,
    marcas, C121:Z121,
    pos, MAX(
          FILTER(
            COLUMN(marcas)-COLUMN(C121)+1,
            marcas=""X""
          )
        ),
    ultimo, INDEX(periodos, pos),
    XLOOKUP(
      $A121,
      INDI"&amp;"RECT(""'""&amp;ultimo&amp;""'!C:C""),
      INDIRECT(""'""&amp;ultimo&amp;""'!A:A"")
    )
  ),
  """"
)"),"")</f>
        <v/>
      </c>
      <c r="C121" s="41" t="str">
        <f t="shared" ref="C121:J121" si="120">IF(
  COUNTIF(
    INDIRECT("'"&amp;C$1&amp;"'!C:C"),
    $A121
  )&gt;0,
  "X",
  ""
)</f>
        <v/>
      </c>
      <c r="D121" s="41" t="str">
        <f t="shared" si="120"/>
        <v/>
      </c>
      <c r="E121" s="41" t="str">
        <f t="shared" si="120"/>
        <v/>
      </c>
      <c r="F121" s="41" t="str">
        <f t="shared" si="120"/>
        <v/>
      </c>
      <c r="G121" s="41" t="str">
        <f t="shared" si="120"/>
        <v/>
      </c>
      <c r="H121" s="41" t="str">
        <f t="shared" si="120"/>
        <v/>
      </c>
      <c r="I121" s="41" t="str">
        <f t="shared" si="120"/>
        <v/>
      </c>
      <c r="J121" s="41" t="str">
        <f t="shared" si="120"/>
        <v/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67.5" customHeight="1">
      <c r="A122" s="39"/>
      <c r="B122" s="43" t="str">
        <f>IFERROR(__xludf.DUMMYFUNCTION("IFERROR(
  LET(
    periodos, C$1:Z$1,
    marcas, C122:Z122,
    pos, MAX(
          FILTER(
            COLUMN(marcas)-COLUMN(C122)+1,
            marcas=""X""
          )
        ),
    ultimo, INDEX(periodos, pos),
    XLOOKUP(
      $A122,
      INDI"&amp;"RECT(""'""&amp;ultimo&amp;""'!C:C""),
      INDIRECT(""'""&amp;ultimo&amp;""'!A:A"")
    )
  ),
  """"
)"),"")</f>
        <v/>
      </c>
      <c r="C122" s="41" t="str">
        <f t="shared" ref="C122:J122" si="121">IF(
  COUNTIF(
    INDIRECT("'"&amp;C$1&amp;"'!C:C"),
    $A122
  )&gt;0,
  "X",
  ""
)</f>
        <v/>
      </c>
      <c r="D122" s="41" t="str">
        <f t="shared" si="121"/>
        <v/>
      </c>
      <c r="E122" s="41" t="str">
        <f t="shared" si="121"/>
        <v/>
      </c>
      <c r="F122" s="41" t="str">
        <f t="shared" si="121"/>
        <v/>
      </c>
      <c r="G122" s="41" t="str">
        <f t="shared" si="121"/>
        <v/>
      </c>
      <c r="H122" s="41" t="str">
        <f t="shared" si="121"/>
        <v/>
      </c>
      <c r="I122" s="41" t="str">
        <f t="shared" si="121"/>
        <v/>
      </c>
      <c r="J122" s="41" t="str">
        <f t="shared" si="121"/>
        <v/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67.5" customHeight="1">
      <c r="A123" s="39"/>
      <c r="B123" s="43" t="str">
        <f>IFERROR(__xludf.DUMMYFUNCTION("IFERROR(
  LET(
    periodos, C$1:Z$1,
    marcas, C123:Z123,
    pos, MAX(
          FILTER(
            COLUMN(marcas)-COLUMN(C123)+1,
            marcas=""X""
          )
        ),
    ultimo, INDEX(periodos, pos),
    XLOOKUP(
      $A123,
      INDI"&amp;"RECT(""'""&amp;ultimo&amp;""'!C:C""),
      INDIRECT(""'""&amp;ultimo&amp;""'!A:A"")
    )
  ),
  """"
)"),"")</f>
        <v/>
      </c>
      <c r="C123" s="41" t="str">
        <f t="shared" ref="C123:J123" si="122">IF(
  COUNTIF(
    INDIRECT("'"&amp;C$1&amp;"'!C:C"),
    $A123
  )&gt;0,
  "X",
  ""
)</f>
        <v/>
      </c>
      <c r="D123" s="41" t="str">
        <f t="shared" si="122"/>
        <v/>
      </c>
      <c r="E123" s="41" t="str">
        <f t="shared" si="122"/>
        <v/>
      </c>
      <c r="F123" s="41" t="str">
        <f t="shared" si="122"/>
        <v/>
      </c>
      <c r="G123" s="41" t="str">
        <f t="shared" si="122"/>
        <v/>
      </c>
      <c r="H123" s="41" t="str">
        <f t="shared" si="122"/>
        <v/>
      </c>
      <c r="I123" s="41" t="str">
        <f t="shared" si="122"/>
        <v/>
      </c>
      <c r="J123" s="41" t="str">
        <f t="shared" si="122"/>
        <v/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67.5" customHeight="1">
      <c r="A124" s="39"/>
      <c r="B124" s="43" t="str">
        <f>IFERROR(__xludf.DUMMYFUNCTION("IFERROR(
  LET(
    periodos, C$1:Z$1,
    marcas, C124:Z124,
    pos, MAX(
          FILTER(
            COLUMN(marcas)-COLUMN(C124)+1,
            marcas=""X""
          )
        ),
    ultimo, INDEX(periodos, pos),
    XLOOKUP(
      $A124,
      INDI"&amp;"RECT(""'""&amp;ultimo&amp;""'!C:C""),
      INDIRECT(""'""&amp;ultimo&amp;""'!A:A"")
    )
  ),
  """"
)"),"")</f>
        <v/>
      </c>
      <c r="C124" s="41" t="str">
        <f t="shared" ref="C124:J124" si="123">IF(
  COUNTIF(
    INDIRECT("'"&amp;C$1&amp;"'!C:C"),
    $A124
  )&gt;0,
  "X",
  ""
)</f>
        <v/>
      </c>
      <c r="D124" s="41" t="str">
        <f t="shared" si="123"/>
        <v/>
      </c>
      <c r="E124" s="41" t="str">
        <f t="shared" si="123"/>
        <v/>
      </c>
      <c r="F124" s="41" t="str">
        <f t="shared" si="123"/>
        <v/>
      </c>
      <c r="G124" s="41" t="str">
        <f t="shared" si="123"/>
        <v/>
      </c>
      <c r="H124" s="41" t="str">
        <f t="shared" si="123"/>
        <v/>
      </c>
      <c r="I124" s="41" t="str">
        <f t="shared" si="123"/>
        <v/>
      </c>
      <c r="J124" s="41" t="str">
        <f t="shared" si="123"/>
        <v/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67.5" customHeight="1">
      <c r="A125" s="39"/>
      <c r="B125" s="43" t="str">
        <f>IFERROR(__xludf.DUMMYFUNCTION("IFERROR(
  LET(
    periodos, C$1:Z$1,
    marcas, C125:Z125,
    pos, MAX(
          FILTER(
            COLUMN(marcas)-COLUMN(C125)+1,
            marcas=""X""
          )
        ),
    ultimo, INDEX(periodos, pos),
    XLOOKUP(
      $A125,
      INDI"&amp;"RECT(""'""&amp;ultimo&amp;""'!C:C""),
      INDIRECT(""'""&amp;ultimo&amp;""'!A:A"")
    )
  ),
  """"
)"),"")</f>
        <v/>
      </c>
      <c r="C125" s="41" t="str">
        <f t="shared" ref="C125:J125" si="124">IF(
  COUNTIF(
    INDIRECT("'"&amp;C$1&amp;"'!C:C"),
    $A125
  )&gt;0,
  "X",
  ""
)</f>
        <v/>
      </c>
      <c r="D125" s="41" t="str">
        <f t="shared" si="124"/>
        <v/>
      </c>
      <c r="E125" s="41" t="str">
        <f t="shared" si="124"/>
        <v/>
      </c>
      <c r="F125" s="41" t="str">
        <f t="shared" si="124"/>
        <v/>
      </c>
      <c r="G125" s="41" t="str">
        <f t="shared" si="124"/>
        <v/>
      </c>
      <c r="H125" s="41" t="str">
        <f t="shared" si="124"/>
        <v/>
      </c>
      <c r="I125" s="41" t="str">
        <f t="shared" si="124"/>
        <v/>
      </c>
      <c r="J125" s="41" t="str">
        <f t="shared" si="124"/>
        <v/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67.5" customHeight="1">
      <c r="A126" s="39"/>
      <c r="B126" s="43" t="str">
        <f>IFERROR(__xludf.DUMMYFUNCTION("IFERROR(
  LET(
    periodos, C$1:Z$1,
    marcas, C126:Z126,
    pos, MAX(
          FILTER(
            COLUMN(marcas)-COLUMN(C126)+1,
            marcas=""X""
          )
        ),
    ultimo, INDEX(periodos, pos),
    XLOOKUP(
      $A126,
      INDI"&amp;"RECT(""'""&amp;ultimo&amp;""'!C:C""),
      INDIRECT(""'""&amp;ultimo&amp;""'!A:A"")
    )
  ),
  """"
)"),"")</f>
        <v/>
      </c>
      <c r="C126" s="41" t="str">
        <f t="shared" ref="C126:J126" si="125">IF(
  COUNTIF(
    INDIRECT("'"&amp;C$1&amp;"'!C:C"),
    $A126
  )&gt;0,
  "X",
  ""
)</f>
        <v/>
      </c>
      <c r="D126" s="41" t="str">
        <f t="shared" si="125"/>
        <v/>
      </c>
      <c r="E126" s="41" t="str">
        <f t="shared" si="125"/>
        <v/>
      </c>
      <c r="F126" s="41" t="str">
        <f t="shared" si="125"/>
        <v/>
      </c>
      <c r="G126" s="41" t="str">
        <f t="shared" si="125"/>
        <v/>
      </c>
      <c r="H126" s="41" t="str">
        <f t="shared" si="125"/>
        <v/>
      </c>
      <c r="I126" s="41" t="str">
        <f t="shared" si="125"/>
        <v/>
      </c>
      <c r="J126" s="41" t="str">
        <f t="shared" si="125"/>
        <v/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67.5" customHeight="1">
      <c r="A127" s="39"/>
      <c r="B127" s="43" t="str">
        <f>IFERROR(__xludf.DUMMYFUNCTION("IFERROR(
  LET(
    periodos, C$1:Z$1,
    marcas, C127:Z127,
    pos, MAX(
          FILTER(
            COLUMN(marcas)-COLUMN(C127)+1,
            marcas=""X""
          )
        ),
    ultimo, INDEX(periodos, pos),
    XLOOKUP(
      $A127,
      INDI"&amp;"RECT(""'""&amp;ultimo&amp;""'!C:C""),
      INDIRECT(""'""&amp;ultimo&amp;""'!A:A"")
    )
  ),
  """"
)"),"")</f>
        <v/>
      </c>
      <c r="C127" s="41" t="str">
        <f t="shared" ref="C127:J127" si="126">IF(
  COUNTIF(
    INDIRECT("'"&amp;C$1&amp;"'!C:C"),
    $A127
  )&gt;0,
  "X",
  ""
)</f>
        <v/>
      </c>
      <c r="D127" s="41" t="str">
        <f t="shared" si="126"/>
        <v/>
      </c>
      <c r="E127" s="41" t="str">
        <f t="shared" si="126"/>
        <v/>
      </c>
      <c r="F127" s="41" t="str">
        <f t="shared" si="126"/>
        <v/>
      </c>
      <c r="G127" s="41" t="str">
        <f t="shared" si="126"/>
        <v/>
      </c>
      <c r="H127" s="41" t="str">
        <f t="shared" si="126"/>
        <v/>
      </c>
      <c r="I127" s="41" t="str">
        <f t="shared" si="126"/>
        <v/>
      </c>
      <c r="J127" s="41" t="str">
        <f t="shared" si="126"/>
        <v/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67.5" customHeight="1">
      <c r="A128" s="39"/>
      <c r="B128" s="43" t="str">
        <f>IFERROR(__xludf.DUMMYFUNCTION("IFERROR(
  LET(
    periodos, C$1:Z$1,
    marcas, C128:Z128,
    pos, MAX(
          FILTER(
            COLUMN(marcas)-COLUMN(C128)+1,
            marcas=""X""
          )
        ),
    ultimo, INDEX(periodos, pos),
    XLOOKUP(
      $A128,
      INDI"&amp;"RECT(""'""&amp;ultimo&amp;""'!C:C""),
      INDIRECT(""'""&amp;ultimo&amp;""'!A:A"")
    )
  ),
  """"
)"),"")</f>
        <v/>
      </c>
      <c r="C128" s="41" t="str">
        <f t="shared" ref="C128:J128" si="127">IF(
  COUNTIF(
    INDIRECT("'"&amp;C$1&amp;"'!C:C"),
    $A128
  )&gt;0,
  "X",
  ""
)</f>
        <v/>
      </c>
      <c r="D128" s="41" t="str">
        <f t="shared" si="127"/>
        <v/>
      </c>
      <c r="E128" s="41" t="str">
        <f t="shared" si="127"/>
        <v/>
      </c>
      <c r="F128" s="41" t="str">
        <f t="shared" si="127"/>
        <v/>
      </c>
      <c r="G128" s="41" t="str">
        <f t="shared" si="127"/>
        <v/>
      </c>
      <c r="H128" s="41" t="str">
        <f t="shared" si="127"/>
        <v/>
      </c>
      <c r="I128" s="41" t="str">
        <f t="shared" si="127"/>
        <v/>
      </c>
      <c r="J128" s="41" t="str">
        <f t="shared" si="127"/>
        <v/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67.5" customHeight="1">
      <c r="A129" s="39"/>
      <c r="B129" s="43" t="str">
        <f>IFERROR(__xludf.DUMMYFUNCTION("IFERROR(
  LET(
    periodos, C$1:Z$1,
    marcas, C129:Z129,
    pos, MAX(
          FILTER(
            COLUMN(marcas)-COLUMN(C129)+1,
            marcas=""X""
          )
        ),
    ultimo, INDEX(periodos, pos),
    XLOOKUP(
      $A129,
      INDI"&amp;"RECT(""'""&amp;ultimo&amp;""'!C:C""),
      INDIRECT(""'""&amp;ultimo&amp;""'!A:A"")
    )
  ),
  """"
)"),"")</f>
        <v/>
      </c>
      <c r="C129" s="41" t="str">
        <f t="shared" ref="C129:J129" si="128">IF(
  COUNTIF(
    INDIRECT("'"&amp;C$1&amp;"'!C:C"),
    $A129
  )&gt;0,
  "X",
  ""
)</f>
        <v/>
      </c>
      <c r="D129" s="41" t="str">
        <f t="shared" si="128"/>
        <v/>
      </c>
      <c r="E129" s="41" t="str">
        <f t="shared" si="128"/>
        <v/>
      </c>
      <c r="F129" s="41" t="str">
        <f t="shared" si="128"/>
        <v/>
      </c>
      <c r="G129" s="41" t="str">
        <f t="shared" si="128"/>
        <v/>
      </c>
      <c r="H129" s="41" t="str">
        <f t="shared" si="128"/>
        <v/>
      </c>
      <c r="I129" s="41" t="str">
        <f t="shared" si="128"/>
        <v/>
      </c>
      <c r="J129" s="41" t="str">
        <f t="shared" si="128"/>
        <v/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67.5" customHeight="1">
      <c r="A130" s="39"/>
      <c r="B130" s="43" t="str">
        <f>IFERROR(__xludf.DUMMYFUNCTION("IFERROR(
  LET(
    periodos, C$1:Z$1,
    marcas, C130:Z130,
    pos, MAX(
          FILTER(
            COLUMN(marcas)-COLUMN(C130)+1,
            marcas=""X""
          )
        ),
    ultimo, INDEX(periodos, pos),
    XLOOKUP(
      $A130,
      INDI"&amp;"RECT(""'""&amp;ultimo&amp;""'!C:C""),
      INDIRECT(""'""&amp;ultimo&amp;""'!A:A"")
    )
  ),
  """"
)"),"")</f>
        <v/>
      </c>
      <c r="C130" s="41" t="str">
        <f t="shared" ref="C130:J130" si="129">IF(
  COUNTIF(
    INDIRECT("'"&amp;C$1&amp;"'!C:C"),
    $A130
  )&gt;0,
  "X",
  ""
)</f>
        <v/>
      </c>
      <c r="D130" s="41" t="str">
        <f t="shared" si="129"/>
        <v/>
      </c>
      <c r="E130" s="41" t="str">
        <f t="shared" si="129"/>
        <v/>
      </c>
      <c r="F130" s="41" t="str">
        <f t="shared" si="129"/>
        <v/>
      </c>
      <c r="G130" s="41" t="str">
        <f t="shared" si="129"/>
        <v/>
      </c>
      <c r="H130" s="41" t="str">
        <f t="shared" si="129"/>
        <v/>
      </c>
      <c r="I130" s="41" t="str">
        <f t="shared" si="129"/>
        <v/>
      </c>
      <c r="J130" s="41" t="str">
        <f t="shared" si="129"/>
        <v/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67.5" customHeight="1">
      <c r="A131" s="39"/>
      <c r="B131" s="43" t="str">
        <f>IFERROR(__xludf.DUMMYFUNCTION("IFERROR(
  LET(
    periodos, C$1:Z$1,
    marcas, C131:Z131,
    pos, MAX(
          FILTER(
            COLUMN(marcas)-COLUMN(C131)+1,
            marcas=""X""
          )
        ),
    ultimo, INDEX(periodos, pos),
    XLOOKUP(
      $A131,
      INDI"&amp;"RECT(""'""&amp;ultimo&amp;""'!C:C""),
      INDIRECT(""'""&amp;ultimo&amp;""'!A:A"")
    )
  ),
  """"
)"),"")</f>
        <v/>
      </c>
      <c r="C131" s="41" t="str">
        <f t="shared" ref="C131:J131" si="130">IF(
  COUNTIF(
    INDIRECT("'"&amp;C$1&amp;"'!C:C"),
    $A131
  )&gt;0,
  "X",
  ""
)</f>
        <v/>
      </c>
      <c r="D131" s="41" t="str">
        <f t="shared" si="130"/>
        <v/>
      </c>
      <c r="E131" s="41" t="str">
        <f t="shared" si="130"/>
        <v/>
      </c>
      <c r="F131" s="41" t="str">
        <f t="shared" si="130"/>
        <v/>
      </c>
      <c r="G131" s="41" t="str">
        <f t="shared" si="130"/>
        <v/>
      </c>
      <c r="H131" s="41" t="str">
        <f t="shared" si="130"/>
        <v/>
      </c>
      <c r="I131" s="41" t="str">
        <f t="shared" si="130"/>
        <v/>
      </c>
      <c r="J131" s="41" t="str">
        <f t="shared" si="130"/>
        <v/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67.5" customHeight="1">
      <c r="A132" s="39"/>
      <c r="B132" s="43" t="str">
        <f>IFERROR(__xludf.DUMMYFUNCTION("IFERROR(
  LET(
    periodos, C$1:Z$1,
    marcas, C132:Z132,
    pos, MAX(
          FILTER(
            COLUMN(marcas)-COLUMN(C132)+1,
            marcas=""X""
          )
        ),
    ultimo, INDEX(periodos, pos),
    XLOOKUP(
      $A132,
      INDI"&amp;"RECT(""'""&amp;ultimo&amp;""'!C:C""),
      INDIRECT(""'""&amp;ultimo&amp;""'!A:A"")
    )
  ),
  """"
)"),"")</f>
        <v/>
      </c>
      <c r="C132" s="41" t="str">
        <f t="shared" ref="C132:J132" si="131">IF(
  COUNTIF(
    INDIRECT("'"&amp;C$1&amp;"'!C:C"),
    $A132
  )&gt;0,
  "X",
  ""
)</f>
        <v/>
      </c>
      <c r="D132" s="41" t="str">
        <f t="shared" si="131"/>
        <v/>
      </c>
      <c r="E132" s="41" t="str">
        <f t="shared" si="131"/>
        <v/>
      </c>
      <c r="F132" s="41" t="str">
        <f t="shared" si="131"/>
        <v/>
      </c>
      <c r="G132" s="41" t="str">
        <f t="shared" si="131"/>
        <v/>
      </c>
      <c r="H132" s="41" t="str">
        <f t="shared" si="131"/>
        <v/>
      </c>
      <c r="I132" s="41" t="str">
        <f t="shared" si="131"/>
        <v/>
      </c>
      <c r="J132" s="41" t="str">
        <f t="shared" si="131"/>
        <v/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67.5" customHeight="1">
      <c r="A133" s="39"/>
      <c r="B133" s="43" t="str">
        <f>IFERROR(__xludf.DUMMYFUNCTION("IFERROR(
  LET(
    periodos, C$1:Z$1,
    marcas, C133:Z133,
    pos, MAX(
          FILTER(
            COLUMN(marcas)-COLUMN(C133)+1,
            marcas=""X""
          )
        ),
    ultimo, INDEX(periodos, pos),
    XLOOKUP(
      $A133,
      INDI"&amp;"RECT(""'""&amp;ultimo&amp;""'!C:C""),
      INDIRECT(""'""&amp;ultimo&amp;""'!A:A"")
    )
  ),
  """"
)"),"")</f>
        <v/>
      </c>
      <c r="C133" s="41" t="str">
        <f t="shared" ref="C133:J133" si="132">IF(
  COUNTIF(
    INDIRECT("'"&amp;C$1&amp;"'!C:C"),
    $A133
  )&gt;0,
  "X",
  ""
)</f>
        <v/>
      </c>
      <c r="D133" s="41" t="str">
        <f t="shared" si="132"/>
        <v/>
      </c>
      <c r="E133" s="41" t="str">
        <f t="shared" si="132"/>
        <v/>
      </c>
      <c r="F133" s="41" t="str">
        <f t="shared" si="132"/>
        <v/>
      </c>
      <c r="G133" s="41" t="str">
        <f t="shared" si="132"/>
        <v/>
      </c>
      <c r="H133" s="41" t="str">
        <f t="shared" si="132"/>
        <v/>
      </c>
      <c r="I133" s="41" t="str">
        <f t="shared" si="132"/>
        <v/>
      </c>
      <c r="J133" s="41" t="str">
        <f t="shared" si="132"/>
        <v/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67.5" customHeight="1">
      <c r="A134" s="39"/>
      <c r="B134" s="43" t="str">
        <f>IFERROR(__xludf.DUMMYFUNCTION("IFERROR(
  LET(
    periodos, C$1:Z$1,
    marcas, C134:Z134,
    pos, MAX(
          FILTER(
            COLUMN(marcas)-COLUMN(C134)+1,
            marcas=""X""
          )
        ),
    ultimo, INDEX(periodos, pos),
    XLOOKUP(
      $A134,
      INDI"&amp;"RECT(""'""&amp;ultimo&amp;""'!C:C""),
      INDIRECT(""'""&amp;ultimo&amp;""'!A:A"")
    )
  ),
  """"
)"),"")</f>
        <v/>
      </c>
      <c r="C134" s="41" t="str">
        <f t="shared" ref="C134:J134" si="133">IF(
  COUNTIF(
    INDIRECT("'"&amp;C$1&amp;"'!C:C"),
    $A134
  )&gt;0,
  "X",
  ""
)</f>
        <v/>
      </c>
      <c r="D134" s="41" t="str">
        <f t="shared" si="133"/>
        <v/>
      </c>
      <c r="E134" s="41" t="str">
        <f t="shared" si="133"/>
        <v/>
      </c>
      <c r="F134" s="41" t="str">
        <f t="shared" si="133"/>
        <v/>
      </c>
      <c r="G134" s="41" t="str">
        <f t="shared" si="133"/>
        <v/>
      </c>
      <c r="H134" s="41" t="str">
        <f t="shared" si="133"/>
        <v/>
      </c>
      <c r="I134" s="41" t="str">
        <f t="shared" si="133"/>
        <v/>
      </c>
      <c r="J134" s="41" t="str">
        <f t="shared" si="133"/>
        <v/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67.5" customHeight="1">
      <c r="A135" s="39"/>
      <c r="B135" s="43" t="str">
        <f>IFERROR(__xludf.DUMMYFUNCTION("IFERROR(
  LET(
    periodos, C$1:Z$1,
    marcas, C135:Z135,
    pos, MAX(
          FILTER(
            COLUMN(marcas)-COLUMN(C135)+1,
            marcas=""X""
          )
        ),
    ultimo, INDEX(periodos, pos),
    XLOOKUP(
      $A135,
      INDI"&amp;"RECT(""'""&amp;ultimo&amp;""'!C:C""),
      INDIRECT(""'""&amp;ultimo&amp;""'!A:A"")
    )
  ),
  """"
)"),"")</f>
        <v/>
      </c>
      <c r="C135" s="41" t="str">
        <f t="shared" ref="C135:J135" si="134">IF(
  COUNTIF(
    INDIRECT("'"&amp;C$1&amp;"'!C:C"),
    $A135
  )&gt;0,
  "X",
  ""
)</f>
        <v/>
      </c>
      <c r="D135" s="41" t="str">
        <f t="shared" si="134"/>
        <v/>
      </c>
      <c r="E135" s="41" t="str">
        <f t="shared" si="134"/>
        <v/>
      </c>
      <c r="F135" s="41" t="str">
        <f t="shared" si="134"/>
        <v/>
      </c>
      <c r="G135" s="41" t="str">
        <f t="shared" si="134"/>
        <v/>
      </c>
      <c r="H135" s="41" t="str">
        <f t="shared" si="134"/>
        <v/>
      </c>
      <c r="I135" s="41" t="str">
        <f t="shared" si="134"/>
        <v/>
      </c>
      <c r="J135" s="41" t="str">
        <f t="shared" si="134"/>
        <v/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67.5" customHeight="1">
      <c r="A136" s="39"/>
      <c r="B136" s="43" t="str">
        <f>IFERROR(__xludf.DUMMYFUNCTION("IFERROR(
  LET(
    periodos, C$1:Z$1,
    marcas, C136:Z136,
    pos, MAX(
          FILTER(
            COLUMN(marcas)-COLUMN(C136)+1,
            marcas=""X""
          )
        ),
    ultimo, INDEX(periodos, pos),
    XLOOKUP(
      $A136,
      INDI"&amp;"RECT(""'""&amp;ultimo&amp;""'!C:C""),
      INDIRECT(""'""&amp;ultimo&amp;""'!A:A"")
    )
  ),
  """"
)"),"")</f>
        <v/>
      </c>
      <c r="C136" s="41" t="str">
        <f t="shared" ref="C136:J136" si="135">IF(
  COUNTIF(
    INDIRECT("'"&amp;C$1&amp;"'!C:C"),
    $A136
  )&gt;0,
  "X",
  ""
)</f>
        <v/>
      </c>
      <c r="D136" s="41" t="str">
        <f t="shared" si="135"/>
        <v/>
      </c>
      <c r="E136" s="41" t="str">
        <f t="shared" si="135"/>
        <v/>
      </c>
      <c r="F136" s="41" t="str">
        <f t="shared" si="135"/>
        <v/>
      </c>
      <c r="G136" s="41" t="str">
        <f t="shared" si="135"/>
        <v/>
      </c>
      <c r="H136" s="41" t="str">
        <f t="shared" si="135"/>
        <v/>
      </c>
      <c r="I136" s="41" t="str">
        <f t="shared" si="135"/>
        <v/>
      </c>
      <c r="J136" s="41" t="str">
        <f t="shared" si="135"/>
        <v/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67.5" customHeight="1">
      <c r="A137" s="39"/>
      <c r="B137" s="43" t="str">
        <f>IFERROR(__xludf.DUMMYFUNCTION("IFERROR(
  LET(
    periodos, C$1:Z$1,
    marcas, C137:Z137,
    pos, MAX(
          FILTER(
            COLUMN(marcas)-COLUMN(C137)+1,
            marcas=""X""
          )
        ),
    ultimo, INDEX(periodos, pos),
    XLOOKUP(
      $A137,
      INDI"&amp;"RECT(""'""&amp;ultimo&amp;""'!C:C""),
      INDIRECT(""'""&amp;ultimo&amp;""'!A:A"")
    )
  ),
  """"
)"),"")</f>
        <v/>
      </c>
      <c r="C137" s="41" t="str">
        <f t="shared" ref="C137:J137" si="136">IF(
  COUNTIF(
    INDIRECT("'"&amp;C$1&amp;"'!C:C"),
    $A137
  )&gt;0,
  "X",
  ""
)</f>
        <v/>
      </c>
      <c r="D137" s="41" t="str">
        <f t="shared" si="136"/>
        <v/>
      </c>
      <c r="E137" s="41" t="str">
        <f t="shared" si="136"/>
        <v/>
      </c>
      <c r="F137" s="41" t="str">
        <f t="shared" si="136"/>
        <v/>
      </c>
      <c r="G137" s="41" t="str">
        <f t="shared" si="136"/>
        <v/>
      </c>
      <c r="H137" s="41" t="str">
        <f t="shared" si="136"/>
        <v/>
      </c>
      <c r="I137" s="41" t="str">
        <f t="shared" si="136"/>
        <v/>
      </c>
      <c r="J137" s="41" t="str">
        <f t="shared" si="136"/>
        <v/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67.5" customHeight="1">
      <c r="A138" s="39"/>
      <c r="B138" s="43" t="str">
        <f>IFERROR(__xludf.DUMMYFUNCTION("IFERROR(
  LET(
    periodos, C$1:Z$1,
    marcas, C138:Z138,
    pos, MAX(
          FILTER(
            COLUMN(marcas)-COLUMN(C138)+1,
            marcas=""X""
          )
        ),
    ultimo, INDEX(periodos, pos),
    XLOOKUP(
      $A138,
      INDI"&amp;"RECT(""'""&amp;ultimo&amp;""'!C:C""),
      INDIRECT(""'""&amp;ultimo&amp;""'!A:A"")
    )
  ),
  """"
)"),"")</f>
        <v/>
      </c>
      <c r="C138" s="41" t="str">
        <f t="shared" ref="C138:J138" si="137">IF(
  COUNTIF(
    INDIRECT("'"&amp;C$1&amp;"'!C:C"),
    $A138
  )&gt;0,
  "X",
  ""
)</f>
        <v/>
      </c>
      <c r="D138" s="41" t="str">
        <f t="shared" si="137"/>
        <v/>
      </c>
      <c r="E138" s="41" t="str">
        <f t="shared" si="137"/>
        <v/>
      </c>
      <c r="F138" s="41" t="str">
        <f t="shared" si="137"/>
        <v/>
      </c>
      <c r="G138" s="41" t="str">
        <f t="shared" si="137"/>
        <v/>
      </c>
      <c r="H138" s="41" t="str">
        <f t="shared" si="137"/>
        <v/>
      </c>
      <c r="I138" s="41" t="str">
        <f t="shared" si="137"/>
        <v/>
      </c>
      <c r="J138" s="41" t="str">
        <f t="shared" si="137"/>
        <v/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67.5" customHeight="1">
      <c r="A139" s="39"/>
      <c r="B139" s="43" t="str">
        <f>IFERROR(__xludf.DUMMYFUNCTION("IFERROR(
  LET(
    periodos, C$1:Z$1,
    marcas, C139:Z139,
    pos, MAX(
          FILTER(
            COLUMN(marcas)-COLUMN(C139)+1,
            marcas=""X""
          )
        ),
    ultimo, INDEX(periodos, pos),
    XLOOKUP(
      $A139,
      INDI"&amp;"RECT(""'""&amp;ultimo&amp;""'!C:C""),
      INDIRECT(""'""&amp;ultimo&amp;""'!A:A"")
    )
  ),
  """"
)"),"")</f>
        <v/>
      </c>
      <c r="C139" s="41" t="str">
        <f t="shared" ref="C139:J139" si="138">IF(
  COUNTIF(
    INDIRECT("'"&amp;C$1&amp;"'!C:C"),
    $A139
  )&gt;0,
  "X",
  ""
)</f>
        <v/>
      </c>
      <c r="D139" s="41" t="str">
        <f t="shared" si="138"/>
        <v/>
      </c>
      <c r="E139" s="41" t="str">
        <f t="shared" si="138"/>
        <v/>
      </c>
      <c r="F139" s="41" t="str">
        <f t="shared" si="138"/>
        <v/>
      </c>
      <c r="G139" s="41" t="str">
        <f t="shared" si="138"/>
        <v/>
      </c>
      <c r="H139" s="41" t="str">
        <f t="shared" si="138"/>
        <v/>
      </c>
      <c r="I139" s="41" t="str">
        <f t="shared" si="138"/>
        <v/>
      </c>
      <c r="J139" s="41" t="str">
        <f t="shared" si="138"/>
        <v/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67.5" customHeight="1">
      <c r="A140" s="39"/>
      <c r="B140" s="43" t="str">
        <f>IFERROR(__xludf.DUMMYFUNCTION("IFERROR(
  LET(
    periodos, C$1:Z$1,
    marcas, C140:Z140,
    pos, MAX(
          FILTER(
            COLUMN(marcas)-COLUMN(C140)+1,
            marcas=""X""
          )
        ),
    ultimo, INDEX(periodos, pos),
    XLOOKUP(
      $A140,
      INDI"&amp;"RECT(""'""&amp;ultimo&amp;""'!C:C""),
      INDIRECT(""'""&amp;ultimo&amp;""'!A:A"")
    )
  ),
  """"
)"),"")</f>
        <v/>
      </c>
      <c r="C140" s="41" t="str">
        <f t="shared" ref="C140:J140" si="139">IF(
  COUNTIF(
    INDIRECT("'"&amp;C$1&amp;"'!C:C"),
    $A140
  )&gt;0,
  "X",
  ""
)</f>
        <v/>
      </c>
      <c r="D140" s="41" t="str">
        <f t="shared" si="139"/>
        <v/>
      </c>
      <c r="E140" s="41" t="str">
        <f t="shared" si="139"/>
        <v/>
      </c>
      <c r="F140" s="41" t="str">
        <f t="shared" si="139"/>
        <v/>
      </c>
      <c r="G140" s="41" t="str">
        <f t="shared" si="139"/>
        <v/>
      </c>
      <c r="H140" s="41" t="str">
        <f t="shared" si="139"/>
        <v/>
      </c>
      <c r="I140" s="41" t="str">
        <f t="shared" si="139"/>
        <v/>
      </c>
      <c r="J140" s="41" t="str">
        <f t="shared" si="139"/>
        <v/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67.5" customHeight="1">
      <c r="A141" s="39"/>
      <c r="B141" s="43" t="str">
        <f>IFERROR(__xludf.DUMMYFUNCTION("IFERROR(
  LET(
    periodos, C$1:Z$1,
    marcas, C141:Z141,
    pos, MAX(
          FILTER(
            COLUMN(marcas)-COLUMN(C141)+1,
            marcas=""X""
          )
        ),
    ultimo, INDEX(periodos, pos),
    XLOOKUP(
      $A141,
      INDI"&amp;"RECT(""'""&amp;ultimo&amp;""'!C:C""),
      INDIRECT(""'""&amp;ultimo&amp;""'!A:A"")
    )
  ),
  """"
)"),"")</f>
        <v/>
      </c>
      <c r="C141" s="41" t="str">
        <f t="shared" ref="C141:J141" si="140">IF(
  COUNTIF(
    INDIRECT("'"&amp;C$1&amp;"'!C:C"),
    $A141
  )&gt;0,
  "X",
  ""
)</f>
        <v/>
      </c>
      <c r="D141" s="41" t="str">
        <f t="shared" si="140"/>
        <v/>
      </c>
      <c r="E141" s="41" t="str">
        <f t="shared" si="140"/>
        <v/>
      </c>
      <c r="F141" s="41" t="str">
        <f t="shared" si="140"/>
        <v/>
      </c>
      <c r="G141" s="41" t="str">
        <f t="shared" si="140"/>
        <v/>
      </c>
      <c r="H141" s="41" t="str">
        <f t="shared" si="140"/>
        <v/>
      </c>
      <c r="I141" s="41" t="str">
        <f t="shared" si="140"/>
        <v/>
      </c>
      <c r="J141" s="41" t="str">
        <f t="shared" si="140"/>
        <v/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67.5" customHeight="1">
      <c r="A142" s="39"/>
      <c r="B142" s="43" t="str">
        <f>IFERROR(__xludf.DUMMYFUNCTION("IFERROR(
  LET(
    periodos, C$1:Z$1,
    marcas, C142:Z142,
    pos, MAX(
          FILTER(
            COLUMN(marcas)-COLUMN(C142)+1,
            marcas=""X""
          )
        ),
    ultimo, INDEX(periodos, pos),
    XLOOKUP(
      $A142,
      INDI"&amp;"RECT(""'""&amp;ultimo&amp;""'!C:C""),
      INDIRECT(""'""&amp;ultimo&amp;""'!A:A"")
    )
  ),
  """"
)"),"")</f>
        <v/>
      </c>
      <c r="C142" s="41" t="str">
        <f t="shared" ref="C142:J142" si="141">IF(
  COUNTIF(
    INDIRECT("'"&amp;C$1&amp;"'!C:C"),
    $A142
  )&gt;0,
  "X",
  ""
)</f>
        <v/>
      </c>
      <c r="D142" s="41" t="str">
        <f t="shared" si="141"/>
        <v/>
      </c>
      <c r="E142" s="41" t="str">
        <f t="shared" si="141"/>
        <v/>
      </c>
      <c r="F142" s="41" t="str">
        <f t="shared" si="141"/>
        <v/>
      </c>
      <c r="G142" s="41" t="str">
        <f t="shared" si="141"/>
        <v/>
      </c>
      <c r="H142" s="41" t="str">
        <f t="shared" si="141"/>
        <v/>
      </c>
      <c r="I142" s="41" t="str">
        <f t="shared" si="141"/>
        <v/>
      </c>
      <c r="J142" s="41" t="str">
        <f t="shared" si="141"/>
        <v/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67.5" customHeight="1">
      <c r="A143" s="39"/>
      <c r="B143" s="43" t="str">
        <f>IFERROR(__xludf.DUMMYFUNCTION("IFERROR(
  LET(
    periodos, C$1:Z$1,
    marcas, C143:Z143,
    pos, MAX(
          FILTER(
            COLUMN(marcas)-COLUMN(C143)+1,
            marcas=""X""
          )
        ),
    ultimo, INDEX(periodos, pos),
    XLOOKUP(
      $A143,
      INDI"&amp;"RECT(""'""&amp;ultimo&amp;""'!C:C""),
      INDIRECT(""'""&amp;ultimo&amp;""'!A:A"")
    )
  ),
  """"
)"),"")</f>
        <v/>
      </c>
      <c r="C143" s="41" t="str">
        <f t="shared" ref="C143:J143" si="142">IF(
  COUNTIF(
    INDIRECT("'"&amp;C$1&amp;"'!C:C"),
    $A143
  )&gt;0,
  "X",
  ""
)</f>
        <v/>
      </c>
      <c r="D143" s="41" t="str">
        <f t="shared" si="142"/>
        <v/>
      </c>
      <c r="E143" s="41" t="str">
        <f t="shared" si="142"/>
        <v/>
      </c>
      <c r="F143" s="41" t="str">
        <f t="shared" si="142"/>
        <v/>
      </c>
      <c r="G143" s="41" t="str">
        <f t="shared" si="142"/>
        <v/>
      </c>
      <c r="H143" s="41" t="str">
        <f t="shared" si="142"/>
        <v/>
      </c>
      <c r="I143" s="41" t="str">
        <f t="shared" si="142"/>
        <v/>
      </c>
      <c r="J143" s="41" t="str">
        <f t="shared" si="142"/>
        <v/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67.5" customHeight="1">
      <c r="A144" s="39"/>
      <c r="B144" s="43" t="str">
        <f>IFERROR(__xludf.DUMMYFUNCTION("IFERROR(
  LET(
    periodos, C$1:Z$1,
    marcas, C144:Z144,
    pos, MAX(
          FILTER(
            COLUMN(marcas)-COLUMN(C144)+1,
            marcas=""X""
          )
        ),
    ultimo, INDEX(periodos, pos),
    XLOOKUP(
      $A144,
      INDI"&amp;"RECT(""'""&amp;ultimo&amp;""'!C:C""),
      INDIRECT(""'""&amp;ultimo&amp;""'!A:A"")
    )
  ),
  """"
)"),"")</f>
        <v/>
      </c>
      <c r="C144" s="41" t="str">
        <f t="shared" ref="C144:J144" si="143">IF(
  COUNTIF(
    INDIRECT("'"&amp;C$1&amp;"'!C:C"),
    $A144
  )&gt;0,
  "X",
  ""
)</f>
        <v/>
      </c>
      <c r="D144" s="41" t="str">
        <f t="shared" si="143"/>
        <v/>
      </c>
      <c r="E144" s="41" t="str">
        <f t="shared" si="143"/>
        <v/>
      </c>
      <c r="F144" s="41" t="str">
        <f t="shared" si="143"/>
        <v/>
      </c>
      <c r="G144" s="41" t="str">
        <f t="shared" si="143"/>
        <v/>
      </c>
      <c r="H144" s="41" t="str">
        <f t="shared" si="143"/>
        <v/>
      </c>
      <c r="I144" s="41" t="str">
        <f t="shared" si="143"/>
        <v/>
      </c>
      <c r="J144" s="41" t="str">
        <f t="shared" si="143"/>
        <v/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67.5" customHeight="1">
      <c r="A145" s="39"/>
      <c r="B145" s="43" t="str">
        <f>IFERROR(__xludf.DUMMYFUNCTION("IFERROR(
  LET(
    periodos, C$1:Z$1,
    marcas, C145:Z145,
    pos, MAX(
          FILTER(
            COLUMN(marcas)-COLUMN(C145)+1,
            marcas=""X""
          )
        ),
    ultimo, INDEX(periodos, pos),
    XLOOKUP(
      $A145,
      INDI"&amp;"RECT(""'""&amp;ultimo&amp;""'!C:C""),
      INDIRECT(""'""&amp;ultimo&amp;""'!A:A"")
    )
  ),
  """"
)"),"")</f>
        <v/>
      </c>
      <c r="C145" s="41" t="str">
        <f t="shared" ref="C145:J145" si="144">IF(
  COUNTIF(
    INDIRECT("'"&amp;C$1&amp;"'!C:C"),
    $A145
  )&gt;0,
  "X",
  ""
)</f>
        <v/>
      </c>
      <c r="D145" s="41" t="str">
        <f t="shared" si="144"/>
        <v/>
      </c>
      <c r="E145" s="41" t="str">
        <f t="shared" si="144"/>
        <v/>
      </c>
      <c r="F145" s="41" t="str">
        <f t="shared" si="144"/>
        <v/>
      </c>
      <c r="G145" s="41" t="str">
        <f t="shared" si="144"/>
        <v/>
      </c>
      <c r="H145" s="41" t="str">
        <f t="shared" si="144"/>
        <v/>
      </c>
      <c r="I145" s="41" t="str">
        <f t="shared" si="144"/>
        <v/>
      </c>
      <c r="J145" s="41" t="str">
        <f t="shared" si="144"/>
        <v/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67.5" customHeight="1">
      <c r="A146" s="39"/>
      <c r="B146" s="43" t="str">
        <f>IFERROR(__xludf.DUMMYFUNCTION("IFERROR(
  LET(
    periodos, C$1:Z$1,
    marcas, C146:Z146,
    pos, MAX(
          FILTER(
            COLUMN(marcas)-COLUMN(C146)+1,
            marcas=""X""
          )
        ),
    ultimo, INDEX(periodos, pos),
    XLOOKUP(
      $A146,
      INDI"&amp;"RECT(""'""&amp;ultimo&amp;""'!C:C""),
      INDIRECT(""'""&amp;ultimo&amp;""'!A:A"")
    )
  ),
  """"
)"),"")</f>
        <v/>
      </c>
      <c r="C146" s="41" t="str">
        <f t="shared" ref="C146:J146" si="145">IF(
  COUNTIF(
    INDIRECT("'"&amp;C$1&amp;"'!C:C"),
    $A146
  )&gt;0,
  "X",
  ""
)</f>
        <v/>
      </c>
      <c r="D146" s="41" t="str">
        <f t="shared" si="145"/>
        <v/>
      </c>
      <c r="E146" s="41" t="str">
        <f t="shared" si="145"/>
        <v/>
      </c>
      <c r="F146" s="41" t="str">
        <f t="shared" si="145"/>
        <v/>
      </c>
      <c r="G146" s="41" t="str">
        <f t="shared" si="145"/>
        <v/>
      </c>
      <c r="H146" s="41" t="str">
        <f t="shared" si="145"/>
        <v/>
      </c>
      <c r="I146" s="41" t="str">
        <f t="shared" si="145"/>
        <v/>
      </c>
      <c r="J146" s="41" t="str">
        <f t="shared" si="145"/>
        <v/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67.5" customHeight="1">
      <c r="A147" s="39"/>
      <c r="B147" s="43" t="str">
        <f>IFERROR(__xludf.DUMMYFUNCTION("IFERROR(
  LET(
    periodos, C$1:Z$1,
    marcas, C147:Z147,
    pos, MAX(
          FILTER(
            COLUMN(marcas)-COLUMN(C147)+1,
            marcas=""X""
          )
        ),
    ultimo, INDEX(periodos, pos),
    XLOOKUP(
      $A147,
      INDI"&amp;"RECT(""'""&amp;ultimo&amp;""'!C:C""),
      INDIRECT(""'""&amp;ultimo&amp;""'!A:A"")
    )
  ),
  """"
)"),"")</f>
        <v/>
      </c>
      <c r="C147" s="41" t="str">
        <f t="shared" ref="C147:J147" si="146">IF(
  COUNTIF(
    INDIRECT("'"&amp;C$1&amp;"'!C:C"),
    $A147
  )&gt;0,
  "X",
  ""
)</f>
        <v/>
      </c>
      <c r="D147" s="41" t="str">
        <f t="shared" si="146"/>
        <v/>
      </c>
      <c r="E147" s="41" t="str">
        <f t="shared" si="146"/>
        <v/>
      </c>
      <c r="F147" s="41" t="str">
        <f t="shared" si="146"/>
        <v/>
      </c>
      <c r="G147" s="41" t="str">
        <f t="shared" si="146"/>
        <v/>
      </c>
      <c r="H147" s="41" t="str">
        <f t="shared" si="146"/>
        <v/>
      </c>
      <c r="I147" s="41" t="str">
        <f t="shared" si="146"/>
        <v/>
      </c>
      <c r="J147" s="41" t="str">
        <f t="shared" si="146"/>
        <v/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67.5" customHeight="1">
      <c r="A148" s="39"/>
      <c r="B148" s="43" t="str">
        <f>IFERROR(__xludf.DUMMYFUNCTION("IFERROR(
  LET(
    periodos, C$1:Z$1,
    marcas, C148:Z148,
    pos, MAX(
          FILTER(
            COLUMN(marcas)-COLUMN(C148)+1,
            marcas=""X""
          )
        ),
    ultimo, INDEX(periodos, pos),
    XLOOKUP(
      $A148,
      INDI"&amp;"RECT(""'""&amp;ultimo&amp;""'!C:C""),
      INDIRECT(""'""&amp;ultimo&amp;""'!A:A"")
    )
  ),
  """"
)"),"")</f>
        <v/>
      </c>
      <c r="C148" s="41" t="str">
        <f t="shared" ref="C148:J148" si="147">IF(
  COUNTIF(
    INDIRECT("'"&amp;C$1&amp;"'!C:C"),
    $A148
  )&gt;0,
  "X",
  ""
)</f>
        <v/>
      </c>
      <c r="D148" s="41" t="str">
        <f t="shared" si="147"/>
        <v/>
      </c>
      <c r="E148" s="41" t="str">
        <f t="shared" si="147"/>
        <v/>
      </c>
      <c r="F148" s="41" t="str">
        <f t="shared" si="147"/>
        <v/>
      </c>
      <c r="G148" s="41" t="str">
        <f t="shared" si="147"/>
        <v/>
      </c>
      <c r="H148" s="41" t="str">
        <f t="shared" si="147"/>
        <v/>
      </c>
      <c r="I148" s="41" t="str">
        <f t="shared" si="147"/>
        <v/>
      </c>
      <c r="J148" s="41" t="str">
        <f t="shared" si="147"/>
        <v/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67.5" customHeight="1">
      <c r="A149" s="39"/>
      <c r="B149" s="43" t="str">
        <f>IFERROR(__xludf.DUMMYFUNCTION("IFERROR(
  LET(
    periodos, C$1:Z$1,
    marcas, C149:Z149,
    pos, MAX(
          FILTER(
            COLUMN(marcas)-COLUMN(C149)+1,
            marcas=""X""
          )
        ),
    ultimo, INDEX(periodos, pos),
    XLOOKUP(
      $A149,
      INDI"&amp;"RECT(""'""&amp;ultimo&amp;""'!C:C""),
      INDIRECT(""'""&amp;ultimo&amp;""'!A:A"")
    )
  ),
  """"
)"),"")</f>
        <v/>
      </c>
      <c r="C149" s="41" t="str">
        <f t="shared" ref="C149:J149" si="148">IF(
  COUNTIF(
    INDIRECT("'"&amp;C$1&amp;"'!C:C"),
    $A149
  )&gt;0,
  "X",
  ""
)</f>
        <v/>
      </c>
      <c r="D149" s="41" t="str">
        <f t="shared" si="148"/>
        <v/>
      </c>
      <c r="E149" s="41" t="str">
        <f t="shared" si="148"/>
        <v/>
      </c>
      <c r="F149" s="41" t="str">
        <f t="shared" si="148"/>
        <v/>
      </c>
      <c r="G149" s="41" t="str">
        <f t="shared" si="148"/>
        <v/>
      </c>
      <c r="H149" s="41" t="str">
        <f t="shared" si="148"/>
        <v/>
      </c>
      <c r="I149" s="41" t="str">
        <f t="shared" si="148"/>
        <v/>
      </c>
      <c r="J149" s="41" t="str">
        <f t="shared" si="148"/>
        <v/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67.5" customHeight="1">
      <c r="A150" s="39"/>
      <c r="B150" s="43" t="str">
        <f>IFERROR(__xludf.DUMMYFUNCTION("IFERROR(
  LET(
    periodos, C$1:Z$1,
    marcas, C150:Z150,
    pos, MAX(
          FILTER(
            COLUMN(marcas)-COLUMN(C150)+1,
            marcas=""X""
          )
        ),
    ultimo, INDEX(periodos, pos),
    XLOOKUP(
      $A150,
      INDI"&amp;"RECT(""'""&amp;ultimo&amp;""'!C:C""),
      INDIRECT(""'""&amp;ultimo&amp;""'!A:A"")
    )
  ),
  """"
)"),"")</f>
        <v/>
      </c>
      <c r="C150" s="41" t="str">
        <f t="shared" ref="C150:J150" si="149">IF(
  COUNTIF(
    INDIRECT("'"&amp;C$1&amp;"'!C:C"),
    $A150
  )&gt;0,
  "X",
  ""
)</f>
        <v/>
      </c>
      <c r="D150" s="41" t="str">
        <f t="shared" si="149"/>
        <v/>
      </c>
      <c r="E150" s="41" t="str">
        <f t="shared" si="149"/>
        <v/>
      </c>
      <c r="F150" s="41" t="str">
        <f t="shared" si="149"/>
        <v/>
      </c>
      <c r="G150" s="41" t="str">
        <f t="shared" si="149"/>
        <v/>
      </c>
      <c r="H150" s="41" t="str">
        <f t="shared" si="149"/>
        <v/>
      </c>
      <c r="I150" s="41" t="str">
        <f t="shared" si="149"/>
        <v/>
      </c>
      <c r="J150" s="41" t="str">
        <f t="shared" si="149"/>
        <v/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67.5" customHeight="1">
      <c r="A151" s="39"/>
      <c r="B151" s="43" t="str">
        <f>IFERROR(__xludf.DUMMYFUNCTION("IFERROR(
  LET(
    periodos, C$1:Z$1,
    marcas, C151:Z151,
    pos, MAX(
          FILTER(
            COLUMN(marcas)-COLUMN(C151)+1,
            marcas=""X""
          )
        ),
    ultimo, INDEX(periodos, pos),
    XLOOKUP(
      $A151,
      INDI"&amp;"RECT(""'""&amp;ultimo&amp;""'!C:C""),
      INDIRECT(""'""&amp;ultimo&amp;""'!A:A"")
    )
  ),
  """"
)"),"")</f>
        <v/>
      </c>
      <c r="C151" s="41" t="str">
        <f t="shared" ref="C151:J151" si="150">IF(
  COUNTIF(
    INDIRECT("'"&amp;C$1&amp;"'!C:C"),
    $A151
  )&gt;0,
  "X",
  ""
)</f>
        <v/>
      </c>
      <c r="D151" s="41" t="str">
        <f t="shared" si="150"/>
        <v/>
      </c>
      <c r="E151" s="41" t="str">
        <f t="shared" si="150"/>
        <v/>
      </c>
      <c r="F151" s="41" t="str">
        <f t="shared" si="150"/>
        <v/>
      </c>
      <c r="G151" s="41" t="str">
        <f t="shared" si="150"/>
        <v/>
      </c>
      <c r="H151" s="41" t="str">
        <f t="shared" si="150"/>
        <v/>
      </c>
      <c r="I151" s="41" t="str">
        <f t="shared" si="150"/>
        <v/>
      </c>
      <c r="J151" s="41" t="str">
        <f t="shared" si="150"/>
        <v/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67.5" customHeight="1">
      <c r="A152" s="39"/>
      <c r="B152" s="43" t="str">
        <f>IFERROR(__xludf.DUMMYFUNCTION("IFERROR(
  LET(
    periodos, C$1:Z$1,
    marcas, C152:Z152,
    pos, MAX(
          FILTER(
            COLUMN(marcas)-COLUMN(C152)+1,
            marcas=""X""
          )
        ),
    ultimo, INDEX(periodos, pos),
    XLOOKUP(
      $A152,
      INDI"&amp;"RECT(""'""&amp;ultimo&amp;""'!C:C""),
      INDIRECT(""'""&amp;ultimo&amp;""'!A:A"")
    )
  ),
  """"
)"),"")</f>
        <v/>
      </c>
      <c r="C152" s="41" t="str">
        <f t="shared" ref="C152:J152" si="151">IF(
  COUNTIF(
    INDIRECT("'"&amp;C$1&amp;"'!C:C"),
    $A152
  )&gt;0,
  "X",
  ""
)</f>
        <v/>
      </c>
      <c r="D152" s="41" t="str">
        <f t="shared" si="151"/>
        <v/>
      </c>
      <c r="E152" s="41" t="str">
        <f t="shared" si="151"/>
        <v/>
      </c>
      <c r="F152" s="41" t="str">
        <f t="shared" si="151"/>
        <v/>
      </c>
      <c r="G152" s="41" t="str">
        <f t="shared" si="151"/>
        <v/>
      </c>
      <c r="H152" s="41" t="str">
        <f t="shared" si="151"/>
        <v/>
      </c>
      <c r="I152" s="41" t="str">
        <f t="shared" si="151"/>
        <v/>
      </c>
      <c r="J152" s="41" t="str">
        <f t="shared" si="151"/>
        <v/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67.5" customHeight="1">
      <c r="A153" s="39"/>
      <c r="B153" s="43" t="str">
        <f>IFERROR(__xludf.DUMMYFUNCTION("IFERROR(
  LET(
    periodos, C$1:Z$1,
    marcas, C153:Z153,
    pos, MAX(
          FILTER(
            COLUMN(marcas)-COLUMN(C153)+1,
            marcas=""X""
          )
        ),
    ultimo, INDEX(periodos, pos),
    XLOOKUP(
      $A153,
      INDI"&amp;"RECT(""'""&amp;ultimo&amp;""'!C:C""),
      INDIRECT(""'""&amp;ultimo&amp;""'!A:A"")
    )
  ),
  """"
)"),"")</f>
        <v/>
      </c>
      <c r="C153" s="41" t="str">
        <f t="shared" ref="C153:J153" si="152">IF(
  COUNTIF(
    INDIRECT("'"&amp;C$1&amp;"'!C:C"),
    $A153
  )&gt;0,
  "X",
  ""
)</f>
        <v/>
      </c>
      <c r="D153" s="41" t="str">
        <f t="shared" si="152"/>
        <v/>
      </c>
      <c r="E153" s="41" t="str">
        <f t="shared" si="152"/>
        <v/>
      </c>
      <c r="F153" s="41" t="str">
        <f t="shared" si="152"/>
        <v/>
      </c>
      <c r="G153" s="41" t="str">
        <f t="shared" si="152"/>
        <v/>
      </c>
      <c r="H153" s="41" t="str">
        <f t="shared" si="152"/>
        <v/>
      </c>
      <c r="I153" s="41" t="str">
        <f t="shared" si="152"/>
        <v/>
      </c>
      <c r="J153" s="41" t="str">
        <f t="shared" si="152"/>
        <v/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67.5" customHeight="1">
      <c r="A154" s="39"/>
      <c r="B154" s="43" t="str">
        <f>IFERROR(__xludf.DUMMYFUNCTION("IFERROR(
  LET(
    periodos, C$1:Z$1,
    marcas, C154:Z154,
    pos, MAX(
          FILTER(
            COLUMN(marcas)-COLUMN(C154)+1,
            marcas=""X""
          )
        ),
    ultimo, INDEX(periodos, pos),
    XLOOKUP(
      $A154,
      INDI"&amp;"RECT(""'""&amp;ultimo&amp;""'!C:C""),
      INDIRECT(""'""&amp;ultimo&amp;""'!A:A"")
    )
  ),
  """"
)"),"")</f>
        <v/>
      </c>
      <c r="C154" s="41" t="str">
        <f t="shared" ref="C154:J154" si="153">IF(
  COUNTIF(
    INDIRECT("'"&amp;C$1&amp;"'!C:C"),
    $A154
  )&gt;0,
  "X",
  ""
)</f>
        <v/>
      </c>
      <c r="D154" s="41" t="str">
        <f t="shared" si="153"/>
        <v/>
      </c>
      <c r="E154" s="41" t="str">
        <f t="shared" si="153"/>
        <v/>
      </c>
      <c r="F154" s="41" t="str">
        <f t="shared" si="153"/>
        <v/>
      </c>
      <c r="G154" s="41" t="str">
        <f t="shared" si="153"/>
        <v/>
      </c>
      <c r="H154" s="41" t="str">
        <f t="shared" si="153"/>
        <v/>
      </c>
      <c r="I154" s="41" t="str">
        <f t="shared" si="153"/>
        <v/>
      </c>
      <c r="J154" s="41" t="str">
        <f t="shared" si="153"/>
        <v/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67.5" customHeight="1">
      <c r="A155" s="39"/>
      <c r="B155" s="43" t="str">
        <f>IFERROR(__xludf.DUMMYFUNCTION("IFERROR(
  LET(
    periodos, C$1:Z$1,
    marcas, C155:Z155,
    pos, MAX(
          FILTER(
            COLUMN(marcas)-COLUMN(C155)+1,
            marcas=""X""
          )
        ),
    ultimo, INDEX(periodos, pos),
    XLOOKUP(
      $A155,
      INDI"&amp;"RECT(""'""&amp;ultimo&amp;""'!C:C""),
      INDIRECT(""'""&amp;ultimo&amp;""'!A:A"")
    )
  ),
  """"
)"),"")</f>
        <v/>
      </c>
      <c r="C155" s="41" t="str">
        <f t="shared" ref="C155:J155" si="154">IF(
  COUNTIF(
    INDIRECT("'"&amp;C$1&amp;"'!C:C"),
    $A155
  )&gt;0,
  "X",
  ""
)</f>
        <v/>
      </c>
      <c r="D155" s="41" t="str">
        <f t="shared" si="154"/>
        <v/>
      </c>
      <c r="E155" s="41" t="str">
        <f t="shared" si="154"/>
        <v/>
      </c>
      <c r="F155" s="41" t="str">
        <f t="shared" si="154"/>
        <v/>
      </c>
      <c r="G155" s="41" t="str">
        <f t="shared" si="154"/>
        <v/>
      </c>
      <c r="H155" s="41" t="str">
        <f t="shared" si="154"/>
        <v/>
      </c>
      <c r="I155" s="41" t="str">
        <f t="shared" si="154"/>
        <v/>
      </c>
      <c r="J155" s="41" t="str">
        <f t="shared" si="154"/>
        <v/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67.5" customHeight="1">
      <c r="A156" s="39"/>
      <c r="B156" s="43" t="str">
        <f>IFERROR(__xludf.DUMMYFUNCTION("IFERROR(
  LET(
    periodos, C$1:Z$1,
    marcas, C156:Z156,
    pos, MAX(
          FILTER(
            COLUMN(marcas)-COLUMN(C156)+1,
            marcas=""X""
          )
        ),
    ultimo, INDEX(periodos, pos),
    XLOOKUP(
      $A156,
      INDI"&amp;"RECT(""'""&amp;ultimo&amp;""'!C:C""),
      INDIRECT(""'""&amp;ultimo&amp;""'!A:A"")
    )
  ),
  """"
)"),"")</f>
        <v/>
      </c>
      <c r="C156" s="41" t="str">
        <f t="shared" ref="C156:J156" si="155">IF(
  COUNTIF(
    INDIRECT("'"&amp;C$1&amp;"'!C:C"),
    $A156
  )&gt;0,
  "X",
  ""
)</f>
        <v/>
      </c>
      <c r="D156" s="41" t="str">
        <f t="shared" si="155"/>
        <v/>
      </c>
      <c r="E156" s="41" t="str">
        <f t="shared" si="155"/>
        <v/>
      </c>
      <c r="F156" s="41" t="str">
        <f t="shared" si="155"/>
        <v/>
      </c>
      <c r="G156" s="41" t="str">
        <f t="shared" si="155"/>
        <v/>
      </c>
      <c r="H156" s="41" t="str">
        <f t="shared" si="155"/>
        <v/>
      </c>
      <c r="I156" s="41" t="str">
        <f t="shared" si="155"/>
        <v/>
      </c>
      <c r="J156" s="41" t="str">
        <f t="shared" si="155"/>
        <v/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67.5" customHeight="1">
      <c r="A157" s="39"/>
      <c r="B157" s="43" t="str">
        <f>IFERROR(__xludf.DUMMYFUNCTION("IFERROR(
  LET(
    periodos, C$1:Z$1,
    marcas, C157:Z157,
    pos, MAX(
          FILTER(
            COLUMN(marcas)-COLUMN(C157)+1,
            marcas=""X""
          )
        ),
    ultimo, INDEX(periodos, pos),
    XLOOKUP(
      $A157,
      INDI"&amp;"RECT(""'""&amp;ultimo&amp;""'!C:C""),
      INDIRECT(""'""&amp;ultimo&amp;""'!A:A"")
    )
  ),
  """"
)"),"")</f>
        <v/>
      </c>
      <c r="C157" s="41" t="str">
        <f t="shared" ref="C157:J157" si="156">IF(
  COUNTIF(
    INDIRECT("'"&amp;C$1&amp;"'!C:C"),
    $A157
  )&gt;0,
  "X",
  ""
)</f>
        <v/>
      </c>
      <c r="D157" s="41" t="str">
        <f t="shared" si="156"/>
        <v/>
      </c>
      <c r="E157" s="41" t="str">
        <f t="shared" si="156"/>
        <v/>
      </c>
      <c r="F157" s="41" t="str">
        <f t="shared" si="156"/>
        <v/>
      </c>
      <c r="G157" s="41" t="str">
        <f t="shared" si="156"/>
        <v/>
      </c>
      <c r="H157" s="41" t="str">
        <f t="shared" si="156"/>
        <v/>
      </c>
      <c r="I157" s="41" t="str">
        <f t="shared" si="156"/>
        <v/>
      </c>
      <c r="J157" s="41" t="str">
        <f t="shared" si="156"/>
        <v/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67.5" customHeight="1">
      <c r="A158" s="39"/>
      <c r="B158" s="43" t="str">
        <f>IFERROR(__xludf.DUMMYFUNCTION("IFERROR(
  LET(
    periodos, C$1:Z$1,
    marcas, C158:Z158,
    pos, MAX(
          FILTER(
            COLUMN(marcas)-COLUMN(C158)+1,
            marcas=""X""
          )
        ),
    ultimo, INDEX(periodos, pos),
    XLOOKUP(
      $A158,
      INDI"&amp;"RECT(""'""&amp;ultimo&amp;""'!C:C""),
      INDIRECT(""'""&amp;ultimo&amp;""'!A:A"")
    )
  ),
  """"
)"),"")</f>
        <v/>
      </c>
      <c r="C158" s="41" t="str">
        <f t="shared" ref="C158:J158" si="157">IF(
  COUNTIF(
    INDIRECT("'"&amp;C$1&amp;"'!C:C"),
    $A158
  )&gt;0,
  "X",
  ""
)</f>
        <v/>
      </c>
      <c r="D158" s="41" t="str">
        <f t="shared" si="157"/>
        <v/>
      </c>
      <c r="E158" s="41" t="str">
        <f t="shared" si="157"/>
        <v/>
      </c>
      <c r="F158" s="41" t="str">
        <f t="shared" si="157"/>
        <v/>
      </c>
      <c r="G158" s="41" t="str">
        <f t="shared" si="157"/>
        <v/>
      </c>
      <c r="H158" s="41" t="str">
        <f t="shared" si="157"/>
        <v/>
      </c>
      <c r="I158" s="41" t="str">
        <f t="shared" si="157"/>
        <v/>
      </c>
      <c r="J158" s="41" t="str">
        <f t="shared" si="157"/>
        <v/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67.5" customHeight="1">
      <c r="A159" s="39"/>
      <c r="B159" s="43" t="str">
        <f>IFERROR(__xludf.DUMMYFUNCTION("IFERROR(
  LET(
    periodos, C$1:Z$1,
    marcas, C159:Z159,
    pos, MAX(
          FILTER(
            COLUMN(marcas)-COLUMN(C159)+1,
            marcas=""X""
          )
        ),
    ultimo, INDEX(periodos, pos),
    XLOOKUP(
      $A159,
      INDI"&amp;"RECT(""'""&amp;ultimo&amp;""'!C:C""),
      INDIRECT(""'""&amp;ultimo&amp;""'!A:A"")
    )
  ),
  """"
)"),"")</f>
        <v/>
      </c>
      <c r="C159" s="41" t="str">
        <f t="shared" ref="C159:J159" si="158">IF(
  COUNTIF(
    INDIRECT("'"&amp;C$1&amp;"'!C:C"),
    $A159
  )&gt;0,
  "X",
  ""
)</f>
        <v/>
      </c>
      <c r="D159" s="41" t="str">
        <f t="shared" si="158"/>
        <v/>
      </c>
      <c r="E159" s="41" t="str">
        <f t="shared" si="158"/>
        <v/>
      </c>
      <c r="F159" s="41" t="str">
        <f t="shared" si="158"/>
        <v/>
      </c>
      <c r="G159" s="41" t="str">
        <f t="shared" si="158"/>
        <v/>
      </c>
      <c r="H159" s="41" t="str">
        <f t="shared" si="158"/>
        <v/>
      </c>
      <c r="I159" s="41" t="str">
        <f t="shared" si="158"/>
        <v/>
      </c>
      <c r="J159" s="41" t="str">
        <f t="shared" si="158"/>
        <v/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67.5" customHeight="1">
      <c r="A160" s="39"/>
      <c r="B160" s="43" t="str">
        <f>IFERROR(__xludf.DUMMYFUNCTION("IFERROR(
  LET(
    periodos, C$1:Z$1,
    marcas, C160:Z160,
    pos, MAX(
          FILTER(
            COLUMN(marcas)-COLUMN(C160)+1,
            marcas=""X""
          )
        ),
    ultimo, INDEX(periodos, pos),
    XLOOKUP(
      $A160,
      INDI"&amp;"RECT(""'""&amp;ultimo&amp;""'!C:C""),
      INDIRECT(""'""&amp;ultimo&amp;""'!A:A"")
    )
  ),
  """"
)"),"")</f>
        <v/>
      </c>
      <c r="C160" s="41" t="str">
        <f t="shared" ref="C160:J160" si="159">IF(
  COUNTIF(
    INDIRECT("'"&amp;C$1&amp;"'!C:C"),
    $A160
  )&gt;0,
  "X",
  ""
)</f>
        <v/>
      </c>
      <c r="D160" s="41" t="str">
        <f t="shared" si="159"/>
        <v/>
      </c>
      <c r="E160" s="41" t="str">
        <f t="shared" si="159"/>
        <v/>
      </c>
      <c r="F160" s="41" t="str">
        <f t="shared" si="159"/>
        <v/>
      </c>
      <c r="G160" s="41" t="str">
        <f t="shared" si="159"/>
        <v/>
      </c>
      <c r="H160" s="41" t="str">
        <f t="shared" si="159"/>
        <v/>
      </c>
      <c r="I160" s="41" t="str">
        <f t="shared" si="159"/>
        <v/>
      </c>
      <c r="J160" s="41" t="str">
        <f t="shared" si="159"/>
        <v/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67.5" customHeight="1">
      <c r="A161" s="39"/>
      <c r="B161" s="43" t="str">
        <f>IFERROR(__xludf.DUMMYFUNCTION("IFERROR(
  LET(
    periodos, C$1:Z$1,
    marcas, C161:Z161,
    pos, MAX(
          FILTER(
            COLUMN(marcas)-COLUMN(C161)+1,
            marcas=""X""
          )
        ),
    ultimo, INDEX(periodos, pos),
    XLOOKUP(
      $A161,
      INDI"&amp;"RECT(""'""&amp;ultimo&amp;""'!C:C""),
      INDIRECT(""'""&amp;ultimo&amp;""'!A:A"")
    )
  ),
  """"
)"),"")</f>
        <v/>
      </c>
      <c r="C161" s="41" t="str">
        <f t="shared" ref="C161:J161" si="160">IF(
  COUNTIF(
    INDIRECT("'"&amp;C$1&amp;"'!C:C"),
    $A161
  )&gt;0,
  "X",
  ""
)</f>
        <v/>
      </c>
      <c r="D161" s="41" t="str">
        <f t="shared" si="160"/>
        <v/>
      </c>
      <c r="E161" s="41" t="str">
        <f t="shared" si="160"/>
        <v/>
      </c>
      <c r="F161" s="41" t="str">
        <f t="shared" si="160"/>
        <v/>
      </c>
      <c r="G161" s="41" t="str">
        <f t="shared" si="160"/>
        <v/>
      </c>
      <c r="H161" s="41" t="str">
        <f t="shared" si="160"/>
        <v/>
      </c>
      <c r="I161" s="41" t="str">
        <f t="shared" si="160"/>
        <v/>
      </c>
      <c r="J161" s="41" t="str">
        <f t="shared" si="160"/>
        <v/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67.5" customHeight="1">
      <c r="A162" s="39"/>
      <c r="B162" s="43" t="str">
        <f>IFERROR(__xludf.DUMMYFUNCTION("IFERROR(
  LET(
    periodos, C$1:Z$1,
    marcas, C162:Z162,
    pos, MAX(
          FILTER(
            COLUMN(marcas)-COLUMN(C162)+1,
            marcas=""X""
          )
        ),
    ultimo, INDEX(periodos, pos),
    XLOOKUP(
      $A162,
      INDI"&amp;"RECT(""'""&amp;ultimo&amp;""'!C:C""),
      INDIRECT(""'""&amp;ultimo&amp;""'!A:A"")
    )
  ),
  """"
)"),"")</f>
        <v/>
      </c>
      <c r="C162" s="41" t="str">
        <f t="shared" ref="C162:J162" si="161">IF(
  COUNTIF(
    INDIRECT("'"&amp;C$1&amp;"'!C:C"),
    $A162
  )&gt;0,
  "X",
  ""
)</f>
        <v/>
      </c>
      <c r="D162" s="41" t="str">
        <f t="shared" si="161"/>
        <v/>
      </c>
      <c r="E162" s="41" t="str">
        <f t="shared" si="161"/>
        <v/>
      </c>
      <c r="F162" s="41" t="str">
        <f t="shared" si="161"/>
        <v/>
      </c>
      <c r="G162" s="41" t="str">
        <f t="shared" si="161"/>
        <v/>
      </c>
      <c r="H162" s="41" t="str">
        <f t="shared" si="161"/>
        <v/>
      </c>
      <c r="I162" s="41" t="str">
        <f t="shared" si="161"/>
        <v/>
      </c>
      <c r="J162" s="41" t="str">
        <f t="shared" si="161"/>
        <v/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67.5" customHeight="1">
      <c r="A163" s="39"/>
      <c r="B163" s="43" t="str">
        <f>IFERROR(__xludf.DUMMYFUNCTION("IFERROR(
  LET(
    periodos, C$1:Z$1,
    marcas, C163:Z163,
    pos, MAX(
          FILTER(
            COLUMN(marcas)-COLUMN(C163)+1,
            marcas=""X""
          )
        ),
    ultimo, INDEX(periodos, pos),
    XLOOKUP(
      $A163,
      INDI"&amp;"RECT(""'""&amp;ultimo&amp;""'!C:C""),
      INDIRECT(""'""&amp;ultimo&amp;""'!A:A"")
    )
  ),
  """"
)"),"")</f>
        <v/>
      </c>
      <c r="C163" s="41" t="str">
        <f t="shared" ref="C163:J163" si="162">IF(
  COUNTIF(
    INDIRECT("'"&amp;C$1&amp;"'!C:C"),
    $A163
  )&gt;0,
  "X",
  ""
)</f>
        <v/>
      </c>
      <c r="D163" s="41" t="str">
        <f t="shared" si="162"/>
        <v/>
      </c>
      <c r="E163" s="41" t="str">
        <f t="shared" si="162"/>
        <v/>
      </c>
      <c r="F163" s="41" t="str">
        <f t="shared" si="162"/>
        <v/>
      </c>
      <c r="G163" s="41" t="str">
        <f t="shared" si="162"/>
        <v/>
      </c>
      <c r="H163" s="41" t="str">
        <f t="shared" si="162"/>
        <v/>
      </c>
      <c r="I163" s="41" t="str">
        <f t="shared" si="162"/>
        <v/>
      </c>
      <c r="J163" s="41" t="str">
        <f t="shared" si="162"/>
        <v/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67.5" customHeight="1">
      <c r="A164" s="39"/>
      <c r="B164" s="43" t="str">
        <f>IFERROR(__xludf.DUMMYFUNCTION("IFERROR(
  LET(
    periodos, C$1:Z$1,
    marcas, C164:Z164,
    pos, MAX(
          FILTER(
            COLUMN(marcas)-COLUMN(C164)+1,
            marcas=""X""
          )
        ),
    ultimo, INDEX(periodos, pos),
    XLOOKUP(
      $A164,
      INDI"&amp;"RECT(""'""&amp;ultimo&amp;""'!C:C""),
      INDIRECT(""'""&amp;ultimo&amp;""'!A:A"")
    )
  ),
  """"
)"),"")</f>
        <v/>
      </c>
      <c r="C164" s="41" t="str">
        <f t="shared" ref="C164:J164" si="163">IF(
  COUNTIF(
    INDIRECT("'"&amp;C$1&amp;"'!C:C"),
    $A164
  )&gt;0,
  "X",
  ""
)</f>
        <v/>
      </c>
      <c r="D164" s="41" t="str">
        <f t="shared" si="163"/>
        <v/>
      </c>
      <c r="E164" s="41" t="str">
        <f t="shared" si="163"/>
        <v/>
      </c>
      <c r="F164" s="41" t="str">
        <f t="shared" si="163"/>
        <v/>
      </c>
      <c r="G164" s="41" t="str">
        <f t="shared" si="163"/>
        <v/>
      </c>
      <c r="H164" s="41" t="str">
        <f t="shared" si="163"/>
        <v/>
      </c>
      <c r="I164" s="41" t="str">
        <f t="shared" si="163"/>
        <v/>
      </c>
      <c r="J164" s="41" t="str">
        <f t="shared" si="163"/>
        <v/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67.5" customHeight="1">
      <c r="A165" s="39"/>
      <c r="B165" s="43" t="str">
        <f>IFERROR(__xludf.DUMMYFUNCTION("IFERROR(
  LET(
    periodos, C$1:Z$1,
    marcas, C165:Z165,
    pos, MAX(
          FILTER(
            COLUMN(marcas)-COLUMN(C165)+1,
            marcas=""X""
          )
        ),
    ultimo, INDEX(periodos, pos),
    XLOOKUP(
      $A165,
      INDI"&amp;"RECT(""'""&amp;ultimo&amp;""'!C:C""),
      INDIRECT(""'""&amp;ultimo&amp;""'!A:A"")
    )
  ),
  """"
)"),"")</f>
        <v/>
      </c>
      <c r="C165" s="41" t="str">
        <f t="shared" ref="C165:J165" si="164">IF(
  COUNTIF(
    INDIRECT("'"&amp;C$1&amp;"'!C:C"),
    $A165
  )&gt;0,
  "X",
  ""
)</f>
        <v/>
      </c>
      <c r="D165" s="41" t="str">
        <f t="shared" si="164"/>
        <v/>
      </c>
      <c r="E165" s="41" t="str">
        <f t="shared" si="164"/>
        <v/>
      </c>
      <c r="F165" s="41" t="str">
        <f t="shared" si="164"/>
        <v/>
      </c>
      <c r="G165" s="41" t="str">
        <f t="shared" si="164"/>
        <v/>
      </c>
      <c r="H165" s="41" t="str">
        <f t="shared" si="164"/>
        <v/>
      </c>
      <c r="I165" s="41" t="str">
        <f t="shared" si="164"/>
        <v/>
      </c>
      <c r="J165" s="41" t="str">
        <f t="shared" si="164"/>
        <v/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67.5" customHeight="1">
      <c r="A166" s="39"/>
      <c r="B166" s="43" t="str">
        <f>IFERROR(__xludf.DUMMYFUNCTION("IFERROR(
  LET(
    periodos, C$1:Z$1,
    marcas, C166:Z166,
    pos, MAX(
          FILTER(
            COLUMN(marcas)-COLUMN(C166)+1,
            marcas=""X""
          )
        ),
    ultimo, INDEX(periodos, pos),
    XLOOKUP(
      $A166,
      INDI"&amp;"RECT(""'""&amp;ultimo&amp;""'!C:C""),
      INDIRECT(""'""&amp;ultimo&amp;""'!A:A"")
    )
  ),
  """"
)"),"")</f>
        <v/>
      </c>
      <c r="C166" s="41" t="str">
        <f t="shared" ref="C166:J166" si="165">IF(
  COUNTIF(
    INDIRECT("'"&amp;C$1&amp;"'!C:C"),
    $A166
  )&gt;0,
  "X",
  ""
)</f>
        <v/>
      </c>
      <c r="D166" s="41" t="str">
        <f t="shared" si="165"/>
        <v/>
      </c>
      <c r="E166" s="41" t="str">
        <f t="shared" si="165"/>
        <v/>
      </c>
      <c r="F166" s="41" t="str">
        <f t="shared" si="165"/>
        <v/>
      </c>
      <c r="G166" s="41" t="str">
        <f t="shared" si="165"/>
        <v/>
      </c>
      <c r="H166" s="41" t="str">
        <f t="shared" si="165"/>
        <v/>
      </c>
      <c r="I166" s="41" t="str">
        <f t="shared" si="165"/>
        <v/>
      </c>
      <c r="J166" s="41" t="str">
        <f t="shared" si="165"/>
        <v/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67.5" customHeight="1">
      <c r="A167" s="39"/>
      <c r="B167" s="43" t="str">
        <f>IFERROR(__xludf.DUMMYFUNCTION("IFERROR(
  LET(
    periodos, C$1:Z$1,
    marcas, C167:Z167,
    pos, MAX(
          FILTER(
            COLUMN(marcas)-COLUMN(C167)+1,
            marcas=""X""
          )
        ),
    ultimo, INDEX(periodos, pos),
    XLOOKUP(
      $A167,
      INDI"&amp;"RECT(""'""&amp;ultimo&amp;""'!C:C""),
      INDIRECT(""'""&amp;ultimo&amp;""'!A:A"")
    )
  ),
  """"
)"),"")</f>
        <v/>
      </c>
      <c r="C167" s="41" t="str">
        <f t="shared" ref="C167:J167" si="166">IF(
  COUNTIF(
    INDIRECT("'"&amp;C$1&amp;"'!C:C"),
    $A167
  )&gt;0,
  "X",
  ""
)</f>
        <v/>
      </c>
      <c r="D167" s="41" t="str">
        <f t="shared" si="166"/>
        <v/>
      </c>
      <c r="E167" s="41" t="str">
        <f t="shared" si="166"/>
        <v/>
      </c>
      <c r="F167" s="41" t="str">
        <f t="shared" si="166"/>
        <v/>
      </c>
      <c r="G167" s="41" t="str">
        <f t="shared" si="166"/>
        <v/>
      </c>
      <c r="H167" s="41" t="str">
        <f t="shared" si="166"/>
        <v/>
      </c>
      <c r="I167" s="41" t="str">
        <f t="shared" si="166"/>
        <v/>
      </c>
      <c r="J167" s="41" t="str">
        <f t="shared" si="166"/>
        <v/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67.5" customHeight="1">
      <c r="A168" s="39"/>
      <c r="B168" s="43" t="str">
        <f>IFERROR(__xludf.DUMMYFUNCTION("IFERROR(
  LET(
    periodos, C$1:Z$1,
    marcas, C168:Z168,
    pos, MAX(
          FILTER(
            COLUMN(marcas)-COLUMN(C168)+1,
            marcas=""X""
          )
        ),
    ultimo, INDEX(periodos, pos),
    XLOOKUP(
      $A168,
      INDI"&amp;"RECT(""'""&amp;ultimo&amp;""'!C:C""),
      INDIRECT(""'""&amp;ultimo&amp;""'!A:A"")
    )
  ),
  """"
)"),"")</f>
        <v/>
      </c>
      <c r="C168" s="41" t="str">
        <f t="shared" ref="C168:J168" si="167">IF(
  COUNTIF(
    INDIRECT("'"&amp;C$1&amp;"'!C:C"),
    $A168
  )&gt;0,
  "X",
  ""
)</f>
        <v/>
      </c>
      <c r="D168" s="41" t="str">
        <f t="shared" si="167"/>
        <v/>
      </c>
      <c r="E168" s="41" t="str">
        <f t="shared" si="167"/>
        <v/>
      </c>
      <c r="F168" s="41" t="str">
        <f t="shared" si="167"/>
        <v/>
      </c>
      <c r="G168" s="41" t="str">
        <f t="shared" si="167"/>
        <v/>
      </c>
      <c r="H168" s="41" t="str">
        <f t="shared" si="167"/>
        <v/>
      </c>
      <c r="I168" s="41" t="str">
        <f t="shared" si="167"/>
        <v/>
      </c>
      <c r="J168" s="41" t="str">
        <f t="shared" si="167"/>
        <v/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67.5" customHeight="1">
      <c r="A169" s="39"/>
      <c r="B169" s="43" t="str">
        <f>IFERROR(__xludf.DUMMYFUNCTION("IFERROR(
  LET(
    periodos, C$1:Z$1,
    marcas, C169:Z169,
    pos, MAX(
          FILTER(
            COLUMN(marcas)-COLUMN(C169)+1,
            marcas=""X""
          )
        ),
    ultimo, INDEX(periodos, pos),
    XLOOKUP(
      $A169,
      INDI"&amp;"RECT(""'""&amp;ultimo&amp;""'!C:C""),
      INDIRECT(""'""&amp;ultimo&amp;""'!A:A"")
    )
  ),
  """"
)"),"")</f>
        <v/>
      </c>
      <c r="C169" s="41" t="str">
        <f t="shared" ref="C169:J169" si="168">IF(
  COUNTIF(
    INDIRECT("'"&amp;C$1&amp;"'!C:C"),
    $A169
  )&gt;0,
  "X",
  ""
)</f>
        <v/>
      </c>
      <c r="D169" s="41" t="str">
        <f t="shared" si="168"/>
        <v/>
      </c>
      <c r="E169" s="41" t="str">
        <f t="shared" si="168"/>
        <v/>
      </c>
      <c r="F169" s="41" t="str">
        <f t="shared" si="168"/>
        <v/>
      </c>
      <c r="G169" s="41" t="str">
        <f t="shared" si="168"/>
        <v/>
      </c>
      <c r="H169" s="41" t="str">
        <f t="shared" si="168"/>
        <v/>
      </c>
      <c r="I169" s="41" t="str">
        <f t="shared" si="168"/>
        <v/>
      </c>
      <c r="J169" s="41" t="str">
        <f t="shared" si="168"/>
        <v/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67.5" customHeight="1">
      <c r="A170" s="39"/>
      <c r="B170" s="43" t="str">
        <f>IFERROR(__xludf.DUMMYFUNCTION("IFERROR(
  LET(
    periodos, C$1:Z$1,
    marcas, C170:Z170,
    pos, MAX(
          FILTER(
            COLUMN(marcas)-COLUMN(C170)+1,
            marcas=""X""
          )
        ),
    ultimo, INDEX(periodos, pos),
    XLOOKUP(
      $A170,
      INDI"&amp;"RECT(""'""&amp;ultimo&amp;""'!C:C""),
      INDIRECT(""'""&amp;ultimo&amp;""'!A:A"")
    )
  ),
  """"
)"),"")</f>
        <v/>
      </c>
      <c r="C170" s="41" t="str">
        <f t="shared" ref="C170:J170" si="169">IF(
  COUNTIF(
    INDIRECT("'"&amp;C$1&amp;"'!C:C"),
    $A170
  )&gt;0,
  "X",
  ""
)</f>
        <v/>
      </c>
      <c r="D170" s="41" t="str">
        <f t="shared" si="169"/>
        <v/>
      </c>
      <c r="E170" s="41" t="str">
        <f t="shared" si="169"/>
        <v/>
      </c>
      <c r="F170" s="41" t="str">
        <f t="shared" si="169"/>
        <v/>
      </c>
      <c r="G170" s="41" t="str">
        <f t="shared" si="169"/>
        <v/>
      </c>
      <c r="H170" s="41" t="str">
        <f t="shared" si="169"/>
        <v/>
      </c>
      <c r="I170" s="41" t="str">
        <f t="shared" si="169"/>
        <v/>
      </c>
      <c r="J170" s="41" t="str">
        <f t="shared" si="169"/>
        <v/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67.5" customHeight="1">
      <c r="A171" s="39"/>
      <c r="B171" s="43" t="str">
        <f>IFERROR(__xludf.DUMMYFUNCTION("IFERROR(
  LET(
    periodos, C$1:Z$1,
    marcas, C171:Z171,
    pos, MAX(
          FILTER(
            COLUMN(marcas)-COLUMN(C171)+1,
            marcas=""X""
          )
        ),
    ultimo, INDEX(periodos, pos),
    XLOOKUP(
      $A171,
      INDI"&amp;"RECT(""'""&amp;ultimo&amp;""'!C:C""),
      INDIRECT(""'""&amp;ultimo&amp;""'!A:A"")
    )
  ),
  """"
)"),"")</f>
        <v/>
      </c>
      <c r="C171" s="41" t="str">
        <f t="shared" ref="C171:J171" si="170">IF(
  COUNTIF(
    INDIRECT("'"&amp;C$1&amp;"'!C:C"),
    $A171
  )&gt;0,
  "X",
  ""
)</f>
        <v/>
      </c>
      <c r="D171" s="41" t="str">
        <f t="shared" si="170"/>
        <v/>
      </c>
      <c r="E171" s="41" t="str">
        <f t="shared" si="170"/>
        <v/>
      </c>
      <c r="F171" s="41" t="str">
        <f t="shared" si="170"/>
        <v/>
      </c>
      <c r="G171" s="41" t="str">
        <f t="shared" si="170"/>
        <v/>
      </c>
      <c r="H171" s="41" t="str">
        <f t="shared" si="170"/>
        <v/>
      </c>
      <c r="I171" s="41" t="str">
        <f t="shared" si="170"/>
        <v/>
      </c>
      <c r="J171" s="41" t="str">
        <f t="shared" si="170"/>
        <v/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67.5" customHeight="1">
      <c r="A172" s="39"/>
      <c r="B172" s="43" t="str">
        <f>IFERROR(__xludf.DUMMYFUNCTION("IFERROR(
  LET(
    periodos, C$1:Z$1,
    marcas, C172:Z172,
    pos, MAX(
          FILTER(
            COLUMN(marcas)-COLUMN(C172)+1,
            marcas=""X""
          )
        ),
    ultimo, INDEX(periodos, pos),
    XLOOKUP(
      $A172,
      INDI"&amp;"RECT(""'""&amp;ultimo&amp;""'!C:C""),
      INDIRECT(""'""&amp;ultimo&amp;""'!A:A"")
    )
  ),
  """"
)"),"")</f>
        <v/>
      </c>
      <c r="C172" s="41" t="str">
        <f t="shared" ref="C172:J172" si="171">IF(
  COUNTIF(
    INDIRECT("'"&amp;C$1&amp;"'!C:C"),
    $A172
  )&gt;0,
  "X",
  ""
)</f>
        <v/>
      </c>
      <c r="D172" s="41" t="str">
        <f t="shared" si="171"/>
        <v/>
      </c>
      <c r="E172" s="41" t="str">
        <f t="shared" si="171"/>
        <v/>
      </c>
      <c r="F172" s="41" t="str">
        <f t="shared" si="171"/>
        <v/>
      </c>
      <c r="G172" s="41" t="str">
        <f t="shared" si="171"/>
        <v/>
      </c>
      <c r="H172" s="41" t="str">
        <f t="shared" si="171"/>
        <v/>
      </c>
      <c r="I172" s="41" t="str">
        <f t="shared" si="171"/>
        <v/>
      </c>
      <c r="J172" s="41" t="str">
        <f t="shared" si="171"/>
        <v/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67.5" customHeight="1">
      <c r="A173" s="39"/>
      <c r="B173" s="43" t="str">
        <f>IFERROR(__xludf.DUMMYFUNCTION("IFERROR(
  LET(
    periodos, C$1:Z$1,
    marcas, C173:Z173,
    pos, MAX(
          FILTER(
            COLUMN(marcas)-COLUMN(C173)+1,
            marcas=""X""
          )
        ),
    ultimo, INDEX(periodos, pos),
    XLOOKUP(
      $A173,
      INDI"&amp;"RECT(""'""&amp;ultimo&amp;""'!C:C""),
      INDIRECT(""'""&amp;ultimo&amp;""'!A:A"")
    )
  ),
  """"
)"),"")</f>
        <v/>
      </c>
      <c r="C173" s="41" t="str">
        <f t="shared" ref="C173:J173" si="172">IF(
  COUNTIF(
    INDIRECT("'"&amp;C$1&amp;"'!C:C"),
    $A173
  )&gt;0,
  "X",
  ""
)</f>
        <v/>
      </c>
      <c r="D173" s="41" t="str">
        <f t="shared" si="172"/>
        <v/>
      </c>
      <c r="E173" s="41" t="str">
        <f t="shared" si="172"/>
        <v/>
      </c>
      <c r="F173" s="41" t="str">
        <f t="shared" si="172"/>
        <v/>
      </c>
      <c r="G173" s="41" t="str">
        <f t="shared" si="172"/>
        <v/>
      </c>
      <c r="H173" s="41" t="str">
        <f t="shared" si="172"/>
        <v/>
      </c>
      <c r="I173" s="41" t="str">
        <f t="shared" si="172"/>
        <v/>
      </c>
      <c r="J173" s="41" t="str">
        <f t="shared" si="172"/>
        <v/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67.5" customHeight="1">
      <c r="A174" s="39"/>
      <c r="B174" s="43" t="str">
        <f>IFERROR(__xludf.DUMMYFUNCTION("IFERROR(
  LET(
    periodos, C$1:Z$1,
    marcas, C174:Z174,
    pos, MAX(
          FILTER(
            COLUMN(marcas)-COLUMN(C174)+1,
            marcas=""X""
          )
        ),
    ultimo, INDEX(periodos, pos),
    XLOOKUP(
      $A174,
      INDI"&amp;"RECT(""'""&amp;ultimo&amp;""'!C:C""),
      INDIRECT(""'""&amp;ultimo&amp;""'!A:A"")
    )
  ),
  """"
)"),"")</f>
        <v/>
      </c>
      <c r="C174" s="41" t="str">
        <f t="shared" ref="C174:J174" si="173">IF(
  COUNTIF(
    INDIRECT("'"&amp;C$1&amp;"'!C:C"),
    $A174
  )&gt;0,
  "X",
  ""
)</f>
        <v/>
      </c>
      <c r="D174" s="41" t="str">
        <f t="shared" si="173"/>
        <v/>
      </c>
      <c r="E174" s="41" t="str">
        <f t="shared" si="173"/>
        <v/>
      </c>
      <c r="F174" s="41" t="str">
        <f t="shared" si="173"/>
        <v/>
      </c>
      <c r="G174" s="41" t="str">
        <f t="shared" si="173"/>
        <v/>
      </c>
      <c r="H174" s="41" t="str">
        <f t="shared" si="173"/>
        <v/>
      </c>
      <c r="I174" s="41" t="str">
        <f t="shared" si="173"/>
        <v/>
      </c>
      <c r="J174" s="41" t="str">
        <f t="shared" si="173"/>
        <v/>
      </c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67.5" customHeight="1">
      <c r="A175" s="39"/>
      <c r="B175" s="43" t="str">
        <f>IFERROR(__xludf.DUMMYFUNCTION("IFERROR(
  LET(
    periodos, C$1:Z$1,
    marcas, C175:Z175,
    pos, MAX(
          FILTER(
            COLUMN(marcas)-COLUMN(C175)+1,
            marcas=""X""
          )
        ),
    ultimo, INDEX(periodos, pos),
    XLOOKUP(
      $A175,
      INDI"&amp;"RECT(""'""&amp;ultimo&amp;""'!C:C""),
      INDIRECT(""'""&amp;ultimo&amp;""'!A:A"")
    )
  ),
  """"
)"),"")</f>
        <v/>
      </c>
      <c r="C175" s="41" t="str">
        <f t="shared" ref="C175:J175" si="174">IF(
  COUNTIF(
    INDIRECT("'"&amp;C$1&amp;"'!C:C"),
    $A175
  )&gt;0,
  "X",
  ""
)</f>
        <v/>
      </c>
      <c r="D175" s="41" t="str">
        <f t="shared" si="174"/>
        <v/>
      </c>
      <c r="E175" s="41" t="str">
        <f t="shared" si="174"/>
        <v/>
      </c>
      <c r="F175" s="41" t="str">
        <f t="shared" si="174"/>
        <v/>
      </c>
      <c r="G175" s="41" t="str">
        <f t="shared" si="174"/>
        <v/>
      </c>
      <c r="H175" s="41" t="str">
        <f t="shared" si="174"/>
        <v/>
      </c>
      <c r="I175" s="41" t="str">
        <f t="shared" si="174"/>
        <v/>
      </c>
      <c r="J175" s="41" t="str">
        <f t="shared" si="174"/>
        <v/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67.5" customHeight="1">
      <c r="A176" s="39"/>
      <c r="B176" s="43" t="str">
        <f>IFERROR(__xludf.DUMMYFUNCTION("IFERROR(
  LET(
    periodos, C$1:Z$1,
    marcas, C176:Z176,
    pos, MAX(
          FILTER(
            COLUMN(marcas)-COLUMN(C176)+1,
            marcas=""X""
          )
        ),
    ultimo, INDEX(periodos, pos),
    XLOOKUP(
      $A176,
      INDI"&amp;"RECT(""'""&amp;ultimo&amp;""'!C:C""),
      INDIRECT(""'""&amp;ultimo&amp;""'!A:A"")
    )
  ),
  """"
)"),"")</f>
        <v/>
      </c>
      <c r="C176" s="41" t="str">
        <f t="shared" ref="C176:J176" si="175">IF(
  COUNTIF(
    INDIRECT("'"&amp;C$1&amp;"'!C:C"),
    $A176
  )&gt;0,
  "X",
  ""
)</f>
        <v/>
      </c>
      <c r="D176" s="41" t="str">
        <f t="shared" si="175"/>
        <v/>
      </c>
      <c r="E176" s="41" t="str">
        <f t="shared" si="175"/>
        <v/>
      </c>
      <c r="F176" s="41" t="str">
        <f t="shared" si="175"/>
        <v/>
      </c>
      <c r="G176" s="41" t="str">
        <f t="shared" si="175"/>
        <v/>
      </c>
      <c r="H176" s="41" t="str">
        <f t="shared" si="175"/>
        <v/>
      </c>
      <c r="I176" s="41" t="str">
        <f t="shared" si="175"/>
        <v/>
      </c>
      <c r="J176" s="41" t="str">
        <f t="shared" si="175"/>
        <v/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67.5" customHeight="1">
      <c r="A177" s="39"/>
      <c r="B177" s="43" t="str">
        <f>IFERROR(__xludf.DUMMYFUNCTION("IFERROR(
  LET(
    periodos, C$1:Z$1,
    marcas, C177:Z177,
    pos, MAX(
          FILTER(
            COLUMN(marcas)-COLUMN(C177)+1,
            marcas=""X""
          )
        ),
    ultimo, INDEX(periodos, pos),
    XLOOKUP(
      $A177,
      INDI"&amp;"RECT(""'""&amp;ultimo&amp;""'!C:C""),
      INDIRECT(""'""&amp;ultimo&amp;""'!A:A"")
    )
  ),
  """"
)"),"")</f>
        <v/>
      </c>
      <c r="C177" s="41" t="str">
        <f t="shared" ref="C177:J177" si="176">IF(
  COUNTIF(
    INDIRECT("'"&amp;C$1&amp;"'!C:C"),
    $A177
  )&gt;0,
  "X",
  ""
)</f>
        <v/>
      </c>
      <c r="D177" s="41" t="str">
        <f t="shared" si="176"/>
        <v/>
      </c>
      <c r="E177" s="41" t="str">
        <f t="shared" si="176"/>
        <v/>
      </c>
      <c r="F177" s="41" t="str">
        <f t="shared" si="176"/>
        <v/>
      </c>
      <c r="G177" s="41" t="str">
        <f t="shared" si="176"/>
        <v/>
      </c>
      <c r="H177" s="41" t="str">
        <f t="shared" si="176"/>
        <v/>
      </c>
      <c r="I177" s="41" t="str">
        <f t="shared" si="176"/>
        <v/>
      </c>
      <c r="J177" s="41" t="str">
        <f t="shared" si="176"/>
        <v/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67.5" customHeight="1">
      <c r="A178" s="39"/>
      <c r="B178" s="43" t="str">
        <f>IFERROR(__xludf.DUMMYFUNCTION("IFERROR(
  LET(
    periodos, C$1:Z$1,
    marcas, C178:Z178,
    pos, MAX(
          FILTER(
            COLUMN(marcas)-COLUMN(C178)+1,
            marcas=""X""
          )
        ),
    ultimo, INDEX(periodos, pos),
    XLOOKUP(
      $A178,
      INDI"&amp;"RECT(""'""&amp;ultimo&amp;""'!C:C""),
      INDIRECT(""'""&amp;ultimo&amp;""'!A:A"")
    )
  ),
  """"
)"),"")</f>
        <v/>
      </c>
      <c r="C178" s="41" t="str">
        <f t="shared" ref="C178:J178" si="177">IF(
  COUNTIF(
    INDIRECT("'"&amp;C$1&amp;"'!C:C"),
    $A178
  )&gt;0,
  "X",
  ""
)</f>
        <v/>
      </c>
      <c r="D178" s="41" t="str">
        <f t="shared" si="177"/>
        <v/>
      </c>
      <c r="E178" s="41" t="str">
        <f t="shared" si="177"/>
        <v/>
      </c>
      <c r="F178" s="41" t="str">
        <f t="shared" si="177"/>
        <v/>
      </c>
      <c r="G178" s="41" t="str">
        <f t="shared" si="177"/>
        <v/>
      </c>
      <c r="H178" s="41" t="str">
        <f t="shared" si="177"/>
        <v/>
      </c>
      <c r="I178" s="41" t="str">
        <f t="shared" si="177"/>
        <v/>
      </c>
      <c r="J178" s="41" t="str">
        <f t="shared" si="177"/>
        <v/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67.5" customHeight="1">
      <c r="A179" s="39"/>
      <c r="B179" s="43" t="str">
        <f>IFERROR(__xludf.DUMMYFUNCTION("IFERROR(
  LET(
    periodos, C$1:Z$1,
    marcas, C179:Z179,
    pos, MAX(
          FILTER(
            COLUMN(marcas)-COLUMN(C179)+1,
            marcas=""X""
          )
        ),
    ultimo, INDEX(periodos, pos),
    XLOOKUP(
      $A179,
      INDI"&amp;"RECT(""'""&amp;ultimo&amp;""'!C:C""),
      INDIRECT(""'""&amp;ultimo&amp;""'!A:A"")
    )
  ),
  """"
)"),"")</f>
        <v/>
      </c>
      <c r="C179" s="41" t="str">
        <f t="shared" ref="C179:J179" si="178">IF(
  COUNTIF(
    INDIRECT("'"&amp;C$1&amp;"'!C:C"),
    $A179
  )&gt;0,
  "X",
  ""
)</f>
        <v/>
      </c>
      <c r="D179" s="41" t="str">
        <f t="shared" si="178"/>
        <v/>
      </c>
      <c r="E179" s="41" t="str">
        <f t="shared" si="178"/>
        <v/>
      </c>
      <c r="F179" s="41" t="str">
        <f t="shared" si="178"/>
        <v/>
      </c>
      <c r="G179" s="41" t="str">
        <f t="shared" si="178"/>
        <v/>
      </c>
      <c r="H179" s="41" t="str">
        <f t="shared" si="178"/>
        <v/>
      </c>
      <c r="I179" s="41" t="str">
        <f t="shared" si="178"/>
        <v/>
      </c>
      <c r="J179" s="41" t="str">
        <f t="shared" si="178"/>
        <v/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67.5" customHeight="1">
      <c r="A180" s="39"/>
      <c r="B180" s="43" t="str">
        <f>IFERROR(__xludf.DUMMYFUNCTION("IFERROR(
  LET(
    periodos, C$1:Z$1,
    marcas, C180:Z180,
    pos, MAX(
          FILTER(
            COLUMN(marcas)-COLUMN(C180)+1,
            marcas=""X""
          )
        ),
    ultimo, INDEX(periodos, pos),
    XLOOKUP(
      $A180,
      INDI"&amp;"RECT(""'""&amp;ultimo&amp;""'!C:C""),
      INDIRECT(""'""&amp;ultimo&amp;""'!A:A"")
    )
  ),
  """"
)"),"")</f>
        <v/>
      </c>
      <c r="C180" s="41" t="str">
        <f t="shared" ref="C180:J180" si="179">IF(
  COUNTIF(
    INDIRECT("'"&amp;C$1&amp;"'!C:C"),
    $A180
  )&gt;0,
  "X",
  ""
)</f>
        <v/>
      </c>
      <c r="D180" s="41" t="str">
        <f t="shared" si="179"/>
        <v/>
      </c>
      <c r="E180" s="41" t="str">
        <f t="shared" si="179"/>
        <v/>
      </c>
      <c r="F180" s="41" t="str">
        <f t="shared" si="179"/>
        <v/>
      </c>
      <c r="G180" s="41" t="str">
        <f t="shared" si="179"/>
        <v/>
      </c>
      <c r="H180" s="41" t="str">
        <f t="shared" si="179"/>
        <v/>
      </c>
      <c r="I180" s="41" t="str">
        <f t="shared" si="179"/>
        <v/>
      </c>
      <c r="J180" s="41" t="str">
        <f t="shared" si="179"/>
        <v/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67.5" customHeight="1">
      <c r="A181" s="39"/>
      <c r="B181" s="43" t="str">
        <f>IFERROR(__xludf.DUMMYFUNCTION("IFERROR(
  LET(
    periodos, C$1:Z$1,
    marcas, C181:Z181,
    pos, MAX(
          FILTER(
            COLUMN(marcas)-COLUMN(C181)+1,
            marcas=""X""
          )
        ),
    ultimo, INDEX(periodos, pos),
    XLOOKUP(
      $A181,
      INDI"&amp;"RECT(""'""&amp;ultimo&amp;""'!C:C""),
      INDIRECT(""'""&amp;ultimo&amp;""'!A:A"")
    )
  ),
  """"
)"),"")</f>
        <v/>
      </c>
      <c r="C181" s="41" t="str">
        <f t="shared" ref="C181:J181" si="180">IF(
  COUNTIF(
    INDIRECT("'"&amp;C$1&amp;"'!C:C"),
    $A181
  )&gt;0,
  "X",
  ""
)</f>
        <v/>
      </c>
      <c r="D181" s="41" t="str">
        <f t="shared" si="180"/>
        <v/>
      </c>
      <c r="E181" s="41" t="str">
        <f t="shared" si="180"/>
        <v/>
      </c>
      <c r="F181" s="41" t="str">
        <f t="shared" si="180"/>
        <v/>
      </c>
      <c r="G181" s="41" t="str">
        <f t="shared" si="180"/>
        <v/>
      </c>
      <c r="H181" s="41" t="str">
        <f t="shared" si="180"/>
        <v/>
      </c>
      <c r="I181" s="41" t="str">
        <f t="shared" si="180"/>
        <v/>
      </c>
      <c r="J181" s="41" t="str">
        <f t="shared" si="180"/>
        <v/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67.5" customHeight="1">
      <c r="A182" s="39"/>
      <c r="B182" s="43" t="str">
        <f>IFERROR(__xludf.DUMMYFUNCTION("IFERROR(
  LET(
    periodos, C$1:Z$1,
    marcas, C182:Z182,
    pos, MAX(
          FILTER(
            COLUMN(marcas)-COLUMN(C182)+1,
            marcas=""X""
          )
        ),
    ultimo, INDEX(periodos, pos),
    XLOOKUP(
      $A182,
      INDI"&amp;"RECT(""'""&amp;ultimo&amp;""'!C:C""),
      INDIRECT(""'""&amp;ultimo&amp;""'!A:A"")
    )
  ),
  """"
)"),"")</f>
        <v/>
      </c>
      <c r="C182" s="41" t="str">
        <f t="shared" ref="C182:J182" si="181">IF(
  COUNTIF(
    INDIRECT("'"&amp;C$1&amp;"'!C:C"),
    $A182
  )&gt;0,
  "X",
  ""
)</f>
        <v/>
      </c>
      <c r="D182" s="41" t="str">
        <f t="shared" si="181"/>
        <v/>
      </c>
      <c r="E182" s="41" t="str">
        <f t="shared" si="181"/>
        <v/>
      </c>
      <c r="F182" s="41" t="str">
        <f t="shared" si="181"/>
        <v/>
      </c>
      <c r="G182" s="41" t="str">
        <f t="shared" si="181"/>
        <v/>
      </c>
      <c r="H182" s="41" t="str">
        <f t="shared" si="181"/>
        <v/>
      </c>
      <c r="I182" s="41" t="str">
        <f t="shared" si="181"/>
        <v/>
      </c>
      <c r="J182" s="41" t="str">
        <f t="shared" si="181"/>
        <v/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67.5" customHeight="1">
      <c r="A183" s="39"/>
      <c r="B183" s="43" t="str">
        <f>IFERROR(__xludf.DUMMYFUNCTION("IFERROR(
  LET(
    periodos, C$1:Z$1,
    marcas, C183:Z183,
    pos, MAX(
          FILTER(
            COLUMN(marcas)-COLUMN(C183)+1,
            marcas=""X""
          )
        ),
    ultimo, INDEX(periodos, pos),
    XLOOKUP(
      $A183,
      INDI"&amp;"RECT(""'""&amp;ultimo&amp;""'!C:C""),
      INDIRECT(""'""&amp;ultimo&amp;""'!A:A"")
    )
  ),
  """"
)"),"")</f>
        <v/>
      </c>
      <c r="C183" s="41" t="str">
        <f t="shared" ref="C183:J183" si="182">IF(
  COUNTIF(
    INDIRECT("'"&amp;C$1&amp;"'!C:C"),
    $A183
  )&gt;0,
  "X",
  ""
)</f>
        <v/>
      </c>
      <c r="D183" s="41" t="str">
        <f t="shared" si="182"/>
        <v/>
      </c>
      <c r="E183" s="41" t="str">
        <f t="shared" si="182"/>
        <v/>
      </c>
      <c r="F183" s="41" t="str">
        <f t="shared" si="182"/>
        <v/>
      </c>
      <c r="G183" s="41" t="str">
        <f t="shared" si="182"/>
        <v/>
      </c>
      <c r="H183" s="41" t="str">
        <f t="shared" si="182"/>
        <v/>
      </c>
      <c r="I183" s="41" t="str">
        <f t="shared" si="182"/>
        <v/>
      </c>
      <c r="J183" s="41" t="str">
        <f t="shared" si="182"/>
        <v/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67.5" customHeight="1">
      <c r="A184" s="39"/>
      <c r="B184" s="43" t="str">
        <f>IFERROR(__xludf.DUMMYFUNCTION("IFERROR(
  LET(
    periodos, C$1:Z$1,
    marcas, C184:Z184,
    pos, MAX(
          FILTER(
            COLUMN(marcas)-COLUMN(C184)+1,
            marcas=""X""
          )
        ),
    ultimo, INDEX(periodos, pos),
    XLOOKUP(
      $A184,
      INDI"&amp;"RECT(""'""&amp;ultimo&amp;""'!C:C""),
      INDIRECT(""'""&amp;ultimo&amp;""'!A:A"")
    )
  ),
  """"
)"),"")</f>
        <v/>
      </c>
      <c r="C184" s="41" t="str">
        <f t="shared" ref="C184:J184" si="183">IF(
  COUNTIF(
    INDIRECT("'"&amp;C$1&amp;"'!C:C"),
    $A184
  )&gt;0,
  "X",
  ""
)</f>
        <v/>
      </c>
      <c r="D184" s="41" t="str">
        <f t="shared" si="183"/>
        <v/>
      </c>
      <c r="E184" s="41" t="str">
        <f t="shared" si="183"/>
        <v/>
      </c>
      <c r="F184" s="41" t="str">
        <f t="shared" si="183"/>
        <v/>
      </c>
      <c r="G184" s="41" t="str">
        <f t="shared" si="183"/>
        <v/>
      </c>
      <c r="H184" s="41" t="str">
        <f t="shared" si="183"/>
        <v/>
      </c>
      <c r="I184" s="41" t="str">
        <f t="shared" si="183"/>
        <v/>
      </c>
      <c r="J184" s="41" t="str">
        <f t="shared" si="183"/>
        <v/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67.5" customHeight="1">
      <c r="A185" s="39"/>
      <c r="B185" s="43" t="str">
        <f>IFERROR(__xludf.DUMMYFUNCTION("IFERROR(
  LET(
    periodos, C$1:Z$1,
    marcas, C185:Z185,
    pos, MAX(
          FILTER(
            COLUMN(marcas)-COLUMN(C185)+1,
            marcas=""X""
          )
        ),
    ultimo, INDEX(periodos, pos),
    XLOOKUP(
      $A185,
      INDI"&amp;"RECT(""'""&amp;ultimo&amp;""'!C:C""),
      INDIRECT(""'""&amp;ultimo&amp;""'!A:A"")
    )
  ),
  """"
)"),"")</f>
        <v/>
      </c>
      <c r="C185" s="41" t="str">
        <f t="shared" ref="C185:J185" si="184">IF(
  COUNTIF(
    INDIRECT("'"&amp;C$1&amp;"'!C:C"),
    $A185
  )&gt;0,
  "X",
  ""
)</f>
        <v/>
      </c>
      <c r="D185" s="41" t="str">
        <f t="shared" si="184"/>
        <v/>
      </c>
      <c r="E185" s="41" t="str">
        <f t="shared" si="184"/>
        <v/>
      </c>
      <c r="F185" s="41" t="str">
        <f t="shared" si="184"/>
        <v/>
      </c>
      <c r="G185" s="41" t="str">
        <f t="shared" si="184"/>
        <v/>
      </c>
      <c r="H185" s="41" t="str">
        <f t="shared" si="184"/>
        <v/>
      </c>
      <c r="I185" s="41" t="str">
        <f t="shared" si="184"/>
        <v/>
      </c>
      <c r="J185" s="41" t="str">
        <f t="shared" si="184"/>
        <v/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67.5" customHeight="1">
      <c r="A186" s="39"/>
      <c r="B186" s="43" t="str">
        <f>IFERROR(__xludf.DUMMYFUNCTION("IFERROR(
  LET(
    periodos, C$1:Z$1,
    marcas, C186:Z186,
    pos, MAX(
          FILTER(
            COLUMN(marcas)-COLUMN(C186)+1,
            marcas=""X""
          )
        ),
    ultimo, INDEX(periodos, pos),
    XLOOKUP(
      $A186,
      INDI"&amp;"RECT(""'""&amp;ultimo&amp;""'!C:C""),
      INDIRECT(""'""&amp;ultimo&amp;""'!A:A"")
    )
  ),
  """"
)"),"")</f>
        <v/>
      </c>
      <c r="C186" s="41" t="str">
        <f t="shared" ref="C186:J186" si="185">IF(
  COUNTIF(
    INDIRECT("'"&amp;C$1&amp;"'!C:C"),
    $A186
  )&gt;0,
  "X",
  ""
)</f>
        <v/>
      </c>
      <c r="D186" s="41" t="str">
        <f t="shared" si="185"/>
        <v/>
      </c>
      <c r="E186" s="41" t="str">
        <f t="shared" si="185"/>
        <v/>
      </c>
      <c r="F186" s="41" t="str">
        <f t="shared" si="185"/>
        <v/>
      </c>
      <c r="G186" s="41" t="str">
        <f t="shared" si="185"/>
        <v/>
      </c>
      <c r="H186" s="41" t="str">
        <f t="shared" si="185"/>
        <v/>
      </c>
      <c r="I186" s="41" t="str">
        <f t="shared" si="185"/>
        <v/>
      </c>
      <c r="J186" s="41" t="str">
        <f t="shared" si="185"/>
        <v/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67.5" customHeight="1">
      <c r="A187" s="39"/>
      <c r="B187" s="43" t="str">
        <f>IFERROR(__xludf.DUMMYFUNCTION("IFERROR(
  LET(
    periodos, C$1:Z$1,
    marcas, C187:Z187,
    pos, MAX(
          FILTER(
            COLUMN(marcas)-COLUMN(C187)+1,
            marcas=""X""
          )
        ),
    ultimo, INDEX(periodos, pos),
    XLOOKUP(
      $A187,
      INDI"&amp;"RECT(""'""&amp;ultimo&amp;""'!C:C""),
      INDIRECT(""'""&amp;ultimo&amp;""'!A:A"")
    )
  ),
  """"
)"),"")</f>
        <v/>
      </c>
      <c r="C187" s="41" t="str">
        <f t="shared" ref="C187:J187" si="186">IF(
  COUNTIF(
    INDIRECT("'"&amp;C$1&amp;"'!C:C"),
    $A187
  )&gt;0,
  "X",
  ""
)</f>
        <v/>
      </c>
      <c r="D187" s="41" t="str">
        <f t="shared" si="186"/>
        <v/>
      </c>
      <c r="E187" s="41" t="str">
        <f t="shared" si="186"/>
        <v/>
      </c>
      <c r="F187" s="41" t="str">
        <f t="shared" si="186"/>
        <v/>
      </c>
      <c r="G187" s="41" t="str">
        <f t="shared" si="186"/>
        <v/>
      </c>
      <c r="H187" s="41" t="str">
        <f t="shared" si="186"/>
        <v/>
      </c>
      <c r="I187" s="41" t="str">
        <f t="shared" si="186"/>
        <v/>
      </c>
      <c r="J187" s="41" t="str">
        <f t="shared" si="186"/>
        <v/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67.5" customHeight="1">
      <c r="A188" s="39"/>
      <c r="B188" s="43" t="str">
        <f>IFERROR(__xludf.DUMMYFUNCTION("IFERROR(
  LET(
    periodos, C$1:Z$1,
    marcas, C188:Z188,
    pos, MAX(
          FILTER(
            COLUMN(marcas)-COLUMN(C188)+1,
            marcas=""X""
          )
        ),
    ultimo, INDEX(periodos, pos),
    XLOOKUP(
      $A188,
      INDI"&amp;"RECT(""'""&amp;ultimo&amp;""'!C:C""),
      INDIRECT(""'""&amp;ultimo&amp;""'!A:A"")
    )
  ),
  """"
)"),"")</f>
        <v/>
      </c>
      <c r="C188" s="41" t="str">
        <f t="shared" ref="C188:J188" si="187">IF(
  COUNTIF(
    INDIRECT("'"&amp;C$1&amp;"'!C:C"),
    $A188
  )&gt;0,
  "X",
  ""
)</f>
        <v/>
      </c>
      <c r="D188" s="41" t="str">
        <f t="shared" si="187"/>
        <v/>
      </c>
      <c r="E188" s="41" t="str">
        <f t="shared" si="187"/>
        <v/>
      </c>
      <c r="F188" s="41" t="str">
        <f t="shared" si="187"/>
        <v/>
      </c>
      <c r="G188" s="41" t="str">
        <f t="shared" si="187"/>
        <v/>
      </c>
      <c r="H188" s="41" t="str">
        <f t="shared" si="187"/>
        <v/>
      </c>
      <c r="I188" s="41" t="str">
        <f t="shared" si="187"/>
        <v/>
      </c>
      <c r="J188" s="41" t="str">
        <f t="shared" si="187"/>
        <v/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67.5" customHeight="1">
      <c r="A189" s="39"/>
      <c r="B189" s="43" t="str">
        <f>IFERROR(__xludf.DUMMYFUNCTION("IFERROR(
  LET(
    periodos, C$1:Z$1,
    marcas, C189:Z189,
    pos, MAX(
          FILTER(
            COLUMN(marcas)-COLUMN(C189)+1,
            marcas=""X""
          )
        ),
    ultimo, INDEX(periodos, pos),
    XLOOKUP(
      $A189,
      INDI"&amp;"RECT(""'""&amp;ultimo&amp;""'!C:C""),
      INDIRECT(""'""&amp;ultimo&amp;""'!A:A"")
    )
  ),
  """"
)"),"")</f>
        <v/>
      </c>
      <c r="C189" s="41" t="str">
        <f t="shared" ref="C189:J189" si="188">IF(
  COUNTIF(
    INDIRECT("'"&amp;C$1&amp;"'!C:C"),
    $A189
  )&gt;0,
  "X",
  ""
)</f>
        <v/>
      </c>
      <c r="D189" s="41" t="str">
        <f t="shared" si="188"/>
        <v/>
      </c>
      <c r="E189" s="41" t="str">
        <f t="shared" si="188"/>
        <v/>
      </c>
      <c r="F189" s="41" t="str">
        <f t="shared" si="188"/>
        <v/>
      </c>
      <c r="G189" s="41" t="str">
        <f t="shared" si="188"/>
        <v/>
      </c>
      <c r="H189" s="41" t="str">
        <f t="shared" si="188"/>
        <v/>
      </c>
      <c r="I189" s="41" t="str">
        <f t="shared" si="188"/>
        <v/>
      </c>
      <c r="J189" s="41" t="str">
        <f t="shared" si="188"/>
        <v/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67.5" customHeight="1">
      <c r="A190" s="39"/>
      <c r="B190" s="43" t="str">
        <f>IFERROR(__xludf.DUMMYFUNCTION("IFERROR(
  LET(
    periodos, C$1:Z$1,
    marcas, C190:Z190,
    pos, MAX(
          FILTER(
            COLUMN(marcas)-COLUMN(C190)+1,
            marcas=""X""
          )
        ),
    ultimo, INDEX(periodos, pos),
    XLOOKUP(
      $A190,
      INDI"&amp;"RECT(""'""&amp;ultimo&amp;""'!C:C""),
      INDIRECT(""'""&amp;ultimo&amp;""'!A:A"")
    )
  ),
  """"
)"),"")</f>
        <v/>
      </c>
      <c r="C190" s="41" t="str">
        <f t="shared" ref="C190:J190" si="189">IF(
  COUNTIF(
    INDIRECT("'"&amp;C$1&amp;"'!C:C"),
    $A190
  )&gt;0,
  "X",
  ""
)</f>
        <v/>
      </c>
      <c r="D190" s="41" t="str">
        <f t="shared" si="189"/>
        <v/>
      </c>
      <c r="E190" s="41" t="str">
        <f t="shared" si="189"/>
        <v/>
      </c>
      <c r="F190" s="41" t="str">
        <f t="shared" si="189"/>
        <v/>
      </c>
      <c r="G190" s="41" t="str">
        <f t="shared" si="189"/>
        <v/>
      </c>
      <c r="H190" s="41" t="str">
        <f t="shared" si="189"/>
        <v/>
      </c>
      <c r="I190" s="41" t="str">
        <f t="shared" si="189"/>
        <v/>
      </c>
      <c r="J190" s="41" t="str">
        <f t="shared" si="189"/>
        <v/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67.5" customHeight="1">
      <c r="A191" s="39"/>
      <c r="B191" s="43" t="str">
        <f>IFERROR(__xludf.DUMMYFUNCTION("IFERROR(
  LET(
    periodos, C$1:Z$1,
    marcas, C191:Z191,
    pos, MAX(
          FILTER(
            COLUMN(marcas)-COLUMN(C191)+1,
            marcas=""X""
          )
        ),
    ultimo, INDEX(periodos, pos),
    XLOOKUP(
      $A191,
      INDI"&amp;"RECT(""'""&amp;ultimo&amp;""'!C:C""),
      INDIRECT(""'""&amp;ultimo&amp;""'!A:A"")
    )
  ),
  """"
)"),"")</f>
        <v/>
      </c>
      <c r="C191" s="41" t="str">
        <f t="shared" ref="C191:J191" si="190">IF(
  COUNTIF(
    INDIRECT("'"&amp;C$1&amp;"'!C:C"),
    $A191
  )&gt;0,
  "X",
  ""
)</f>
        <v/>
      </c>
      <c r="D191" s="41" t="str">
        <f t="shared" si="190"/>
        <v/>
      </c>
      <c r="E191" s="41" t="str">
        <f t="shared" si="190"/>
        <v/>
      </c>
      <c r="F191" s="41" t="str">
        <f t="shared" si="190"/>
        <v/>
      </c>
      <c r="G191" s="41" t="str">
        <f t="shared" si="190"/>
        <v/>
      </c>
      <c r="H191" s="41" t="str">
        <f t="shared" si="190"/>
        <v/>
      </c>
      <c r="I191" s="41" t="str">
        <f t="shared" si="190"/>
        <v/>
      </c>
      <c r="J191" s="41" t="str">
        <f t="shared" si="190"/>
        <v/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67.5" customHeight="1">
      <c r="A192" s="39"/>
      <c r="B192" s="43" t="str">
        <f>IFERROR(__xludf.DUMMYFUNCTION("IFERROR(
  LET(
    periodos, C$1:Z$1,
    marcas, C192:Z192,
    pos, MAX(
          FILTER(
            COLUMN(marcas)-COLUMN(C192)+1,
            marcas=""X""
          )
        ),
    ultimo, INDEX(periodos, pos),
    XLOOKUP(
      $A192,
      INDI"&amp;"RECT(""'""&amp;ultimo&amp;""'!C:C""),
      INDIRECT(""'""&amp;ultimo&amp;""'!A:A"")
    )
  ),
  """"
)"),"")</f>
        <v/>
      </c>
      <c r="C192" s="41" t="str">
        <f t="shared" ref="C192:J192" si="191">IF(
  COUNTIF(
    INDIRECT("'"&amp;C$1&amp;"'!C:C"),
    $A192
  )&gt;0,
  "X",
  ""
)</f>
        <v/>
      </c>
      <c r="D192" s="41" t="str">
        <f t="shared" si="191"/>
        <v/>
      </c>
      <c r="E192" s="41" t="str">
        <f t="shared" si="191"/>
        <v/>
      </c>
      <c r="F192" s="41" t="str">
        <f t="shared" si="191"/>
        <v/>
      </c>
      <c r="G192" s="41" t="str">
        <f t="shared" si="191"/>
        <v/>
      </c>
      <c r="H192" s="41" t="str">
        <f t="shared" si="191"/>
        <v/>
      </c>
      <c r="I192" s="41" t="str">
        <f t="shared" si="191"/>
        <v/>
      </c>
      <c r="J192" s="41" t="str">
        <f t="shared" si="191"/>
        <v/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67.5" customHeight="1">
      <c r="A193" s="39"/>
      <c r="B193" s="43" t="str">
        <f>IFERROR(__xludf.DUMMYFUNCTION("IFERROR(
  LET(
    periodos, C$1:Z$1,
    marcas, C193:Z193,
    pos, MAX(
          FILTER(
            COLUMN(marcas)-COLUMN(C193)+1,
            marcas=""X""
          )
        ),
    ultimo, INDEX(periodos, pos),
    XLOOKUP(
      $A193,
      INDI"&amp;"RECT(""'""&amp;ultimo&amp;""'!C:C""),
      INDIRECT(""'""&amp;ultimo&amp;""'!A:A"")
    )
  ),
  """"
)"),"")</f>
        <v/>
      </c>
      <c r="C193" s="41" t="str">
        <f t="shared" ref="C193:J193" si="192">IF(
  COUNTIF(
    INDIRECT("'"&amp;C$1&amp;"'!C:C"),
    $A193
  )&gt;0,
  "X",
  ""
)</f>
        <v/>
      </c>
      <c r="D193" s="41" t="str">
        <f t="shared" si="192"/>
        <v/>
      </c>
      <c r="E193" s="41" t="str">
        <f t="shared" si="192"/>
        <v/>
      </c>
      <c r="F193" s="41" t="str">
        <f t="shared" si="192"/>
        <v/>
      </c>
      <c r="G193" s="41" t="str">
        <f t="shared" si="192"/>
        <v/>
      </c>
      <c r="H193" s="41" t="str">
        <f t="shared" si="192"/>
        <v/>
      </c>
      <c r="I193" s="41" t="str">
        <f t="shared" si="192"/>
        <v/>
      </c>
      <c r="J193" s="41" t="str">
        <f t="shared" si="192"/>
        <v/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67.5" customHeight="1">
      <c r="A194" s="39"/>
      <c r="B194" s="43" t="str">
        <f>IFERROR(__xludf.DUMMYFUNCTION("IFERROR(
  LET(
    periodos, C$1:Z$1,
    marcas, C194:Z194,
    pos, MAX(
          FILTER(
            COLUMN(marcas)-COLUMN(C194)+1,
            marcas=""X""
          )
        ),
    ultimo, INDEX(periodos, pos),
    XLOOKUP(
      $A194,
      INDI"&amp;"RECT(""'""&amp;ultimo&amp;""'!C:C""),
      INDIRECT(""'""&amp;ultimo&amp;""'!A:A"")
    )
  ),
  """"
)"),"")</f>
        <v/>
      </c>
      <c r="C194" s="41" t="str">
        <f t="shared" ref="C194:J194" si="193">IF(
  COUNTIF(
    INDIRECT("'"&amp;C$1&amp;"'!C:C"),
    $A194
  )&gt;0,
  "X",
  ""
)</f>
        <v/>
      </c>
      <c r="D194" s="41" t="str">
        <f t="shared" si="193"/>
        <v/>
      </c>
      <c r="E194" s="41" t="str">
        <f t="shared" si="193"/>
        <v/>
      </c>
      <c r="F194" s="41" t="str">
        <f t="shared" si="193"/>
        <v/>
      </c>
      <c r="G194" s="41" t="str">
        <f t="shared" si="193"/>
        <v/>
      </c>
      <c r="H194" s="41" t="str">
        <f t="shared" si="193"/>
        <v/>
      </c>
      <c r="I194" s="41" t="str">
        <f t="shared" si="193"/>
        <v/>
      </c>
      <c r="J194" s="41" t="str">
        <f t="shared" si="193"/>
        <v/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67.5" customHeight="1">
      <c r="A195" s="39"/>
      <c r="B195" s="43" t="str">
        <f>IFERROR(__xludf.DUMMYFUNCTION("IFERROR(
  LET(
    periodos, C$1:Z$1,
    marcas, C195:Z195,
    pos, MAX(
          FILTER(
            COLUMN(marcas)-COLUMN(C195)+1,
            marcas=""X""
          )
        ),
    ultimo, INDEX(periodos, pos),
    XLOOKUP(
      $A195,
      INDI"&amp;"RECT(""'""&amp;ultimo&amp;""'!C:C""),
      INDIRECT(""'""&amp;ultimo&amp;""'!A:A"")
    )
  ),
  """"
)"),"")</f>
        <v/>
      </c>
      <c r="C195" s="41" t="str">
        <f t="shared" ref="C195:J195" si="194">IF(
  COUNTIF(
    INDIRECT("'"&amp;C$1&amp;"'!C:C"),
    $A195
  )&gt;0,
  "X",
  ""
)</f>
        <v/>
      </c>
      <c r="D195" s="41" t="str">
        <f t="shared" si="194"/>
        <v/>
      </c>
      <c r="E195" s="41" t="str">
        <f t="shared" si="194"/>
        <v/>
      </c>
      <c r="F195" s="41" t="str">
        <f t="shared" si="194"/>
        <v/>
      </c>
      <c r="G195" s="41" t="str">
        <f t="shared" si="194"/>
        <v/>
      </c>
      <c r="H195" s="41" t="str">
        <f t="shared" si="194"/>
        <v/>
      </c>
      <c r="I195" s="41" t="str">
        <f t="shared" si="194"/>
        <v/>
      </c>
      <c r="J195" s="41" t="str">
        <f t="shared" si="194"/>
        <v/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67.5" customHeight="1">
      <c r="A196" s="39"/>
      <c r="B196" s="43" t="str">
        <f>IFERROR(__xludf.DUMMYFUNCTION("IFERROR(
  LET(
    periodos, C$1:Z$1,
    marcas, C196:Z196,
    pos, MAX(
          FILTER(
            COLUMN(marcas)-COLUMN(C196)+1,
            marcas=""X""
          )
        ),
    ultimo, INDEX(periodos, pos),
    XLOOKUP(
      $A196,
      INDI"&amp;"RECT(""'""&amp;ultimo&amp;""'!C:C""),
      INDIRECT(""'""&amp;ultimo&amp;""'!A:A"")
    )
  ),
  """"
)"),"")</f>
        <v/>
      </c>
      <c r="C196" s="41" t="str">
        <f t="shared" ref="C196:J196" si="195">IF(
  COUNTIF(
    INDIRECT("'"&amp;C$1&amp;"'!C:C"),
    $A196
  )&gt;0,
  "X",
  ""
)</f>
        <v/>
      </c>
      <c r="D196" s="41" t="str">
        <f t="shared" si="195"/>
        <v/>
      </c>
      <c r="E196" s="41" t="str">
        <f t="shared" si="195"/>
        <v/>
      </c>
      <c r="F196" s="41" t="str">
        <f t="shared" si="195"/>
        <v/>
      </c>
      <c r="G196" s="41" t="str">
        <f t="shared" si="195"/>
        <v/>
      </c>
      <c r="H196" s="41" t="str">
        <f t="shared" si="195"/>
        <v/>
      </c>
      <c r="I196" s="41" t="str">
        <f t="shared" si="195"/>
        <v/>
      </c>
      <c r="J196" s="41" t="str">
        <f t="shared" si="195"/>
        <v/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67.5" customHeight="1">
      <c r="A197" s="39"/>
      <c r="B197" s="43" t="str">
        <f>IFERROR(__xludf.DUMMYFUNCTION("IFERROR(
  LET(
    periodos, C$1:Z$1,
    marcas, C197:Z197,
    pos, MAX(
          FILTER(
            COLUMN(marcas)-COLUMN(C197)+1,
            marcas=""X""
          )
        ),
    ultimo, INDEX(periodos, pos),
    XLOOKUP(
      $A197,
      INDI"&amp;"RECT(""'""&amp;ultimo&amp;""'!C:C""),
      INDIRECT(""'""&amp;ultimo&amp;""'!A:A"")
    )
  ),
  """"
)"),"")</f>
        <v/>
      </c>
      <c r="C197" s="41" t="str">
        <f t="shared" ref="C197:J197" si="196">IF(
  COUNTIF(
    INDIRECT("'"&amp;C$1&amp;"'!C:C"),
    $A197
  )&gt;0,
  "X",
  ""
)</f>
        <v/>
      </c>
      <c r="D197" s="41" t="str">
        <f t="shared" si="196"/>
        <v/>
      </c>
      <c r="E197" s="41" t="str">
        <f t="shared" si="196"/>
        <v/>
      </c>
      <c r="F197" s="41" t="str">
        <f t="shared" si="196"/>
        <v/>
      </c>
      <c r="G197" s="41" t="str">
        <f t="shared" si="196"/>
        <v/>
      </c>
      <c r="H197" s="41" t="str">
        <f t="shared" si="196"/>
        <v/>
      </c>
      <c r="I197" s="41" t="str">
        <f t="shared" si="196"/>
        <v/>
      </c>
      <c r="J197" s="41" t="str">
        <f t="shared" si="196"/>
        <v/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67.5" customHeight="1">
      <c r="A198" s="39"/>
      <c r="B198" s="43" t="str">
        <f>IFERROR(__xludf.DUMMYFUNCTION("IFERROR(
  LET(
    periodos, C$1:Z$1,
    marcas, C198:Z198,
    pos, MAX(
          FILTER(
            COLUMN(marcas)-COLUMN(C198)+1,
            marcas=""X""
          )
        ),
    ultimo, INDEX(periodos, pos),
    XLOOKUP(
      $A198,
      INDI"&amp;"RECT(""'""&amp;ultimo&amp;""'!C:C""),
      INDIRECT(""'""&amp;ultimo&amp;""'!A:A"")
    )
  ),
  """"
)"),"")</f>
        <v/>
      </c>
      <c r="C198" s="41" t="str">
        <f t="shared" ref="C198:J198" si="197">IF(
  COUNTIF(
    INDIRECT("'"&amp;C$1&amp;"'!C:C"),
    $A198
  )&gt;0,
  "X",
  ""
)</f>
        <v/>
      </c>
      <c r="D198" s="41" t="str">
        <f t="shared" si="197"/>
        <v/>
      </c>
      <c r="E198" s="41" t="str">
        <f t="shared" si="197"/>
        <v/>
      </c>
      <c r="F198" s="41" t="str">
        <f t="shared" si="197"/>
        <v/>
      </c>
      <c r="G198" s="41" t="str">
        <f t="shared" si="197"/>
        <v/>
      </c>
      <c r="H198" s="41" t="str">
        <f t="shared" si="197"/>
        <v/>
      </c>
      <c r="I198" s="41" t="str">
        <f t="shared" si="197"/>
        <v/>
      </c>
      <c r="J198" s="41" t="str">
        <f t="shared" si="197"/>
        <v/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67.5" customHeight="1">
      <c r="A199" s="39"/>
      <c r="B199" s="43" t="str">
        <f>IFERROR(__xludf.DUMMYFUNCTION("IFERROR(
  LET(
    periodos, C$1:Z$1,
    marcas, C199:Z199,
    pos, MAX(
          FILTER(
            COLUMN(marcas)-COLUMN(C199)+1,
            marcas=""X""
          )
        ),
    ultimo, INDEX(periodos, pos),
    XLOOKUP(
      $A199,
      INDI"&amp;"RECT(""'""&amp;ultimo&amp;""'!C:C""),
      INDIRECT(""'""&amp;ultimo&amp;""'!A:A"")
    )
  ),
  """"
)"),"")</f>
        <v/>
      </c>
      <c r="C199" s="41" t="str">
        <f t="shared" ref="C199:J199" si="198">IF(
  COUNTIF(
    INDIRECT("'"&amp;C$1&amp;"'!C:C"),
    $A199
  )&gt;0,
  "X",
  ""
)</f>
        <v/>
      </c>
      <c r="D199" s="41" t="str">
        <f t="shared" si="198"/>
        <v/>
      </c>
      <c r="E199" s="41" t="str">
        <f t="shared" si="198"/>
        <v/>
      </c>
      <c r="F199" s="41" t="str">
        <f t="shared" si="198"/>
        <v/>
      </c>
      <c r="G199" s="41" t="str">
        <f t="shared" si="198"/>
        <v/>
      </c>
      <c r="H199" s="41" t="str">
        <f t="shared" si="198"/>
        <v/>
      </c>
      <c r="I199" s="41" t="str">
        <f t="shared" si="198"/>
        <v/>
      </c>
      <c r="J199" s="41" t="str">
        <f t="shared" si="198"/>
        <v/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67.5" customHeight="1">
      <c r="A200" s="39"/>
      <c r="B200" s="43" t="str">
        <f>IFERROR(__xludf.DUMMYFUNCTION("IFERROR(
  LET(
    periodos, C$1:Z$1,
    marcas, C200:Z200,
    pos, MAX(
          FILTER(
            COLUMN(marcas)-COLUMN(C200)+1,
            marcas=""X""
          )
        ),
    ultimo, INDEX(periodos, pos),
    XLOOKUP(
      $A200,
      INDI"&amp;"RECT(""'""&amp;ultimo&amp;""'!C:C""),
      INDIRECT(""'""&amp;ultimo&amp;""'!A:A"")
    )
  ),
  """"
)"),"")</f>
        <v/>
      </c>
      <c r="C200" s="41" t="str">
        <f t="shared" ref="C200:J200" si="199">IF(
  COUNTIF(
    INDIRECT("'"&amp;C$1&amp;"'!C:C"),
    $A200
  )&gt;0,
  "X",
  ""
)</f>
        <v/>
      </c>
      <c r="D200" s="41" t="str">
        <f t="shared" si="199"/>
        <v/>
      </c>
      <c r="E200" s="41" t="str">
        <f t="shared" si="199"/>
        <v/>
      </c>
      <c r="F200" s="41" t="str">
        <f t="shared" si="199"/>
        <v/>
      </c>
      <c r="G200" s="41" t="str">
        <f t="shared" si="199"/>
        <v/>
      </c>
      <c r="H200" s="41" t="str">
        <f t="shared" si="199"/>
        <v/>
      </c>
      <c r="I200" s="41" t="str">
        <f t="shared" si="199"/>
        <v/>
      </c>
      <c r="J200" s="41" t="str">
        <f t="shared" si="199"/>
        <v/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67.5" customHeight="1">
      <c r="A201" s="39"/>
      <c r="B201" s="43" t="str">
        <f>IFERROR(__xludf.DUMMYFUNCTION("IFERROR(
  LET(
    periodos, C$1:Z$1,
    marcas, C201:Z201,
    pos, MAX(
          FILTER(
            COLUMN(marcas)-COLUMN(C201)+1,
            marcas=""X""
          )
        ),
    ultimo, INDEX(periodos, pos),
    XLOOKUP(
      $A201,
      INDI"&amp;"RECT(""'""&amp;ultimo&amp;""'!C:C""),
      INDIRECT(""'""&amp;ultimo&amp;""'!A:A"")
    )
  ),
  """"
)"),"")</f>
        <v/>
      </c>
      <c r="C201" s="41" t="str">
        <f t="shared" ref="C201:J201" si="200">IF(
  COUNTIF(
    INDIRECT("'"&amp;C$1&amp;"'!C:C"),
    $A201
  )&gt;0,
  "X",
  ""
)</f>
        <v/>
      </c>
      <c r="D201" s="41" t="str">
        <f t="shared" si="200"/>
        <v/>
      </c>
      <c r="E201" s="41" t="str">
        <f t="shared" si="200"/>
        <v/>
      </c>
      <c r="F201" s="41" t="str">
        <f t="shared" si="200"/>
        <v/>
      </c>
      <c r="G201" s="41" t="str">
        <f t="shared" si="200"/>
        <v/>
      </c>
      <c r="H201" s="41" t="str">
        <f t="shared" si="200"/>
        <v/>
      </c>
      <c r="I201" s="41" t="str">
        <f t="shared" si="200"/>
        <v/>
      </c>
      <c r="J201" s="41" t="str">
        <f t="shared" si="200"/>
        <v/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67.5" customHeight="1">
      <c r="A202" s="39"/>
      <c r="B202" s="43" t="str">
        <f>IFERROR(__xludf.DUMMYFUNCTION("IFERROR(
  LET(
    periodos, C$1:Z$1,
    marcas, C202:Z202,
    pos, MAX(
          FILTER(
            COLUMN(marcas)-COLUMN(C202)+1,
            marcas=""X""
          )
        ),
    ultimo, INDEX(periodos, pos),
    XLOOKUP(
      $A202,
      INDI"&amp;"RECT(""'""&amp;ultimo&amp;""'!C:C""),
      INDIRECT(""'""&amp;ultimo&amp;""'!A:A"")
    )
  ),
  """"
)"),"")</f>
        <v/>
      </c>
      <c r="C202" s="41" t="str">
        <f t="shared" ref="C202:J202" si="201">IF(
  COUNTIF(
    INDIRECT("'"&amp;C$1&amp;"'!C:C"),
    $A202
  )&gt;0,
  "X",
  ""
)</f>
        <v/>
      </c>
      <c r="D202" s="41" t="str">
        <f t="shared" si="201"/>
        <v/>
      </c>
      <c r="E202" s="41" t="str">
        <f t="shared" si="201"/>
        <v/>
      </c>
      <c r="F202" s="41" t="str">
        <f t="shared" si="201"/>
        <v/>
      </c>
      <c r="G202" s="41" t="str">
        <f t="shared" si="201"/>
        <v/>
      </c>
      <c r="H202" s="41" t="str">
        <f t="shared" si="201"/>
        <v/>
      </c>
      <c r="I202" s="41" t="str">
        <f t="shared" si="201"/>
        <v/>
      </c>
      <c r="J202" s="41" t="str">
        <f t="shared" si="201"/>
        <v/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67.5" customHeight="1">
      <c r="A203" s="39"/>
      <c r="B203" s="43" t="str">
        <f>IFERROR(__xludf.DUMMYFUNCTION("IFERROR(
  LET(
    periodos, C$1:Z$1,
    marcas, C203:Z203,
    pos, MAX(
          FILTER(
            COLUMN(marcas)-COLUMN(C203)+1,
            marcas=""X""
          )
        ),
    ultimo, INDEX(periodos, pos),
    XLOOKUP(
      $A203,
      INDI"&amp;"RECT(""'""&amp;ultimo&amp;""'!C:C""),
      INDIRECT(""'""&amp;ultimo&amp;""'!A:A"")
    )
  ),
  """"
)"),"")</f>
        <v/>
      </c>
      <c r="C203" s="41" t="str">
        <f t="shared" ref="C203:J203" si="202">IF(
  COUNTIF(
    INDIRECT("'"&amp;C$1&amp;"'!C:C"),
    $A203
  )&gt;0,
  "X",
  ""
)</f>
        <v/>
      </c>
      <c r="D203" s="41" t="str">
        <f t="shared" si="202"/>
        <v/>
      </c>
      <c r="E203" s="41" t="str">
        <f t="shared" si="202"/>
        <v/>
      </c>
      <c r="F203" s="41" t="str">
        <f t="shared" si="202"/>
        <v/>
      </c>
      <c r="G203" s="41" t="str">
        <f t="shared" si="202"/>
        <v/>
      </c>
      <c r="H203" s="41" t="str">
        <f t="shared" si="202"/>
        <v/>
      </c>
      <c r="I203" s="41" t="str">
        <f t="shared" si="202"/>
        <v/>
      </c>
      <c r="J203" s="41" t="str">
        <f t="shared" si="202"/>
        <v/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67.5" customHeight="1">
      <c r="A204" s="39"/>
      <c r="B204" s="43" t="str">
        <f>IFERROR(__xludf.DUMMYFUNCTION("IFERROR(
  LET(
    periodos, C$1:Z$1,
    marcas, C204:Z204,
    pos, MAX(
          FILTER(
            COLUMN(marcas)-COLUMN(C204)+1,
            marcas=""X""
          )
        ),
    ultimo, INDEX(periodos, pos),
    XLOOKUP(
      $A204,
      INDI"&amp;"RECT(""'""&amp;ultimo&amp;""'!C:C""),
      INDIRECT(""'""&amp;ultimo&amp;""'!A:A"")
    )
  ),
  """"
)"),"")</f>
        <v/>
      </c>
      <c r="C204" s="41" t="str">
        <f t="shared" ref="C204:J204" si="203">IF(
  COUNTIF(
    INDIRECT("'"&amp;C$1&amp;"'!C:C"),
    $A204
  )&gt;0,
  "X",
  ""
)</f>
        <v/>
      </c>
      <c r="D204" s="41" t="str">
        <f t="shared" si="203"/>
        <v/>
      </c>
      <c r="E204" s="41" t="str">
        <f t="shared" si="203"/>
        <v/>
      </c>
      <c r="F204" s="41" t="str">
        <f t="shared" si="203"/>
        <v/>
      </c>
      <c r="G204" s="41" t="str">
        <f t="shared" si="203"/>
        <v/>
      </c>
      <c r="H204" s="41" t="str">
        <f t="shared" si="203"/>
        <v/>
      </c>
      <c r="I204" s="41" t="str">
        <f t="shared" si="203"/>
        <v/>
      </c>
      <c r="J204" s="41" t="str">
        <f t="shared" si="203"/>
        <v/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67.5" customHeight="1">
      <c r="A205" s="39"/>
      <c r="B205" s="43" t="str">
        <f>IFERROR(__xludf.DUMMYFUNCTION("IFERROR(
  LET(
    periodos, C$1:Z$1,
    marcas, C205:Z205,
    pos, MAX(
          FILTER(
            COLUMN(marcas)-COLUMN(C205)+1,
            marcas=""X""
          )
        ),
    ultimo, INDEX(periodos, pos),
    XLOOKUP(
      $A205,
      INDI"&amp;"RECT(""'""&amp;ultimo&amp;""'!C:C""),
      INDIRECT(""'""&amp;ultimo&amp;""'!A:A"")
    )
  ),
  """"
)"),"")</f>
        <v/>
      </c>
      <c r="C205" s="41" t="str">
        <f t="shared" ref="C205:J205" si="204">IF(
  COUNTIF(
    INDIRECT("'"&amp;C$1&amp;"'!C:C"),
    $A205
  )&gt;0,
  "X",
  ""
)</f>
        <v/>
      </c>
      <c r="D205" s="41" t="str">
        <f t="shared" si="204"/>
        <v/>
      </c>
      <c r="E205" s="41" t="str">
        <f t="shared" si="204"/>
        <v/>
      </c>
      <c r="F205" s="41" t="str">
        <f t="shared" si="204"/>
        <v/>
      </c>
      <c r="G205" s="41" t="str">
        <f t="shared" si="204"/>
        <v/>
      </c>
      <c r="H205" s="41" t="str">
        <f t="shared" si="204"/>
        <v/>
      </c>
      <c r="I205" s="41" t="str">
        <f t="shared" si="204"/>
        <v/>
      </c>
      <c r="J205" s="41" t="str">
        <f t="shared" si="204"/>
        <v/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67.5" customHeight="1">
      <c r="A206" s="39"/>
      <c r="B206" s="43" t="str">
        <f>IFERROR(__xludf.DUMMYFUNCTION("IFERROR(
  LET(
    periodos, C$1:Z$1,
    marcas, C206:Z206,
    pos, MAX(
          FILTER(
            COLUMN(marcas)-COLUMN(C206)+1,
            marcas=""X""
          )
        ),
    ultimo, INDEX(periodos, pos),
    XLOOKUP(
      $A206,
      INDI"&amp;"RECT(""'""&amp;ultimo&amp;""'!C:C""),
      INDIRECT(""'""&amp;ultimo&amp;""'!A:A"")
    )
  ),
  """"
)"),"")</f>
        <v/>
      </c>
      <c r="C206" s="41" t="str">
        <f t="shared" ref="C206:J206" si="205">IF(
  COUNTIF(
    INDIRECT("'"&amp;C$1&amp;"'!C:C"),
    $A206
  )&gt;0,
  "X",
  ""
)</f>
        <v/>
      </c>
      <c r="D206" s="41" t="str">
        <f t="shared" si="205"/>
        <v/>
      </c>
      <c r="E206" s="41" t="str">
        <f t="shared" si="205"/>
        <v/>
      </c>
      <c r="F206" s="41" t="str">
        <f t="shared" si="205"/>
        <v/>
      </c>
      <c r="G206" s="41" t="str">
        <f t="shared" si="205"/>
        <v/>
      </c>
      <c r="H206" s="41" t="str">
        <f t="shared" si="205"/>
        <v/>
      </c>
      <c r="I206" s="41" t="str">
        <f t="shared" si="205"/>
        <v/>
      </c>
      <c r="J206" s="41" t="str">
        <f t="shared" si="205"/>
        <v/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67.5" customHeight="1">
      <c r="A207" s="39"/>
      <c r="B207" s="43" t="str">
        <f>IFERROR(__xludf.DUMMYFUNCTION("IFERROR(
  LET(
    periodos, C$1:Z$1,
    marcas, C207:Z207,
    pos, MAX(
          FILTER(
            COLUMN(marcas)-COLUMN(C207)+1,
            marcas=""X""
          )
        ),
    ultimo, INDEX(periodos, pos),
    XLOOKUP(
      $A207,
      INDI"&amp;"RECT(""'""&amp;ultimo&amp;""'!C:C""),
      INDIRECT(""'""&amp;ultimo&amp;""'!A:A"")
    )
  ),
  """"
)"),"")</f>
        <v/>
      </c>
      <c r="C207" s="41" t="str">
        <f t="shared" ref="C207:J207" si="206">IF(
  COUNTIF(
    INDIRECT("'"&amp;C$1&amp;"'!C:C"),
    $A207
  )&gt;0,
  "X",
  ""
)</f>
        <v/>
      </c>
      <c r="D207" s="41" t="str">
        <f t="shared" si="206"/>
        <v/>
      </c>
      <c r="E207" s="41" t="str">
        <f t="shared" si="206"/>
        <v/>
      </c>
      <c r="F207" s="41" t="str">
        <f t="shared" si="206"/>
        <v/>
      </c>
      <c r="G207" s="41" t="str">
        <f t="shared" si="206"/>
        <v/>
      </c>
      <c r="H207" s="41" t="str">
        <f t="shared" si="206"/>
        <v/>
      </c>
      <c r="I207" s="41" t="str">
        <f t="shared" si="206"/>
        <v/>
      </c>
      <c r="J207" s="41" t="str">
        <f t="shared" si="206"/>
        <v/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67.5" customHeight="1">
      <c r="A208" s="39"/>
      <c r="B208" s="43" t="str">
        <f>IFERROR(__xludf.DUMMYFUNCTION("IFERROR(
  LET(
    periodos, C$1:Z$1,
    marcas, C208:Z208,
    pos, MAX(
          FILTER(
            COLUMN(marcas)-COLUMN(C208)+1,
            marcas=""X""
          )
        ),
    ultimo, INDEX(periodos, pos),
    XLOOKUP(
      $A208,
      INDI"&amp;"RECT(""'""&amp;ultimo&amp;""'!C:C""),
      INDIRECT(""'""&amp;ultimo&amp;""'!A:A"")
    )
  ),
  """"
)"),"")</f>
        <v/>
      </c>
      <c r="C208" s="41" t="str">
        <f t="shared" ref="C208:J208" si="207">IF(
  COUNTIF(
    INDIRECT("'"&amp;C$1&amp;"'!C:C"),
    $A208
  )&gt;0,
  "X",
  ""
)</f>
        <v/>
      </c>
      <c r="D208" s="41" t="str">
        <f t="shared" si="207"/>
        <v/>
      </c>
      <c r="E208" s="41" t="str">
        <f t="shared" si="207"/>
        <v/>
      </c>
      <c r="F208" s="41" t="str">
        <f t="shared" si="207"/>
        <v/>
      </c>
      <c r="G208" s="41" t="str">
        <f t="shared" si="207"/>
        <v/>
      </c>
      <c r="H208" s="41" t="str">
        <f t="shared" si="207"/>
        <v/>
      </c>
      <c r="I208" s="41" t="str">
        <f t="shared" si="207"/>
        <v/>
      </c>
      <c r="J208" s="41" t="str">
        <f t="shared" si="207"/>
        <v/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67.5" customHeight="1">
      <c r="A209" s="39"/>
      <c r="B209" s="43" t="str">
        <f>IFERROR(__xludf.DUMMYFUNCTION("IFERROR(
  LET(
    periodos, C$1:Z$1,
    marcas, C209:Z209,
    pos, MAX(
          FILTER(
            COLUMN(marcas)-COLUMN(C209)+1,
            marcas=""X""
          )
        ),
    ultimo, INDEX(periodos, pos),
    XLOOKUP(
      $A209,
      INDI"&amp;"RECT(""'""&amp;ultimo&amp;""'!C:C""),
      INDIRECT(""'""&amp;ultimo&amp;""'!A:A"")
    )
  ),
  """"
)"),"")</f>
        <v/>
      </c>
      <c r="C209" s="41" t="str">
        <f t="shared" ref="C209:J209" si="208">IF(
  COUNTIF(
    INDIRECT("'"&amp;C$1&amp;"'!C:C"),
    $A209
  )&gt;0,
  "X",
  ""
)</f>
        <v/>
      </c>
      <c r="D209" s="41" t="str">
        <f t="shared" si="208"/>
        <v/>
      </c>
      <c r="E209" s="41" t="str">
        <f t="shared" si="208"/>
        <v/>
      </c>
      <c r="F209" s="41" t="str">
        <f t="shared" si="208"/>
        <v/>
      </c>
      <c r="G209" s="41" t="str">
        <f t="shared" si="208"/>
        <v/>
      </c>
      <c r="H209" s="41" t="str">
        <f t="shared" si="208"/>
        <v/>
      </c>
      <c r="I209" s="41" t="str">
        <f t="shared" si="208"/>
        <v/>
      </c>
      <c r="J209" s="41" t="str">
        <f t="shared" si="208"/>
        <v/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67.5" customHeight="1">
      <c r="A210" s="39"/>
      <c r="B210" s="43" t="str">
        <f>IFERROR(__xludf.DUMMYFUNCTION("IFERROR(
  LET(
    periodos, C$1:Z$1,
    marcas, C210:Z210,
    pos, MAX(
          FILTER(
            COLUMN(marcas)-COLUMN(C210)+1,
            marcas=""X""
          )
        ),
    ultimo, INDEX(periodos, pos),
    XLOOKUP(
      $A210,
      INDI"&amp;"RECT(""'""&amp;ultimo&amp;""'!C:C""),
      INDIRECT(""'""&amp;ultimo&amp;""'!A:A"")
    )
  ),
  """"
)"),"")</f>
        <v/>
      </c>
      <c r="C210" s="41" t="str">
        <f t="shared" ref="C210:J210" si="209">IF(
  COUNTIF(
    INDIRECT("'"&amp;C$1&amp;"'!C:C"),
    $A210
  )&gt;0,
  "X",
  ""
)</f>
        <v/>
      </c>
      <c r="D210" s="41" t="str">
        <f t="shared" si="209"/>
        <v/>
      </c>
      <c r="E210" s="41" t="str">
        <f t="shared" si="209"/>
        <v/>
      </c>
      <c r="F210" s="41" t="str">
        <f t="shared" si="209"/>
        <v/>
      </c>
      <c r="G210" s="41" t="str">
        <f t="shared" si="209"/>
        <v/>
      </c>
      <c r="H210" s="41" t="str">
        <f t="shared" si="209"/>
        <v/>
      </c>
      <c r="I210" s="41" t="str">
        <f t="shared" si="209"/>
        <v/>
      </c>
      <c r="J210" s="41" t="str">
        <f t="shared" si="209"/>
        <v/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67.5" customHeight="1">
      <c r="A211" s="39"/>
      <c r="B211" s="43" t="str">
        <f>IFERROR(__xludf.DUMMYFUNCTION("IFERROR(
  LET(
    periodos, C$1:Z$1,
    marcas, C211:Z211,
    pos, MAX(
          FILTER(
            COLUMN(marcas)-COLUMN(C211)+1,
            marcas=""X""
          )
        ),
    ultimo, INDEX(periodos, pos),
    XLOOKUP(
      $A211,
      INDI"&amp;"RECT(""'""&amp;ultimo&amp;""'!C:C""),
      INDIRECT(""'""&amp;ultimo&amp;""'!A:A"")
    )
  ),
  """"
)"),"")</f>
        <v/>
      </c>
      <c r="C211" s="41" t="str">
        <f t="shared" ref="C211:J211" si="210">IF(
  COUNTIF(
    INDIRECT("'"&amp;C$1&amp;"'!C:C"),
    $A211
  )&gt;0,
  "X",
  ""
)</f>
        <v/>
      </c>
      <c r="D211" s="41" t="str">
        <f t="shared" si="210"/>
        <v/>
      </c>
      <c r="E211" s="41" t="str">
        <f t="shared" si="210"/>
        <v/>
      </c>
      <c r="F211" s="41" t="str">
        <f t="shared" si="210"/>
        <v/>
      </c>
      <c r="G211" s="41" t="str">
        <f t="shared" si="210"/>
        <v/>
      </c>
      <c r="H211" s="41" t="str">
        <f t="shared" si="210"/>
        <v/>
      </c>
      <c r="I211" s="41" t="str">
        <f t="shared" si="210"/>
        <v/>
      </c>
      <c r="J211" s="41" t="str">
        <f t="shared" si="210"/>
        <v/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67.5" customHeight="1">
      <c r="A212" s="39"/>
      <c r="B212" s="43" t="str">
        <f>IFERROR(__xludf.DUMMYFUNCTION("IFERROR(
  LET(
    periodos, C$1:Z$1,
    marcas, C212:Z212,
    pos, MAX(
          FILTER(
            COLUMN(marcas)-COLUMN(C212)+1,
            marcas=""X""
          )
        ),
    ultimo, INDEX(periodos, pos),
    XLOOKUP(
      $A212,
      INDI"&amp;"RECT(""'""&amp;ultimo&amp;""'!C:C""),
      INDIRECT(""'""&amp;ultimo&amp;""'!A:A"")
    )
  ),
  """"
)"),"")</f>
        <v/>
      </c>
      <c r="C212" s="41" t="str">
        <f t="shared" ref="C212:J212" si="211">IF(
  COUNTIF(
    INDIRECT("'"&amp;C$1&amp;"'!C:C"),
    $A212
  )&gt;0,
  "X",
  ""
)</f>
        <v/>
      </c>
      <c r="D212" s="41" t="str">
        <f t="shared" si="211"/>
        <v/>
      </c>
      <c r="E212" s="41" t="str">
        <f t="shared" si="211"/>
        <v/>
      </c>
      <c r="F212" s="41" t="str">
        <f t="shared" si="211"/>
        <v/>
      </c>
      <c r="G212" s="41" t="str">
        <f t="shared" si="211"/>
        <v/>
      </c>
      <c r="H212" s="41" t="str">
        <f t="shared" si="211"/>
        <v/>
      </c>
      <c r="I212" s="41" t="str">
        <f t="shared" si="211"/>
        <v/>
      </c>
      <c r="J212" s="41" t="str">
        <f t="shared" si="211"/>
        <v/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67.5" customHeight="1">
      <c r="A213" s="39"/>
      <c r="B213" s="43" t="str">
        <f>IFERROR(__xludf.DUMMYFUNCTION("IFERROR(
  LET(
    periodos, C$1:Z$1,
    marcas, C213:Z213,
    pos, MAX(
          FILTER(
            COLUMN(marcas)-COLUMN(C213)+1,
            marcas=""X""
          )
        ),
    ultimo, INDEX(periodos, pos),
    XLOOKUP(
      $A213,
      INDI"&amp;"RECT(""'""&amp;ultimo&amp;""'!C:C""),
      INDIRECT(""'""&amp;ultimo&amp;""'!A:A"")
    )
  ),
  """"
)"),"")</f>
        <v/>
      </c>
      <c r="C213" s="41" t="str">
        <f t="shared" ref="C213:J213" si="212">IF(
  COUNTIF(
    INDIRECT("'"&amp;C$1&amp;"'!C:C"),
    $A213
  )&gt;0,
  "X",
  ""
)</f>
        <v/>
      </c>
      <c r="D213" s="41" t="str">
        <f t="shared" si="212"/>
        <v/>
      </c>
      <c r="E213" s="41" t="str">
        <f t="shared" si="212"/>
        <v/>
      </c>
      <c r="F213" s="41" t="str">
        <f t="shared" si="212"/>
        <v/>
      </c>
      <c r="G213" s="41" t="str">
        <f t="shared" si="212"/>
        <v/>
      </c>
      <c r="H213" s="41" t="str">
        <f t="shared" si="212"/>
        <v/>
      </c>
      <c r="I213" s="41" t="str">
        <f t="shared" si="212"/>
        <v/>
      </c>
      <c r="J213" s="41" t="str">
        <f t="shared" si="212"/>
        <v/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67.5" customHeight="1">
      <c r="A214" s="39"/>
      <c r="B214" s="43" t="str">
        <f>IFERROR(__xludf.DUMMYFUNCTION("IFERROR(
  LET(
    periodos, C$1:Z$1,
    marcas, C214:Z214,
    pos, MAX(
          FILTER(
            COLUMN(marcas)-COLUMN(C214)+1,
            marcas=""X""
          )
        ),
    ultimo, INDEX(periodos, pos),
    XLOOKUP(
      $A214,
      INDI"&amp;"RECT(""'""&amp;ultimo&amp;""'!C:C""),
      INDIRECT(""'""&amp;ultimo&amp;""'!A:A"")
    )
  ),
  """"
)"),"")</f>
        <v/>
      </c>
      <c r="C214" s="41" t="str">
        <f t="shared" ref="C214:J214" si="213">IF(
  COUNTIF(
    INDIRECT("'"&amp;C$1&amp;"'!C:C"),
    $A214
  )&gt;0,
  "X",
  ""
)</f>
        <v/>
      </c>
      <c r="D214" s="41" t="str">
        <f t="shared" si="213"/>
        <v/>
      </c>
      <c r="E214" s="41" t="str">
        <f t="shared" si="213"/>
        <v/>
      </c>
      <c r="F214" s="41" t="str">
        <f t="shared" si="213"/>
        <v/>
      </c>
      <c r="G214" s="41" t="str">
        <f t="shared" si="213"/>
        <v/>
      </c>
      <c r="H214" s="41" t="str">
        <f t="shared" si="213"/>
        <v/>
      </c>
      <c r="I214" s="41" t="str">
        <f t="shared" si="213"/>
        <v/>
      </c>
      <c r="J214" s="41" t="str">
        <f t="shared" si="213"/>
        <v/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67.5" customHeight="1">
      <c r="A215" s="39"/>
      <c r="B215" s="43" t="str">
        <f>IFERROR(__xludf.DUMMYFUNCTION("IFERROR(
  LET(
    periodos, C$1:Z$1,
    marcas, C215:Z215,
    pos, MAX(
          FILTER(
            COLUMN(marcas)-COLUMN(C215)+1,
            marcas=""X""
          )
        ),
    ultimo, INDEX(periodos, pos),
    XLOOKUP(
      $A215,
      INDI"&amp;"RECT(""'""&amp;ultimo&amp;""'!C:C""),
      INDIRECT(""'""&amp;ultimo&amp;""'!A:A"")
    )
  ),
  """"
)"),"")</f>
        <v/>
      </c>
      <c r="C215" s="41" t="str">
        <f t="shared" ref="C215:J215" si="214">IF(
  COUNTIF(
    INDIRECT("'"&amp;C$1&amp;"'!C:C"),
    $A215
  )&gt;0,
  "X",
  ""
)</f>
        <v/>
      </c>
      <c r="D215" s="41" t="str">
        <f t="shared" si="214"/>
        <v/>
      </c>
      <c r="E215" s="41" t="str">
        <f t="shared" si="214"/>
        <v/>
      </c>
      <c r="F215" s="41" t="str">
        <f t="shared" si="214"/>
        <v/>
      </c>
      <c r="G215" s="41" t="str">
        <f t="shared" si="214"/>
        <v/>
      </c>
      <c r="H215" s="41" t="str">
        <f t="shared" si="214"/>
        <v/>
      </c>
      <c r="I215" s="41" t="str">
        <f t="shared" si="214"/>
        <v/>
      </c>
      <c r="J215" s="41" t="str">
        <f t="shared" si="214"/>
        <v/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67.5" customHeight="1">
      <c r="A216" s="39"/>
      <c r="B216" s="43" t="str">
        <f>IFERROR(__xludf.DUMMYFUNCTION("IFERROR(
  LET(
    periodos, C$1:Z$1,
    marcas, C216:Z216,
    pos, MAX(
          FILTER(
            COLUMN(marcas)-COLUMN(C216)+1,
            marcas=""X""
          )
        ),
    ultimo, INDEX(periodos, pos),
    XLOOKUP(
      $A216,
      INDI"&amp;"RECT(""'""&amp;ultimo&amp;""'!C:C""),
      INDIRECT(""'""&amp;ultimo&amp;""'!A:A"")
    )
  ),
  """"
)"),"")</f>
        <v/>
      </c>
      <c r="C216" s="41" t="str">
        <f t="shared" ref="C216:J216" si="215">IF(
  COUNTIF(
    INDIRECT("'"&amp;C$1&amp;"'!C:C"),
    $A216
  )&gt;0,
  "X",
  ""
)</f>
        <v/>
      </c>
      <c r="D216" s="41" t="str">
        <f t="shared" si="215"/>
        <v/>
      </c>
      <c r="E216" s="41" t="str">
        <f t="shared" si="215"/>
        <v/>
      </c>
      <c r="F216" s="41" t="str">
        <f t="shared" si="215"/>
        <v/>
      </c>
      <c r="G216" s="41" t="str">
        <f t="shared" si="215"/>
        <v/>
      </c>
      <c r="H216" s="41" t="str">
        <f t="shared" si="215"/>
        <v/>
      </c>
      <c r="I216" s="41" t="str">
        <f t="shared" si="215"/>
        <v/>
      </c>
      <c r="J216" s="41" t="str">
        <f t="shared" si="215"/>
        <v/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67.5" customHeight="1">
      <c r="A217" s="39"/>
      <c r="B217" s="43" t="str">
        <f>IFERROR(__xludf.DUMMYFUNCTION("IFERROR(
  LET(
    periodos, C$1:Z$1,
    marcas, C217:Z217,
    pos, MAX(
          FILTER(
            COLUMN(marcas)-COLUMN(C217)+1,
            marcas=""X""
          )
        ),
    ultimo, INDEX(periodos, pos),
    XLOOKUP(
      $A217,
      INDI"&amp;"RECT(""'""&amp;ultimo&amp;""'!C:C""),
      INDIRECT(""'""&amp;ultimo&amp;""'!A:A"")
    )
  ),
  """"
)"),"")</f>
        <v/>
      </c>
      <c r="C217" s="41" t="str">
        <f t="shared" ref="C217:J217" si="216">IF(
  COUNTIF(
    INDIRECT("'"&amp;C$1&amp;"'!C:C"),
    $A217
  )&gt;0,
  "X",
  ""
)</f>
        <v/>
      </c>
      <c r="D217" s="41" t="str">
        <f t="shared" si="216"/>
        <v/>
      </c>
      <c r="E217" s="41" t="str">
        <f t="shared" si="216"/>
        <v/>
      </c>
      <c r="F217" s="41" t="str">
        <f t="shared" si="216"/>
        <v/>
      </c>
      <c r="G217" s="41" t="str">
        <f t="shared" si="216"/>
        <v/>
      </c>
      <c r="H217" s="41" t="str">
        <f t="shared" si="216"/>
        <v/>
      </c>
      <c r="I217" s="41" t="str">
        <f t="shared" si="216"/>
        <v/>
      </c>
      <c r="J217" s="41" t="str">
        <f t="shared" si="216"/>
        <v/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67.5" customHeight="1">
      <c r="A218" s="39"/>
      <c r="B218" s="43" t="str">
        <f>IFERROR(__xludf.DUMMYFUNCTION("IFERROR(
  LET(
    periodos, C$1:Z$1,
    marcas, C218:Z218,
    pos, MAX(
          FILTER(
            COLUMN(marcas)-COLUMN(C218)+1,
            marcas=""X""
          )
        ),
    ultimo, INDEX(periodos, pos),
    XLOOKUP(
      $A218,
      INDI"&amp;"RECT(""'""&amp;ultimo&amp;""'!C:C""),
      INDIRECT(""'""&amp;ultimo&amp;""'!A:A"")
    )
  ),
  """"
)"),"")</f>
        <v/>
      </c>
      <c r="C218" s="41" t="str">
        <f t="shared" ref="C218:J218" si="217">IF(
  COUNTIF(
    INDIRECT("'"&amp;C$1&amp;"'!C:C"),
    $A218
  )&gt;0,
  "X",
  ""
)</f>
        <v/>
      </c>
      <c r="D218" s="41" t="str">
        <f t="shared" si="217"/>
        <v/>
      </c>
      <c r="E218" s="41" t="str">
        <f t="shared" si="217"/>
        <v/>
      </c>
      <c r="F218" s="41" t="str">
        <f t="shared" si="217"/>
        <v/>
      </c>
      <c r="G218" s="41" t="str">
        <f t="shared" si="217"/>
        <v/>
      </c>
      <c r="H218" s="41" t="str">
        <f t="shared" si="217"/>
        <v/>
      </c>
      <c r="I218" s="41" t="str">
        <f t="shared" si="217"/>
        <v/>
      </c>
      <c r="J218" s="41" t="str">
        <f t="shared" si="217"/>
        <v/>
      </c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67.5" customHeight="1">
      <c r="A219" s="39"/>
      <c r="B219" s="43" t="str">
        <f>IFERROR(__xludf.DUMMYFUNCTION("IFERROR(
  LET(
    periodos, C$1:Z$1,
    marcas, C219:Z219,
    pos, MAX(
          FILTER(
            COLUMN(marcas)-COLUMN(C219)+1,
            marcas=""X""
          )
        ),
    ultimo, INDEX(periodos, pos),
    XLOOKUP(
      $A219,
      INDI"&amp;"RECT(""'""&amp;ultimo&amp;""'!C:C""),
      INDIRECT(""'""&amp;ultimo&amp;""'!A:A"")
    )
  ),
  """"
)"),"")</f>
        <v/>
      </c>
      <c r="C219" s="41" t="str">
        <f t="shared" ref="C219:J219" si="218">IF(
  COUNTIF(
    INDIRECT("'"&amp;C$1&amp;"'!C:C"),
    $A219
  )&gt;0,
  "X",
  ""
)</f>
        <v/>
      </c>
      <c r="D219" s="41" t="str">
        <f t="shared" si="218"/>
        <v/>
      </c>
      <c r="E219" s="41" t="str">
        <f t="shared" si="218"/>
        <v/>
      </c>
      <c r="F219" s="41" t="str">
        <f t="shared" si="218"/>
        <v/>
      </c>
      <c r="G219" s="41" t="str">
        <f t="shared" si="218"/>
        <v/>
      </c>
      <c r="H219" s="41" t="str">
        <f t="shared" si="218"/>
        <v/>
      </c>
      <c r="I219" s="41" t="str">
        <f t="shared" si="218"/>
        <v/>
      </c>
      <c r="J219" s="41" t="str">
        <f t="shared" si="218"/>
        <v/>
      </c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67.5" customHeight="1">
      <c r="A220" s="39"/>
      <c r="B220" s="43" t="str">
        <f>IFERROR(__xludf.DUMMYFUNCTION("IFERROR(
  LET(
    periodos, C$1:Z$1,
    marcas, C220:Z220,
    pos, MAX(
          FILTER(
            COLUMN(marcas)-COLUMN(C220)+1,
            marcas=""X""
          )
        ),
    ultimo, INDEX(periodos, pos),
    XLOOKUP(
      $A220,
      INDI"&amp;"RECT(""'""&amp;ultimo&amp;""'!C:C""),
      INDIRECT(""'""&amp;ultimo&amp;""'!A:A"")
    )
  ),
  """"
)"),"")</f>
        <v/>
      </c>
      <c r="C220" s="41" t="str">
        <f t="shared" ref="C220:J220" si="219">IF(
  COUNTIF(
    INDIRECT("'"&amp;C$1&amp;"'!C:C"),
    $A220
  )&gt;0,
  "X",
  ""
)</f>
        <v/>
      </c>
      <c r="D220" s="41" t="str">
        <f t="shared" si="219"/>
        <v/>
      </c>
      <c r="E220" s="41" t="str">
        <f t="shared" si="219"/>
        <v/>
      </c>
      <c r="F220" s="41" t="str">
        <f t="shared" si="219"/>
        <v/>
      </c>
      <c r="G220" s="41" t="str">
        <f t="shared" si="219"/>
        <v/>
      </c>
      <c r="H220" s="41" t="str">
        <f t="shared" si="219"/>
        <v/>
      </c>
      <c r="I220" s="41" t="str">
        <f t="shared" si="219"/>
        <v/>
      </c>
      <c r="J220" s="41" t="str">
        <f t="shared" si="219"/>
        <v/>
      </c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67.5" customHeight="1">
      <c r="A221" s="39"/>
      <c r="B221" s="43" t="str">
        <f>IFERROR(__xludf.DUMMYFUNCTION("IFERROR(
  LET(
    periodos, C$1:Z$1,
    marcas, C221:Z221,
    pos, MAX(
          FILTER(
            COLUMN(marcas)-COLUMN(C221)+1,
            marcas=""X""
          )
        ),
    ultimo, INDEX(periodos, pos),
    XLOOKUP(
      $A221,
      INDI"&amp;"RECT(""'""&amp;ultimo&amp;""'!C:C""),
      INDIRECT(""'""&amp;ultimo&amp;""'!A:A"")
    )
  ),
  """"
)"),"")</f>
        <v/>
      </c>
      <c r="C221" s="41" t="str">
        <f t="shared" ref="C221:J221" si="220">IF(
  COUNTIF(
    INDIRECT("'"&amp;C$1&amp;"'!C:C"),
    $A221
  )&gt;0,
  "X",
  ""
)</f>
        <v/>
      </c>
      <c r="D221" s="41" t="str">
        <f t="shared" si="220"/>
        <v/>
      </c>
      <c r="E221" s="41" t="str">
        <f t="shared" si="220"/>
        <v/>
      </c>
      <c r="F221" s="41" t="str">
        <f t="shared" si="220"/>
        <v/>
      </c>
      <c r="G221" s="41" t="str">
        <f t="shared" si="220"/>
        <v/>
      </c>
      <c r="H221" s="41" t="str">
        <f t="shared" si="220"/>
        <v/>
      </c>
      <c r="I221" s="41" t="str">
        <f t="shared" si="220"/>
        <v/>
      </c>
      <c r="J221" s="41" t="str">
        <f t="shared" si="220"/>
        <v/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67.5" customHeight="1">
      <c r="A222" s="39"/>
      <c r="B222" s="43" t="str">
        <f>IFERROR(__xludf.DUMMYFUNCTION("IFERROR(
  LET(
    periodos, C$1:Z$1,
    marcas, C222:Z222,
    pos, MAX(
          FILTER(
            COLUMN(marcas)-COLUMN(C222)+1,
            marcas=""X""
          )
        ),
    ultimo, INDEX(periodos, pos),
    XLOOKUP(
      $A222,
      INDI"&amp;"RECT(""'""&amp;ultimo&amp;""'!C:C""),
      INDIRECT(""'""&amp;ultimo&amp;""'!A:A"")
    )
  ),
  """"
)"),"")</f>
        <v/>
      </c>
      <c r="C222" s="41" t="str">
        <f t="shared" ref="C222:J222" si="221">IF(
  COUNTIF(
    INDIRECT("'"&amp;C$1&amp;"'!C:C"),
    $A222
  )&gt;0,
  "X",
  ""
)</f>
        <v/>
      </c>
      <c r="D222" s="41" t="str">
        <f t="shared" si="221"/>
        <v/>
      </c>
      <c r="E222" s="41" t="str">
        <f t="shared" si="221"/>
        <v/>
      </c>
      <c r="F222" s="41" t="str">
        <f t="shared" si="221"/>
        <v/>
      </c>
      <c r="G222" s="41" t="str">
        <f t="shared" si="221"/>
        <v/>
      </c>
      <c r="H222" s="41" t="str">
        <f t="shared" si="221"/>
        <v/>
      </c>
      <c r="I222" s="41" t="str">
        <f t="shared" si="221"/>
        <v/>
      </c>
      <c r="J222" s="41" t="str">
        <f t="shared" si="221"/>
        <v/>
      </c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67.5" customHeight="1">
      <c r="A223" s="39"/>
      <c r="B223" s="43" t="str">
        <f>IFERROR(__xludf.DUMMYFUNCTION("IFERROR(
  LET(
    periodos, C$1:Z$1,
    marcas, C223:Z223,
    pos, MAX(
          FILTER(
            COLUMN(marcas)-COLUMN(C223)+1,
            marcas=""X""
          )
        ),
    ultimo, INDEX(periodos, pos),
    XLOOKUP(
      $A223,
      INDI"&amp;"RECT(""'""&amp;ultimo&amp;""'!C:C""),
      INDIRECT(""'""&amp;ultimo&amp;""'!A:A"")
    )
  ),
  """"
)"),"")</f>
        <v/>
      </c>
      <c r="C223" s="41" t="str">
        <f t="shared" ref="C223:J223" si="222">IF(
  COUNTIF(
    INDIRECT("'"&amp;C$1&amp;"'!C:C"),
    $A223
  )&gt;0,
  "X",
  ""
)</f>
        <v/>
      </c>
      <c r="D223" s="41" t="str">
        <f t="shared" si="222"/>
        <v/>
      </c>
      <c r="E223" s="41" t="str">
        <f t="shared" si="222"/>
        <v/>
      </c>
      <c r="F223" s="41" t="str">
        <f t="shared" si="222"/>
        <v/>
      </c>
      <c r="G223" s="41" t="str">
        <f t="shared" si="222"/>
        <v/>
      </c>
      <c r="H223" s="41" t="str">
        <f t="shared" si="222"/>
        <v/>
      </c>
      <c r="I223" s="41" t="str">
        <f t="shared" si="222"/>
        <v/>
      </c>
      <c r="J223" s="41" t="str">
        <f t="shared" si="222"/>
        <v/>
      </c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67.5" customHeight="1">
      <c r="A224" s="39"/>
      <c r="B224" s="43" t="str">
        <f>IFERROR(__xludf.DUMMYFUNCTION("IFERROR(
  LET(
    periodos, C$1:Z$1,
    marcas, C224:Z224,
    pos, MAX(
          FILTER(
            COLUMN(marcas)-COLUMN(C224)+1,
            marcas=""X""
          )
        ),
    ultimo, INDEX(periodos, pos),
    XLOOKUP(
      $A224,
      INDI"&amp;"RECT(""'""&amp;ultimo&amp;""'!C:C""),
      INDIRECT(""'""&amp;ultimo&amp;""'!A:A"")
    )
  ),
  """"
)"),"")</f>
        <v/>
      </c>
      <c r="C224" s="41" t="str">
        <f t="shared" ref="C224:J224" si="223">IF(
  COUNTIF(
    INDIRECT("'"&amp;C$1&amp;"'!C:C"),
    $A224
  )&gt;0,
  "X",
  ""
)</f>
        <v/>
      </c>
      <c r="D224" s="41" t="str">
        <f t="shared" si="223"/>
        <v/>
      </c>
      <c r="E224" s="41" t="str">
        <f t="shared" si="223"/>
        <v/>
      </c>
      <c r="F224" s="41" t="str">
        <f t="shared" si="223"/>
        <v/>
      </c>
      <c r="G224" s="41" t="str">
        <f t="shared" si="223"/>
        <v/>
      </c>
      <c r="H224" s="41" t="str">
        <f t="shared" si="223"/>
        <v/>
      </c>
      <c r="I224" s="41" t="str">
        <f t="shared" si="223"/>
        <v/>
      </c>
      <c r="J224" s="41" t="str">
        <f t="shared" si="223"/>
        <v/>
      </c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67.5" customHeight="1">
      <c r="A225" s="39"/>
      <c r="B225" s="43" t="str">
        <f>IFERROR(__xludf.DUMMYFUNCTION("IFERROR(
  LET(
    periodos, C$1:Z$1,
    marcas, C225:Z225,
    pos, MAX(
          FILTER(
            COLUMN(marcas)-COLUMN(C225)+1,
            marcas=""X""
          )
        ),
    ultimo, INDEX(periodos, pos),
    XLOOKUP(
      $A225,
      INDI"&amp;"RECT(""'""&amp;ultimo&amp;""'!C:C""),
      INDIRECT(""'""&amp;ultimo&amp;""'!A:A"")
    )
  ),
  """"
)"),"")</f>
        <v/>
      </c>
      <c r="C225" s="41" t="str">
        <f t="shared" ref="C225:J225" si="224">IF(
  COUNTIF(
    INDIRECT("'"&amp;C$1&amp;"'!C:C"),
    $A225
  )&gt;0,
  "X",
  ""
)</f>
        <v/>
      </c>
      <c r="D225" s="41" t="str">
        <f t="shared" si="224"/>
        <v/>
      </c>
      <c r="E225" s="41" t="str">
        <f t="shared" si="224"/>
        <v/>
      </c>
      <c r="F225" s="41" t="str">
        <f t="shared" si="224"/>
        <v/>
      </c>
      <c r="G225" s="41" t="str">
        <f t="shared" si="224"/>
        <v/>
      </c>
      <c r="H225" s="41" t="str">
        <f t="shared" si="224"/>
        <v/>
      </c>
      <c r="I225" s="41" t="str">
        <f t="shared" si="224"/>
        <v/>
      </c>
      <c r="J225" s="41" t="str">
        <f t="shared" si="224"/>
        <v/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67.5" customHeight="1">
      <c r="A226" s="39"/>
      <c r="B226" s="43" t="str">
        <f>IFERROR(__xludf.DUMMYFUNCTION("IFERROR(
  LET(
    periodos, C$1:Z$1,
    marcas, C226:Z226,
    pos, MAX(
          FILTER(
            COLUMN(marcas)-COLUMN(C226)+1,
            marcas=""X""
          )
        ),
    ultimo, INDEX(periodos, pos),
    XLOOKUP(
      $A226,
      INDI"&amp;"RECT(""'""&amp;ultimo&amp;""'!C:C""),
      INDIRECT(""'""&amp;ultimo&amp;""'!A:A"")
    )
  ),
  """"
)"),"")</f>
        <v/>
      </c>
      <c r="C226" s="41" t="str">
        <f t="shared" ref="C226:J226" si="225">IF(
  COUNTIF(
    INDIRECT("'"&amp;C$1&amp;"'!C:C"),
    $A226
  )&gt;0,
  "X",
  ""
)</f>
        <v/>
      </c>
      <c r="D226" s="41" t="str">
        <f t="shared" si="225"/>
        <v/>
      </c>
      <c r="E226" s="41" t="str">
        <f t="shared" si="225"/>
        <v/>
      </c>
      <c r="F226" s="41" t="str">
        <f t="shared" si="225"/>
        <v/>
      </c>
      <c r="G226" s="41" t="str">
        <f t="shared" si="225"/>
        <v/>
      </c>
      <c r="H226" s="41" t="str">
        <f t="shared" si="225"/>
        <v/>
      </c>
      <c r="I226" s="41" t="str">
        <f t="shared" si="225"/>
        <v/>
      </c>
      <c r="J226" s="41" t="str">
        <f t="shared" si="225"/>
        <v/>
      </c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67.5" customHeight="1">
      <c r="A227" s="39"/>
      <c r="B227" s="43" t="str">
        <f>IFERROR(__xludf.DUMMYFUNCTION("IFERROR(
  LET(
    periodos, C$1:Z$1,
    marcas, C227:Z227,
    pos, MAX(
          FILTER(
            COLUMN(marcas)-COLUMN(C227)+1,
            marcas=""X""
          )
        ),
    ultimo, INDEX(periodos, pos),
    XLOOKUP(
      $A227,
      INDI"&amp;"RECT(""'""&amp;ultimo&amp;""'!C:C""),
      INDIRECT(""'""&amp;ultimo&amp;""'!A:A"")
    )
  ),
  """"
)"),"")</f>
        <v/>
      </c>
      <c r="C227" s="41" t="str">
        <f t="shared" ref="C227:J227" si="226">IF(
  COUNTIF(
    INDIRECT("'"&amp;C$1&amp;"'!C:C"),
    $A227
  )&gt;0,
  "X",
  ""
)</f>
        <v/>
      </c>
      <c r="D227" s="41" t="str">
        <f t="shared" si="226"/>
        <v/>
      </c>
      <c r="E227" s="41" t="str">
        <f t="shared" si="226"/>
        <v/>
      </c>
      <c r="F227" s="41" t="str">
        <f t="shared" si="226"/>
        <v/>
      </c>
      <c r="G227" s="41" t="str">
        <f t="shared" si="226"/>
        <v/>
      </c>
      <c r="H227" s="41" t="str">
        <f t="shared" si="226"/>
        <v/>
      </c>
      <c r="I227" s="41" t="str">
        <f t="shared" si="226"/>
        <v/>
      </c>
      <c r="J227" s="41" t="str">
        <f t="shared" si="226"/>
        <v/>
      </c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67.5" customHeight="1">
      <c r="A228" s="39"/>
      <c r="B228" s="43" t="str">
        <f>IFERROR(__xludf.DUMMYFUNCTION("IFERROR(
  LET(
    periodos, C$1:Z$1,
    marcas, C228:Z228,
    pos, MAX(
          FILTER(
            COLUMN(marcas)-COLUMN(C228)+1,
            marcas=""X""
          )
        ),
    ultimo, INDEX(periodos, pos),
    XLOOKUP(
      $A228,
      INDI"&amp;"RECT(""'""&amp;ultimo&amp;""'!C:C""),
      INDIRECT(""'""&amp;ultimo&amp;""'!A:A"")
    )
  ),
  """"
)"),"")</f>
        <v/>
      </c>
      <c r="C228" s="41" t="str">
        <f t="shared" ref="C228:J228" si="227">IF(
  COUNTIF(
    INDIRECT("'"&amp;C$1&amp;"'!C:C"),
    $A228
  )&gt;0,
  "X",
  ""
)</f>
        <v/>
      </c>
      <c r="D228" s="41" t="str">
        <f t="shared" si="227"/>
        <v/>
      </c>
      <c r="E228" s="41" t="str">
        <f t="shared" si="227"/>
        <v/>
      </c>
      <c r="F228" s="41" t="str">
        <f t="shared" si="227"/>
        <v/>
      </c>
      <c r="G228" s="41" t="str">
        <f t="shared" si="227"/>
        <v/>
      </c>
      <c r="H228" s="41" t="str">
        <f t="shared" si="227"/>
        <v/>
      </c>
      <c r="I228" s="41" t="str">
        <f t="shared" si="227"/>
        <v/>
      </c>
      <c r="J228" s="41" t="str">
        <f t="shared" si="227"/>
        <v/>
      </c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67.5" customHeight="1">
      <c r="A229" s="39"/>
      <c r="B229" s="43" t="str">
        <f>IFERROR(__xludf.DUMMYFUNCTION("IFERROR(
  LET(
    periodos, C$1:Z$1,
    marcas, C229:Z229,
    pos, MAX(
          FILTER(
            COLUMN(marcas)-COLUMN(C229)+1,
            marcas=""X""
          )
        ),
    ultimo, INDEX(periodos, pos),
    XLOOKUP(
      $A229,
      INDI"&amp;"RECT(""'""&amp;ultimo&amp;""'!C:C""),
      INDIRECT(""'""&amp;ultimo&amp;""'!A:A"")
    )
  ),
  """"
)"),"")</f>
        <v/>
      </c>
      <c r="C229" s="41" t="str">
        <f t="shared" ref="C229:J229" si="228">IF(
  COUNTIF(
    INDIRECT("'"&amp;C$1&amp;"'!C:C"),
    $A229
  )&gt;0,
  "X",
  ""
)</f>
        <v/>
      </c>
      <c r="D229" s="41" t="str">
        <f t="shared" si="228"/>
        <v/>
      </c>
      <c r="E229" s="41" t="str">
        <f t="shared" si="228"/>
        <v/>
      </c>
      <c r="F229" s="41" t="str">
        <f t="shared" si="228"/>
        <v/>
      </c>
      <c r="G229" s="41" t="str">
        <f t="shared" si="228"/>
        <v/>
      </c>
      <c r="H229" s="41" t="str">
        <f t="shared" si="228"/>
        <v/>
      </c>
      <c r="I229" s="41" t="str">
        <f t="shared" si="228"/>
        <v/>
      </c>
      <c r="J229" s="41" t="str">
        <f t="shared" si="228"/>
        <v/>
      </c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67.5" customHeight="1">
      <c r="A230" s="39"/>
      <c r="B230" s="43" t="str">
        <f>IFERROR(__xludf.DUMMYFUNCTION("IFERROR(
  LET(
    periodos, C$1:Z$1,
    marcas, C230:Z230,
    pos, MAX(
          FILTER(
            COLUMN(marcas)-COLUMN(C230)+1,
            marcas=""X""
          )
        ),
    ultimo, INDEX(periodos, pos),
    XLOOKUP(
      $A230,
      INDI"&amp;"RECT(""'""&amp;ultimo&amp;""'!C:C""),
      INDIRECT(""'""&amp;ultimo&amp;""'!A:A"")
    )
  ),
  """"
)"),"")</f>
        <v/>
      </c>
      <c r="C230" s="41" t="str">
        <f t="shared" ref="C230:J230" si="229">IF(
  COUNTIF(
    INDIRECT("'"&amp;C$1&amp;"'!C:C"),
    $A230
  )&gt;0,
  "X",
  ""
)</f>
        <v/>
      </c>
      <c r="D230" s="41" t="str">
        <f t="shared" si="229"/>
        <v/>
      </c>
      <c r="E230" s="41" t="str">
        <f t="shared" si="229"/>
        <v/>
      </c>
      <c r="F230" s="41" t="str">
        <f t="shared" si="229"/>
        <v/>
      </c>
      <c r="G230" s="41" t="str">
        <f t="shared" si="229"/>
        <v/>
      </c>
      <c r="H230" s="41" t="str">
        <f t="shared" si="229"/>
        <v/>
      </c>
      <c r="I230" s="41" t="str">
        <f t="shared" si="229"/>
        <v/>
      </c>
      <c r="J230" s="41" t="str">
        <f t="shared" si="229"/>
        <v/>
      </c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67.5" customHeight="1">
      <c r="A231" s="39"/>
      <c r="B231" s="43" t="str">
        <f>IFERROR(__xludf.DUMMYFUNCTION("IFERROR(
  LET(
    periodos, C$1:Z$1,
    marcas, C231:Z231,
    pos, MAX(
          FILTER(
            COLUMN(marcas)-COLUMN(C231)+1,
            marcas=""X""
          )
        ),
    ultimo, INDEX(periodos, pos),
    XLOOKUP(
      $A231,
      INDI"&amp;"RECT(""'""&amp;ultimo&amp;""'!C:C""),
      INDIRECT(""'""&amp;ultimo&amp;""'!A:A"")
    )
  ),
  """"
)"),"")</f>
        <v/>
      </c>
      <c r="C231" s="41" t="str">
        <f t="shared" ref="C231:J231" si="230">IF(
  COUNTIF(
    INDIRECT("'"&amp;C$1&amp;"'!C:C"),
    $A231
  )&gt;0,
  "X",
  ""
)</f>
        <v/>
      </c>
      <c r="D231" s="41" t="str">
        <f t="shared" si="230"/>
        <v/>
      </c>
      <c r="E231" s="41" t="str">
        <f t="shared" si="230"/>
        <v/>
      </c>
      <c r="F231" s="41" t="str">
        <f t="shared" si="230"/>
        <v/>
      </c>
      <c r="G231" s="41" t="str">
        <f t="shared" si="230"/>
        <v/>
      </c>
      <c r="H231" s="41" t="str">
        <f t="shared" si="230"/>
        <v/>
      </c>
      <c r="I231" s="41" t="str">
        <f t="shared" si="230"/>
        <v/>
      </c>
      <c r="J231" s="41" t="str">
        <f t="shared" si="230"/>
        <v/>
      </c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67.5" customHeight="1">
      <c r="A232" s="39"/>
      <c r="B232" s="43" t="str">
        <f>IFERROR(__xludf.DUMMYFUNCTION("IFERROR(
  LET(
    periodos, C$1:Z$1,
    marcas, C232:Z232,
    pos, MAX(
          FILTER(
            COLUMN(marcas)-COLUMN(C232)+1,
            marcas=""X""
          )
        ),
    ultimo, INDEX(periodos, pos),
    XLOOKUP(
      $A232,
      INDI"&amp;"RECT(""'""&amp;ultimo&amp;""'!C:C""),
      INDIRECT(""'""&amp;ultimo&amp;""'!A:A"")
    )
  ),
  """"
)"),"")</f>
        <v/>
      </c>
      <c r="C232" s="41" t="str">
        <f t="shared" ref="C232:J232" si="231">IF(
  COUNTIF(
    INDIRECT("'"&amp;C$1&amp;"'!C:C"),
    $A232
  )&gt;0,
  "X",
  ""
)</f>
        <v/>
      </c>
      <c r="D232" s="41" t="str">
        <f t="shared" si="231"/>
        <v/>
      </c>
      <c r="E232" s="41" t="str">
        <f t="shared" si="231"/>
        <v/>
      </c>
      <c r="F232" s="41" t="str">
        <f t="shared" si="231"/>
        <v/>
      </c>
      <c r="G232" s="41" t="str">
        <f t="shared" si="231"/>
        <v/>
      </c>
      <c r="H232" s="41" t="str">
        <f t="shared" si="231"/>
        <v/>
      </c>
      <c r="I232" s="41" t="str">
        <f t="shared" si="231"/>
        <v/>
      </c>
      <c r="J232" s="41" t="str">
        <f t="shared" si="231"/>
        <v/>
      </c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67.5" customHeight="1">
      <c r="A233" s="39"/>
      <c r="B233" s="43" t="str">
        <f>IFERROR(__xludf.DUMMYFUNCTION("IFERROR(
  LET(
    periodos, C$1:Z$1,
    marcas, C233:Z233,
    pos, MAX(
          FILTER(
            COLUMN(marcas)-COLUMN(C233)+1,
            marcas=""X""
          )
        ),
    ultimo, INDEX(periodos, pos),
    XLOOKUP(
      $A233,
      INDI"&amp;"RECT(""'""&amp;ultimo&amp;""'!C:C""),
      INDIRECT(""'""&amp;ultimo&amp;""'!A:A"")
    )
  ),
  """"
)"),"")</f>
        <v/>
      </c>
      <c r="C233" s="41" t="str">
        <f t="shared" ref="C233:J233" si="232">IF(
  COUNTIF(
    INDIRECT("'"&amp;C$1&amp;"'!C:C"),
    $A233
  )&gt;0,
  "X",
  ""
)</f>
        <v/>
      </c>
      <c r="D233" s="41" t="str">
        <f t="shared" si="232"/>
        <v/>
      </c>
      <c r="E233" s="41" t="str">
        <f t="shared" si="232"/>
        <v/>
      </c>
      <c r="F233" s="41" t="str">
        <f t="shared" si="232"/>
        <v/>
      </c>
      <c r="G233" s="41" t="str">
        <f t="shared" si="232"/>
        <v/>
      </c>
      <c r="H233" s="41" t="str">
        <f t="shared" si="232"/>
        <v/>
      </c>
      <c r="I233" s="41" t="str">
        <f t="shared" si="232"/>
        <v/>
      </c>
      <c r="J233" s="41" t="str">
        <f t="shared" si="232"/>
        <v/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67.5" customHeight="1">
      <c r="A234" s="39"/>
      <c r="B234" s="43" t="str">
        <f>IFERROR(__xludf.DUMMYFUNCTION("IFERROR(
  LET(
    periodos, C$1:Z$1,
    marcas, C234:Z234,
    pos, MAX(
          FILTER(
            COLUMN(marcas)-COLUMN(C234)+1,
            marcas=""X""
          )
        ),
    ultimo, INDEX(periodos, pos),
    XLOOKUP(
      $A234,
      INDI"&amp;"RECT(""'""&amp;ultimo&amp;""'!C:C""),
      INDIRECT(""'""&amp;ultimo&amp;""'!A:A"")
    )
  ),
  """"
)"),"")</f>
        <v/>
      </c>
      <c r="C234" s="41" t="str">
        <f t="shared" ref="C234:J234" si="233">IF(
  COUNTIF(
    INDIRECT("'"&amp;C$1&amp;"'!C:C"),
    $A234
  )&gt;0,
  "X",
  ""
)</f>
        <v/>
      </c>
      <c r="D234" s="41" t="str">
        <f t="shared" si="233"/>
        <v/>
      </c>
      <c r="E234" s="41" t="str">
        <f t="shared" si="233"/>
        <v/>
      </c>
      <c r="F234" s="41" t="str">
        <f t="shared" si="233"/>
        <v/>
      </c>
      <c r="G234" s="41" t="str">
        <f t="shared" si="233"/>
        <v/>
      </c>
      <c r="H234" s="41" t="str">
        <f t="shared" si="233"/>
        <v/>
      </c>
      <c r="I234" s="41" t="str">
        <f t="shared" si="233"/>
        <v/>
      </c>
      <c r="J234" s="41" t="str">
        <f t="shared" si="233"/>
        <v/>
      </c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67.5" customHeight="1">
      <c r="A235" s="39"/>
      <c r="B235" s="43" t="str">
        <f>IFERROR(__xludf.DUMMYFUNCTION("IFERROR(
  LET(
    periodos, C$1:Z$1,
    marcas, C235:Z235,
    pos, MAX(
          FILTER(
            COLUMN(marcas)-COLUMN(C235)+1,
            marcas=""X""
          )
        ),
    ultimo, INDEX(periodos, pos),
    XLOOKUP(
      $A235,
      INDI"&amp;"RECT(""'""&amp;ultimo&amp;""'!C:C""),
      INDIRECT(""'""&amp;ultimo&amp;""'!A:A"")
    )
  ),
  """"
)"),"")</f>
        <v/>
      </c>
      <c r="C235" s="41" t="str">
        <f t="shared" ref="C235:J235" si="234">IF(
  COUNTIF(
    INDIRECT("'"&amp;C$1&amp;"'!C:C"),
    $A235
  )&gt;0,
  "X",
  ""
)</f>
        <v/>
      </c>
      <c r="D235" s="41" t="str">
        <f t="shared" si="234"/>
        <v/>
      </c>
      <c r="E235" s="41" t="str">
        <f t="shared" si="234"/>
        <v/>
      </c>
      <c r="F235" s="41" t="str">
        <f t="shared" si="234"/>
        <v/>
      </c>
      <c r="G235" s="41" t="str">
        <f t="shared" si="234"/>
        <v/>
      </c>
      <c r="H235" s="41" t="str">
        <f t="shared" si="234"/>
        <v/>
      </c>
      <c r="I235" s="41" t="str">
        <f t="shared" si="234"/>
        <v/>
      </c>
      <c r="J235" s="41" t="str">
        <f t="shared" si="234"/>
        <v/>
      </c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67.5" customHeight="1">
      <c r="A236" s="39"/>
      <c r="B236" s="43" t="str">
        <f>IFERROR(__xludf.DUMMYFUNCTION("IFERROR(
  LET(
    periodos, C$1:Z$1,
    marcas, C236:Z236,
    pos, MAX(
          FILTER(
            COLUMN(marcas)-COLUMN(C236)+1,
            marcas=""X""
          )
        ),
    ultimo, INDEX(periodos, pos),
    XLOOKUP(
      $A236,
      INDI"&amp;"RECT(""'""&amp;ultimo&amp;""'!C:C""),
      INDIRECT(""'""&amp;ultimo&amp;""'!A:A"")
    )
  ),
  """"
)"),"")</f>
        <v/>
      </c>
      <c r="C236" s="41" t="str">
        <f t="shared" ref="C236:J236" si="235">IF(
  COUNTIF(
    INDIRECT("'"&amp;C$1&amp;"'!C:C"),
    $A236
  )&gt;0,
  "X",
  ""
)</f>
        <v/>
      </c>
      <c r="D236" s="41" t="str">
        <f t="shared" si="235"/>
        <v/>
      </c>
      <c r="E236" s="41" t="str">
        <f t="shared" si="235"/>
        <v/>
      </c>
      <c r="F236" s="41" t="str">
        <f t="shared" si="235"/>
        <v/>
      </c>
      <c r="G236" s="41" t="str">
        <f t="shared" si="235"/>
        <v/>
      </c>
      <c r="H236" s="41" t="str">
        <f t="shared" si="235"/>
        <v/>
      </c>
      <c r="I236" s="41" t="str">
        <f t="shared" si="235"/>
        <v/>
      </c>
      <c r="J236" s="41" t="str">
        <f t="shared" si="235"/>
        <v/>
      </c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67.5" customHeight="1">
      <c r="A237" s="39"/>
      <c r="B237" s="43" t="str">
        <f>IFERROR(__xludf.DUMMYFUNCTION("IFERROR(
  LET(
    periodos, C$1:Z$1,
    marcas, C237:Z237,
    pos, MAX(
          FILTER(
            COLUMN(marcas)-COLUMN(C237)+1,
            marcas=""X""
          )
        ),
    ultimo, INDEX(periodos, pos),
    XLOOKUP(
      $A237,
      INDI"&amp;"RECT(""'""&amp;ultimo&amp;""'!C:C""),
      INDIRECT(""'""&amp;ultimo&amp;""'!A:A"")
    )
  ),
  """"
)"),"")</f>
        <v/>
      </c>
      <c r="C237" s="41" t="str">
        <f t="shared" ref="C237:J237" si="236">IF(
  COUNTIF(
    INDIRECT("'"&amp;C$1&amp;"'!C:C"),
    $A237
  )&gt;0,
  "X",
  ""
)</f>
        <v/>
      </c>
      <c r="D237" s="41" t="str">
        <f t="shared" si="236"/>
        <v/>
      </c>
      <c r="E237" s="41" t="str">
        <f t="shared" si="236"/>
        <v/>
      </c>
      <c r="F237" s="41" t="str">
        <f t="shared" si="236"/>
        <v/>
      </c>
      <c r="G237" s="41" t="str">
        <f t="shared" si="236"/>
        <v/>
      </c>
      <c r="H237" s="41" t="str">
        <f t="shared" si="236"/>
        <v/>
      </c>
      <c r="I237" s="41" t="str">
        <f t="shared" si="236"/>
        <v/>
      </c>
      <c r="J237" s="41" t="str">
        <f t="shared" si="236"/>
        <v/>
      </c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67.5" customHeight="1">
      <c r="A238" s="39"/>
      <c r="B238" s="43" t="str">
        <f>IFERROR(__xludf.DUMMYFUNCTION("IFERROR(
  LET(
    periodos, C$1:Z$1,
    marcas, C238:Z238,
    pos, MAX(
          FILTER(
            COLUMN(marcas)-COLUMN(C238)+1,
            marcas=""X""
          )
        ),
    ultimo, INDEX(periodos, pos),
    XLOOKUP(
      $A238,
      INDI"&amp;"RECT(""'""&amp;ultimo&amp;""'!C:C""),
      INDIRECT(""'""&amp;ultimo&amp;""'!A:A"")
    )
  ),
  """"
)"),"")</f>
        <v/>
      </c>
      <c r="C238" s="41" t="str">
        <f t="shared" ref="C238:J238" si="237">IF(
  COUNTIF(
    INDIRECT("'"&amp;C$1&amp;"'!C:C"),
    $A238
  )&gt;0,
  "X",
  ""
)</f>
        <v/>
      </c>
      <c r="D238" s="41" t="str">
        <f t="shared" si="237"/>
        <v/>
      </c>
      <c r="E238" s="41" t="str">
        <f t="shared" si="237"/>
        <v/>
      </c>
      <c r="F238" s="41" t="str">
        <f t="shared" si="237"/>
        <v/>
      </c>
      <c r="G238" s="41" t="str">
        <f t="shared" si="237"/>
        <v/>
      </c>
      <c r="H238" s="41" t="str">
        <f t="shared" si="237"/>
        <v/>
      </c>
      <c r="I238" s="41" t="str">
        <f t="shared" si="237"/>
        <v/>
      </c>
      <c r="J238" s="41" t="str">
        <f t="shared" si="237"/>
        <v/>
      </c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67.5" customHeight="1">
      <c r="A239" s="39"/>
      <c r="B239" s="43" t="str">
        <f>IFERROR(__xludf.DUMMYFUNCTION("IFERROR(
  LET(
    periodos, C$1:Z$1,
    marcas, C239:Z239,
    pos, MAX(
          FILTER(
            COLUMN(marcas)-COLUMN(C239)+1,
            marcas=""X""
          )
        ),
    ultimo, INDEX(periodos, pos),
    XLOOKUP(
      $A239,
      INDI"&amp;"RECT(""'""&amp;ultimo&amp;""'!C:C""),
      INDIRECT(""'""&amp;ultimo&amp;""'!A:A"")
    )
  ),
  """"
)"),"")</f>
        <v/>
      </c>
      <c r="C239" s="41" t="str">
        <f t="shared" ref="C239:J239" si="238">IF(
  COUNTIF(
    INDIRECT("'"&amp;C$1&amp;"'!C:C"),
    $A239
  )&gt;0,
  "X",
  ""
)</f>
        <v/>
      </c>
      <c r="D239" s="41" t="str">
        <f t="shared" si="238"/>
        <v/>
      </c>
      <c r="E239" s="41" t="str">
        <f t="shared" si="238"/>
        <v/>
      </c>
      <c r="F239" s="41" t="str">
        <f t="shared" si="238"/>
        <v/>
      </c>
      <c r="G239" s="41" t="str">
        <f t="shared" si="238"/>
        <v/>
      </c>
      <c r="H239" s="41" t="str">
        <f t="shared" si="238"/>
        <v/>
      </c>
      <c r="I239" s="41" t="str">
        <f t="shared" si="238"/>
        <v/>
      </c>
      <c r="J239" s="41" t="str">
        <f t="shared" si="238"/>
        <v/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67.5" customHeight="1">
      <c r="A240" s="39"/>
      <c r="B240" s="43" t="str">
        <f>IFERROR(__xludf.DUMMYFUNCTION("IFERROR(
  LET(
    periodos, C$1:Z$1,
    marcas, C240:Z240,
    pos, MAX(
          FILTER(
            COLUMN(marcas)-COLUMN(C240)+1,
            marcas=""X""
          )
        ),
    ultimo, INDEX(periodos, pos),
    XLOOKUP(
      $A240,
      INDI"&amp;"RECT(""'""&amp;ultimo&amp;""'!C:C""),
      INDIRECT(""'""&amp;ultimo&amp;""'!A:A"")
    )
  ),
  """"
)"),"")</f>
        <v/>
      </c>
      <c r="C240" s="41" t="str">
        <f t="shared" ref="C240:J240" si="239">IF(
  COUNTIF(
    INDIRECT("'"&amp;C$1&amp;"'!C:C"),
    $A240
  )&gt;0,
  "X",
  ""
)</f>
        <v/>
      </c>
      <c r="D240" s="41" t="str">
        <f t="shared" si="239"/>
        <v/>
      </c>
      <c r="E240" s="41" t="str">
        <f t="shared" si="239"/>
        <v/>
      </c>
      <c r="F240" s="41" t="str">
        <f t="shared" si="239"/>
        <v/>
      </c>
      <c r="G240" s="41" t="str">
        <f t="shared" si="239"/>
        <v/>
      </c>
      <c r="H240" s="41" t="str">
        <f t="shared" si="239"/>
        <v/>
      </c>
      <c r="I240" s="41" t="str">
        <f t="shared" si="239"/>
        <v/>
      </c>
      <c r="J240" s="41" t="str">
        <f t="shared" si="239"/>
        <v/>
      </c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67.5" customHeight="1">
      <c r="A241" s="39"/>
      <c r="B241" s="43" t="str">
        <f>IFERROR(__xludf.DUMMYFUNCTION("IFERROR(
  LET(
    periodos, C$1:Z$1,
    marcas, C241:Z241,
    pos, MAX(
          FILTER(
            COLUMN(marcas)-COLUMN(C241)+1,
            marcas=""X""
          )
        ),
    ultimo, INDEX(periodos, pos),
    XLOOKUP(
      $A241,
      INDI"&amp;"RECT(""'""&amp;ultimo&amp;""'!C:C""),
      INDIRECT(""'""&amp;ultimo&amp;""'!A:A"")
    )
  ),
  """"
)"),"")</f>
        <v/>
      </c>
      <c r="C241" s="41" t="str">
        <f t="shared" ref="C241:J241" si="240">IF(
  COUNTIF(
    INDIRECT("'"&amp;C$1&amp;"'!C:C"),
    $A241
  )&gt;0,
  "X",
  ""
)</f>
        <v/>
      </c>
      <c r="D241" s="41" t="str">
        <f t="shared" si="240"/>
        <v/>
      </c>
      <c r="E241" s="41" t="str">
        <f t="shared" si="240"/>
        <v/>
      </c>
      <c r="F241" s="41" t="str">
        <f t="shared" si="240"/>
        <v/>
      </c>
      <c r="G241" s="41" t="str">
        <f t="shared" si="240"/>
        <v/>
      </c>
      <c r="H241" s="41" t="str">
        <f t="shared" si="240"/>
        <v/>
      </c>
      <c r="I241" s="41" t="str">
        <f t="shared" si="240"/>
        <v/>
      </c>
      <c r="J241" s="41" t="str">
        <f t="shared" si="240"/>
        <v/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67.5" customHeight="1">
      <c r="A242" s="39"/>
      <c r="B242" s="43" t="str">
        <f>IFERROR(__xludf.DUMMYFUNCTION("IFERROR(
  LET(
    periodos, C$1:Z$1,
    marcas, C242:Z242,
    pos, MAX(
          FILTER(
            COLUMN(marcas)-COLUMN(C242)+1,
            marcas=""X""
          )
        ),
    ultimo, INDEX(periodos, pos),
    XLOOKUP(
      $A242,
      INDI"&amp;"RECT(""'""&amp;ultimo&amp;""'!C:C""),
      INDIRECT(""'""&amp;ultimo&amp;""'!A:A"")
    )
  ),
  """"
)"),"")</f>
        <v/>
      </c>
      <c r="C242" s="41" t="str">
        <f t="shared" ref="C242:J242" si="241">IF(
  COUNTIF(
    INDIRECT("'"&amp;C$1&amp;"'!C:C"),
    $A242
  )&gt;0,
  "X",
  ""
)</f>
        <v/>
      </c>
      <c r="D242" s="41" t="str">
        <f t="shared" si="241"/>
        <v/>
      </c>
      <c r="E242" s="41" t="str">
        <f t="shared" si="241"/>
        <v/>
      </c>
      <c r="F242" s="41" t="str">
        <f t="shared" si="241"/>
        <v/>
      </c>
      <c r="G242" s="41" t="str">
        <f t="shared" si="241"/>
        <v/>
      </c>
      <c r="H242" s="41" t="str">
        <f t="shared" si="241"/>
        <v/>
      </c>
      <c r="I242" s="41" t="str">
        <f t="shared" si="241"/>
        <v/>
      </c>
      <c r="J242" s="41" t="str">
        <f t="shared" si="241"/>
        <v/>
      </c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67.5" customHeight="1">
      <c r="A243" s="39"/>
      <c r="B243" s="43" t="str">
        <f>IFERROR(__xludf.DUMMYFUNCTION("IFERROR(
  LET(
    periodos, C$1:Z$1,
    marcas, C243:Z243,
    pos, MAX(
          FILTER(
            COLUMN(marcas)-COLUMN(C243)+1,
            marcas=""X""
          )
        ),
    ultimo, INDEX(periodos, pos),
    XLOOKUP(
      $A243,
      INDI"&amp;"RECT(""'""&amp;ultimo&amp;""'!C:C""),
      INDIRECT(""'""&amp;ultimo&amp;""'!A:A"")
    )
  ),
  """"
)"),"")</f>
        <v/>
      </c>
      <c r="C243" s="41" t="str">
        <f t="shared" ref="C243:J243" si="242">IF(
  COUNTIF(
    INDIRECT("'"&amp;C$1&amp;"'!C:C"),
    $A243
  )&gt;0,
  "X",
  ""
)</f>
        <v/>
      </c>
      <c r="D243" s="41" t="str">
        <f t="shared" si="242"/>
        <v/>
      </c>
      <c r="E243" s="41" t="str">
        <f t="shared" si="242"/>
        <v/>
      </c>
      <c r="F243" s="41" t="str">
        <f t="shared" si="242"/>
        <v/>
      </c>
      <c r="G243" s="41" t="str">
        <f t="shared" si="242"/>
        <v/>
      </c>
      <c r="H243" s="41" t="str">
        <f t="shared" si="242"/>
        <v/>
      </c>
      <c r="I243" s="41" t="str">
        <f t="shared" si="242"/>
        <v/>
      </c>
      <c r="J243" s="41" t="str">
        <f t="shared" si="242"/>
        <v/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67.5" customHeight="1">
      <c r="A244" s="39"/>
      <c r="B244" s="43" t="str">
        <f>IFERROR(__xludf.DUMMYFUNCTION("IFERROR(
  LET(
    periodos, C$1:Z$1,
    marcas, C244:Z244,
    pos, MAX(
          FILTER(
            COLUMN(marcas)-COLUMN(C244)+1,
            marcas=""X""
          )
        ),
    ultimo, INDEX(periodos, pos),
    XLOOKUP(
      $A244,
      INDI"&amp;"RECT(""'""&amp;ultimo&amp;""'!C:C""),
      INDIRECT(""'""&amp;ultimo&amp;""'!A:A"")
    )
  ),
  """"
)"),"")</f>
        <v/>
      </c>
      <c r="C244" s="41" t="str">
        <f t="shared" ref="C244:J244" si="243">IF(
  COUNTIF(
    INDIRECT("'"&amp;C$1&amp;"'!C:C"),
    $A244
  )&gt;0,
  "X",
  ""
)</f>
        <v/>
      </c>
      <c r="D244" s="41" t="str">
        <f t="shared" si="243"/>
        <v/>
      </c>
      <c r="E244" s="41" t="str">
        <f t="shared" si="243"/>
        <v/>
      </c>
      <c r="F244" s="41" t="str">
        <f t="shared" si="243"/>
        <v/>
      </c>
      <c r="G244" s="41" t="str">
        <f t="shared" si="243"/>
        <v/>
      </c>
      <c r="H244" s="41" t="str">
        <f t="shared" si="243"/>
        <v/>
      </c>
      <c r="I244" s="41" t="str">
        <f t="shared" si="243"/>
        <v/>
      </c>
      <c r="J244" s="41" t="str">
        <f t="shared" si="243"/>
        <v/>
      </c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67.5" customHeight="1">
      <c r="A245" s="39"/>
      <c r="B245" s="43" t="str">
        <f>IFERROR(__xludf.DUMMYFUNCTION("IFERROR(
  LET(
    periodos, C$1:Z$1,
    marcas, C245:Z245,
    pos, MAX(
          FILTER(
            COLUMN(marcas)-COLUMN(C245)+1,
            marcas=""X""
          )
        ),
    ultimo, INDEX(periodos, pos),
    XLOOKUP(
      $A245,
      INDI"&amp;"RECT(""'""&amp;ultimo&amp;""'!C:C""),
      INDIRECT(""'""&amp;ultimo&amp;""'!A:A"")
    )
  ),
  """"
)"),"")</f>
        <v/>
      </c>
      <c r="C245" s="41" t="str">
        <f t="shared" ref="C245:J245" si="244">IF(
  COUNTIF(
    INDIRECT("'"&amp;C$1&amp;"'!C:C"),
    $A245
  )&gt;0,
  "X",
  ""
)</f>
        <v/>
      </c>
      <c r="D245" s="41" t="str">
        <f t="shared" si="244"/>
        <v/>
      </c>
      <c r="E245" s="41" t="str">
        <f t="shared" si="244"/>
        <v/>
      </c>
      <c r="F245" s="41" t="str">
        <f t="shared" si="244"/>
        <v/>
      </c>
      <c r="G245" s="41" t="str">
        <f t="shared" si="244"/>
        <v/>
      </c>
      <c r="H245" s="41" t="str">
        <f t="shared" si="244"/>
        <v/>
      </c>
      <c r="I245" s="41" t="str">
        <f t="shared" si="244"/>
        <v/>
      </c>
      <c r="J245" s="41" t="str">
        <f t="shared" si="244"/>
        <v/>
      </c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67.5" customHeight="1">
      <c r="A246" s="39"/>
      <c r="B246" s="43" t="str">
        <f>IFERROR(__xludf.DUMMYFUNCTION("IFERROR(
  LET(
    periodos, C$1:Z$1,
    marcas, C246:Z246,
    pos, MAX(
          FILTER(
            COLUMN(marcas)-COLUMN(C246)+1,
            marcas=""X""
          )
        ),
    ultimo, INDEX(periodos, pos),
    XLOOKUP(
      $A246,
      INDI"&amp;"RECT(""'""&amp;ultimo&amp;""'!C:C""),
      INDIRECT(""'""&amp;ultimo&amp;""'!A:A"")
    )
  ),
  """"
)"),"")</f>
        <v/>
      </c>
      <c r="C246" s="41" t="str">
        <f t="shared" ref="C246:J246" si="245">IF(
  COUNTIF(
    INDIRECT("'"&amp;C$1&amp;"'!C:C"),
    $A246
  )&gt;0,
  "X",
  ""
)</f>
        <v/>
      </c>
      <c r="D246" s="41" t="str">
        <f t="shared" si="245"/>
        <v/>
      </c>
      <c r="E246" s="41" t="str">
        <f t="shared" si="245"/>
        <v/>
      </c>
      <c r="F246" s="41" t="str">
        <f t="shared" si="245"/>
        <v/>
      </c>
      <c r="G246" s="41" t="str">
        <f t="shared" si="245"/>
        <v/>
      </c>
      <c r="H246" s="41" t="str">
        <f t="shared" si="245"/>
        <v/>
      </c>
      <c r="I246" s="41" t="str">
        <f t="shared" si="245"/>
        <v/>
      </c>
      <c r="J246" s="41" t="str">
        <f t="shared" si="245"/>
        <v/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67.5" customHeight="1">
      <c r="A247" s="39"/>
      <c r="B247" s="43" t="str">
        <f>IFERROR(__xludf.DUMMYFUNCTION("IFERROR(
  LET(
    periodos, C$1:Z$1,
    marcas, C247:Z247,
    pos, MAX(
          FILTER(
            COLUMN(marcas)-COLUMN(C247)+1,
            marcas=""X""
          )
        ),
    ultimo, INDEX(periodos, pos),
    XLOOKUP(
      $A247,
      INDI"&amp;"RECT(""'""&amp;ultimo&amp;""'!C:C""),
      INDIRECT(""'""&amp;ultimo&amp;""'!A:A"")
    )
  ),
  """"
)"),"")</f>
        <v/>
      </c>
      <c r="C247" s="41" t="str">
        <f t="shared" ref="C247:J247" si="246">IF(
  COUNTIF(
    INDIRECT("'"&amp;C$1&amp;"'!C:C"),
    $A247
  )&gt;0,
  "X",
  ""
)</f>
        <v/>
      </c>
      <c r="D247" s="41" t="str">
        <f t="shared" si="246"/>
        <v/>
      </c>
      <c r="E247" s="41" t="str">
        <f t="shared" si="246"/>
        <v/>
      </c>
      <c r="F247" s="41" t="str">
        <f t="shared" si="246"/>
        <v/>
      </c>
      <c r="G247" s="41" t="str">
        <f t="shared" si="246"/>
        <v/>
      </c>
      <c r="H247" s="41" t="str">
        <f t="shared" si="246"/>
        <v/>
      </c>
      <c r="I247" s="41" t="str">
        <f t="shared" si="246"/>
        <v/>
      </c>
      <c r="J247" s="41" t="str">
        <f t="shared" si="246"/>
        <v/>
      </c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67.5" customHeight="1">
      <c r="A248" s="39"/>
      <c r="B248" s="43" t="str">
        <f>IFERROR(__xludf.DUMMYFUNCTION("IFERROR(
  LET(
    periodos, C$1:Z$1,
    marcas, C248:Z248,
    pos, MAX(
          FILTER(
            COLUMN(marcas)-COLUMN(C248)+1,
            marcas=""X""
          )
        ),
    ultimo, INDEX(periodos, pos),
    XLOOKUP(
      $A248,
      INDI"&amp;"RECT(""'""&amp;ultimo&amp;""'!C:C""),
      INDIRECT(""'""&amp;ultimo&amp;""'!A:A"")
    )
  ),
  """"
)"),"")</f>
        <v/>
      </c>
      <c r="C248" s="41" t="str">
        <f t="shared" ref="C248:J248" si="247">IF(
  COUNTIF(
    INDIRECT("'"&amp;C$1&amp;"'!C:C"),
    $A248
  )&gt;0,
  "X",
  ""
)</f>
        <v/>
      </c>
      <c r="D248" s="41" t="str">
        <f t="shared" si="247"/>
        <v/>
      </c>
      <c r="E248" s="41" t="str">
        <f t="shared" si="247"/>
        <v/>
      </c>
      <c r="F248" s="41" t="str">
        <f t="shared" si="247"/>
        <v/>
      </c>
      <c r="G248" s="41" t="str">
        <f t="shared" si="247"/>
        <v/>
      </c>
      <c r="H248" s="41" t="str">
        <f t="shared" si="247"/>
        <v/>
      </c>
      <c r="I248" s="41" t="str">
        <f t="shared" si="247"/>
        <v/>
      </c>
      <c r="J248" s="41" t="str">
        <f t="shared" si="247"/>
        <v/>
      </c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67.5" customHeight="1">
      <c r="A249" s="39"/>
      <c r="B249" s="43" t="str">
        <f>IFERROR(__xludf.DUMMYFUNCTION("IFERROR(
  LET(
    periodos, C$1:Z$1,
    marcas, C249:Z249,
    pos, MAX(
          FILTER(
            COLUMN(marcas)-COLUMN(C249)+1,
            marcas=""X""
          )
        ),
    ultimo, INDEX(periodos, pos),
    XLOOKUP(
      $A249,
      INDI"&amp;"RECT(""'""&amp;ultimo&amp;""'!C:C""),
      INDIRECT(""'""&amp;ultimo&amp;""'!A:A"")
    )
  ),
  """"
)"),"")</f>
        <v/>
      </c>
      <c r="C249" s="41" t="str">
        <f t="shared" ref="C249:J249" si="248">IF(
  COUNTIF(
    INDIRECT("'"&amp;C$1&amp;"'!C:C"),
    $A249
  )&gt;0,
  "X",
  ""
)</f>
        <v/>
      </c>
      <c r="D249" s="41" t="str">
        <f t="shared" si="248"/>
        <v/>
      </c>
      <c r="E249" s="41" t="str">
        <f t="shared" si="248"/>
        <v/>
      </c>
      <c r="F249" s="41" t="str">
        <f t="shared" si="248"/>
        <v/>
      </c>
      <c r="G249" s="41" t="str">
        <f t="shared" si="248"/>
        <v/>
      </c>
      <c r="H249" s="41" t="str">
        <f t="shared" si="248"/>
        <v/>
      </c>
      <c r="I249" s="41" t="str">
        <f t="shared" si="248"/>
        <v/>
      </c>
      <c r="J249" s="41" t="str">
        <f t="shared" si="248"/>
        <v/>
      </c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67.5" customHeight="1">
      <c r="A250" s="39"/>
      <c r="B250" s="43" t="str">
        <f>IFERROR(__xludf.DUMMYFUNCTION("IFERROR(
  LET(
    periodos, C$1:Z$1,
    marcas, C250:Z250,
    pos, MAX(
          FILTER(
            COLUMN(marcas)-COLUMN(C250)+1,
            marcas=""X""
          )
        ),
    ultimo, INDEX(periodos, pos),
    XLOOKUP(
      $A250,
      INDI"&amp;"RECT(""'""&amp;ultimo&amp;""'!C:C""),
      INDIRECT(""'""&amp;ultimo&amp;""'!A:A"")
    )
  ),
  """"
)"),"")</f>
        <v/>
      </c>
      <c r="C250" s="41" t="str">
        <f t="shared" ref="C250:J250" si="249">IF(
  COUNTIF(
    INDIRECT("'"&amp;C$1&amp;"'!C:C"),
    $A250
  )&gt;0,
  "X",
  ""
)</f>
        <v/>
      </c>
      <c r="D250" s="41" t="str">
        <f t="shared" si="249"/>
        <v/>
      </c>
      <c r="E250" s="41" t="str">
        <f t="shared" si="249"/>
        <v/>
      </c>
      <c r="F250" s="41" t="str">
        <f t="shared" si="249"/>
        <v/>
      </c>
      <c r="G250" s="41" t="str">
        <f t="shared" si="249"/>
        <v/>
      </c>
      <c r="H250" s="41" t="str">
        <f t="shared" si="249"/>
        <v/>
      </c>
      <c r="I250" s="41" t="str">
        <f t="shared" si="249"/>
        <v/>
      </c>
      <c r="J250" s="41" t="str">
        <f t="shared" si="249"/>
        <v/>
      </c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67.5" customHeight="1">
      <c r="A251" s="39"/>
      <c r="B251" s="43" t="str">
        <f>IFERROR(__xludf.DUMMYFUNCTION("IFERROR(
  LET(
    periodos, C$1:Z$1,
    marcas, C251:Z251,
    pos, MAX(
          FILTER(
            COLUMN(marcas)-COLUMN(C251)+1,
            marcas=""X""
          )
        ),
    ultimo, INDEX(periodos, pos),
    XLOOKUP(
      $A251,
      INDI"&amp;"RECT(""'""&amp;ultimo&amp;""'!C:C""),
      INDIRECT(""'""&amp;ultimo&amp;""'!A:A"")
    )
  ),
  """"
)"),"")</f>
        <v/>
      </c>
      <c r="C251" s="41" t="str">
        <f t="shared" ref="C251:J251" si="250">IF(
  COUNTIF(
    INDIRECT("'"&amp;C$1&amp;"'!C:C"),
    $A251
  )&gt;0,
  "X",
  ""
)</f>
        <v/>
      </c>
      <c r="D251" s="41" t="str">
        <f t="shared" si="250"/>
        <v/>
      </c>
      <c r="E251" s="41" t="str">
        <f t="shared" si="250"/>
        <v/>
      </c>
      <c r="F251" s="41" t="str">
        <f t="shared" si="250"/>
        <v/>
      </c>
      <c r="G251" s="41" t="str">
        <f t="shared" si="250"/>
        <v/>
      </c>
      <c r="H251" s="41" t="str">
        <f t="shared" si="250"/>
        <v/>
      </c>
      <c r="I251" s="41" t="str">
        <f t="shared" si="250"/>
        <v/>
      </c>
      <c r="J251" s="41" t="str">
        <f t="shared" si="250"/>
        <v/>
      </c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67.5" customHeight="1">
      <c r="A252" s="39"/>
      <c r="B252" s="43" t="str">
        <f>IFERROR(__xludf.DUMMYFUNCTION("IFERROR(
  LET(
    periodos, C$1:Z$1,
    marcas, C252:Z252,
    pos, MAX(
          FILTER(
            COLUMN(marcas)-COLUMN(C252)+1,
            marcas=""X""
          )
        ),
    ultimo, INDEX(periodos, pos),
    XLOOKUP(
      $A252,
      INDI"&amp;"RECT(""'""&amp;ultimo&amp;""'!C:C""),
      INDIRECT(""'""&amp;ultimo&amp;""'!A:A"")
    )
  ),
  """"
)"),"")</f>
        <v/>
      </c>
      <c r="C252" s="41" t="str">
        <f t="shared" ref="C252:J252" si="251">IF(
  COUNTIF(
    INDIRECT("'"&amp;C$1&amp;"'!C:C"),
    $A252
  )&gt;0,
  "X",
  ""
)</f>
        <v/>
      </c>
      <c r="D252" s="41" t="str">
        <f t="shared" si="251"/>
        <v/>
      </c>
      <c r="E252" s="41" t="str">
        <f t="shared" si="251"/>
        <v/>
      </c>
      <c r="F252" s="41" t="str">
        <f t="shared" si="251"/>
        <v/>
      </c>
      <c r="G252" s="41" t="str">
        <f t="shared" si="251"/>
        <v/>
      </c>
      <c r="H252" s="41" t="str">
        <f t="shared" si="251"/>
        <v/>
      </c>
      <c r="I252" s="41" t="str">
        <f t="shared" si="251"/>
        <v/>
      </c>
      <c r="J252" s="41" t="str">
        <f t="shared" si="251"/>
        <v/>
      </c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67.5" customHeight="1">
      <c r="A253" s="39"/>
      <c r="B253" s="43" t="str">
        <f>IFERROR(__xludf.DUMMYFUNCTION("IFERROR(
  LET(
    periodos, C$1:Z$1,
    marcas, C253:Z253,
    pos, MAX(
          FILTER(
            COLUMN(marcas)-COLUMN(C253)+1,
            marcas=""X""
          )
        ),
    ultimo, INDEX(periodos, pos),
    XLOOKUP(
      $A253,
      INDI"&amp;"RECT(""'""&amp;ultimo&amp;""'!C:C""),
      INDIRECT(""'""&amp;ultimo&amp;""'!A:A"")
    )
  ),
  """"
)"),"")</f>
        <v/>
      </c>
      <c r="C253" s="41" t="str">
        <f t="shared" ref="C253:J253" si="252">IF(
  COUNTIF(
    INDIRECT("'"&amp;C$1&amp;"'!C:C"),
    $A253
  )&gt;0,
  "X",
  ""
)</f>
        <v/>
      </c>
      <c r="D253" s="41" t="str">
        <f t="shared" si="252"/>
        <v/>
      </c>
      <c r="E253" s="41" t="str">
        <f t="shared" si="252"/>
        <v/>
      </c>
      <c r="F253" s="41" t="str">
        <f t="shared" si="252"/>
        <v/>
      </c>
      <c r="G253" s="41" t="str">
        <f t="shared" si="252"/>
        <v/>
      </c>
      <c r="H253" s="41" t="str">
        <f t="shared" si="252"/>
        <v/>
      </c>
      <c r="I253" s="41" t="str">
        <f t="shared" si="252"/>
        <v/>
      </c>
      <c r="J253" s="41" t="str">
        <f t="shared" si="252"/>
        <v/>
      </c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67.5" customHeight="1">
      <c r="A254" s="39"/>
      <c r="B254" s="43" t="str">
        <f>IFERROR(__xludf.DUMMYFUNCTION("IFERROR(
  LET(
    periodos, C$1:Z$1,
    marcas, C254:Z254,
    pos, MAX(
          FILTER(
            COLUMN(marcas)-COLUMN(C254)+1,
            marcas=""X""
          )
        ),
    ultimo, INDEX(periodos, pos),
    XLOOKUP(
      $A254,
      INDI"&amp;"RECT(""'""&amp;ultimo&amp;""'!C:C""),
      INDIRECT(""'""&amp;ultimo&amp;""'!A:A"")
    )
  ),
  """"
)"),"")</f>
        <v/>
      </c>
      <c r="C254" s="41" t="str">
        <f t="shared" ref="C254:J254" si="253">IF(
  COUNTIF(
    INDIRECT("'"&amp;C$1&amp;"'!C:C"),
    $A254
  )&gt;0,
  "X",
  ""
)</f>
        <v/>
      </c>
      <c r="D254" s="41" t="str">
        <f t="shared" si="253"/>
        <v/>
      </c>
      <c r="E254" s="41" t="str">
        <f t="shared" si="253"/>
        <v/>
      </c>
      <c r="F254" s="41" t="str">
        <f t="shared" si="253"/>
        <v/>
      </c>
      <c r="G254" s="41" t="str">
        <f t="shared" si="253"/>
        <v/>
      </c>
      <c r="H254" s="41" t="str">
        <f t="shared" si="253"/>
        <v/>
      </c>
      <c r="I254" s="41" t="str">
        <f t="shared" si="253"/>
        <v/>
      </c>
      <c r="J254" s="41" t="str">
        <f t="shared" si="253"/>
        <v/>
      </c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67.5" customHeight="1">
      <c r="A255" s="39"/>
      <c r="B255" s="43" t="str">
        <f>IFERROR(__xludf.DUMMYFUNCTION("IFERROR(
  LET(
    periodos, C$1:Z$1,
    marcas, C255:Z255,
    pos, MAX(
          FILTER(
            COLUMN(marcas)-COLUMN(C255)+1,
            marcas=""X""
          )
        ),
    ultimo, INDEX(periodos, pos),
    XLOOKUP(
      $A255,
      INDI"&amp;"RECT(""'""&amp;ultimo&amp;""'!C:C""),
      INDIRECT(""'""&amp;ultimo&amp;""'!A:A"")
    )
  ),
  """"
)"),"")</f>
        <v/>
      </c>
      <c r="C255" s="41" t="str">
        <f t="shared" ref="C255:J255" si="254">IF(
  COUNTIF(
    INDIRECT("'"&amp;C$1&amp;"'!C:C"),
    $A255
  )&gt;0,
  "X",
  ""
)</f>
        <v/>
      </c>
      <c r="D255" s="41" t="str">
        <f t="shared" si="254"/>
        <v/>
      </c>
      <c r="E255" s="41" t="str">
        <f t="shared" si="254"/>
        <v/>
      </c>
      <c r="F255" s="41" t="str">
        <f t="shared" si="254"/>
        <v/>
      </c>
      <c r="G255" s="41" t="str">
        <f t="shared" si="254"/>
        <v/>
      </c>
      <c r="H255" s="41" t="str">
        <f t="shared" si="254"/>
        <v/>
      </c>
      <c r="I255" s="41" t="str">
        <f t="shared" si="254"/>
        <v/>
      </c>
      <c r="J255" s="41" t="str">
        <f t="shared" si="254"/>
        <v/>
      </c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67.5" customHeight="1">
      <c r="A256" s="39"/>
      <c r="B256" s="43" t="str">
        <f>IFERROR(__xludf.DUMMYFUNCTION("IFERROR(
  LET(
    periodos, C$1:Z$1,
    marcas, C256:Z256,
    pos, MAX(
          FILTER(
            COLUMN(marcas)-COLUMN(C256)+1,
            marcas=""X""
          )
        ),
    ultimo, INDEX(periodos, pos),
    XLOOKUP(
      $A256,
      INDI"&amp;"RECT(""'""&amp;ultimo&amp;""'!C:C""),
      INDIRECT(""'""&amp;ultimo&amp;""'!A:A"")
    )
  ),
  """"
)"),"")</f>
        <v/>
      </c>
      <c r="C256" s="41" t="str">
        <f t="shared" ref="C256:J256" si="255">IF(
  COUNTIF(
    INDIRECT("'"&amp;C$1&amp;"'!C:C"),
    $A256
  )&gt;0,
  "X",
  ""
)</f>
        <v/>
      </c>
      <c r="D256" s="41" t="str">
        <f t="shared" si="255"/>
        <v/>
      </c>
      <c r="E256" s="41" t="str">
        <f t="shared" si="255"/>
        <v/>
      </c>
      <c r="F256" s="41" t="str">
        <f t="shared" si="255"/>
        <v/>
      </c>
      <c r="G256" s="41" t="str">
        <f t="shared" si="255"/>
        <v/>
      </c>
      <c r="H256" s="41" t="str">
        <f t="shared" si="255"/>
        <v/>
      </c>
      <c r="I256" s="41" t="str">
        <f t="shared" si="255"/>
        <v/>
      </c>
      <c r="J256" s="41" t="str">
        <f t="shared" si="255"/>
        <v/>
      </c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67.5" customHeight="1">
      <c r="A257" s="39"/>
      <c r="B257" s="43" t="str">
        <f>IFERROR(__xludf.DUMMYFUNCTION("IFERROR(
  LET(
    periodos, C$1:Z$1,
    marcas, C257:Z257,
    pos, MAX(
          FILTER(
            COLUMN(marcas)-COLUMN(C257)+1,
            marcas=""X""
          )
        ),
    ultimo, INDEX(periodos, pos),
    XLOOKUP(
      $A257,
      INDI"&amp;"RECT(""'""&amp;ultimo&amp;""'!C:C""),
      INDIRECT(""'""&amp;ultimo&amp;""'!A:A"")
    )
  ),
  """"
)"),"")</f>
        <v/>
      </c>
      <c r="C257" s="41" t="str">
        <f t="shared" ref="C257:J257" si="256">IF(
  COUNTIF(
    INDIRECT("'"&amp;C$1&amp;"'!C:C"),
    $A257
  )&gt;0,
  "X",
  ""
)</f>
        <v/>
      </c>
      <c r="D257" s="41" t="str">
        <f t="shared" si="256"/>
        <v/>
      </c>
      <c r="E257" s="41" t="str">
        <f t="shared" si="256"/>
        <v/>
      </c>
      <c r="F257" s="41" t="str">
        <f t="shared" si="256"/>
        <v/>
      </c>
      <c r="G257" s="41" t="str">
        <f t="shared" si="256"/>
        <v/>
      </c>
      <c r="H257" s="41" t="str">
        <f t="shared" si="256"/>
        <v/>
      </c>
      <c r="I257" s="41" t="str">
        <f t="shared" si="256"/>
        <v/>
      </c>
      <c r="J257" s="41" t="str">
        <f t="shared" si="256"/>
        <v/>
      </c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67.5" customHeight="1">
      <c r="A258" s="39"/>
      <c r="B258" s="43" t="str">
        <f>IFERROR(__xludf.DUMMYFUNCTION("IFERROR(
  LET(
    periodos, C$1:Z$1,
    marcas, C258:Z258,
    pos, MAX(
          FILTER(
            COLUMN(marcas)-COLUMN(C258)+1,
            marcas=""X""
          )
        ),
    ultimo, INDEX(periodos, pos),
    XLOOKUP(
      $A258,
      INDI"&amp;"RECT(""'""&amp;ultimo&amp;""'!C:C""),
      INDIRECT(""'""&amp;ultimo&amp;""'!A:A"")
    )
  ),
  """"
)"),"")</f>
        <v/>
      </c>
      <c r="C258" s="41" t="str">
        <f t="shared" ref="C258:J258" si="257">IF(
  COUNTIF(
    INDIRECT("'"&amp;C$1&amp;"'!C:C"),
    $A258
  )&gt;0,
  "X",
  ""
)</f>
        <v/>
      </c>
      <c r="D258" s="41" t="str">
        <f t="shared" si="257"/>
        <v/>
      </c>
      <c r="E258" s="41" t="str">
        <f t="shared" si="257"/>
        <v/>
      </c>
      <c r="F258" s="41" t="str">
        <f t="shared" si="257"/>
        <v/>
      </c>
      <c r="G258" s="41" t="str">
        <f t="shared" si="257"/>
        <v/>
      </c>
      <c r="H258" s="41" t="str">
        <f t="shared" si="257"/>
        <v/>
      </c>
      <c r="I258" s="41" t="str">
        <f t="shared" si="257"/>
        <v/>
      </c>
      <c r="J258" s="41" t="str">
        <f t="shared" si="257"/>
        <v/>
      </c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67.5" customHeight="1">
      <c r="A259" s="39"/>
      <c r="B259" s="43" t="str">
        <f>IFERROR(__xludf.DUMMYFUNCTION("IFERROR(
  LET(
    periodos, C$1:Z$1,
    marcas, C259:Z259,
    pos, MAX(
          FILTER(
            COLUMN(marcas)-COLUMN(C259)+1,
            marcas=""X""
          )
        ),
    ultimo, INDEX(periodos, pos),
    XLOOKUP(
      $A259,
      INDI"&amp;"RECT(""'""&amp;ultimo&amp;""'!C:C""),
      INDIRECT(""'""&amp;ultimo&amp;""'!A:A"")
    )
  ),
  """"
)"),"")</f>
        <v/>
      </c>
      <c r="C259" s="41" t="str">
        <f t="shared" ref="C259:J259" si="258">IF(
  COUNTIF(
    INDIRECT("'"&amp;C$1&amp;"'!C:C"),
    $A259
  )&gt;0,
  "X",
  ""
)</f>
        <v/>
      </c>
      <c r="D259" s="41" t="str">
        <f t="shared" si="258"/>
        <v/>
      </c>
      <c r="E259" s="41" t="str">
        <f t="shared" si="258"/>
        <v/>
      </c>
      <c r="F259" s="41" t="str">
        <f t="shared" si="258"/>
        <v/>
      </c>
      <c r="G259" s="41" t="str">
        <f t="shared" si="258"/>
        <v/>
      </c>
      <c r="H259" s="41" t="str">
        <f t="shared" si="258"/>
        <v/>
      </c>
      <c r="I259" s="41" t="str">
        <f t="shared" si="258"/>
        <v/>
      </c>
      <c r="J259" s="41" t="str">
        <f t="shared" si="258"/>
        <v/>
      </c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67.5" customHeight="1">
      <c r="A260" s="39"/>
      <c r="B260" s="43" t="str">
        <f>IFERROR(__xludf.DUMMYFUNCTION("IFERROR(
  LET(
    periodos, C$1:Z$1,
    marcas, C260:Z260,
    pos, MAX(
          FILTER(
            COLUMN(marcas)-COLUMN(C260)+1,
            marcas=""X""
          )
        ),
    ultimo, INDEX(periodos, pos),
    XLOOKUP(
      $A260,
      INDI"&amp;"RECT(""'""&amp;ultimo&amp;""'!C:C""),
      INDIRECT(""'""&amp;ultimo&amp;""'!A:A"")
    )
  ),
  """"
)"),"")</f>
        <v/>
      </c>
      <c r="C260" s="41" t="str">
        <f t="shared" ref="C260:J260" si="259">IF(
  COUNTIF(
    INDIRECT("'"&amp;C$1&amp;"'!C:C"),
    $A260
  )&gt;0,
  "X",
  ""
)</f>
        <v/>
      </c>
      <c r="D260" s="41" t="str">
        <f t="shared" si="259"/>
        <v/>
      </c>
      <c r="E260" s="41" t="str">
        <f t="shared" si="259"/>
        <v/>
      </c>
      <c r="F260" s="41" t="str">
        <f t="shared" si="259"/>
        <v/>
      </c>
      <c r="G260" s="41" t="str">
        <f t="shared" si="259"/>
        <v/>
      </c>
      <c r="H260" s="41" t="str">
        <f t="shared" si="259"/>
        <v/>
      </c>
      <c r="I260" s="41" t="str">
        <f t="shared" si="259"/>
        <v/>
      </c>
      <c r="J260" s="41" t="str">
        <f t="shared" si="259"/>
        <v/>
      </c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67.5" customHeight="1">
      <c r="A261" s="39"/>
      <c r="B261" s="43" t="str">
        <f>IFERROR(__xludf.DUMMYFUNCTION("IFERROR(
  LET(
    periodos, C$1:Z$1,
    marcas, C261:Z261,
    pos, MAX(
          FILTER(
            COLUMN(marcas)-COLUMN(C261)+1,
            marcas=""X""
          )
        ),
    ultimo, INDEX(periodos, pos),
    XLOOKUP(
      $A261,
      INDI"&amp;"RECT(""'""&amp;ultimo&amp;""'!C:C""),
      INDIRECT(""'""&amp;ultimo&amp;""'!A:A"")
    )
  ),
  """"
)"),"")</f>
        <v/>
      </c>
      <c r="C261" s="41" t="str">
        <f t="shared" ref="C261:J261" si="260">IF(
  COUNTIF(
    INDIRECT("'"&amp;C$1&amp;"'!C:C"),
    $A261
  )&gt;0,
  "X",
  ""
)</f>
        <v/>
      </c>
      <c r="D261" s="41" t="str">
        <f t="shared" si="260"/>
        <v/>
      </c>
      <c r="E261" s="41" t="str">
        <f t="shared" si="260"/>
        <v/>
      </c>
      <c r="F261" s="41" t="str">
        <f t="shared" si="260"/>
        <v/>
      </c>
      <c r="G261" s="41" t="str">
        <f t="shared" si="260"/>
        <v/>
      </c>
      <c r="H261" s="41" t="str">
        <f t="shared" si="260"/>
        <v/>
      </c>
      <c r="I261" s="41" t="str">
        <f t="shared" si="260"/>
        <v/>
      </c>
      <c r="J261" s="41" t="str">
        <f t="shared" si="260"/>
        <v/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67.5" customHeight="1">
      <c r="A262" s="39"/>
      <c r="B262" s="43" t="str">
        <f>IFERROR(__xludf.DUMMYFUNCTION("IFERROR(
  LET(
    periodos, C$1:Z$1,
    marcas, C262:Z262,
    pos, MAX(
          FILTER(
            COLUMN(marcas)-COLUMN(C262)+1,
            marcas=""X""
          )
        ),
    ultimo, INDEX(periodos, pos),
    XLOOKUP(
      $A262,
      INDI"&amp;"RECT(""'""&amp;ultimo&amp;""'!C:C""),
      INDIRECT(""'""&amp;ultimo&amp;""'!A:A"")
    )
  ),
  """"
)"),"")</f>
        <v/>
      </c>
      <c r="C262" s="41" t="str">
        <f t="shared" ref="C262:J262" si="261">IF(
  COUNTIF(
    INDIRECT("'"&amp;C$1&amp;"'!C:C"),
    $A262
  )&gt;0,
  "X",
  ""
)</f>
        <v/>
      </c>
      <c r="D262" s="41" t="str">
        <f t="shared" si="261"/>
        <v/>
      </c>
      <c r="E262" s="41" t="str">
        <f t="shared" si="261"/>
        <v/>
      </c>
      <c r="F262" s="41" t="str">
        <f t="shared" si="261"/>
        <v/>
      </c>
      <c r="G262" s="41" t="str">
        <f t="shared" si="261"/>
        <v/>
      </c>
      <c r="H262" s="41" t="str">
        <f t="shared" si="261"/>
        <v/>
      </c>
      <c r="I262" s="41" t="str">
        <f t="shared" si="261"/>
        <v/>
      </c>
      <c r="J262" s="41" t="str">
        <f t="shared" si="261"/>
        <v/>
      </c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67.5" customHeight="1">
      <c r="A263" s="39"/>
      <c r="B263" s="43" t="str">
        <f>IFERROR(__xludf.DUMMYFUNCTION("IFERROR(
  LET(
    periodos, C$1:Z$1,
    marcas, C263:Z263,
    pos, MAX(
          FILTER(
            COLUMN(marcas)-COLUMN(C263)+1,
            marcas=""X""
          )
        ),
    ultimo, INDEX(periodos, pos),
    XLOOKUP(
      $A263,
      INDI"&amp;"RECT(""'""&amp;ultimo&amp;""'!C:C""),
      INDIRECT(""'""&amp;ultimo&amp;""'!A:A"")
    )
  ),
  """"
)"),"")</f>
        <v/>
      </c>
      <c r="C263" s="41" t="str">
        <f t="shared" ref="C263:J263" si="262">IF(
  COUNTIF(
    INDIRECT("'"&amp;C$1&amp;"'!C:C"),
    $A263
  )&gt;0,
  "X",
  ""
)</f>
        <v/>
      </c>
      <c r="D263" s="41" t="str">
        <f t="shared" si="262"/>
        <v/>
      </c>
      <c r="E263" s="41" t="str">
        <f t="shared" si="262"/>
        <v/>
      </c>
      <c r="F263" s="41" t="str">
        <f t="shared" si="262"/>
        <v/>
      </c>
      <c r="G263" s="41" t="str">
        <f t="shared" si="262"/>
        <v/>
      </c>
      <c r="H263" s="41" t="str">
        <f t="shared" si="262"/>
        <v/>
      </c>
      <c r="I263" s="41" t="str">
        <f t="shared" si="262"/>
        <v/>
      </c>
      <c r="J263" s="41" t="str">
        <f t="shared" si="262"/>
        <v/>
      </c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67.5" customHeight="1">
      <c r="A264" s="39"/>
      <c r="B264" s="43" t="str">
        <f>IFERROR(__xludf.DUMMYFUNCTION("IFERROR(
  LET(
    periodos, C$1:Z$1,
    marcas, C264:Z264,
    pos, MAX(
          FILTER(
            COLUMN(marcas)-COLUMN(C264)+1,
            marcas=""X""
          )
        ),
    ultimo, INDEX(periodos, pos),
    XLOOKUP(
      $A264,
      INDI"&amp;"RECT(""'""&amp;ultimo&amp;""'!C:C""),
      INDIRECT(""'""&amp;ultimo&amp;""'!A:A"")
    )
  ),
  """"
)"),"")</f>
        <v/>
      </c>
      <c r="C264" s="41" t="str">
        <f t="shared" ref="C264:J264" si="263">IF(
  COUNTIF(
    INDIRECT("'"&amp;C$1&amp;"'!C:C"),
    $A264
  )&gt;0,
  "X",
  ""
)</f>
        <v/>
      </c>
      <c r="D264" s="41" t="str">
        <f t="shared" si="263"/>
        <v/>
      </c>
      <c r="E264" s="41" t="str">
        <f t="shared" si="263"/>
        <v/>
      </c>
      <c r="F264" s="41" t="str">
        <f t="shared" si="263"/>
        <v/>
      </c>
      <c r="G264" s="41" t="str">
        <f t="shared" si="263"/>
        <v/>
      </c>
      <c r="H264" s="41" t="str">
        <f t="shared" si="263"/>
        <v/>
      </c>
      <c r="I264" s="41" t="str">
        <f t="shared" si="263"/>
        <v/>
      </c>
      <c r="J264" s="41" t="str">
        <f t="shared" si="263"/>
        <v/>
      </c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67.5" customHeight="1">
      <c r="A265" s="39"/>
      <c r="B265" s="43" t="str">
        <f>IFERROR(__xludf.DUMMYFUNCTION("IFERROR(
  LET(
    periodos, C$1:Z$1,
    marcas, C265:Z265,
    pos, MAX(
          FILTER(
            COLUMN(marcas)-COLUMN(C265)+1,
            marcas=""X""
          )
        ),
    ultimo, INDEX(periodos, pos),
    XLOOKUP(
      $A265,
      INDI"&amp;"RECT(""'""&amp;ultimo&amp;""'!C:C""),
      INDIRECT(""'""&amp;ultimo&amp;""'!A:A"")
    )
  ),
  """"
)"),"")</f>
        <v/>
      </c>
      <c r="C265" s="41" t="str">
        <f t="shared" ref="C265:J265" si="264">IF(
  COUNTIF(
    INDIRECT("'"&amp;C$1&amp;"'!C:C"),
    $A265
  )&gt;0,
  "X",
  ""
)</f>
        <v/>
      </c>
      <c r="D265" s="41" t="str">
        <f t="shared" si="264"/>
        <v/>
      </c>
      <c r="E265" s="41" t="str">
        <f t="shared" si="264"/>
        <v/>
      </c>
      <c r="F265" s="41" t="str">
        <f t="shared" si="264"/>
        <v/>
      </c>
      <c r="G265" s="41" t="str">
        <f t="shared" si="264"/>
        <v/>
      </c>
      <c r="H265" s="41" t="str">
        <f t="shared" si="264"/>
        <v/>
      </c>
      <c r="I265" s="41" t="str">
        <f t="shared" si="264"/>
        <v/>
      </c>
      <c r="J265" s="41" t="str">
        <f t="shared" si="264"/>
        <v/>
      </c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67.5" customHeight="1">
      <c r="A266" s="39"/>
      <c r="B266" s="43" t="str">
        <f>IFERROR(__xludf.DUMMYFUNCTION("IFERROR(
  LET(
    periodos, C$1:Z$1,
    marcas, C266:Z266,
    pos, MAX(
          FILTER(
            COLUMN(marcas)-COLUMN(C266)+1,
            marcas=""X""
          )
        ),
    ultimo, INDEX(periodos, pos),
    XLOOKUP(
      $A266,
      INDI"&amp;"RECT(""'""&amp;ultimo&amp;""'!C:C""),
      INDIRECT(""'""&amp;ultimo&amp;""'!A:A"")
    )
  ),
  """"
)"),"")</f>
        <v/>
      </c>
      <c r="C266" s="41" t="str">
        <f t="shared" ref="C266:J266" si="265">IF(
  COUNTIF(
    INDIRECT("'"&amp;C$1&amp;"'!C:C"),
    $A266
  )&gt;0,
  "X",
  ""
)</f>
        <v/>
      </c>
      <c r="D266" s="41" t="str">
        <f t="shared" si="265"/>
        <v/>
      </c>
      <c r="E266" s="41" t="str">
        <f t="shared" si="265"/>
        <v/>
      </c>
      <c r="F266" s="41" t="str">
        <f t="shared" si="265"/>
        <v/>
      </c>
      <c r="G266" s="41" t="str">
        <f t="shared" si="265"/>
        <v/>
      </c>
      <c r="H266" s="41" t="str">
        <f t="shared" si="265"/>
        <v/>
      </c>
      <c r="I266" s="41" t="str">
        <f t="shared" si="265"/>
        <v/>
      </c>
      <c r="J266" s="41" t="str">
        <f t="shared" si="265"/>
        <v/>
      </c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67.5" customHeight="1">
      <c r="A267" s="39"/>
      <c r="B267" s="43" t="str">
        <f>IFERROR(__xludf.DUMMYFUNCTION("IFERROR(
  LET(
    periodos, C$1:Z$1,
    marcas, C267:Z267,
    pos, MAX(
          FILTER(
            COLUMN(marcas)-COLUMN(C267)+1,
            marcas=""X""
          )
        ),
    ultimo, INDEX(periodos, pos),
    XLOOKUP(
      $A267,
      INDI"&amp;"RECT(""'""&amp;ultimo&amp;""'!C:C""),
      INDIRECT(""'""&amp;ultimo&amp;""'!A:A"")
    )
  ),
  """"
)"),"")</f>
        <v/>
      </c>
      <c r="C267" s="41" t="str">
        <f t="shared" ref="C267:J267" si="266">IF(
  COUNTIF(
    INDIRECT("'"&amp;C$1&amp;"'!C:C"),
    $A267
  )&gt;0,
  "X",
  ""
)</f>
        <v/>
      </c>
      <c r="D267" s="41" t="str">
        <f t="shared" si="266"/>
        <v/>
      </c>
      <c r="E267" s="41" t="str">
        <f t="shared" si="266"/>
        <v/>
      </c>
      <c r="F267" s="41" t="str">
        <f t="shared" si="266"/>
        <v/>
      </c>
      <c r="G267" s="41" t="str">
        <f t="shared" si="266"/>
        <v/>
      </c>
      <c r="H267" s="41" t="str">
        <f t="shared" si="266"/>
        <v/>
      </c>
      <c r="I267" s="41" t="str">
        <f t="shared" si="266"/>
        <v/>
      </c>
      <c r="J267" s="41" t="str">
        <f t="shared" si="266"/>
        <v/>
      </c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67.5" customHeight="1">
      <c r="A268" s="39"/>
      <c r="B268" s="43" t="str">
        <f>IFERROR(__xludf.DUMMYFUNCTION("IFERROR(
  LET(
    periodos, C$1:Z$1,
    marcas, C268:Z268,
    pos, MAX(
          FILTER(
            COLUMN(marcas)-COLUMN(C268)+1,
            marcas=""X""
          )
        ),
    ultimo, INDEX(periodos, pos),
    XLOOKUP(
      $A268,
      INDI"&amp;"RECT(""'""&amp;ultimo&amp;""'!C:C""),
      INDIRECT(""'""&amp;ultimo&amp;""'!A:A"")
    )
  ),
  """"
)"),"")</f>
        <v/>
      </c>
      <c r="C268" s="41" t="str">
        <f t="shared" ref="C268:J268" si="267">IF(
  COUNTIF(
    INDIRECT("'"&amp;C$1&amp;"'!C:C"),
    $A268
  )&gt;0,
  "X",
  ""
)</f>
        <v/>
      </c>
      <c r="D268" s="41" t="str">
        <f t="shared" si="267"/>
        <v/>
      </c>
      <c r="E268" s="41" t="str">
        <f t="shared" si="267"/>
        <v/>
      </c>
      <c r="F268" s="41" t="str">
        <f t="shared" si="267"/>
        <v/>
      </c>
      <c r="G268" s="41" t="str">
        <f t="shared" si="267"/>
        <v/>
      </c>
      <c r="H268" s="41" t="str">
        <f t="shared" si="267"/>
        <v/>
      </c>
      <c r="I268" s="41" t="str">
        <f t="shared" si="267"/>
        <v/>
      </c>
      <c r="J268" s="41" t="str">
        <f t="shared" si="267"/>
        <v/>
      </c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67.5" customHeight="1">
      <c r="A269" s="39"/>
      <c r="B269" s="43" t="str">
        <f>IFERROR(__xludf.DUMMYFUNCTION("IFERROR(
  LET(
    periodos, C$1:Z$1,
    marcas, C269:Z269,
    pos, MAX(
          FILTER(
            COLUMN(marcas)-COLUMN(C269)+1,
            marcas=""X""
          )
        ),
    ultimo, INDEX(periodos, pos),
    XLOOKUP(
      $A269,
      INDI"&amp;"RECT(""'""&amp;ultimo&amp;""'!C:C""),
      INDIRECT(""'""&amp;ultimo&amp;""'!A:A"")
    )
  ),
  """"
)"),"")</f>
        <v/>
      </c>
      <c r="C269" s="41" t="str">
        <f t="shared" ref="C269:J269" si="268">IF(
  COUNTIF(
    INDIRECT("'"&amp;C$1&amp;"'!C:C"),
    $A269
  )&gt;0,
  "X",
  ""
)</f>
        <v/>
      </c>
      <c r="D269" s="41" t="str">
        <f t="shared" si="268"/>
        <v/>
      </c>
      <c r="E269" s="41" t="str">
        <f t="shared" si="268"/>
        <v/>
      </c>
      <c r="F269" s="41" t="str">
        <f t="shared" si="268"/>
        <v/>
      </c>
      <c r="G269" s="41" t="str">
        <f t="shared" si="268"/>
        <v/>
      </c>
      <c r="H269" s="41" t="str">
        <f t="shared" si="268"/>
        <v/>
      </c>
      <c r="I269" s="41" t="str">
        <f t="shared" si="268"/>
        <v/>
      </c>
      <c r="J269" s="41" t="str">
        <f t="shared" si="268"/>
        <v/>
      </c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67.5" customHeight="1">
      <c r="A270" s="39"/>
      <c r="B270" s="43" t="str">
        <f>IFERROR(__xludf.DUMMYFUNCTION("IFERROR(
  LET(
    periodos, C$1:Z$1,
    marcas, C270:Z270,
    pos, MAX(
          FILTER(
            COLUMN(marcas)-COLUMN(C270)+1,
            marcas=""X""
          )
        ),
    ultimo, INDEX(periodos, pos),
    XLOOKUP(
      $A270,
      INDI"&amp;"RECT(""'""&amp;ultimo&amp;""'!C:C""),
      INDIRECT(""'""&amp;ultimo&amp;""'!A:A"")
    )
  ),
  """"
)"),"")</f>
        <v/>
      </c>
      <c r="C270" s="41" t="str">
        <f t="shared" ref="C270:J270" si="269">IF(
  COUNTIF(
    INDIRECT("'"&amp;C$1&amp;"'!C:C"),
    $A270
  )&gt;0,
  "X",
  ""
)</f>
        <v/>
      </c>
      <c r="D270" s="41" t="str">
        <f t="shared" si="269"/>
        <v/>
      </c>
      <c r="E270" s="41" t="str">
        <f t="shared" si="269"/>
        <v/>
      </c>
      <c r="F270" s="41" t="str">
        <f t="shared" si="269"/>
        <v/>
      </c>
      <c r="G270" s="41" t="str">
        <f t="shared" si="269"/>
        <v/>
      </c>
      <c r="H270" s="41" t="str">
        <f t="shared" si="269"/>
        <v/>
      </c>
      <c r="I270" s="41" t="str">
        <f t="shared" si="269"/>
        <v/>
      </c>
      <c r="J270" s="41" t="str">
        <f t="shared" si="269"/>
        <v/>
      </c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67.5" customHeight="1">
      <c r="A271" s="39"/>
      <c r="B271" s="43" t="str">
        <f>IFERROR(__xludf.DUMMYFUNCTION("IFERROR(
  LET(
    periodos, C$1:Z$1,
    marcas, C271:Z271,
    pos, MAX(
          FILTER(
            COLUMN(marcas)-COLUMN(C271)+1,
            marcas=""X""
          )
        ),
    ultimo, INDEX(periodos, pos),
    XLOOKUP(
      $A271,
      INDI"&amp;"RECT(""'""&amp;ultimo&amp;""'!C:C""),
      INDIRECT(""'""&amp;ultimo&amp;""'!A:A"")
    )
  ),
  """"
)"),"")</f>
        <v/>
      </c>
      <c r="C271" s="41" t="str">
        <f t="shared" ref="C271:J271" si="270">IF(
  COUNTIF(
    INDIRECT("'"&amp;C$1&amp;"'!C:C"),
    $A271
  )&gt;0,
  "X",
  ""
)</f>
        <v/>
      </c>
      <c r="D271" s="41" t="str">
        <f t="shared" si="270"/>
        <v/>
      </c>
      <c r="E271" s="41" t="str">
        <f t="shared" si="270"/>
        <v/>
      </c>
      <c r="F271" s="41" t="str">
        <f t="shared" si="270"/>
        <v/>
      </c>
      <c r="G271" s="41" t="str">
        <f t="shared" si="270"/>
        <v/>
      </c>
      <c r="H271" s="41" t="str">
        <f t="shared" si="270"/>
        <v/>
      </c>
      <c r="I271" s="41" t="str">
        <f t="shared" si="270"/>
        <v/>
      </c>
      <c r="J271" s="41" t="str">
        <f t="shared" si="270"/>
        <v/>
      </c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67.5" customHeight="1">
      <c r="A272" s="39"/>
      <c r="B272" s="43" t="str">
        <f>IFERROR(__xludf.DUMMYFUNCTION("IFERROR(
  LET(
    periodos, C$1:Z$1,
    marcas, C272:Z272,
    pos, MAX(
          FILTER(
            COLUMN(marcas)-COLUMN(C272)+1,
            marcas=""X""
          )
        ),
    ultimo, INDEX(periodos, pos),
    XLOOKUP(
      $A272,
      INDI"&amp;"RECT(""'""&amp;ultimo&amp;""'!C:C""),
      INDIRECT(""'""&amp;ultimo&amp;""'!A:A"")
    )
  ),
  """"
)"),"")</f>
        <v/>
      </c>
      <c r="C272" s="41" t="str">
        <f t="shared" ref="C272:J272" si="271">IF(
  COUNTIF(
    INDIRECT("'"&amp;C$1&amp;"'!C:C"),
    $A272
  )&gt;0,
  "X",
  ""
)</f>
        <v/>
      </c>
      <c r="D272" s="41" t="str">
        <f t="shared" si="271"/>
        <v/>
      </c>
      <c r="E272" s="41" t="str">
        <f t="shared" si="271"/>
        <v/>
      </c>
      <c r="F272" s="41" t="str">
        <f t="shared" si="271"/>
        <v/>
      </c>
      <c r="G272" s="41" t="str">
        <f t="shared" si="271"/>
        <v/>
      </c>
      <c r="H272" s="41" t="str">
        <f t="shared" si="271"/>
        <v/>
      </c>
      <c r="I272" s="41" t="str">
        <f t="shared" si="271"/>
        <v/>
      </c>
      <c r="J272" s="41" t="str">
        <f t="shared" si="271"/>
        <v/>
      </c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67.5" customHeight="1">
      <c r="A273" s="39"/>
      <c r="B273" s="43" t="str">
        <f>IFERROR(__xludf.DUMMYFUNCTION("IFERROR(
  LET(
    periodos, C$1:Z$1,
    marcas, C273:Z273,
    pos, MAX(
          FILTER(
            COLUMN(marcas)-COLUMN(C273)+1,
            marcas=""X""
          )
        ),
    ultimo, INDEX(periodos, pos),
    XLOOKUP(
      $A273,
      INDI"&amp;"RECT(""'""&amp;ultimo&amp;""'!C:C""),
      INDIRECT(""'""&amp;ultimo&amp;""'!A:A"")
    )
  ),
  """"
)"),"")</f>
        <v/>
      </c>
      <c r="C273" s="41" t="str">
        <f t="shared" ref="C273:J273" si="272">IF(
  COUNTIF(
    INDIRECT("'"&amp;C$1&amp;"'!C:C"),
    $A273
  )&gt;0,
  "X",
  ""
)</f>
        <v/>
      </c>
      <c r="D273" s="41" t="str">
        <f t="shared" si="272"/>
        <v/>
      </c>
      <c r="E273" s="41" t="str">
        <f t="shared" si="272"/>
        <v/>
      </c>
      <c r="F273" s="41" t="str">
        <f t="shared" si="272"/>
        <v/>
      </c>
      <c r="G273" s="41" t="str">
        <f t="shared" si="272"/>
        <v/>
      </c>
      <c r="H273" s="41" t="str">
        <f t="shared" si="272"/>
        <v/>
      </c>
      <c r="I273" s="41" t="str">
        <f t="shared" si="272"/>
        <v/>
      </c>
      <c r="J273" s="41" t="str">
        <f t="shared" si="272"/>
        <v/>
      </c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67.5" customHeight="1">
      <c r="A274" s="39"/>
      <c r="B274" s="43" t="str">
        <f>IFERROR(__xludf.DUMMYFUNCTION("IFERROR(
  LET(
    periodos, C$1:Z$1,
    marcas, C274:Z274,
    pos, MAX(
          FILTER(
            COLUMN(marcas)-COLUMN(C274)+1,
            marcas=""X""
          )
        ),
    ultimo, INDEX(periodos, pos),
    XLOOKUP(
      $A274,
      INDI"&amp;"RECT(""'""&amp;ultimo&amp;""'!C:C""),
      INDIRECT(""'""&amp;ultimo&amp;""'!A:A"")
    )
  ),
  """"
)"),"")</f>
        <v/>
      </c>
      <c r="C274" s="41" t="str">
        <f t="shared" ref="C274:J274" si="273">IF(
  COUNTIF(
    INDIRECT("'"&amp;C$1&amp;"'!C:C"),
    $A274
  )&gt;0,
  "X",
  ""
)</f>
        <v/>
      </c>
      <c r="D274" s="41" t="str">
        <f t="shared" si="273"/>
        <v/>
      </c>
      <c r="E274" s="41" t="str">
        <f t="shared" si="273"/>
        <v/>
      </c>
      <c r="F274" s="41" t="str">
        <f t="shared" si="273"/>
        <v/>
      </c>
      <c r="G274" s="41" t="str">
        <f t="shared" si="273"/>
        <v/>
      </c>
      <c r="H274" s="41" t="str">
        <f t="shared" si="273"/>
        <v/>
      </c>
      <c r="I274" s="41" t="str">
        <f t="shared" si="273"/>
        <v/>
      </c>
      <c r="J274" s="41" t="str">
        <f t="shared" si="273"/>
        <v/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67.5" customHeight="1">
      <c r="A275" s="39"/>
      <c r="B275" s="43" t="str">
        <f>IFERROR(__xludf.DUMMYFUNCTION("IFERROR(
  LET(
    periodos, C$1:Z$1,
    marcas, C275:Z275,
    pos, MAX(
          FILTER(
            COLUMN(marcas)-COLUMN(C275)+1,
            marcas=""X""
          )
        ),
    ultimo, INDEX(periodos, pos),
    XLOOKUP(
      $A275,
      INDI"&amp;"RECT(""'""&amp;ultimo&amp;""'!C:C""),
      INDIRECT(""'""&amp;ultimo&amp;""'!A:A"")
    )
  ),
  """"
)"),"")</f>
        <v/>
      </c>
      <c r="C275" s="41" t="str">
        <f t="shared" ref="C275:J275" si="274">IF(
  COUNTIF(
    INDIRECT("'"&amp;C$1&amp;"'!C:C"),
    $A275
  )&gt;0,
  "X",
  ""
)</f>
        <v/>
      </c>
      <c r="D275" s="41" t="str">
        <f t="shared" si="274"/>
        <v/>
      </c>
      <c r="E275" s="41" t="str">
        <f t="shared" si="274"/>
        <v/>
      </c>
      <c r="F275" s="41" t="str">
        <f t="shared" si="274"/>
        <v/>
      </c>
      <c r="G275" s="41" t="str">
        <f t="shared" si="274"/>
        <v/>
      </c>
      <c r="H275" s="41" t="str">
        <f t="shared" si="274"/>
        <v/>
      </c>
      <c r="I275" s="41" t="str">
        <f t="shared" si="274"/>
        <v/>
      </c>
      <c r="J275" s="41" t="str">
        <f t="shared" si="274"/>
        <v/>
      </c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67.5" customHeight="1">
      <c r="A276" s="39"/>
      <c r="B276" s="43" t="str">
        <f>IFERROR(__xludf.DUMMYFUNCTION("IFERROR(
  LET(
    periodos, C$1:Z$1,
    marcas, C276:Z276,
    pos, MAX(
          FILTER(
            COLUMN(marcas)-COLUMN(C276)+1,
            marcas=""X""
          )
        ),
    ultimo, INDEX(periodos, pos),
    XLOOKUP(
      $A276,
      INDI"&amp;"RECT(""'""&amp;ultimo&amp;""'!C:C""),
      INDIRECT(""'""&amp;ultimo&amp;""'!A:A"")
    )
  ),
  """"
)"),"")</f>
        <v/>
      </c>
      <c r="C276" s="41" t="str">
        <f t="shared" ref="C276:J276" si="275">IF(
  COUNTIF(
    INDIRECT("'"&amp;C$1&amp;"'!C:C"),
    $A276
  )&gt;0,
  "X",
  ""
)</f>
        <v/>
      </c>
      <c r="D276" s="41" t="str">
        <f t="shared" si="275"/>
        <v/>
      </c>
      <c r="E276" s="41" t="str">
        <f t="shared" si="275"/>
        <v/>
      </c>
      <c r="F276" s="41" t="str">
        <f t="shared" si="275"/>
        <v/>
      </c>
      <c r="G276" s="41" t="str">
        <f t="shared" si="275"/>
        <v/>
      </c>
      <c r="H276" s="41" t="str">
        <f t="shared" si="275"/>
        <v/>
      </c>
      <c r="I276" s="41" t="str">
        <f t="shared" si="275"/>
        <v/>
      </c>
      <c r="J276" s="41" t="str">
        <f t="shared" si="275"/>
        <v/>
      </c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67.5" customHeight="1">
      <c r="A277" s="39"/>
      <c r="B277" s="43" t="str">
        <f>IFERROR(__xludf.DUMMYFUNCTION("IFERROR(
  LET(
    periodos, C$1:Z$1,
    marcas, C277:Z277,
    pos, MAX(
          FILTER(
            COLUMN(marcas)-COLUMN(C277)+1,
            marcas=""X""
          )
        ),
    ultimo, INDEX(periodos, pos),
    XLOOKUP(
      $A277,
      INDI"&amp;"RECT(""'""&amp;ultimo&amp;""'!C:C""),
      INDIRECT(""'""&amp;ultimo&amp;""'!A:A"")
    )
  ),
  """"
)"),"")</f>
        <v/>
      </c>
      <c r="C277" s="41" t="str">
        <f t="shared" ref="C277:J277" si="276">IF(
  COUNTIF(
    INDIRECT("'"&amp;C$1&amp;"'!C:C"),
    $A277
  )&gt;0,
  "X",
  ""
)</f>
        <v/>
      </c>
      <c r="D277" s="41" t="str">
        <f t="shared" si="276"/>
        <v/>
      </c>
      <c r="E277" s="41" t="str">
        <f t="shared" si="276"/>
        <v/>
      </c>
      <c r="F277" s="41" t="str">
        <f t="shared" si="276"/>
        <v/>
      </c>
      <c r="G277" s="41" t="str">
        <f t="shared" si="276"/>
        <v/>
      </c>
      <c r="H277" s="41" t="str">
        <f t="shared" si="276"/>
        <v/>
      </c>
      <c r="I277" s="41" t="str">
        <f t="shared" si="276"/>
        <v/>
      </c>
      <c r="J277" s="41" t="str">
        <f t="shared" si="276"/>
        <v/>
      </c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67.5" customHeight="1">
      <c r="A278" s="39"/>
      <c r="B278" s="43" t="str">
        <f>IFERROR(__xludf.DUMMYFUNCTION("IFERROR(
  LET(
    periodos, C$1:Z$1,
    marcas, C278:Z278,
    pos, MAX(
          FILTER(
            COLUMN(marcas)-COLUMN(C278)+1,
            marcas=""X""
          )
        ),
    ultimo, INDEX(periodos, pos),
    XLOOKUP(
      $A278,
      INDI"&amp;"RECT(""'""&amp;ultimo&amp;""'!C:C""),
      INDIRECT(""'""&amp;ultimo&amp;""'!A:A"")
    )
  ),
  """"
)"),"")</f>
        <v/>
      </c>
      <c r="C278" s="41" t="str">
        <f t="shared" ref="C278:J278" si="277">IF(
  COUNTIF(
    INDIRECT("'"&amp;C$1&amp;"'!C:C"),
    $A278
  )&gt;0,
  "X",
  ""
)</f>
        <v/>
      </c>
      <c r="D278" s="41" t="str">
        <f t="shared" si="277"/>
        <v/>
      </c>
      <c r="E278" s="41" t="str">
        <f t="shared" si="277"/>
        <v/>
      </c>
      <c r="F278" s="41" t="str">
        <f t="shared" si="277"/>
        <v/>
      </c>
      <c r="G278" s="41" t="str">
        <f t="shared" si="277"/>
        <v/>
      </c>
      <c r="H278" s="41" t="str">
        <f t="shared" si="277"/>
        <v/>
      </c>
      <c r="I278" s="41" t="str">
        <f t="shared" si="277"/>
        <v/>
      </c>
      <c r="J278" s="41" t="str">
        <f t="shared" si="277"/>
        <v/>
      </c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67.5" customHeight="1">
      <c r="A279" s="39"/>
      <c r="B279" s="43" t="str">
        <f>IFERROR(__xludf.DUMMYFUNCTION("IFERROR(
  LET(
    periodos, C$1:Z$1,
    marcas, C279:Z279,
    pos, MAX(
          FILTER(
            COLUMN(marcas)-COLUMN(C279)+1,
            marcas=""X""
          )
        ),
    ultimo, INDEX(periodos, pos),
    XLOOKUP(
      $A279,
      INDI"&amp;"RECT(""'""&amp;ultimo&amp;""'!C:C""),
      INDIRECT(""'""&amp;ultimo&amp;""'!A:A"")
    )
  ),
  """"
)"),"")</f>
        <v/>
      </c>
      <c r="C279" s="41" t="str">
        <f t="shared" ref="C279:J279" si="278">IF(
  COUNTIF(
    INDIRECT("'"&amp;C$1&amp;"'!C:C"),
    $A279
  )&gt;0,
  "X",
  ""
)</f>
        <v/>
      </c>
      <c r="D279" s="41" t="str">
        <f t="shared" si="278"/>
        <v/>
      </c>
      <c r="E279" s="41" t="str">
        <f t="shared" si="278"/>
        <v/>
      </c>
      <c r="F279" s="41" t="str">
        <f t="shared" si="278"/>
        <v/>
      </c>
      <c r="G279" s="41" t="str">
        <f t="shared" si="278"/>
        <v/>
      </c>
      <c r="H279" s="41" t="str">
        <f t="shared" si="278"/>
        <v/>
      </c>
      <c r="I279" s="41" t="str">
        <f t="shared" si="278"/>
        <v/>
      </c>
      <c r="J279" s="41" t="str">
        <f t="shared" si="278"/>
        <v/>
      </c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67.5" customHeight="1">
      <c r="A280" s="39"/>
      <c r="B280" s="43" t="str">
        <f>IFERROR(__xludf.DUMMYFUNCTION("IFERROR(
  LET(
    periodos, C$1:Z$1,
    marcas, C280:Z280,
    pos, MAX(
          FILTER(
            COLUMN(marcas)-COLUMN(C280)+1,
            marcas=""X""
          )
        ),
    ultimo, INDEX(periodos, pos),
    XLOOKUP(
      $A280,
      INDI"&amp;"RECT(""'""&amp;ultimo&amp;""'!C:C""),
      INDIRECT(""'""&amp;ultimo&amp;""'!A:A"")
    )
  ),
  """"
)"),"")</f>
        <v/>
      </c>
      <c r="C280" s="41" t="str">
        <f t="shared" ref="C280:J280" si="279">IF(
  COUNTIF(
    INDIRECT("'"&amp;C$1&amp;"'!C:C"),
    $A280
  )&gt;0,
  "X",
  ""
)</f>
        <v/>
      </c>
      <c r="D280" s="41" t="str">
        <f t="shared" si="279"/>
        <v/>
      </c>
      <c r="E280" s="41" t="str">
        <f t="shared" si="279"/>
        <v/>
      </c>
      <c r="F280" s="41" t="str">
        <f t="shared" si="279"/>
        <v/>
      </c>
      <c r="G280" s="41" t="str">
        <f t="shared" si="279"/>
        <v/>
      </c>
      <c r="H280" s="41" t="str">
        <f t="shared" si="279"/>
        <v/>
      </c>
      <c r="I280" s="41" t="str">
        <f t="shared" si="279"/>
        <v/>
      </c>
      <c r="J280" s="41" t="str">
        <f t="shared" si="279"/>
        <v/>
      </c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67.5" customHeight="1">
      <c r="A281" s="39"/>
      <c r="B281" s="43" t="str">
        <f>IFERROR(__xludf.DUMMYFUNCTION("IFERROR(
  LET(
    periodos, C$1:Z$1,
    marcas, C281:Z281,
    pos, MAX(
          FILTER(
            COLUMN(marcas)-COLUMN(C281)+1,
            marcas=""X""
          )
        ),
    ultimo, INDEX(periodos, pos),
    XLOOKUP(
      $A281,
      INDI"&amp;"RECT(""'""&amp;ultimo&amp;""'!C:C""),
      INDIRECT(""'""&amp;ultimo&amp;""'!A:A"")
    )
  ),
  """"
)"),"")</f>
        <v/>
      </c>
      <c r="C281" s="41" t="str">
        <f t="shared" ref="C281:J281" si="280">IF(
  COUNTIF(
    INDIRECT("'"&amp;C$1&amp;"'!C:C"),
    $A281
  )&gt;0,
  "X",
  ""
)</f>
        <v/>
      </c>
      <c r="D281" s="41" t="str">
        <f t="shared" si="280"/>
        <v/>
      </c>
      <c r="E281" s="41" t="str">
        <f t="shared" si="280"/>
        <v/>
      </c>
      <c r="F281" s="41" t="str">
        <f t="shared" si="280"/>
        <v/>
      </c>
      <c r="G281" s="41" t="str">
        <f t="shared" si="280"/>
        <v/>
      </c>
      <c r="H281" s="41" t="str">
        <f t="shared" si="280"/>
        <v/>
      </c>
      <c r="I281" s="41" t="str">
        <f t="shared" si="280"/>
        <v/>
      </c>
      <c r="J281" s="41" t="str">
        <f t="shared" si="280"/>
        <v/>
      </c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67.5" customHeight="1">
      <c r="A282" s="39"/>
      <c r="B282" s="43" t="str">
        <f>IFERROR(__xludf.DUMMYFUNCTION("IFERROR(
  LET(
    periodos, C$1:Z$1,
    marcas, C282:Z282,
    pos, MAX(
          FILTER(
            COLUMN(marcas)-COLUMN(C282)+1,
            marcas=""X""
          )
        ),
    ultimo, INDEX(periodos, pos),
    XLOOKUP(
      $A282,
      INDI"&amp;"RECT(""'""&amp;ultimo&amp;""'!C:C""),
      INDIRECT(""'""&amp;ultimo&amp;""'!A:A"")
    )
  ),
  """"
)"),"")</f>
        <v/>
      </c>
      <c r="C282" s="41" t="str">
        <f t="shared" ref="C282:J282" si="281">IF(
  COUNTIF(
    INDIRECT("'"&amp;C$1&amp;"'!C:C"),
    $A282
  )&gt;0,
  "X",
  ""
)</f>
        <v/>
      </c>
      <c r="D282" s="41" t="str">
        <f t="shared" si="281"/>
        <v/>
      </c>
      <c r="E282" s="41" t="str">
        <f t="shared" si="281"/>
        <v/>
      </c>
      <c r="F282" s="41" t="str">
        <f t="shared" si="281"/>
        <v/>
      </c>
      <c r="G282" s="41" t="str">
        <f t="shared" si="281"/>
        <v/>
      </c>
      <c r="H282" s="41" t="str">
        <f t="shared" si="281"/>
        <v/>
      </c>
      <c r="I282" s="41" t="str">
        <f t="shared" si="281"/>
        <v/>
      </c>
      <c r="J282" s="41" t="str">
        <f t="shared" si="281"/>
        <v/>
      </c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67.5" customHeight="1">
      <c r="A283" s="39"/>
      <c r="B283" s="43" t="str">
        <f>IFERROR(__xludf.DUMMYFUNCTION("IFERROR(
  LET(
    periodos, C$1:Z$1,
    marcas, C283:Z283,
    pos, MAX(
          FILTER(
            COLUMN(marcas)-COLUMN(C283)+1,
            marcas=""X""
          )
        ),
    ultimo, INDEX(periodos, pos),
    XLOOKUP(
      $A283,
      INDI"&amp;"RECT(""'""&amp;ultimo&amp;""'!C:C""),
      INDIRECT(""'""&amp;ultimo&amp;""'!A:A"")
    )
  ),
  """"
)"),"")</f>
        <v/>
      </c>
      <c r="C283" s="41" t="str">
        <f t="shared" ref="C283:J283" si="282">IF(
  COUNTIF(
    INDIRECT("'"&amp;C$1&amp;"'!C:C"),
    $A283
  )&gt;0,
  "X",
  ""
)</f>
        <v/>
      </c>
      <c r="D283" s="41" t="str">
        <f t="shared" si="282"/>
        <v/>
      </c>
      <c r="E283" s="41" t="str">
        <f t="shared" si="282"/>
        <v/>
      </c>
      <c r="F283" s="41" t="str">
        <f t="shared" si="282"/>
        <v/>
      </c>
      <c r="G283" s="41" t="str">
        <f t="shared" si="282"/>
        <v/>
      </c>
      <c r="H283" s="41" t="str">
        <f t="shared" si="282"/>
        <v/>
      </c>
      <c r="I283" s="41" t="str">
        <f t="shared" si="282"/>
        <v/>
      </c>
      <c r="J283" s="41" t="str">
        <f t="shared" si="282"/>
        <v/>
      </c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67.5" customHeight="1">
      <c r="A284" s="39"/>
      <c r="B284" s="43" t="str">
        <f>IFERROR(__xludf.DUMMYFUNCTION("IFERROR(
  LET(
    periodos, C$1:Z$1,
    marcas, C284:Z284,
    pos, MAX(
          FILTER(
            COLUMN(marcas)-COLUMN(C284)+1,
            marcas=""X""
          )
        ),
    ultimo, INDEX(periodos, pos),
    XLOOKUP(
      $A284,
      INDI"&amp;"RECT(""'""&amp;ultimo&amp;""'!C:C""),
      INDIRECT(""'""&amp;ultimo&amp;""'!A:A"")
    )
  ),
  """"
)"),"")</f>
        <v/>
      </c>
      <c r="C284" s="41" t="str">
        <f t="shared" ref="C284:J284" si="283">IF(
  COUNTIF(
    INDIRECT("'"&amp;C$1&amp;"'!C:C"),
    $A284
  )&gt;0,
  "X",
  ""
)</f>
        <v/>
      </c>
      <c r="D284" s="41" t="str">
        <f t="shared" si="283"/>
        <v/>
      </c>
      <c r="E284" s="41" t="str">
        <f t="shared" si="283"/>
        <v/>
      </c>
      <c r="F284" s="41" t="str">
        <f t="shared" si="283"/>
        <v/>
      </c>
      <c r="G284" s="41" t="str">
        <f t="shared" si="283"/>
        <v/>
      </c>
      <c r="H284" s="41" t="str">
        <f t="shared" si="283"/>
        <v/>
      </c>
      <c r="I284" s="41" t="str">
        <f t="shared" si="283"/>
        <v/>
      </c>
      <c r="J284" s="41" t="str">
        <f t="shared" si="283"/>
        <v/>
      </c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67.5" customHeight="1">
      <c r="A285" s="39"/>
      <c r="B285" s="43" t="str">
        <f>IFERROR(__xludf.DUMMYFUNCTION("IFERROR(
  LET(
    periodos, C$1:Z$1,
    marcas, C285:Z285,
    pos, MAX(
          FILTER(
            COLUMN(marcas)-COLUMN(C285)+1,
            marcas=""X""
          )
        ),
    ultimo, INDEX(periodos, pos),
    XLOOKUP(
      $A285,
      INDI"&amp;"RECT(""'""&amp;ultimo&amp;""'!C:C""),
      INDIRECT(""'""&amp;ultimo&amp;""'!A:A"")
    )
  ),
  """"
)"),"")</f>
        <v/>
      </c>
      <c r="C285" s="41" t="str">
        <f t="shared" ref="C285:J285" si="284">IF(
  COUNTIF(
    INDIRECT("'"&amp;C$1&amp;"'!C:C"),
    $A285
  )&gt;0,
  "X",
  ""
)</f>
        <v/>
      </c>
      <c r="D285" s="41" t="str">
        <f t="shared" si="284"/>
        <v/>
      </c>
      <c r="E285" s="41" t="str">
        <f t="shared" si="284"/>
        <v/>
      </c>
      <c r="F285" s="41" t="str">
        <f t="shared" si="284"/>
        <v/>
      </c>
      <c r="G285" s="41" t="str">
        <f t="shared" si="284"/>
        <v/>
      </c>
      <c r="H285" s="41" t="str">
        <f t="shared" si="284"/>
        <v/>
      </c>
      <c r="I285" s="41" t="str">
        <f t="shared" si="284"/>
        <v/>
      </c>
      <c r="J285" s="41" t="str">
        <f t="shared" si="284"/>
        <v/>
      </c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67.5" customHeight="1">
      <c r="A286" s="39"/>
      <c r="B286" s="43" t="str">
        <f>IFERROR(__xludf.DUMMYFUNCTION("IFERROR(
  LET(
    periodos, C$1:Z$1,
    marcas, C286:Z286,
    pos, MAX(
          FILTER(
            COLUMN(marcas)-COLUMN(C286)+1,
            marcas=""X""
          )
        ),
    ultimo, INDEX(periodos, pos),
    XLOOKUP(
      $A286,
      INDI"&amp;"RECT(""'""&amp;ultimo&amp;""'!C:C""),
      INDIRECT(""'""&amp;ultimo&amp;""'!A:A"")
    )
  ),
  """"
)"),"")</f>
        <v/>
      </c>
      <c r="C286" s="41" t="str">
        <f t="shared" ref="C286:J286" si="285">IF(
  COUNTIF(
    INDIRECT("'"&amp;C$1&amp;"'!C:C"),
    $A286
  )&gt;0,
  "X",
  ""
)</f>
        <v/>
      </c>
      <c r="D286" s="41" t="str">
        <f t="shared" si="285"/>
        <v/>
      </c>
      <c r="E286" s="41" t="str">
        <f t="shared" si="285"/>
        <v/>
      </c>
      <c r="F286" s="41" t="str">
        <f t="shared" si="285"/>
        <v/>
      </c>
      <c r="G286" s="41" t="str">
        <f t="shared" si="285"/>
        <v/>
      </c>
      <c r="H286" s="41" t="str">
        <f t="shared" si="285"/>
        <v/>
      </c>
      <c r="I286" s="41" t="str">
        <f t="shared" si="285"/>
        <v/>
      </c>
      <c r="J286" s="41" t="str">
        <f t="shared" si="285"/>
        <v/>
      </c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67.5" customHeight="1">
      <c r="A287" s="39"/>
      <c r="B287" s="43" t="str">
        <f>IFERROR(__xludf.DUMMYFUNCTION("IFERROR(
  LET(
    periodos, C$1:Z$1,
    marcas, C287:Z287,
    pos, MAX(
          FILTER(
            COLUMN(marcas)-COLUMN(C287)+1,
            marcas=""X""
          )
        ),
    ultimo, INDEX(periodos, pos),
    XLOOKUP(
      $A287,
      INDI"&amp;"RECT(""'""&amp;ultimo&amp;""'!C:C""),
      INDIRECT(""'""&amp;ultimo&amp;""'!A:A"")
    )
  ),
  """"
)"),"")</f>
        <v/>
      </c>
      <c r="C287" s="41" t="str">
        <f t="shared" ref="C287:J287" si="286">IF(
  COUNTIF(
    INDIRECT("'"&amp;C$1&amp;"'!C:C"),
    $A287
  )&gt;0,
  "X",
  ""
)</f>
        <v/>
      </c>
      <c r="D287" s="41" t="str">
        <f t="shared" si="286"/>
        <v/>
      </c>
      <c r="E287" s="41" t="str">
        <f t="shared" si="286"/>
        <v/>
      </c>
      <c r="F287" s="41" t="str">
        <f t="shared" si="286"/>
        <v/>
      </c>
      <c r="G287" s="41" t="str">
        <f t="shared" si="286"/>
        <v/>
      </c>
      <c r="H287" s="41" t="str">
        <f t="shared" si="286"/>
        <v/>
      </c>
      <c r="I287" s="41" t="str">
        <f t="shared" si="286"/>
        <v/>
      </c>
      <c r="J287" s="41" t="str">
        <f t="shared" si="286"/>
        <v/>
      </c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67.5" customHeight="1">
      <c r="A288" s="39"/>
      <c r="B288" s="43" t="str">
        <f>IFERROR(__xludf.DUMMYFUNCTION("IFERROR(
  LET(
    periodos, C$1:Z$1,
    marcas, C288:Z288,
    pos, MAX(
          FILTER(
            COLUMN(marcas)-COLUMN(C288)+1,
            marcas=""X""
          )
        ),
    ultimo, INDEX(periodos, pos),
    XLOOKUP(
      $A288,
      INDI"&amp;"RECT(""'""&amp;ultimo&amp;""'!C:C""),
      INDIRECT(""'""&amp;ultimo&amp;""'!A:A"")
    )
  ),
  """"
)"),"")</f>
        <v/>
      </c>
      <c r="C288" s="41" t="str">
        <f t="shared" ref="C288:J288" si="287">IF(
  COUNTIF(
    INDIRECT("'"&amp;C$1&amp;"'!C:C"),
    $A288
  )&gt;0,
  "X",
  ""
)</f>
        <v/>
      </c>
      <c r="D288" s="41" t="str">
        <f t="shared" si="287"/>
        <v/>
      </c>
      <c r="E288" s="41" t="str">
        <f t="shared" si="287"/>
        <v/>
      </c>
      <c r="F288" s="41" t="str">
        <f t="shared" si="287"/>
        <v/>
      </c>
      <c r="G288" s="41" t="str">
        <f t="shared" si="287"/>
        <v/>
      </c>
      <c r="H288" s="41" t="str">
        <f t="shared" si="287"/>
        <v/>
      </c>
      <c r="I288" s="41" t="str">
        <f t="shared" si="287"/>
        <v/>
      </c>
      <c r="J288" s="41" t="str">
        <f t="shared" si="287"/>
        <v/>
      </c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67.5" customHeight="1">
      <c r="A289" s="39"/>
      <c r="B289" s="43" t="str">
        <f>IFERROR(__xludf.DUMMYFUNCTION("IFERROR(
  LET(
    periodos, C$1:Z$1,
    marcas, C289:Z289,
    pos, MAX(
          FILTER(
            COLUMN(marcas)-COLUMN(C289)+1,
            marcas=""X""
          )
        ),
    ultimo, INDEX(periodos, pos),
    XLOOKUP(
      $A289,
      INDI"&amp;"RECT(""'""&amp;ultimo&amp;""'!C:C""),
      INDIRECT(""'""&amp;ultimo&amp;""'!A:A"")
    )
  ),
  """"
)"),"")</f>
        <v/>
      </c>
      <c r="C289" s="41" t="str">
        <f t="shared" ref="C289:J289" si="288">IF(
  COUNTIF(
    INDIRECT("'"&amp;C$1&amp;"'!C:C"),
    $A289
  )&gt;0,
  "X",
  ""
)</f>
        <v/>
      </c>
      <c r="D289" s="41" t="str">
        <f t="shared" si="288"/>
        <v/>
      </c>
      <c r="E289" s="41" t="str">
        <f t="shared" si="288"/>
        <v/>
      </c>
      <c r="F289" s="41" t="str">
        <f t="shared" si="288"/>
        <v/>
      </c>
      <c r="G289" s="41" t="str">
        <f t="shared" si="288"/>
        <v/>
      </c>
      <c r="H289" s="41" t="str">
        <f t="shared" si="288"/>
        <v/>
      </c>
      <c r="I289" s="41" t="str">
        <f t="shared" si="288"/>
        <v/>
      </c>
      <c r="J289" s="41" t="str">
        <f t="shared" si="288"/>
        <v/>
      </c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67.5" customHeight="1">
      <c r="A290" s="39"/>
      <c r="B290" s="43" t="str">
        <f>IFERROR(__xludf.DUMMYFUNCTION("IFERROR(
  LET(
    periodos, C$1:Z$1,
    marcas, C290:Z290,
    pos, MAX(
          FILTER(
            COLUMN(marcas)-COLUMN(C290)+1,
            marcas=""X""
          )
        ),
    ultimo, INDEX(periodos, pos),
    XLOOKUP(
      $A290,
      INDI"&amp;"RECT(""'""&amp;ultimo&amp;""'!C:C""),
      INDIRECT(""'""&amp;ultimo&amp;""'!A:A"")
    )
  ),
  """"
)"),"")</f>
        <v/>
      </c>
      <c r="C290" s="41" t="str">
        <f t="shared" ref="C290:J290" si="289">IF(
  COUNTIF(
    INDIRECT("'"&amp;C$1&amp;"'!C:C"),
    $A290
  )&gt;0,
  "X",
  ""
)</f>
        <v/>
      </c>
      <c r="D290" s="41" t="str">
        <f t="shared" si="289"/>
        <v/>
      </c>
      <c r="E290" s="41" t="str">
        <f t="shared" si="289"/>
        <v/>
      </c>
      <c r="F290" s="41" t="str">
        <f t="shared" si="289"/>
        <v/>
      </c>
      <c r="G290" s="41" t="str">
        <f t="shared" si="289"/>
        <v/>
      </c>
      <c r="H290" s="41" t="str">
        <f t="shared" si="289"/>
        <v/>
      </c>
      <c r="I290" s="41" t="str">
        <f t="shared" si="289"/>
        <v/>
      </c>
      <c r="J290" s="41" t="str">
        <f t="shared" si="289"/>
        <v/>
      </c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67.5" customHeight="1">
      <c r="A291" s="39"/>
      <c r="B291" s="43" t="str">
        <f>IFERROR(__xludf.DUMMYFUNCTION("IFERROR(
  LET(
    periodos, C$1:Z$1,
    marcas, C291:Z291,
    pos, MAX(
          FILTER(
            COLUMN(marcas)-COLUMN(C291)+1,
            marcas=""X""
          )
        ),
    ultimo, INDEX(periodos, pos),
    XLOOKUP(
      $A291,
      INDI"&amp;"RECT(""'""&amp;ultimo&amp;""'!C:C""),
      INDIRECT(""'""&amp;ultimo&amp;""'!A:A"")
    )
  ),
  """"
)"),"")</f>
        <v/>
      </c>
      <c r="C291" s="41" t="str">
        <f t="shared" ref="C291:J291" si="290">IF(
  COUNTIF(
    INDIRECT("'"&amp;C$1&amp;"'!C:C"),
    $A291
  )&gt;0,
  "X",
  ""
)</f>
        <v/>
      </c>
      <c r="D291" s="41" t="str">
        <f t="shared" si="290"/>
        <v/>
      </c>
      <c r="E291" s="41" t="str">
        <f t="shared" si="290"/>
        <v/>
      </c>
      <c r="F291" s="41" t="str">
        <f t="shared" si="290"/>
        <v/>
      </c>
      <c r="G291" s="41" t="str">
        <f t="shared" si="290"/>
        <v/>
      </c>
      <c r="H291" s="41" t="str">
        <f t="shared" si="290"/>
        <v/>
      </c>
      <c r="I291" s="41" t="str">
        <f t="shared" si="290"/>
        <v/>
      </c>
      <c r="J291" s="41" t="str">
        <f t="shared" si="290"/>
        <v/>
      </c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67.5" customHeight="1">
      <c r="A292" s="39"/>
      <c r="B292" s="43" t="str">
        <f>IFERROR(__xludf.DUMMYFUNCTION("IFERROR(
  LET(
    periodos, C$1:Z$1,
    marcas, C292:Z292,
    pos, MAX(
          FILTER(
            COLUMN(marcas)-COLUMN(C292)+1,
            marcas=""X""
          )
        ),
    ultimo, INDEX(periodos, pos),
    XLOOKUP(
      $A292,
      INDI"&amp;"RECT(""'""&amp;ultimo&amp;""'!C:C""),
      INDIRECT(""'""&amp;ultimo&amp;""'!A:A"")
    )
  ),
  """"
)"),"")</f>
        <v/>
      </c>
      <c r="C292" s="41" t="str">
        <f t="shared" ref="C292:J292" si="291">IF(
  COUNTIF(
    INDIRECT("'"&amp;C$1&amp;"'!C:C"),
    $A292
  )&gt;0,
  "X",
  ""
)</f>
        <v/>
      </c>
      <c r="D292" s="41" t="str">
        <f t="shared" si="291"/>
        <v/>
      </c>
      <c r="E292" s="41" t="str">
        <f t="shared" si="291"/>
        <v/>
      </c>
      <c r="F292" s="41" t="str">
        <f t="shared" si="291"/>
        <v/>
      </c>
      <c r="G292" s="41" t="str">
        <f t="shared" si="291"/>
        <v/>
      </c>
      <c r="H292" s="41" t="str">
        <f t="shared" si="291"/>
        <v/>
      </c>
      <c r="I292" s="41" t="str">
        <f t="shared" si="291"/>
        <v/>
      </c>
      <c r="J292" s="41" t="str">
        <f t="shared" si="291"/>
        <v/>
      </c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67.5" customHeight="1">
      <c r="A293" s="39"/>
      <c r="B293" s="43" t="str">
        <f>IFERROR(__xludf.DUMMYFUNCTION("IFERROR(
  LET(
    periodos, C$1:Z$1,
    marcas, C293:Z293,
    pos, MAX(
          FILTER(
            COLUMN(marcas)-COLUMN(C293)+1,
            marcas=""X""
          )
        ),
    ultimo, INDEX(periodos, pos),
    XLOOKUP(
      $A293,
      INDI"&amp;"RECT(""'""&amp;ultimo&amp;""'!C:C""),
      INDIRECT(""'""&amp;ultimo&amp;""'!A:A"")
    )
  ),
  """"
)"),"")</f>
        <v/>
      </c>
      <c r="C293" s="41" t="str">
        <f t="shared" ref="C293:J293" si="292">IF(
  COUNTIF(
    INDIRECT("'"&amp;C$1&amp;"'!C:C"),
    $A293
  )&gt;0,
  "X",
  ""
)</f>
        <v/>
      </c>
      <c r="D293" s="41" t="str">
        <f t="shared" si="292"/>
        <v/>
      </c>
      <c r="E293" s="41" t="str">
        <f t="shared" si="292"/>
        <v/>
      </c>
      <c r="F293" s="41" t="str">
        <f t="shared" si="292"/>
        <v/>
      </c>
      <c r="G293" s="41" t="str">
        <f t="shared" si="292"/>
        <v/>
      </c>
      <c r="H293" s="41" t="str">
        <f t="shared" si="292"/>
        <v/>
      </c>
      <c r="I293" s="41" t="str">
        <f t="shared" si="292"/>
        <v/>
      </c>
      <c r="J293" s="41" t="str">
        <f t="shared" si="292"/>
        <v/>
      </c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67.5" customHeight="1">
      <c r="A294" s="39"/>
      <c r="B294" s="43" t="str">
        <f>IFERROR(__xludf.DUMMYFUNCTION("IFERROR(
  LET(
    periodos, C$1:Z$1,
    marcas, C294:Z294,
    pos, MAX(
          FILTER(
            COLUMN(marcas)-COLUMN(C294)+1,
            marcas=""X""
          )
        ),
    ultimo, INDEX(periodos, pos),
    XLOOKUP(
      $A294,
      INDI"&amp;"RECT(""'""&amp;ultimo&amp;""'!C:C""),
      INDIRECT(""'""&amp;ultimo&amp;""'!A:A"")
    )
  ),
  """"
)"),"")</f>
        <v/>
      </c>
      <c r="C294" s="41" t="str">
        <f t="shared" ref="C294:J294" si="293">IF(
  COUNTIF(
    INDIRECT("'"&amp;C$1&amp;"'!C:C"),
    $A294
  )&gt;0,
  "X",
  ""
)</f>
        <v/>
      </c>
      <c r="D294" s="41" t="str">
        <f t="shared" si="293"/>
        <v/>
      </c>
      <c r="E294" s="41" t="str">
        <f t="shared" si="293"/>
        <v/>
      </c>
      <c r="F294" s="41" t="str">
        <f t="shared" si="293"/>
        <v/>
      </c>
      <c r="G294" s="41" t="str">
        <f t="shared" si="293"/>
        <v/>
      </c>
      <c r="H294" s="41" t="str">
        <f t="shared" si="293"/>
        <v/>
      </c>
      <c r="I294" s="41" t="str">
        <f t="shared" si="293"/>
        <v/>
      </c>
      <c r="J294" s="41" t="str">
        <f t="shared" si="293"/>
        <v/>
      </c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67.5" customHeight="1">
      <c r="A295" s="39"/>
      <c r="B295" s="43" t="str">
        <f>IFERROR(__xludf.DUMMYFUNCTION("IFERROR(
  LET(
    periodos, C$1:Z$1,
    marcas, C295:Z295,
    pos, MAX(
          FILTER(
            COLUMN(marcas)-COLUMN(C295)+1,
            marcas=""X""
          )
        ),
    ultimo, INDEX(periodos, pos),
    XLOOKUP(
      $A295,
      INDI"&amp;"RECT(""'""&amp;ultimo&amp;""'!C:C""),
      INDIRECT(""'""&amp;ultimo&amp;""'!A:A"")
    )
  ),
  """"
)"),"")</f>
        <v/>
      </c>
      <c r="C295" s="41" t="str">
        <f t="shared" ref="C295:J295" si="294">IF(
  COUNTIF(
    INDIRECT("'"&amp;C$1&amp;"'!C:C"),
    $A295
  )&gt;0,
  "X",
  ""
)</f>
        <v/>
      </c>
      <c r="D295" s="41" t="str">
        <f t="shared" si="294"/>
        <v/>
      </c>
      <c r="E295" s="41" t="str">
        <f t="shared" si="294"/>
        <v/>
      </c>
      <c r="F295" s="41" t="str">
        <f t="shared" si="294"/>
        <v/>
      </c>
      <c r="G295" s="41" t="str">
        <f t="shared" si="294"/>
        <v/>
      </c>
      <c r="H295" s="41" t="str">
        <f t="shared" si="294"/>
        <v/>
      </c>
      <c r="I295" s="41" t="str">
        <f t="shared" si="294"/>
        <v/>
      </c>
      <c r="J295" s="41" t="str">
        <f t="shared" si="294"/>
        <v/>
      </c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67.5" customHeight="1">
      <c r="A296" s="39"/>
      <c r="B296" s="43" t="str">
        <f>IFERROR(__xludf.DUMMYFUNCTION("IFERROR(
  LET(
    periodos, C$1:Z$1,
    marcas, C296:Z296,
    pos, MAX(
          FILTER(
            COLUMN(marcas)-COLUMN(C296)+1,
            marcas=""X""
          )
        ),
    ultimo, INDEX(periodos, pos),
    XLOOKUP(
      $A296,
      INDI"&amp;"RECT(""'""&amp;ultimo&amp;""'!C:C""),
      INDIRECT(""'""&amp;ultimo&amp;""'!A:A"")
    )
  ),
  """"
)"),"")</f>
        <v/>
      </c>
      <c r="C296" s="41" t="str">
        <f t="shared" ref="C296:J296" si="295">IF(
  COUNTIF(
    INDIRECT("'"&amp;C$1&amp;"'!C:C"),
    $A296
  )&gt;0,
  "X",
  ""
)</f>
        <v/>
      </c>
      <c r="D296" s="41" t="str">
        <f t="shared" si="295"/>
        <v/>
      </c>
      <c r="E296" s="41" t="str">
        <f t="shared" si="295"/>
        <v/>
      </c>
      <c r="F296" s="41" t="str">
        <f t="shared" si="295"/>
        <v/>
      </c>
      <c r="G296" s="41" t="str">
        <f t="shared" si="295"/>
        <v/>
      </c>
      <c r="H296" s="41" t="str">
        <f t="shared" si="295"/>
        <v/>
      </c>
      <c r="I296" s="41" t="str">
        <f t="shared" si="295"/>
        <v/>
      </c>
      <c r="J296" s="41" t="str">
        <f t="shared" si="295"/>
        <v/>
      </c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67.5" customHeight="1">
      <c r="A297" s="39"/>
      <c r="B297" s="43" t="str">
        <f>IFERROR(__xludf.DUMMYFUNCTION("IFERROR(
  LET(
    periodos, C$1:Z$1,
    marcas, C297:Z297,
    pos, MAX(
          FILTER(
            COLUMN(marcas)-COLUMN(C297)+1,
            marcas=""X""
          )
        ),
    ultimo, INDEX(periodos, pos),
    XLOOKUP(
      $A297,
      INDI"&amp;"RECT(""'""&amp;ultimo&amp;""'!C:C""),
      INDIRECT(""'""&amp;ultimo&amp;""'!A:A"")
    )
  ),
  """"
)"),"")</f>
        <v/>
      </c>
      <c r="C297" s="41" t="str">
        <f t="shared" ref="C297:J297" si="296">IF(
  COUNTIF(
    INDIRECT("'"&amp;C$1&amp;"'!C:C"),
    $A297
  )&gt;0,
  "X",
  ""
)</f>
        <v/>
      </c>
      <c r="D297" s="41" t="str">
        <f t="shared" si="296"/>
        <v/>
      </c>
      <c r="E297" s="41" t="str">
        <f t="shared" si="296"/>
        <v/>
      </c>
      <c r="F297" s="41" t="str">
        <f t="shared" si="296"/>
        <v/>
      </c>
      <c r="G297" s="41" t="str">
        <f t="shared" si="296"/>
        <v/>
      </c>
      <c r="H297" s="41" t="str">
        <f t="shared" si="296"/>
        <v/>
      </c>
      <c r="I297" s="41" t="str">
        <f t="shared" si="296"/>
        <v/>
      </c>
      <c r="J297" s="41" t="str">
        <f t="shared" si="296"/>
        <v/>
      </c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67.5" customHeight="1">
      <c r="A298" s="39"/>
      <c r="B298" s="43" t="str">
        <f>IFERROR(__xludf.DUMMYFUNCTION("IFERROR(
  LET(
    periodos, C$1:Z$1,
    marcas, C298:Z298,
    pos, MAX(
          FILTER(
            COLUMN(marcas)-COLUMN(C298)+1,
            marcas=""X""
          )
        ),
    ultimo, INDEX(periodos, pos),
    XLOOKUP(
      $A298,
      INDI"&amp;"RECT(""'""&amp;ultimo&amp;""'!C:C""),
      INDIRECT(""'""&amp;ultimo&amp;""'!A:A"")
    )
  ),
  """"
)"),"")</f>
        <v/>
      </c>
      <c r="C298" s="41" t="str">
        <f t="shared" ref="C298:J298" si="297">IF(
  COUNTIF(
    INDIRECT("'"&amp;C$1&amp;"'!C:C"),
    $A298
  )&gt;0,
  "X",
  ""
)</f>
        <v/>
      </c>
      <c r="D298" s="41" t="str">
        <f t="shared" si="297"/>
        <v/>
      </c>
      <c r="E298" s="41" t="str">
        <f t="shared" si="297"/>
        <v/>
      </c>
      <c r="F298" s="41" t="str">
        <f t="shared" si="297"/>
        <v/>
      </c>
      <c r="G298" s="41" t="str">
        <f t="shared" si="297"/>
        <v/>
      </c>
      <c r="H298" s="41" t="str">
        <f t="shared" si="297"/>
        <v/>
      </c>
      <c r="I298" s="41" t="str">
        <f t="shared" si="297"/>
        <v/>
      </c>
      <c r="J298" s="41" t="str">
        <f t="shared" si="297"/>
        <v/>
      </c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67.5" customHeight="1">
      <c r="A299" s="39"/>
      <c r="B299" s="43" t="str">
        <f>IFERROR(__xludf.DUMMYFUNCTION("IFERROR(
  LET(
    periodos, C$1:Z$1,
    marcas, C299:Z299,
    pos, MAX(
          FILTER(
            COLUMN(marcas)-COLUMN(C299)+1,
            marcas=""X""
          )
        ),
    ultimo, INDEX(periodos, pos),
    XLOOKUP(
      $A299,
      INDI"&amp;"RECT(""'""&amp;ultimo&amp;""'!C:C""),
      INDIRECT(""'""&amp;ultimo&amp;""'!A:A"")
    )
  ),
  """"
)"),"")</f>
        <v/>
      </c>
      <c r="C299" s="41" t="str">
        <f t="shared" ref="C299:J299" si="298">IF(
  COUNTIF(
    INDIRECT("'"&amp;C$1&amp;"'!C:C"),
    $A299
  )&gt;0,
  "X",
  ""
)</f>
        <v/>
      </c>
      <c r="D299" s="41" t="str">
        <f t="shared" si="298"/>
        <v/>
      </c>
      <c r="E299" s="41" t="str">
        <f t="shared" si="298"/>
        <v/>
      </c>
      <c r="F299" s="41" t="str">
        <f t="shared" si="298"/>
        <v/>
      </c>
      <c r="G299" s="41" t="str">
        <f t="shared" si="298"/>
        <v/>
      </c>
      <c r="H299" s="41" t="str">
        <f t="shared" si="298"/>
        <v/>
      </c>
      <c r="I299" s="41" t="str">
        <f t="shared" si="298"/>
        <v/>
      </c>
      <c r="J299" s="41" t="str">
        <f t="shared" si="298"/>
        <v/>
      </c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67.5" customHeight="1">
      <c r="A300" s="39"/>
      <c r="B300" s="43" t="str">
        <f>IFERROR(__xludf.DUMMYFUNCTION("IFERROR(
  LET(
    periodos, C$1:Z$1,
    marcas, C300:Z300,
    pos, MAX(
          FILTER(
            COLUMN(marcas)-COLUMN(C300)+1,
            marcas=""X""
          )
        ),
    ultimo, INDEX(periodos, pos),
    XLOOKUP(
      $A300,
      INDI"&amp;"RECT(""'""&amp;ultimo&amp;""'!C:C""),
      INDIRECT(""'""&amp;ultimo&amp;""'!A:A"")
    )
  ),
  """"
)"),"")</f>
        <v/>
      </c>
      <c r="C300" s="41" t="str">
        <f t="shared" ref="C300:J300" si="299">IF(
  COUNTIF(
    INDIRECT("'"&amp;C$1&amp;"'!C:C"),
    $A300
  )&gt;0,
  "X",
  ""
)</f>
        <v/>
      </c>
      <c r="D300" s="41" t="str">
        <f t="shared" si="299"/>
        <v/>
      </c>
      <c r="E300" s="41" t="str">
        <f t="shared" si="299"/>
        <v/>
      </c>
      <c r="F300" s="41" t="str">
        <f t="shared" si="299"/>
        <v/>
      </c>
      <c r="G300" s="41" t="str">
        <f t="shared" si="299"/>
        <v/>
      </c>
      <c r="H300" s="41" t="str">
        <f t="shared" si="299"/>
        <v/>
      </c>
      <c r="I300" s="41" t="str">
        <f t="shared" si="299"/>
        <v/>
      </c>
      <c r="J300" s="41" t="str">
        <f t="shared" si="299"/>
        <v/>
      </c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67.5" customHeight="1">
      <c r="A301" s="39"/>
      <c r="B301" s="43" t="str">
        <f>IFERROR(__xludf.DUMMYFUNCTION("IFERROR(
  LET(
    periodos, C$1:Z$1,
    marcas, C301:Z301,
    pos, MAX(
          FILTER(
            COLUMN(marcas)-COLUMN(C301)+1,
            marcas=""X""
          )
        ),
    ultimo, INDEX(periodos, pos),
    XLOOKUP(
      $A301,
      INDI"&amp;"RECT(""'""&amp;ultimo&amp;""'!C:C""),
      INDIRECT(""'""&amp;ultimo&amp;""'!A:A"")
    )
  ),
  """"
)"),"")</f>
        <v/>
      </c>
      <c r="C301" s="41" t="str">
        <f t="shared" ref="C301:J301" si="300">IF(
  COUNTIF(
    INDIRECT("'"&amp;C$1&amp;"'!C:C"),
    $A301
  )&gt;0,
  "X",
  ""
)</f>
        <v/>
      </c>
      <c r="D301" s="41" t="str">
        <f t="shared" si="300"/>
        <v/>
      </c>
      <c r="E301" s="41" t="str">
        <f t="shared" si="300"/>
        <v/>
      </c>
      <c r="F301" s="41" t="str">
        <f t="shared" si="300"/>
        <v/>
      </c>
      <c r="G301" s="41" t="str">
        <f t="shared" si="300"/>
        <v/>
      </c>
      <c r="H301" s="41" t="str">
        <f t="shared" si="300"/>
        <v/>
      </c>
      <c r="I301" s="41" t="str">
        <f t="shared" si="300"/>
        <v/>
      </c>
      <c r="J301" s="41" t="str">
        <f t="shared" si="300"/>
        <v/>
      </c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67.5" customHeight="1">
      <c r="A302" s="39"/>
      <c r="B302" s="43" t="str">
        <f>IFERROR(__xludf.DUMMYFUNCTION("IFERROR(
  LET(
    periodos, C$1:Z$1,
    marcas, C302:Z302,
    pos, MAX(
          FILTER(
            COLUMN(marcas)-COLUMN(C302)+1,
            marcas=""X""
          )
        ),
    ultimo, INDEX(periodos, pos),
    XLOOKUP(
      $A302,
      INDI"&amp;"RECT(""'""&amp;ultimo&amp;""'!C:C""),
      INDIRECT(""'""&amp;ultimo&amp;""'!A:A"")
    )
  ),
  """"
)"),"")</f>
        <v/>
      </c>
      <c r="C302" s="41" t="str">
        <f t="shared" ref="C302:J302" si="301">IF(
  COUNTIF(
    INDIRECT("'"&amp;C$1&amp;"'!C:C"),
    $A302
  )&gt;0,
  "X",
  ""
)</f>
        <v/>
      </c>
      <c r="D302" s="41" t="str">
        <f t="shared" si="301"/>
        <v/>
      </c>
      <c r="E302" s="41" t="str">
        <f t="shared" si="301"/>
        <v/>
      </c>
      <c r="F302" s="41" t="str">
        <f t="shared" si="301"/>
        <v/>
      </c>
      <c r="G302" s="41" t="str">
        <f t="shared" si="301"/>
        <v/>
      </c>
      <c r="H302" s="41" t="str">
        <f t="shared" si="301"/>
        <v/>
      </c>
      <c r="I302" s="41" t="str">
        <f t="shared" si="301"/>
        <v/>
      </c>
      <c r="J302" s="41" t="str">
        <f t="shared" si="301"/>
        <v/>
      </c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67.5" customHeight="1">
      <c r="A303" s="39"/>
      <c r="B303" s="43" t="str">
        <f>IFERROR(__xludf.DUMMYFUNCTION("IFERROR(
  LET(
    periodos, C$1:Z$1,
    marcas, C303:Z303,
    pos, MAX(
          FILTER(
            COLUMN(marcas)-COLUMN(C303)+1,
            marcas=""X""
          )
        ),
    ultimo, INDEX(periodos, pos),
    XLOOKUP(
      $A303,
      INDI"&amp;"RECT(""'""&amp;ultimo&amp;""'!C:C""),
      INDIRECT(""'""&amp;ultimo&amp;""'!A:A"")
    )
  ),
  """"
)"),"")</f>
        <v/>
      </c>
      <c r="C303" s="41" t="str">
        <f t="shared" ref="C303:J303" si="302">IF(
  COUNTIF(
    INDIRECT("'"&amp;C$1&amp;"'!C:C"),
    $A303
  )&gt;0,
  "X",
  ""
)</f>
        <v/>
      </c>
      <c r="D303" s="41" t="str">
        <f t="shared" si="302"/>
        <v/>
      </c>
      <c r="E303" s="41" t="str">
        <f t="shared" si="302"/>
        <v/>
      </c>
      <c r="F303" s="41" t="str">
        <f t="shared" si="302"/>
        <v/>
      </c>
      <c r="G303" s="41" t="str">
        <f t="shared" si="302"/>
        <v/>
      </c>
      <c r="H303" s="41" t="str">
        <f t="shared" si="302"/>
        <v/>
      </c>
      <c r="I303" s="41" t="str">
        <f t="shared" si="302"/>
        <v/>
      </c>
      <c r="J303" s="41" t="str">
        <f t="shared" si="302"/>
        <v/>
      </c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67.5" customHeight="1">
      <c r="A304" s="39"/>
      <c r="B304" s="43" t="str">
        <f>IFERROR(__xludf.DUMMYFUNCTION("IFERROR(
  LET(
    periodos, C$1:Z$1,
    marcas, C304:Z304,
    pos, MAX(
          FILTER(
            COLUMN(marcas)-COLUMN(C304)+1,
            marcas=""X""
          )
        ),
    ultimo, INDEX(periodos, pos),
    XLOOKUP(
      $A304,
      INDI"&amp;"RECT(""'""&amp;ultimo&amp;""'!C:C""),
      INDIRECT(""'""&amp;ultimo&amp;""'!A:A"")
    )
  ),
  """"
)"),"")</f>
        <v/>
      </c>
      <c r="C304" s="41" t="str">
        <f t="shared" ref="C304:J304" si="303">IF(
  COUNTIF(
    INDIRECT("'"&amp;C$1&amp;"'!C:C"),
    $A304
  )&gt;0,
  "X",
  ""
)</f>
        <v/>
      </c>
      <c r="D304" s="41" t="str">
        <f t="shared" si="303"/>
        <v/>
      </c>
      <c r="E304" s="41" t="str">
        <f t="shared" si="303"/>
        <v/>
      </c>
      <c r="F304" s="41" t="str">
        <f t="shared" si="303"/>
        <v/>
      </c>
      <c r="G304" s="41" t="str">
        <f t="shared" si="303"/>
        <v/>
      </c>
      <c r="H304" s="41" t="str">
        <f t="shared" si="303"/>
        <v/>
      </c>
      <c r="I304" s="41" t="str">
        <f t="shared" si="303"/>
        <v/>
      </c>
      <c r="J304" s="41" t="str">
        <f t="shared" si="303"/>
        <v/>
      </c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67.5" customHeight="1">
      <c r="A305" s="39"/>
      <c r="B305" s="43" t="str">
        <f>IFERROR(__xludf.DUMMYFUNCTION("IFERROR(
  LET(
    periodos, C$1:Z$1,
    marcas, C305:Z305,
    pos, MAX(
          FILTER(
            COLUMN(marcas)-COLUMN(C305)+1,
            marcas=""X""
          )
        ),
    ultimo, INDEX(periodos, pos),
    XLOOKUP(
      $A305,
      INDI"&amp;"RECT(""'""&amp;ultimo&amp;""'!C:C""),
      INDIRECT(""'""&amp;ultimo&amp;""'!A:A"")
    )
  ),
  """"
)"),"")</f>
        <v/>
      </c>
      <c r="C305" s="41" t="str">
        <f t="shared" ref="C305:J305" si="304">IF(
  COUNTIF(
    INDIRECT("'"&amp;C$1&amp;"'!C:C"),
    $A305
  )&gt;0,
  "X",
  ""
)</f>
        <v/>
      </c>
      <c r="D305" s="41" t="str">
        <f t="shared" si="304"/>
        <v/>
      </c>
      <c r="E305" s="41" t="str">
        <f t="shared" si="304"/>
        <v/>
      </c>
      <c r="F305" s="41" t="str">
        <f t="shared" si="304"/>
        <v/>
      </c>
      <c r="G305" s="41" t="str">
        <f t="shared" si="304"/>
        <v/>
      </c>
      <c r="H305" s="41" t="str">
        <f t="shared" si="304"/>
        <v/>
      </c>
      <c r="I305" s="41" t="str">
        <f t="shared" si="304"/>
        <v/>
      </c>
      <c r="J305" s="41" t="str">
        <f t="shared" si="304"/>
        <v/>
      </c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67.5" customHeight="1">
      <c r="A306" s="39"/>
      <c r="B306" s="43" t="str">
        <f>IFERROR(__xludf.DUMMYFUNCTION("IFERROR(
  LET(
    periodos, C$1:Z$1,
    marcas, C306:Z306,
    pos, MAX(
          FILTER(
            COLUMN(marcas)-COLUMN(C306)+1,
            marcas=""X""
          )
        ),
    ultimo, INDEX(periodos, pos),
    XLOOKUP(
      $A306,
      INDI"&amp;"RECT(""'""&amp;ultimo&amp;""'!C:C""),
      INDIRECT(""'""&amp;ultimo&amp;""'!A:A"")
    )
  ),
  """"
)"),"")</f>
        <v/>
      </c>
      <c r="C306" s="41" t="str">
        <f t="shared" ref="C306:J306" si="305">IF(
  COUNTIF(
    INDIRECT("'"&amp;C$1&amp;"'!C:C"),
    $A306
  )&gt;0,
  "X",
  ""
)</f>
        <v/>
      </c>
      <c r="D306" s="41" t="str">
        <f t="shared" si="305"/>
        <v/>
      </c>
      <c r="E306" s="41" t="str">
        <f t="shared" si="305"/>
        <v/>
      </c>
      <c r="F306" s="41" t="str">
        <f t="shared" si="305"/>
        <v/>
      </c>
      <c r="G306" s="41" t="str">
        <f t="shared" si="305"/>
        <v/>
      </c>
      <c r="H306" s="41" t="str">
        <f t="shared" si="305"/>
        <v/>
      </c>
      <c r="I306" s="41" t="str">
        <f t="shared" si="305"/>
        <v/>
      </c>
      <c r="J306" s="41" t="str">
        <f t="shared" si="305"/>
        <v/>
      </c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67.5" customHeight="1">
      <c r="A307" s="39"/>
      <c r="B307" s="43" t="str">
        <f>IFERROR(__xludf.DUMMYFUNCTION("IFERROR(
  LET(
    periodos, C$1:Z$1,
    marcas, C307:Z307,
    pos, MAX(
          FILTER(
            COLUMN(marcas)-COLUMN(C307)+1,
            marcas=""X""
          )
        ),
    ultimo, INDEX(periodos, pos),
    XLOOKUP(
      $A307,
      INDI"&amp;"RECT(""'""&amp;ultimo&amp;""'!C:C""),
      INDIRECT(""'""&amp;ultimo&amp;""'!A:A"")
    )
  ),
  """"
)"),"")</f>
        <v/>
      </c>
      <c r="C307" s="41" t="str">
        <f t="shared" ref="C307:J307" si="306">IF(
  COUNTIF(
    INDIRECT("'"&amp;C$1&amp;"'!C:C"),
    $A307
  )&gt;0,
  "X",
  ""
)</f>
        <v/>
      </c>
      <c r="D307" s="41" t="str">
        <f t="shared" si="306"/>
        <v/>
      </c>
      <c r="E307" s="41" t="str">
        <f t="shared" si="306"/>
        <v/>
      </c>
      <c r="F307" s="41" t="str">
        <f t="shared" si="306"/>
        <v/>
      </c>
      <c r="G307" s="41" t="str">
        <f t="shared" si="306"/>
        <v/>
      </c>
      <c r="H307" s="41" t="str">
        <f t="shared" si="306"/>
        <v/>
      </c>
      <c r="I307" s="41" t="str">
        <f t="shared" si="306"/>
        <v/>
      </c>
      <c r="J307" s="41" t="str">
        <f t="shared" si="306"/>
        <v/>
      </c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67.5" customHeight="1">
      <c r="A308" s="39"/>
      <c r="B308" s="43" t="str">
        <f>IFERROR(__xludf.DUMMYFUNCTION("IFERROR(
  LET(
    periodos, C$1:Z$1,
    marcas, C308:Z308,
    pos, MAX(
          FILTER(
            COLUMN(marcas)-COLUMN(C308)+1,
            marcas=""X""
          )
        ),
    ultimo, INDEX(periodos, pos),
    XLOOKUP(
      $A308,
      INDI"&amp;"RECT(""'""&amp;ultimo&amp;""'!C:C""),
      INDIRECT(""'""&amp;ultimo&amp;""'!A:A"")
    )
  ),
  """"
)"),"")</f>
        <v/>
      </c>
      <c r="C308" s="41" t="str">
        <f t="shared" ref="C308:J308" si="307">IF(
  COUNTIF(
    INDIRECT("'"&amp;C$1&amp;"'!C:C"),
    $A308
  )&gt;0,
  "X",
  ""
)</f>
        <v/>
      </c>
      <c r="D308" s="41" t="str">
        <f t="shared" si="307"/>
        <v/>
      </c>
      <c r="E308" s="41" t="str">
        <f t="shared" si="307"/>
        <v/>
      </c>
      <c r="F308" s="41" t="str">
        <f t="shared" si="307"/>
        <v/>
      </c>
      <c r="G308" s="41" t="str">
        <f t="shared" si="307"/>
        <v/>
      </c>
      <c r="H308" s="41" t="str">
        <f t="shared" si="307"/>
        <v/>
      </c>
      <c r="I308" s="41" t="str">
        <f t="shared" si="307"/>
        <v/>
      </c>
      <c r="J308" s="41" t="str">
        <f t="shared" si="307"/>
        <v/>
      </c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67.5" customHeight="1">
      <c r="A309" s="39"/>
      <c r="B309" s="43" t="str">
        <f>IFERROR(__xludf.DUMMYFUNCTION("IFERROR(
  LET(
    periodos, C$1:Z$1,
    marcas, C309:Z309,
    pos, MAX(
          FILTER(
            COLUMN(marcas)-COLUMN(C309)+1,
            marcas=""X""
          )
        ),
    ultimo, INDEX(periodos, pos),
    XLOOKUP(
      $A309,
      INDI"&amp;"RECT(""'""&amp;ultimo&amp;""'!C:C""),
      INDIRECT(""'""&amp;ultimo&amp;""'!A:A"")
    )
  ),
  """"
)"),"")</f>
        <v/>
      </c>
      <c r="C309" s="41" t="str">
        <f t="shared" ref="C309:J309" si="308">IF(
  COUNTIF(
    INDIRECT("'"&amp;C$1&amp;"'!C:C"),
    $A309
  )&gt;0,
  "X",
  ""
)</f>
        <v/>
      </c>
      <c r="D309" s="41" t="str">
        <f t="shared" si="308"/>
        <v/>
      </c>
      <c r="E309" s="41" t="str">
        <f t="shared" si="308"/>
        <v/>
      </c>
      <c r="F309" s="41" t="str">
        <f t="shared" si="308"/>
        <v/>
      </c>
      <c r="G309" s="41" t="str">
        <f t="shared" si="308"/>
        <v/>
      </c>
      <c r="H309" s="41" t="str">
        <f t="shared" si="308"/>
        <v/>
      </c>
      <c r="I309" s="41" t="str">
        <f t="shared" si="308"/>
        <v/>
      </c>
      <c r="J309" s="41" t="str">
        <f t="shared" si="308"/>
        <v/>
      </c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67.5" customHeight="1">
      <c r="A310" s="39"/>
      <c r="B310" s="43" t="str">
        <f>IFERROR(__xludf.DUMMYFUNCTION("IFERROR(
  LET(
    periodos, C$1:Z$1,
    marcas, C310:Z310,
    pos, MAX(
          FILTER(
            COLUMN(marcas)-COLUMN(C310)+1,
            marcas=""X""
          )
        ),
    ultimo, INDEX(periodos, pos),
    XLOOKUP(
      $A310,
      INDI"&amp;"RECT(""'""&amp;ultimo&amp;""'!C:C""),
      INDIRECT(""'""&amp;ultimo&amp;""'!A:A"")
    )
  ),
  """"
)"),"")</f>
        <v/>
      </c>
      <c r="C310" s="41" t="str">
        <f t="shared" ref="C310:J310" si="309">IF(
  COUNTIF(
    INDIRECT("'"&amp;C$1&amp;"'!C:C"),
    $A310
  )&gt;0,
  "X",
  ""
)</f>
        <v/>
      </c>
      <c r="D310" s="41" t="str">
        <f t="shared" si="309"/>
        <v/>
      </c>
      <c r="E310" s="41" t="str">
        <f t="shared" si="309"/>
        <v/>
      </c>
      <c r="F310" s="41" t="str">
        <f t="shared" si="309"/>
        <v/>
      </c>
      <c r="G310" s="41" t="str">
        <f t="shared" si="309"/>
        <v/>
      </c>
      <c r="H310" s="41" t="str">
        <f t="shared" si="309"/>
        <v/>
      </c>
      <c r="I310" s="41" t="str">
        <f t="shared" si="309"/>
        <v/>
      </c>
      <c r="J310" s="41" t="str">
        <f t="shared" si="309"/>
        <v/>
      </c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67.5" customHeight="1">
      <c r="A311" s="39"/>
      <c r="B311" s="43" t="str">
        <f>IFERROR(__xludf.DUMMYFUNCTION("IFERROR(
  LET(
    periodos, C$1:Z$1,
    marcas, C311:Z311,
    pos, MAX(
          FILTER(
            COLUMN(marcas)-COLUMN(C311)+1,
            marcas=""X""
          )
        ),
    ultimo, INDEX(periodos, pos),
    XLOOKUP(
      $A311,
      INDI"&amp;"RECT(""'""&amp;ultimo&amp;""'!C:C""),
      INDIRECT(""'""&amp;ultimo&amp;""'!A:A"")
    )
  ),
  """"
)"),"")</f>
        <v/>
      </c>
      <c r="C311" s="41" t="str">
        <f t="shared" ref="C311:J311" si="310">IF(
  COUNTIF(
    INDIRECT("'"&amp;C$1&amp;"'!C:C"),
    $A311
  )&gt;0,
  "X",
  ""
)</f>
        <v/>
      </c>
      <c r="D311" s="41" t="str">
        <f t="shared" si="310"/>
        <v/>
      </c>
      <c r="E311" s="41" t="str">
        <f t="shared" si="310"/>
        <v/>
      </c>
      <c r="F311" s="41" t="str">
        <f t="shared" si="310"/>
        <v/>
      </c>
      <c r="G311" s="41" t="str">
        <f t="shared" si="310"/>
        <v/>
      </c>
      <c r="H311" s="41" t="str">
        <f t="shared" si="310"/>
        <v/>
      </c>
      <c r="I311" s="41" t="str">
        <f t="shared" si="310"/>
        <v/>
      </c>
      <c r="J311" s="41" t="str">
        <f t="shared" si="310"/>
        <v/>
      </c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67.5" customHeight="1">
      <c r="A312" s="39"/>
      <c r="B312" s="43" t="str">
        <f>IFERROR(__xludf.DUMMYFUNCTION("IFERROR(
  LET(
    periodos, C$1:Z$1,
    marcas, C312:Z312,
    pos, MAX(
          FILTER(
            COLUMN(marcas)-COLUMN(C312)+1,
            marcas=""X""
          )
        ),
    ultimo, INDEX(periodos, pos),
    XLOOKUP(
      $A312,
      INDI"&amp;"RECT(""'""&amp;ultimo&amp;""'!C:C""),
      INDIRECT(""'""&amp;ultimo&amp;""'!A:A"")
    )
  ),
  """"
)"),"")</f>
        <v/>
      </c>
      <c r="C312" s="41" t="str">
        <f t="shared" ref="C312:J312" si="311">IF(
  COUNTIF(
    INDIRECT("'"&amp;C$1&amp;"'!C:C"),
    $A312
  )&gt;0,
  "X",
  ""
)</f>
        <v/>
      </c>
      <c r="D312" s="41" t="str">
        <f t="shared" si="311"/>
        <v/>
      </c>
      <c r="E312" s="41" t="str">
        <f t="shared" si="311"/>
        <v/>
      </c>
      <c r="F312" s="41" t="str">
        <f t="shared" si="311"/>
        <v/>
      </c>
      <c r="G312" s="41" t="str">
        <f t="shared" si="311"/>
        <v/>
      </c>
      <c r="H312" s="41" t="str">
        <f t="shared" si="311"/>
        <v/>
      </c>
      <c r="I312" s="41" t="str">
        <f t="shared" si="311"/>
        <v/>
      </c>
      <c r="J312" s="41" t="str">
        <f t="shared" si="311"/>
        <v/>
      </c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67.5" customHeight="1">
      <c r="A313" s="39"/>
      <c r="B313" s="43" t="str">
        <f>IFERROR(__xludf.DUMMYFUNCTION("IFERROR(
  LET(
    periodos, C$1:Z$1,
    marcas, C313:Z313,
    pos, MAX(
          FILTER(
            COLUMN(marcas)-COLUMN(C313)+1,
            marcas=""X""
          )
        ),
    ultimo, INDEX(periodos, pos),
    XLOOKUP(
      $A313,
      INDI"&amp;"RECT(""'""&amp;ultimo&amp;""'!C:C""),
      INDIRECT(""'""&amp;ultimo&amp;""'!A:A"")
    )
  ),
  """"
)"),"")</f>
        <v/>
      </c>
      <c r="C313" s="41" t="str">
        <f t="shared" ref="C313:J313" si="312">IF(
  COUNTIF(
    INDIRECT("'"&amp;C$1&amp;"'!C:C"),
    $A313
  )&gt;0,
  "X",
  ""
)</f>
        <v/>
      </c>
      <c r="D313" s="41" t="str">
        <f t="shared" si="312"/>
        <v/>
      </c>
      <c r="E313" s="41" t="str">
        <f t="shared" si="312"/>
        <v/>
      </c>
      <c r="F313" s="41" t="str">
        <f t="shared" si="312"/>
        <v/>
      </c>
      <c r="G313" s="41" t="str">
        <f t="shared" si="312"/>
        <v/>
      </c>
      <c r="H313" s="41" t="str">
        <f t="shared" si="312"/>
        <v/>
      </c>
      <c r="I313" s="41" t="str">
        <f t="shared" si="312"/>
        <v/>
      </c>
      <c r="J313" s="41" t="str">
        <f t="shared" si="312"/>
        <v/>
      </c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67.5" customHeight="1">
      <c r="A314" s="39"/>
      <c r="B314" s="43" t="str">
        <f>IFERROR(__xludf.DUMMYFUNCTION("IFERROR(
  LET(
    periodos, C$1:Z$1,
    marcas, C314:Z314,
    pos, MAX(
          FILTER(
            COLUMN(marcas)-COLUMN(C314)+1,
            marcas=""X""
          )
        ),
    ultimo, INDEX(periodos, pos),
    XLOOKUP(
      $A314,
      INDI"&amp;"RECT(""'""&amp;ultimo&amp;""'!C:C""),
      INDIRECT(""'""&amp;ultimo&amp;""'!A:A"")
    )
  ),
  """"
)"),"")</f>
        <v/>
      </c>
      <c r="C314" s="41" t="str">
        <f t="shared" ref="C314:J314" si="313">IF(
  COUNTIF(
    INDIRECT("'"&amp;C$1&amp;"'!C:C"),
    $A314
  )&gt;0,
  "X",
  ""
)</f>
        <v/>
      </c>
      <c r="D314" s="41" t="str">
        <f t="shared" si="313"/>
        <v/>
      </c>
      <c r="E314" s="41" t="str">
        <f t="shared" si="313"/>
        <v/>
      </c>
      <c r="F314" s="41" t="str">
        <f t="shared" si="313"/>
        <v/>
      </c>
      <c r="G314" s="41" t="str">
        <f t="shared" si="313"/>
        <v/>
      </c>
      <c r="H314" s="41" t="str">
        <f t="shared" si="313"/>
        <v/>
      </c>
      <c r="I314" s="41" t="str">
        <f t="shared" si="313"/>
        <v/>
      </c>
      <c r="J314" s="41" t="str">
        <f t="shared" si="313"/>
        <v/>
      </c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67.5" customHeight="1">
      <c r="A315" s="39"/>
      <c r="B315" s="43" t="str">
        <f>IFERROR(__xludf.DUMMYFUNCTION("IFERROR(
  LET(
    periodos, C$1:Z$1,
    marcas, C315:Z315,
    pos, MAX(
          FILTER(
            COLUMN(marcas)-COLUMN(C315)+1,
            marcas=""X""
          )
        ),
    ultimo, INDEX(periodos, pos),
    XLOOKUP(
      $A315,
      INDI"&amp;"RECT(""'""&amp;ultimo&amp;""'!C:C""),
      INDIRECT(""'""&amp;ultimo&amp;""'!A:A"")
    )
  ),
  """"
)"),"")</f>
        <v/>
      </c>
      <c r="C315" s="41" t="str">
        <f t="shared" ref="C315:J315" si="314">IF(
  COUNTIF(
    INDIRECT("'"&amp;C$1&amp;"'!C:C"),
    $A315
  )&gt;0,
  "X",
  ""
)</f>
        <v/>
      </c>
      <c r="D315" s="41" t="str">
        <f t="shared" si="314"/>
        <v/>
      </c>
      <c r="E315" s="41" t="str">
        <f t="shared" si="314"/>
        <v/>
      </c>
      <c r="F315" s="41" t="str">
        <f t="shared" si="314"/>
        <v/>
      </c>
      <c r="G315" s="41" t="str">
        <f t="shared" si="314"/>
        <v/>
      </c>
      <c r="H315" s="41" t="str">
        <f t="shared" si="314"/>
        <v/>
      </c>
      <c r="I315" s="41" t="str">
        <f t="shared" si="314"/>
        <v/>
      </c>
      <c r="J315" s="41" t="str">
        <f t="shared" si="314"/>
        <v/>
      </c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67.5" customHeight="1">
      <c r="A316" s="39"/>
      <c r="B316" s="43" t="str">
        <f>IFERROR(__xludf.DUMMYFUNCTION("IFERROR(
  LET(
    periodos, C$1:Z$1,
    marcas, C316:Z316,
    pos, MAX(
          FILTER(
            COLUMN(marcas)-COLUMN(C316)+1,
            marcas=""X""
          )
        ),
    ultimo, INDEX(periodos, pos),
    XLOOKUP(
      $A316,
      INDI"&amp;"RECT(""'""&amp;ultimo&amp;""'!C:C""),
      INDIRECT(""'""&amp;ultimo&amp;""'!A:A"")
    )
  ),
  """"
)"),"")</f>
        <v/>
      </c>
      <c r="C316" s="41" t="str">
        <f t="shared" ref="C316:J316" si="315">IF(
  COUNTIF(
    INDIRECT("'"&amp;C$1&amp;"'!C:C"),
    $A316
  )&gt;0,
  "X",
  ""
)</f>
        <v/>
      </c>
      <c r="D316" s="41" t="str">
        <f t="shared" si="315"/>
        <v/>
      </c>
      <c r="E316" s="41" t="str">
        <f t="shared" si="315"/>
        <v/>
      </c>
      <c r="F316" s="41" t="str">
        <f t="shared" si="315"/>
        <v/>
      </c>
      <c r="G316" s="41" t="str">
        <f t="shared" si="315"/>
        <v/>
      </c>
      <c r="H316" s="41" t="str">
        <f t="shared" si="315"/>
        <v/>
      </c>
      <c r="I316" s="41" t="str">
        <f t="shared" si="315"/>
        <v/>
      </c>
      <c r="J316" s="41" t="str">
        <f t="shared" si="315"/>
        <v/>
      </c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67.5" customHeight="1">
      <c r="A317" s="39"/>
      <c r="B317" s="43" t="str">
        <f>IFERROR(__xludf.DUMMYFUNCTION("IFERROR(
  LET(
    periodos, C$1:Z$1,
    marcas, C317:Z317,
    pos, MAX(
          FILTER(
            COLUMN(marcas)-COLUMN(C317)+1,
            marcas=""X""
          )
        ),
    ultimo, INDEX(periodos, pos),
    XLOOKUP(
      $A317,
      INDI"&amp;"RECT(""'""&amp;ultimo&amp;""'!C:C""),
      INDIRECT(""'""&amp;ultimo&amp;""'!A:A"")
    )
  ),
  """"
)"),"")</f>
        <v/>
      </c>
      <c r="C317" s="41" t="str">
        <f t="shared" ref="C317:J317" si="316">IF(
  COUNTIF(
    INDIRECT("'"&amp;C$1&amp;"'!C:C"),
    $A317
  )&gt;0,
  "X",
  ""
)</f>
        <v/>
      </c>
      <c r="D317" s="41" t="str">
        <f t="shared" si="316"/>
        <v/>
      </c>
      <c r="E317" s="41" t="str">
        <f t="shared" si="316"/>
        <v/>
      </c>
      <c r="F317" s="41" t="str">
        <f t="shared" si="316"/>
        <v/>
      </c>
      <c r="G317" s="41" t="str">
        <f t="shared" si="316"/>
        <v/>
      </c>
      <c r="H317" s="41" t="str">
        <f t="shared" si="316"/>
        <v/>
      </c>
      <c r="I317" s="41" t="str">
        <f t="shared" si="316"/>
        <v/>
      </c>
      <c r="J317" s="41" t="str">
        <f t="shared" si="316"/>
        <v/>
      </c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67.5" customHeight="1">
      <c r="A318" s="39"/>
      <c r="B318" s="43" t="str">
        <f>IFERROR(__xludf.DUMMYFUNCTION("IFERROR(
  LET(
    periodos, C$1:Z$1,
    marcas, C318:Z318,
    pos, MAX(
          FILTER(
            COLUMN(marcas)-COLUMN(C318)+1,
            marcas=""X""
          )
        ),
    ultimo, INDEX(periodos, pos),
    XLOOKUP(
      $A318,
      INDI"&amp;"RECT(""'""&amp;ultimo&amp;""'!C:C""),
      INDIRECT(""'""&amp;ultimo&amp;""'!A:A"")
    )
  ),
  """"
)"),"")</f>
        <v/>
      </c>
      <c r="C318" s="41" t="str">
        <f t="shared" ref="C318:J318" si="317">IF(
  COUNTIF(
    INDIRECT("'"&amp;C$1&amp;"'!C:C"),
    $A318
  )&gt;0,
  "X",
  ""
)</f>
        <v/>
      </c>
      <c r="D318" s="41" t="str">
        <f t="shared" si="317"/>
        <v/>
      </c>
      <c r="E318" s="41" t="str">
        <f t="shared" si="317"/>
        <v/>
      </c>
      <c r="F318" s="41" t="str">
        <f t="shared" si="317"/>
        <v/>
      </c>
      <c r="G318" s="41" t="str">
        <f t="shared" si="317"/>
        <v/>
      </c>
      <c r="H318" s="41" t="str">
        <f t="shared" si="317"/>
        <v/>
      </c>
      <c r="I318" s="41" t="str">
        <f t="shared" si="317"/>
        <v/>
      </c>
      <c r="J318" s="41" t="str">
        <f t="shared" si="317"/>
        <v/>
      </c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67.5" customHeight="1">
      <c r="A319" s="39"/>
      <c r="B319" s="43" t="str">
        <f>IFERROR(__xludf.DUMMYFUNCTION("IFERROR(
  LET(
    periodos, C$1:Z$1,
    marcas, C319:Z319,
    pos, MAX(
          FILTER(
            COLUMN(marcas)-COLUMN(C319)+1,
            marcas=""X""
          )
        ),
    ultimo, INDEX(periodos, pos),
    XLOOKUP(
      $A319,
      INDI"&amp;"RECT(""'""&amp;ultimo&amp;""'!C:C""),
      INDIRECT(""'""&amp;ultimo&amp;""'!A:A"")
    )
  ),
  """"
)"),"")</f>
        <v/>
      </c>
      <c r="C319" s="41" t="str">
        <f t="shared" ref="C319:J319" si="318">IF(
  COUNTIF(
    INDIRECT("'"&amp;C$1&amp;"'!C:C"),
    $A319
  )&gt;0,
  "X",
  ""
)</f>
        <v/>
      </c>
      <c r="D319" s="41" t="str">
        <f t="shared" si="318"/>
        <v/>
      </c>
      <c r="E319" s="41" t="str">
        <f t="shared" si="318"/>
        <v/>
      </c>
      <c r="F319" s="41" t="str">
        <f t="shared" si="318"/>
        <v/>
      </c>
      <c r="G319" s="41" t="str">
        <f t="shared" si="318"/>
        <v/>
      </c>
      <c r="H319" s="41" t="str">
        <f t="shared" si="318"/>
        <v/>
      </c>
      <c r="I319" s="41" t="str">
        <f t="shared" si="318"/>
        <v/>
      </c>
      <c r="J319" s="41" t="str">
        <f t="shared" si="318"/>
        <v/>
      </c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67.5" customHeight="1">
      <c r="A320" s="39"/>
      <c r="B320" s="43" t="str">
        <f>IFERROR(__xludf.DUMMYFUNCTION("IFERROR(
  LET(
    periodos, C$1:Z$1,
    marcas, C320:Z320,
    pos, MAX(
          FILTER(
            COLUMN(marcas)-COLUMN(C320)+1,
            marcas=""X""
          )
        ),
    ultimo, INDEX(periodos, pos),
    XLOOKUP(
      $A320,
      INDI"&amp;"RECT(""'""&amp;ultimo&amp;""'!C:C""),
      INDIRECT(""'""&amp;ultimo&amp;""'!A:A"")
    )
  ),
  """"
)"),"")</f>
        <v/>
      </c>
      <c r="C320" s="41" t="str">
        <f t="shared" ref="C320:J320" si="319">IF(
  COUNTIF(
    INDIRECT("'"&amp;C$1&amp;"'!C:C"),
    $A320
  )&gt;0,
  "X",
  ""
)</f>
        <v/>
      </c>
      <c r="D320" s="41" t="str">
        <f t="shared" si="319"/>
        <v/>
      </c>
      <c r="E320" s="41" t="str">
        <f t="shared" si="319"/>
        <v/>
      </c>
      <c r="F320" s="41" t="str">
        <f t="shared" si="319"/>
        <v/>
      </c>
      <c r="G320" s="41" t="str">
        <f t="shared" si="319"/>
        <v/>
      </c>
      <c r="H320" s="41" t="str">
        <f t="shared" si="319"/>
        <v/>
      </c>
      <c r="I320" s="41" t="str">
        <f t="shared" si="319"/>
        <v/>
      </c>
      <c r="J320" s="41" t="str">
        <f t="shared" si="319"/>
        <v/>
      </c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67.5" customHeight="1">
      <c r="A321" s="39"/>
      <c r="B321" s="43" t="str">
        <f>IFERROR(__xludf.DUMMYFUNCTION("IFERROR(
  LET(
    periodos, C$1:Z$1,
    marcas, C321:Z321,
    pos, MAX(
          FILTER(
            COLUMN(marcas)-COLUMN(C321)+1,
            marcas=""X""
          )
        ),
    ultimo, INDEX(periodos, pos),
    XLOOKUP(
      $A321,
      INDI"&amp;"RECT(""'""&amp;ultimo&amp;""'!C:C""),
      INDIRECT(""'""&amp;ultimo&amp;""'!A:A"")
    )
  ),
  """"
)"),"")</f>
        <v/>
      </c>
      <c r="C321" s="41" t="str">
        <f t="shared" ref="C321:J321" si="320">IF(
  COUNTIF(
    INDIRECT("'"&amp;C$1&amp;"'!C:C"),
    $A321
  )&gt;0,
  "X",
  ""
)</f>
        <v/>
      </c>
      <c r="D321" s="41" t="str">
        <f t="shared" si="320"/>
        <v/>
      </c>
      <c r="E321" s="41" t="str">
        <f t="shared" si="320"/>
        <v/>
      </c>
      <c r="F321" s="41" t="str">
        <f t="shared" si="320"/>
        <v/>
      </c>
      <c r="G321" s="41" t="str">
        <f t="shared" si="320"/>
        <v/>
      </c>
      <c r="H321" s="41" t="str">
        <f t="shared" si="320"/>
        <v/>
      </c>
      <c r="I321" s="41" t="str">
        <f t="shared" si="320"/>
        <v/>
      </c>
      <c r="J321" s="41" t="str">
        <f t="shared" si="320"/>
        <v/>
      </c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67.5" customHeight="1">
      <c r="A322" s="39"/>
      <c r="B322" s="43" t="str">
        <f>IFERROR(__xludf.DUMMYFUNCTION("IFERROR(
  LET(
    periodos, C$1:Z$1,
    marcas, C322:Z322,
    pos, MAX(
          FILTER(
            COLUMN(marcas)-COLUMN(C322)+1,
            marcas=""X""
          )
        ),
    ultimo, INDEX(periodos, pos),
    XLOOKUP(
      $A322,
      INDI"&amp;"RECT(""'""&amp;ultimo&amp;""'!C:C""),
      INDIRECT(""'""&amp;ultimo&amp;""'!A:A"")
    )
  ),
  """"
)"),"")</f>
        <v/>
      </c>
      <c r="C322" s="41" t="str">
        <f t="shared" ref="C322:J322" si="321">IF(
  COUNTIF(
    INDIRECT("'"&amp;C$1&amp;"'!C:C"),
    $A322
  )&gt;0,
  "X",
  ""
)</f>
        <v/>
      </c>
      <c r="D322" s="41" t="str">
        <f t="shared" si="321"/>
        <v/>
      </c>
      <c r="E322" s="41" t="str">
        <f t="shared" si="321"/>
        <v/>
      </c>
      <c r="F322" s="41" t="str">
        <f t="shared" si="321"/>
        <v/>
      </c>
      <c r="G322" s="41" t="str">
        <f t="shared" si="321"/>
        <v/>
      </c>
      <c r="H322" s="41" t="str">
        <f t="shared" si="321"/>
        <v/>
      </c>
      <c r="I322" s="41" t="str">
        <f t="shared" si="321"/>
        <v/>
      </c>
      <c r="J322" s="41" t="str">
        <f t="shared" si="321"/>
        <v/>
      </c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67.5" customHeight="1">
      <c r="A323" s="39"/>
      <c r="B323" s="43" t="str">
        <f>IFERROR(__xludf.DUMMYFUNCTION("IFERROR(
  LET(
    periodos, C$1:Z$1,
    marcas, C323:Z323,
    pos, MAX(
          FILTER(
            COLUMN(marcas)-COLUMN(C323)+1,
            marcas=""X""
          )
        ),
    ultimo, INDEX(periodos, pos),
    XLOOKUP(
      $A323,
      INDI"&amp;"RECT(""'""&amp;ultimo&amp;""'!C:C""),
      INDIRECT(""'""&amp;ultimo&amp;""'!A:A"")
    )
  ),
  """"
)"),"")</f>
        <v/>
      </c>
      <c r="C323" s="41" t="str">
        <f t="shared" ref="C323:J323" si="322">IF(
  COUNTIF(
    INDIRECT("'"&amp;C$1&amp;"'!C:C"),
    $A323
  )&gt;0,
  "X",
  ""
)</f>
        <v/>
      </c>
      <c r="D323" s="41" t="str">
        <f t="shared" si="322"/>
        <v/>
      </c>
      <c r="E323" s="41" t="str">
        <f t="shared" si="322"/>
        <v/>
      </c>
      <c r="F323" s="41" t="str">
        <f t="shared" si="322"/>
        <v/>
      </c>
      <c r="G323" s="41" t="str">
        <f t="shared" si="322"/>
        <v/>
      </c>
      <c r="H323" s="41" t="str">
        <f t="shared" si="322"/>
        <v/>
      </c>
      <c r="I323" s="41" t="str">
        <f t="shared" si="322"/>
        <v/>
      </c>
      <c r="J323" s="41" t="str">
        <f t="shared" si="322"/>
        <v/>
      </c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67.5" customHeight="1">
      <c r="A324" s="39"/>
      <c r="B324" s="43" t="str">
        <f>IFERROR(__xludf.DUMMYFUNCTION("IFERROR(
  LET(
    periodos, C$1:Z$1,
    marcas, C324:Z324,
    pos, MAX(
          FILTER(
            COLUMN(marcas)-COLUMN(C324)+1,
            marcas=""X""
          )
        ),
    ultimo, INDEX(periodos, pos),
    XLOOKUP(
      $A324,
      INDI"&amp;"RECT(""'""&amp;ultimo&amp;""'!C:C""),
      INDIRECT(""'""&amp;ultimo&amp;""'!A:A"")
    )
  ),
  """"
)"),"")</f>
        <v/>
      </c>
      <c r="C324" s="41" t="str">
        <f t="shared" ref="C324:J324" si="323">IF(
  COUNTIF(
    INDIRECT("'"&amp;C$1&amp;"'!C:C"),
    $A324
  )&gt;0,
  "X",
  ""
)</f>
        <v/>
      </c>
      <c r="D324" s="41" t="str">
        <f t="shared" si="323"/>
        <v/>
      </c>
      <c r="E324" s="41" t="str">
        <f t="shared" si="323"/>
        <v/>
      </c>
      <c r="F324" s="41" t="str">
        <f t="shared" si="323"/>
        <v/>
      </c>
      <c r="G324" s="41" t="str">
        <f t="shared" si="323"/>
        <v/>
      </c>
      <c r="H324" s="41" t="str">
        <f t="shared" si="323"/>
        <v/>
      </c>
      <c r="I324" s="41" t="str">
        <f t="shared" si="323"/>
        <v/>
      </c>
      <c r="J324" s="41" t="str">
        <f t="shared" si="323"/>
        <v/>
      </c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67.5" customHeight="1">
      <c r="A325" s="39"/>
      <c r="B325" s="43" t="str">
        <f>IFERROR(__xludf.DUMMYFUNCTION("IFERROR(
  LET(
    periodos, C$1:Z$1,
    marcas, C325:Z325,
    pos, MAX(
          FILTER(
            COLUMN(marcas)-COLUMN(C325)+1,
            marcas=""X""
          )
        ),
    ultimo, INDEX(periodos, pos),
    XLOOKUP(
      $A325,
      INDI"&amp;"RECT(""'""&amp;ultimo&amp;""'!C:C""),
      INDIRECT(""'""&amp;ultimo&amp;""'!A:A"")
    )
  ),
  """"
)"),"")</f>
        <v/>
      </c>
      <c r="C325" s="41" t="str">
        <f t="shared" ref="C325:J325" si="324">IF(
  COUNTIF(
    INDIRECT("'"&amp;C$1&amp;"'!C:C"),
    $A325
  )&gt;0,
  "X",
  ""
)</f>
        <v/>
      </c>
      <c r="D325" s="41" t="str">
        <f t="shared" si="324"/>
        <v/>
      </c>
      <c r="E325" s="41" t="str">
        <f t="shared" si="324"/>
        <v/>
      </c>
      <c r="F325" s="41" t="str">
        <f t="shared" si="324"/>
        <v/>
      </c>
      <c r="G325" s="41" t="str">
        <f t="shared" si="324"/>
        <v/>
      </c>
      <c r="H325" s="41" t="str">
        <f t="shared" si="324"/>
        <v/>
      </c>
      <c r="I325" s="41" t="str">
        <f t="shared" si="324"/>
        <v/>
      </c>
      <c r="J325" s="41" t="str">
        <f t="shared" si="324"/>
        <v/>
      </c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67.5" customHeight="1">
      <c r="A326" s="39"/>
      <c r="B326" s="43" t="str">
        <f>IFERROR(__xludf.DUMMYFUNCTION("IFERROR(
  LET(
    periodos, C$1:Z$1,
    marcas, C326:Z326,
    pos, MAX(
          FILTER(
            COLUMN(marcas)-COLUMN(C326)+1,
            marcas=""X""
          )
        ),
    ultimo, INDEX(periodos, pos),
    XLOOKUP(
      $A326,
      INDI"&amp;"RECT(""'""&amp;ultimo&amp;""'!C:C""),
      INDIRECT(""'""&amp;ultimo&amp;""'!A:A"")
    )
  ),
  """"
)"),"")</f>
        <v/>
      </c>
      <c r="C326" s="41" t="str">
        <f t="shared" ref="C326:J326" si="325">IF(
  COUNTIF(
    INDIRECT("'"&amp;C$1&amp;"'!C:C"),
    $A326
  )&gt;0,
  "X",
  ""
)</f>
        <v/>
      </c>
      <c r="D326" s="41" t="str">
        <f t="shared" si="325"/>
        <v/>
      </c>
      <c r="E326" s="41" t="str">
        <f t="shared" si="325"/>
        <v/>
      </c>
      <c r="F326" s="41" t="str">
        <f t="shared" si="325"/>
        <v/>
      </c>
      <c r="G326" s="41" t="str">
        <f t="shared" si="325"/>
        <v/>
      </c>
      <c r="H326" s="41" t="str">
        <f t="shared" si="325"/>
        <v/>
      </c>
      <c r="I326" s="41" t="str">
        <f t="shared" si="325"/>
        <v/>
      </c>
      <c r="J326" s="41" t="str">
        <f t="shared" si="325"/>
        <v/>
      </c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67.5" customHeight="1">
      <c r="A327" s="39"/>
      <c r="B327" s="43" t="str">
        <f>IFERROR(__xludf.DUMMYFUNCTION("IFERROR(
  LET(
    periodos, C$1:Z$1,
    marcas, C327:Z327,
    pos, MAX(
          FILTER(
            COLUMN(marcas)-COLUMN(C327)+1,
            marcas=""X""
          )
        ),
    ultimo, INDEX(periodos, pos),
    XLOOKUP(
      $A327,
      INDI"&amp;"RECT(""'""&amp;ultimo&amp;""'!C:C""),
      INDIRECT(""'""&amp;ultimo&amp;""'!A:A"")
    )
  ),
  """"
)"),"")</f>
        <v/>
      </c>
      <c r="C327" s="41" t="str">
        <f t="shared" ref="C327:J327" si="326">IF(
  COUNTIF(
    INDIRECT("'"&amp;C$1&amp;"'!C:C"),
    $A327
  )&gt;0,
  "X",
  ""
)</f>
        <v/>
      </c>
      <c r="D327" s="41" t="str">
        <f t="shared" si="326"/>
        <v/>
      </c>
      <c r="E327" s="41" t="str">
        <f t="shared" si="326"/>
        <v/>
      </c>
      <c r="F327" s="41" t="str">
        <f t="shared" si="326"/>
        <v/>
      </c>
      <c r="G327" s="41" t="str">
        <f t="shared" si="326"/>
        <v/>
      </c>
      <c r="H327" s="41" t="str">
        <f t="shared" si="326"/>
        <v/>
      </c>
      <c r="I327" s="41" t="str">
        <f t="shared" si="326"/>
        <v/>
      </c>
      <c r="J327" s="41" t="str">
        <f t="shared" si="326"/>
        <v/>
      </c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67.5" customHeight="1">
      <c r="A328" s="39"/>
      <c r="B328" s="43" t="str">
        <f>IFERROR(__xludf.DUMMYFUNCTION("IFERROR(
  LET(
    periodos, C$1:Z$1,
    marcas, C328:Z328,
    pos, MAX(
          FILTER(
            COLUMN(marcas)-COLUMN(C328)+1,
            marcas=""X""
          )
        ),
    ultimo, INDEX(periodos, pos),
    XLOOKUP(
      $A328,
      INDI"&amp;"RECT(""'""&amp;ultimo&amp;""'!C:C""),
      INDIRECT(""'""&amp;ultimo&amp;""'!A:A"")
    )
  ),
  """"
)"),"")</f>
        <v/>
      </c>
      <c r="C328" s="41" t="str">
        <f t="shared" ref="C328:J328" si="327">IF(
  COUNTIF(
    INDIRECT("'"&amp;C$1&amp;"'!C:C"),
    $A328
  )&gt;0,
  "X",
  ""
)</f>
        <v/>
      </c>
      <c r="D328" s="41" t="str">
        <f t="shared" si="327"/>
        <v/>
      </c>
      <c r="E328" s="41" t="str">
        <f t="shared" si="327"/>
        <v/>
      </c>
      <c r="F328" s="41" t="str">
        <f t="shared" si="327"/>
        <v/>
      </c>
      <c r="G328" s="41" t="str">
        <f t="shared" si="327"/>
        <v/>
      </c>
      <c r="H328" s="41" t="str">
        <f t="shared" si="327"/>
        <v/>
      </c>
      <c r="I328" s="41" t="str">
        <f t="shared" si="327"/>
        <v/>
      </c>
      <c r="J328" s="41" t="str">
        <f t="shared" si="327"/>
        <v/>
      </c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67.5" customHeight="1">
      <c r="A329" s="39"/>
      <c r="B329" s="43" t="str">
        <f>IFERROR(__xludf.DUMMYFUNCTION("IFERROR(
  LET(
    periodos, C$1:Z$1,
    marcas, C329:Z329,
    pos, MAX(
          FILTER(
            COLUMN(marcas)-COLUMN(C329)+1,
            marcas=""X""
          )
        ),
    ultimo, INDEX(periodos, pos),
    XLOOKUP(
      $A329,
      INDI"&amp;"RECT(""'""&amp;ultimo&amp;""'!C:C""),
      INDIRECT(""'""&amp;ultimo&amp;""'!A:A"")
    )
  ),
  """"
)"),"")</f>
        <v/>
      </c>
      <c r="C329" s="41" t="str">
        <f t="shared" ref="C329:J329" si="328">IF(
  COUNTIF(
    INDIRECT("'"&amp;C$1&amp;"'!C:C"),
    $A329
  )&gt;0,
  "X",
  ""
)</f>
        <v/>
      </c>
      <c r="D329" s="41" t="str">
        <f t="shared" si="328"/>
        <v/>
      </c>
      <c r="E329" s="41" t="str">
        <f t="shared" si="328"/>
        <v/>
      </c>
      <c r="F329" s="41" t="str">
        <f t="shared" si="328"/>
        <v/>
      </c>
      <c r="G329" s="41" t="str">
        <f t="shared" si="328"/>
        <v/>
      </c>
      <c r="H329" s="41" t="str">
        <f t="shared" si="328"/>
        <v/>
      </c>
      <c r="I329" s="41" t="str">
        <f t="shared" si="328"/>
        <v/>
      </c>
      <c r="J329" s="41" t="str">
        <f t="shared" si="328"/>
        <v/>
      </c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67.5" customHeight="1">
      <c r="A330" s="39"/>
      <c r="B330" s="43" t="str">
        <f>IFERROR(__xludf.DUMMYFUNCTION("IFERROR(
  LET(
    periodos, C$1:Z$1,
    marcas, C330:Z330,
    pos, MAX(
          FILTER(
            COLUMN(marcas)-COLUMN(C330)+1,
            marcas=""X""
          )
        ),
    ultimo, INDEX(periodos, pos),
    XLOOKUP(
      $A330,
      INDI"&amp;"RECT(""'""&amp;ultimo&amp;""'!C:C""),
      INDIRECT(""'""&amp;ultimo&amp;""'!A:A"")
    )
  ),
  """"
)"),"")</f>
        <v/>
      </c>
      <c r="C330" s="41" t="str">
        <f t="shared" ref="C330:J330" si="329">IF(
  COUNTIF(
    INDIRECT("'"&amp;C$1&amp;"'!C:C"),
    $A330
  )&gt;0,
  "X",
  ""
)</f>
        <v/>
      </c>
      <c r="D330" s="41" t="str">
        <f t="shared" si="329"/>
        <v/>
      </c>
      <c r="E330" s="41" t="str">
        <f t="shared" si="329"/>
        <v/>
      </c>
      <c r="F330" s="41" t="str">
        <f t="shared" si="329"/>
        <v/>
      </c>
      <c r="G330" s="41" t="str">
        <f t="shared" si="329"/>
        <v/>
      </c>
      <c r="H330" s="41" t="str">
        <f t="shared" si="329"/>
        <v/>
      </c>
      <c r="I330" s="41" t="str">
        <f t="shared" si="329"/>
        <v/>
      </c>
      <c r="J330" s="41" t="str">
        <f t="shared" si="329"/>
        <v/>
      </c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67.5" customHeight="1">
      <c r="A331" s="39"/>
      <c r="B331" s="43" t="str">
        <f>IFERROR(__xludf.DUMMYFUNCTION("IFERROR(
  LET(
    periodos, C$1:Z$1,
    marcas, C331:Z331,
    pos, MAX(
          FILTER(
            COLUMN(marcas)-COLUMN(C331)+1,
            marcas=""X""
          )
        ),
    ultimo, INDEX(periodos, pos),
    XLOOKUP(
      $A331,
      INDI"&amp;"RECT(""'""&amp;ultimo&amp;""'!C:C""),
      INDIRECT(""'""&amp;ultimo&amp;""'!A:A"")
    )
  ),
  """"
)"),"")</f>
        <v/>
      </c>
      <c r="C331" s="41" t="str">
        <f t="shared" ref="C331:J331" si="330">IF(
  COUNTIF(
    INDIRECT("'"&amp;C$1&amp;"'!C:C"),
    $A331
  )&gt;0,
  "X",
  ""
)</f>
        <v/>
      </c>
      <c r="D331" s="41" t="str">
        <f t="shared" si="330"/>
        <v/>
      </c>
      <c r="E331" s="41" t="str">
        <f t="shared" si="330"/>
        <v/>
      </c>
      <c r="F331" s="41" t="str">
        <f t="shared" si="330"/>
        <v/>
      </c>
      <c r="G331" s="41" t="str">
        <f t="shared" si="330"/>
        <v/>
      </c>
      <c r="H331" s="41" t="str">
        <f t="shared" si="330"/>
        <v/>
      </c>
      <c r="I331" s="41" t="str">
        <f t="shared" si="330"/>
        <v/>
      </c>
      <c r="J331" s="41" t="str">
        <f t="shared" si="330"/>
        <v/>
      </c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67.5" customHeight="1">
      <c r="A332" s="39"/>
      <c r="B332" s="43" t="str">
        <f>IFERROR(__xludf.DUMMYFUNCTION("IFERROR(
  LET(
    periodos, C$1:Z$1,
    marcas, C332:Z332,
    pos, MAX(
          FILTER(
            COLUMN(marcas)-COLUMN(C332)+1,
            marcas=""X""
          )
        ),
    ultimo, INDEX(periodos, pos),
    XLOOKUP(
      $A332,
      INDI"&amp;"RECT(""'""&amp;ultimo&amp;""'!C:C""),
      INDIRECT(""'""&amp;ultimo&amp;""'!A:A"")
    )
  ),
  """"
)"),"")</f>
        <v/>
      </c>
      <c r="C332" s="41" t="str">
        <f t="shared" ref="C332:J332" si="331">IF(
  COUNTIF(
    INDIRECT("'"&amp;C$1&amp;"'!C:C"),
    $A332
  )&gt;0,
  "X",
  ""
)</f>
        <v/>
      </c>
      <c r="D332" s="41" t="str">
        <f t="shared" si="331"/>
        <v/>
      </c>
      <c r="E332" s="41" t="str">
        <f t="shared" si="331"/>
        <v/>
      </c>
      <c r="F332" s="41" t="str">
        <f t="shared" si="331"/>
        <v/>
      </c>
      <c r="G332" s="41" t="str">
        <f t="shared" si="331"/>
        <v/>
      </c>
      <c r="H332" s="41" t="str">
        <f t="shared" si="331"/>
        <v/>
      </c>
      <c r="I332" s="41" t="str">
        <f t="shared" si="331"/>
        <v/>
      </c>
      <c r="J332" s="41" t="str">
        <f t="shared" si="331"/>
        <v/>
      </c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67.5" customHeight="1">
      <c r="A333" s="39"/>
      <c r="B333" s="43" t="str">
        <f>IFERROR(__xludf.DUMMYFUNCTION("IFERROR(
  LET(
    periodos, C$1:Z$1,
    marcas, C333:Z333,
    pos, MAX(
          FILTER(
            COLUMN(marcas)-COLUMN(C333)+1,
            marcas=""X""
          )
        ),
    ultimo, INDEX(periodos, pos),
    XLOOKUP(
      $A333,
      INDI"&amp;"RECT(""'""&amp;ultimo&amp;""'!C:C""),
      INDIRECT(""'""&amp;ultimo&amp;""'!A:A"")
    )
  ),
  """"
)"),"")</f>
        <v/>
      </c>
      <c r="C333" s="41" t="str">
        <f t="shared" ref="C333:J333" si="332">IF(
  COUNTIF(
    INDIRECT("'"&amp;C$1&amp;"'!C:C"),
    $A333
  )&gt;0,
  "X",
  ""
)</f>
        <v/>
      </c>
      <c r="D333" s="41" t="str">
        <f t="shared" si="332"/>
        <v/>
      </c>
      <c r="E333" s="41" t="str">
        <f t="shared" si="332"/>
        <v/>
      </c>
      <c r="F333" s="41" t="str">
        <f t="shared" si="332"/>
        <v/>
      </c>
      <c r="G333" s="41" t="str">
        <f t="shared" si="332"/>
        <v/>
      </c>
      <c r="H333" s="41" t="str">
        <f t="shared" si="332"/>
        <v/>
      </c>
      <c r="I333" s="41" t="str">
        <f t="shared" si="332"/>
        <v/>
      </c>
      <c r="J333" s="41" t="str">
        <f t="shared" si="332"/>
        <v/>
      </c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67.5" customHeight="1">
      <c r="A334" s="39"/>
      <c r="B334" s="43" t="str">
        <f>IFERROR(__xludf.DUMMYFUNCTION("IFERROR(
  LET(
    periodos, C$1:Z$1,
    marcas, C334:Z334,
    pos, MAX(
          FILTER(
            COLUMN(marcas)-COLUMN(C334)+1,
            marcas=""X""
          )
        ),
    ultimo, INDEX(periodos, pos),
    XLOOKUP(
      $A334,
      INDI"&amp;"RECT(""'""&amp;ultimo&amp;""'!C:C""),
      INDIRECT(""'""&amp;ultimo&amp;""'!A:A"")
    )
  ),
  """"
)"),"")</f>
        <v/>
      </c>
      <c r="C334" s="41" t="str">
        <f t="shared" ref="C334:J334" si="333">IF(
  COUNTIF(
    INDIRECT("'"&amp;C$1&amp;"'!C:C"),
    $A334
  )&gt;0,
  "X",
  ""
)</f>
        <v/>
      </c>
      <c r="D334" s="41" t="str">
        <f t="shared" si="333"/>
        <v/>
      </c>
      <c r="E334" s="41" t="str">
        <f t="shared" si="333"/>
        <v/>
      </c>
      <c r="F334" s="41" t="str">
        <f t="shared" si="333"/>
        <v/>
      </c>
      <c r="G334" s="41" t="str">
        <f t="shared" si="333"/>
        <v/>
      </c>
      <c r="H334" s="41" t="str">
        <f t="shared" si="333"/>
        <v/>
      </c>
      <c r="I334" s="41" t="str">
        <f t="shared" si="333"/>
        <v/>
      </c>
      <c r="J334" s="41" t="str">
        <f t="shared" si="333"/>
        <v/>
      </c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67.5" customHeight="1">
      <c r="A335" s="39"/>
      <c r="B335" s="43" t="str">
        <f>IFERROR(__xludf.DUMMYFUNCTION("IFERROR(
  LET(
    periodos, C$1:Z$1,
    marcas, C335:Z335,
    pos, MAX(
          FILTER(
            COLUMN(marcas)-COLUMN(C335)+1,
            marcas=""X""
          )
        ),
    ultimo, INDEX(periodos, pos),
    XLOOKUP(
      $A335,
      INDI"&amp;"RECT(""'""&amp;ultimo&amp;""'!C:C""),
      INDIRECT(""'""&amp;ultimo&amp;""'!A:A"")
    )
  ),
  """"
)"),"")</f>
        <v/>
      </c>
      <c r="C335" s="41" t="str">
        <f t="shared" ref="C335:J335" si="334">IF(
  COUNTIF(
    INDIRECT("'"&amp;C$1&amp;"'!C:C"),
    $A335
  )&gt;0,
  "X",
  ""
)</f>
        <v/>
      </c>
      <c r="D335" s="41" t="str">
        <f t="shared" si="334"/>
        <v/>
      </c>
      <c r="E335" s="41" t="str">
        <f t="shared" si="334"/>
        <v/>
      </c>
      <c r="F335" s="41" t="str">
        <f t="shared" si="334"/>
        <v/>
      </c>
      <c r="G335" s="41" t="str">
        <f t="shared" si="334"/>
        <v/>
      </c>
      <c r="H335" s="41" t="str">
        <f t="shared" si="334"/>
        <v/>
      </c>
      <c r="I335" s="41" t="str">
        <f t="shared" si="334"/>
        <v/>
      </c>
      <c r="J335" s="41" t="str">
        <f t="shared" si="334"/>
        <v/>
      </c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67.5" customHeight="1">
      <c r="A336" s="39"/>
      <c r="B336" s="43" t="str">
        <f>IFERROR(__xludf.DUMMYFUNCTION("IFERROR(
  LET(
    periodos, C$1:Z$1,
    marcas, C336:Z336,
    pos, MAX(
          FILTER(
            COLUMN(marcas)-COLUMN(C336)+1,
            marcas=""X""
          )
        ),
    ultimo, INDEX(periodos, pos),
    XLOOKUP(
      $A336,
      INDI"&amp;"RECT(""'""&amp;ultimo&amp;""'!C:C""),
      INDIRECT(""'""&amp;ultimo&amp;""'!A:A"")
    )
  ),
  """"
)"),"")</f>
        <v/>
      </c>
      <c r="C336" s="41" t="str">
        <f t="shared" ref="C336:J336" si="335">IF(
  COUNTIF(
    INDIRECT("'"&amp;C$1&amp;"'!C:C"),
    $A336
  )&gt;0,
  "X",
  ""
)</f>
        <v/>
      </c>
      <c r="D336" s="41" t="str">
        <f t="shared" si="335"/>
        <v/>
      </c>
      <c r="E336" s="41" t="str">
        <f t="shared" si="335"/>
        <v/>
      </c>
      <c r="F336" s="41" t="str">
        <f t="shared" si="335"/>
        <v/>
      </c>
      <c r="G336" s="41" t="str">
        <f t="shared" si="335"/>
        <v/>
      </c>
      <c r="H336" s="41" t="str">
        <f t="shared" si="335"/>
        <v/>
      </c>
      <c r="I336" s="41" t="str">
        <f t="shared" si="335"/>
        <v/>
      </c>
      <c r="J336" s="41" t="str">
        <f t="shared" si="335"/>
        <v/>
      </c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67.5" customHeight="1">
      <c r="A337" s="39"/>
      <c r="B337" s="43" t="str">
        <f>IFERROR(__xludf.DUMMYFUNCTION("IFERROR(
  LET(
    periodos, C$1:Z$1,
    marcas, C337:Z337,
    pos, MAX(
          FILTER(
            COLUMN(marcas)-COLUMN(C337)+1,
            marcas=""X""
          )
        ),
    ultimo, INDEX(periodos, pos),
    XLOOKUP(
      $A337,
      INDI"&amp;"RECT(""'""&amp;ultimo&amp;""'!C:C""),
      INDIRECT(""'""&amp;ultimo&amp;""'!A:A"")
    )
  ),
  """"
)"),"")</f>
        <v/>
      </c>
      <c r="C337" s="41" t="str">
        <f t="shared" ref="C337:J337" si="336">IF(
  COUNTIF(
    INDIRECT("'"&amp;C$1&amp;"'!C:C"),
    $A337
  )&gt;0,
  "X",
  ""
)</f>
        <v/>
      </c>
      <c r="D337" s="41" t="str">
        <f t="shared" si="336"/>
        <v/>
      </c>
      <c r="E337" s="41" t="str">
        <f t="shared" si="336"/>
        <v/>
      </c>
      <c r="F337" s="41" t="str">
        <f t="shared" si="336"/>
        <v/>
      </c>
      <c r="G337" s="41" t="str">
        <f t="shared" si="336"/>
        <v/>
      </c>
      <c r="H337" s="41" t="str">
        <f t="shared" si="336"/>
        <v/>
      </c>
      <c r="I337" s="41" t="str">
        <f t="shared" si="336"/>
        <v/>
      </c>
      <c r="J337" s="41" t="str">
        <f t="shared" si="336"/>
        <v/>
      </c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67.5" customHeight="1">
      <c r="A338" s="39"/>
      <c r="B338" s="43" t="str">
        <f>IFERROR(__xludf.DUMMYFUNCTION("IFERROR(
  LET(
    periodos, C$1:Z$1,
    marcas, C338:Z338,
    pos, MAX(
          FILTER(
            COLUMN(marcas)-COLUMN(C338)+1,
            marcas=""X""
          )
        ),
    ultimo, INDEX(periodos, pos),
    XLOOKUP(
      $A338,
      INDI"&amp;"RECT(""'""&amp;ultimo&amp;""'!C:C""),
      INDIRECT(""'""&amp;ultimo&amp;""'!A:A"")
    )
  ),
  """"
)"),"")</f>
        <v/>
      </c>
      <c r="C338" s="41" t="str">
        <f t="shared" ref="C338:J338" si="337">IF(
  COUNTIF(
    INDIRECT("'"&amp;C$1&amp;"'!C:C"),
    $A338
  )&gt;0,
  "X",
  ""
)</f>
        <v/>
      </c>
      <c r="D338" s="41" t="str">
        <f t="shared" si="337"/>
        <v/>
      </c>
      <c r="E338" s="41" t="str">
        <f t="shared" si="337"/>
        <v/>
      </c>
      <c r="F338" s="41" t="str">
        <f t="shared" si="337"/>
        <v/>
      </c>
      <c r="G338" s="41" t="str">
        <f t="shared" si="337"/>
        <v/>
      </c>
      <c r="H338" s="41" t="str">
        <f t="shared" si="337"/>
        <v/>
      </c>
      <c r="I338" s="41" t="str">
        <f t="shared" si="337"/>
        <v/>
      </c>
      <c r="J338" s="41" t="str">
        <f t="shared" si="337"/>
        <v/>
      </c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67.5" customHeight="1">
      <c r="A339" s="39"/>
      <c r="B339" s="43" t="str">
        <f>IFERROR(__xludf.DUMMYFUNCTION("IFERROR(
  LET(
    periodos, C$1:Z$1,
    marcas, C339:Z339,
    pos, MAX(
          FILTER(
            COLUMN(marcas)-COLUMN(C339)+1,
            marcas=""X""
          )
        ),
    ultimo, INDEX(periodos, pos),
    XLOOKUP(
      $A339,
      INDI"&amp;"RECT(""'""&amp;ultimo&amp;""'!C:C""),
      INDIRECT(""'""&amp;ultimo&amp;""'!A:A"")
    )
  ),
  """"
)"),"")</f>
        <v/>
      </c>
      <c r="C339" s="41" t="str">
        <f t="shared" ref="C339:J339" si="338">IF(
  COUNTIF(
    INDIRECT("'"&amp;C$1&amp;"'!C:C"),
    $A339
  )&gt;0,
  "X",
  ""
)</f>
        <v/>
      </c>
      <c r="D339" s="41" t="str">
        <f t="shared" si="338"/>
        <v/>
      </c>
      <c r="E339" s="41" t="str">
        <f t="shared" si="338"/>
        <v/>
      </c>
      <c r="F339" s="41" t="str">
        <f t="shared" si="338"/>
        <v/>
      </c>
      <c r="G339" s="41" t="str">
        <f t="shared" si="338"/>
        <v/>
      </c>
      <c r="H339" s="41" t="str">
        <f t="shared" si="338"/>
        <v/>
      </c>
      <c r="I339" s="41" t="str">
        <f t="shared" si="338"/>
        <v/>
      </c>
      <c r="J339" s="41" t="str">
        <f t="shared" si="338"/>
        <v/>
      </c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67.5" customHeight="1">
      <c r="A340" s="39"/>
      <c r="B340" s="43" t="str">
        <f>IFERROR(__xludf.DUMMYFUNCTION("IFERROR(
  LET(
    periodos, C$1:Z$1,
    marcas, C340:Z340,
    pos, MAX(
          FILTER(
            COLUMN(marcas)-COLUMN(C340)+1,
            marcas=""X""
          )
        ),
    ultimo, INDEX(periodos, pos),
    XLOOKUP(
      $A340,
      INDI"&amp;"RECT(""'""&amp;ultimo&amp;""'!C:C""),
      INDIRECT(""'""&amp;ultimo&amp;""'!A:A"")
    )
  ),
  """"
)"),"")</f>
        <v/>
      </c>
      <c r="C340" s="41" t="str">
        <f t="shared" ref="C340:J340" si="339">IF(
  COUNTIF(
    INDIRECT("'"&amp;C$1&amp;"'!C:C"),
    $A340
  )&gt;0,
  "X",
  ""
)</f>
        <v/>
      </c>
      <c r="D340" s="41" t="str">
        <f t="shared" si="339"/>
        <v/>
      </c>
      <c r="E340" s="41" t="str">
        <f t="shared" si="339"/>
        <v/>
      </c>
      <c r="F340" s="41" t="str">
        <f t="shared" si="339"/>
        <v/>
      </c>
      <c r="G340" s="41" t="str">
        <f t="shared" si="339"/>
        <v/>
      </c>
      <c r="H340" s="41" t="str">
        <f t="shared" si="339"/>
        <v/>
      </c>
      <c r="I340" s="41" t="str">
        <f t="shared" si="339"/>
        <v/>
      </c>
      <c r="J340" s="41" t="str">
        <f t="shared" si="339"/>
        <v/>
      </c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67.5" customHeight="1">
      <c r="A341" s="39"/>
      <c r="B341" s="43" t="str">
        <f>IFERROR(__xludf.DUMMYFUNCTION("IFERROR(
  LET(
    periodos, C$1:Z$1,
    marcas, C341:Z341,
    pos, MAX(
          FILTER(
            COLUMN(marcas)-COLUMN(C341)+1,
            marcas=""X""
          )
        ),
    ultimo, INDEX(periodos, pos),
    XLOOKUP(
      $A341,
      INDI"&amp;"RECT(""'""&amp;ultimo&amp;""'!C:C""),
      INDIRECT(""'""&amp;ultimo&amp;""'!A:A"")
    )
  ),
  """"
)"),"")</f>
        <v/>
      </c>
      <c r="C341" s="41" t="str">
        <f t="shared" ref="C341:J341" si="340">IF(
  COUNTIF(
    INDIRECT("'"&amp;C$1&amp;"'!C:C"),
    $A341
  )&gt;0,
  "X",
  ""
)</f>
        <v/>
      </c>
      <c r="D341" s="41" t="str">
        <f t="shared" si="340"/>
        <v/>
      </c>
      <c r="E341" s="41" t="str">
        <f t="shared" si="340"/>
        <v/>
      </c>
      <c r="F341" s="41" t="str">
        <f t="shared" si="340"/>
        <v/>
      </c>
      <c r="G341" s="41" t="str">
        <f t="shared" si="340"/>
        <v/>
      </c>
      <c r="H341" s="41" t="str">
        <f t="shared" si="340"/>
        <v/>
      </c>
      <c r="I341" s="41" t="str">
        <f t="shared" si="340"/>
        <v/>
      </c>
      <c r="J341" s="41" t="str">
        <f t="shared" si="340"/>
        <v/>
      </c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67.5" customHeight="1">
      <c r="A342" s="39"/>
      <c r="B342" s="43" t="str">
        <f>IFERROR(__xludf.DUMMYFUNCTION("IFERROR(
  LET(
    periodos, C$1:Z$1,
    marcas, C342:Z342,
    pos, MAX(
          FILTER(
            COLUMN(marcas)-COLUMN(C342)+1,
            marcas=""X""
          )
        ),
    ultimo, INDEX(periodos, pos),
    XLOOKUP(
      $A342,
      INDI"&amp;"RECT(""'""&amp;ultimo&amp;""'!C:C""),
      INDIRECT(""'""&amp;ultimo&amp;""'!A:A"")
    )
  ),
  """"
)"),"")</f>
        <v/>
      </c>
      <c r="C342" s="41" t="str">
        <f t="shared" ref="C342:J342" si="341">IF(
  COUNTIF(
    INDIRECT("'"&amp;C$1&amp;"'!C:C"),
    $A342
  )&gt;0,
  "X",
  ""
)</f>
        <v/>
      </c>
      <c r="D342" s="41" t="str">
        <f t="shared" si="341"/>
        <v/>
      </c>
      <c r="E342" s="41" t="str">
        <f t="shared" si="341"/>
        <v/>
      </c>
      <c r="F342" s="41" t="str">
        <f t="shared" si="341"/>
        <v/>
      </c>
      <c r="G342" s="41" t="str">
        <f t="shared" si="341"/>
        <v/>
      </c>
      <c r="H342" s="41" t="str">
        <f t="shared" si="341"/>
        <v/>
      </c>
      <c r="I342" s="41" t="str">
        <f t="shared" si="341"/>
        <v/>
      </c>
      <c r="J342" s="41" t="str">
        <f t="shared" si="341"/>
        <v/>
      </c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67.5" customHeight="1">
      <c r="A343" s="39"/>
      <c r="B343" s="43" t="str">
        <f>IFERROR(__xludf.DUMMYFUNCTION("IFERROR(
  LET(
    periodos, C$1:Z$1,
    marcas, C343:Z343,
    pos, MAX(
          FILTER(
            COLUMN(marcas)-COLUMN(C343)+1,
            marcas=""X""
          )
        ),
    ultimo, INDEX(periodos, pos),
    XLOOKUP(
      $A343,
      INDI"&amp;"RECT(""'""&amp;ultimo&amp;""'!C:C""),
      INDIRECT(""'""&amp;ultimo&amp;""'!A:A"")
    )
  ),
  """"
)"),"")</f>
        <v/>
      </c>
      <c r="C343" s="41" t="str">
        <f t="shared" ref="C343:J343" si="342">IF(
  COUNTIF(
    INDIRECT("'"&amp;C$1&amp;"'!C:C"),
    $A343
  )&gt;0,
  "X",
  ""
)</f>
        <v/>
      </c>
      <c r="D343" s="41" t="str">
        <f t="shared" si="342"/>
        <v/>
      </c>
      <c r="E343" s="41" t="str">
        <f t="shared" si="342"/>
        <v/>
      </c>
      <c r="F343" s="41" t="str">
        <f t="shared" si="342"/>
        <v/>
      </c>
      <c r="G343" s="41" t="str">
        <f t="shared" si="342"/>
        <v/>
      </c>
      <c r="H343" s="41" t="str">
        <f t="shared" si="342"/>
        <v/>
      </c>
      <c r="I343" s="41" t="str">
        <f t="shared" si="342"/>
        <v/>
      </c>
      <c r="J343" s="41" t="str">
        <f t="shared" si="342"/>
        <v/>
      </c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67.5" customHeight="1">
      <c r="A344" s="39"/>
      <c r="B344" s="43" t="str">
        <f>IFERROR(__xludf.DUMMYFUNCTION("IFERROR(
  LET(
    periodos, C$1:Z$1,
    marcas, C344:Z344,
    pos, MAX(
          FILTER(
            COLUMN(marcas)-COLUMN(C344)+1,
            marcas=""X""
          )
        ),
    ultimo, INDEX(periodos, pos),
    XLOOKUP(
      $A344,
      INDI"&amp;"RECT(""'""&amp;ultimo&amp;""'!C:C""),
      INDIRECT(""'""&amp;ultimo&amp;""'!A:A"")
    )
  ),
  """"
)"),"")</f>
        <v/>
      </c>
      <c r="C344" s="41" t="str">
        <f t="shared" ref="C344:J344" si="343">IF(
  COUNTIF(
    INDIRECT("'"&amp;C$1&amp;"'!C:C"),
    $A344
  )&gt;0,
  "X",
  ""
)</f>
        <v/>
      </c>
      <c r="D344" s="41" t="str">
        <f t="shared" si="343"/>
        <v/>
      </c>
      <c r="E344" s="41" t="str">
        <f t="shared" si="343"/>
        <v/>
      </c>
      <c r="F344" s="41" t="str">
        <f t="shared" si="343"/>
        <v/>
      </c>
      <c r="G344" s="41" t="str">
        <f t="shared" si="343"/>
        <v/>
      </c>
      <c r="H344" s="41" t="str">
        <f t="shared" si="343"/>
        <v/>
      </c>
      <c r="I344" s="41" t="str">
        <f t="shared" si="343"/>
        <v/>
      </c>
      <c r="J344" s="41" t="str">
        <f t="shared" si="343"/>
        <v/>
      </c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67.5" customHeight="1">
      <c r="A345" s="39"/>
      <c r="B345" s="43" t="str">
        <f>IFERROR(__xludf.DUMMYFUNCTION("IFERROR(
  LET(
    periodos, C$1:Z$1,
    marcas, C345:Z345,
    pos, MAX(
          FILTER(
            COLUMN(marcas)-COLUMN(C345)+1,
            marcas=""X""
          )
        ),
    ultimo, INDEX(periodos, pos),
    XLOOKUP(
      $A345,
      INDI"&amp;"RECT(""'""&amp;ultimo&amp;""'!C:C""),
      INDIRECT(""'""&amp;ultimo&amp;""'!A:A"")
    )
  ),
  """"
)"),"")</f>
        <v/>
      </c>
      <c r="C345" s="41" t="str">
        <f t="shared" ref="C345:J345" si="344">IF(
  COUNTIF(
    INDIRECT("'"&amp;C$1&amp;"'!C:C"),
    $A345
  )&gt;0,
  "X",
  ""
)</f>
        <v/>
      </c>
      <c r="D345" s="41" t="str">
        <f t="shared" si="344"/>
        <v/>
      </c>
      <c r="E345" s="41" t="str">
        <f t="shared" si="344"/>
        <v/>
      </c>
      <c r="F345" s="41" t="str">
        <f t="shared" si="344"/>
        <v/>
      </c>
      <c r="G345" s="41" t="str">
        <f t="shared" si="344"/>
        <v/>
      </c>
      <c r="H345" s="41" t="str">
        <f t="shared" si="344"/>
        <v/>
      </c>
      <c r="I345" s="41" t="str">
        <f t="shared" si="344"/>
        <v/>
      </c>
      <c r="J345" s="41" t="str">
        <f t="shared" si="344"/>
        <v/>
      </c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67.5" customHeight="1">
      <c r="A346" s="39"/>
      <c r="B346" s="43" t="str">
        <f>IFERROR(__xludf.DUMMYFUNCTION("IFERROR(
  LET(
    periodos, C$1:Z$1,
    marcas, C346:Z346,
    pos, MAX(
          FILTER(
            COLUMN(marcas)-COLUMN(C346)+1,
            marcas=""X""
          )
        ),
    ultimo, INDEX(periodos, pos),
    XLOOKUP(
      $A346,
      INDI"&amp;"RECT(""'""&amp;ultimo&amp;""'!C:C""),
      INDIRECT(""'""&amp;ultimo&amp;""'!A:A"")
    )
  ),
  """"
)"),"")</f>
        <v/>
      </c>
      <c r="C346" s="41" t="str">
        <f t="shared" ref="C346:J346" si="345">IF(
  COUNTIF(
    INDIRECT("'"&amp;C$1&amp;"'!C:C"),
    $A346
  )&gt;0,
  "X",
  ""
)</f>
        <v/>
      </c>
      <c r="D346" s="41" t="str">
        <f t="shared" si="345"/>
        <v/>
      </c>
      <c r="E346" s="41" t="str">
        <f t="shared" si="345"/>
        <v/>
      </c>
      <c r="F346" s="41" t="str">
        <f t="shared" si="345"/>
        <v/>
      </c>
      <c r="G346" s="41" t="str">
        <f t="shared" si="345"/>
        <v/>
      </c>
      <c r="H346" s="41" t="str">
        <f t="shared" si="345"/>
        <v/>
      </c>
      <c r="I346" s="41" t="str">
        <f t="shared" si="345"/>
        <v/>
      </c>
      <c r="J346" s="41" t="str">
        <f t="shared" si="345"/>
        <v/>
      </c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67.5" customHeight="1">
      <c r="A347" s="39"/>
      <c r="B347" s="43" t="str">
        <f>IFERROR(__xludf.DUMMYFUNCTION("IFERROR(
  LET(
    periodos, C$1:Z$1,
    marcas, C347:Z347,
    pos, MAX(
          FILTER(
            COLUMN(marcas)-COLUMN(C347)+1,
            marcas=""X""
          )
        ),
    ultimo, INDEX(periodos, pos),
    XLOOKUP(
      $A347,
      INDI"&amp;"RECT(""'""&amp;ultimo&amp;""'!C:C""),
      INDIRECT(""'""&amp;ultimo&amp;""'!A:A"")
    )
  ),
  """"
)"),"")</f>
        <v/>
      </c>
      <c r="C347" s="41" t="str">
        <f t="shared" ref="C347:J347" si="346">IF(
  COUNTIF(
    INDIRECT("'"&amp;C$1&amp;"'!C:C"),
    $A347
  )&gt;0,
  "X",
  ""
)</f>
        <v/>
      </c>
      <c r="D347" s="41" t="str">
        <f t="shared" si="346"/>
        <v/>
      </c>
      <c r="E347" s="41" t="str">
        <f t="shared" si="346"/>
        <v/>
      </c>
      <c r="F347" s="41" t="str">
        <f t="shared" si="346"/>
        <v/>
      </c>
      <c r="G347" s="41" t="str">
        <f t="shared" si="346"/>
        <v/>
      </c>
      <c r="H347" s="41" t="str">
        <f t="shared" si="346"/>
        <v/>
      </c>
      <c r="I347" s="41" t="str">
        <f t="shared" si="346"/>
        <v/>
      </c>
      <c r="J347" s="41" t="str">
        <f t="shared" si="346"/>
        <v/>
      </c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67.5" customHeight="1">
      <c r="A348" s="39"/>
      <c r="B348" s="43" t="str">
        <f>IFERROR(__xludf.DUMMYFUNCTION("IFERROR(
  LET(
    periodos, C$1:Z$1,
    marcas, C348:Z348,
    pos, MAX(
          FILTER(
            COLUMN(marcas)-COLUMN(C348)+1,
            marcas=""X""
          )
        ),
    ultimo, INDEX(periodos, pos),
    XLOOKUP(
      $A348,
      INDI"&amp;"RECT(""'""&amp;ultimo&amp;""'!C:C""),
      INDIRECT(""'""&amp;ultimo&amp;""'!A:A"")
    )
  ),
  """"
)"),"")</f>
        <v/>
      </c>
      <c r="C348" s="41" t="str">
        <f t="shared" ref="C348:J348" si="347">IF(
  COUNTIF(
    INDIRECT("'"&amp;C$1&amp;"'!C:C"),
    $A348
  )&gt;0,
  "X",
  ""
)</f>
        <v/>
      </c>
      <c r="D348" s="41" t="str">
        <f t="shared" si="347"/>
        <v/>
      </c>
      <c r="E348" s="41" t="str">
        <f t="shared" si="347"/>
        <v/>
      </c>
      <c r="F348" s="41" t="str">
        <f t="shared" si="347"/>
        <v/>
      </c>
      <c r="G348" s="41" t="str">
        <f t="shared" si="347"/>
        <v/>
      </c>
      <c r="H348" s="41" t="str">
        <f t="shared" si="347"/>
        <v/>
      </c>
      <c r="I348" s="41" t="str">
        <f t="shared" si="347"/>
        <v/>
      </c>
      <c r="J348" s="41" t="str">
        <f t="shared" si="347"/>
        <v/>
      </c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67.5" customHeight="1">
      <c r="A349" s="39"/>
      <c r="B349" s="43" t="str">
        <f>IFERROR(__xludf.DUMMYFUNCTION("IFERROR(
  LET(
    periodos, C$1:Z$1,
    marcas, C349:Z349,
    pos, MAX(
          FILTER(
            COLUMN(marcas)-COLUMN(C349)+1,
            marcas=""X""
          )
        ),
    ultimo, INDEX(periodos, pos),
    XLOOKUP(
      $A349,
      INDI"&amp;"RECT(""'""&amp;ultimo&amp;""'!C:C""),
      INDIRECT(""'""&amp;ultimo&amp;""'!A:A"")
    )
  ),
  """"
)"),"")</f>
        <v/>
      </c>
      <c r="C349" s="41" t="str">
        <f t="shared" ref="C349:J349" si="348">IF(
  COUNTIF(
    INDIRECT("'"&amp;C$1&amp;"'!C:C"),
    $A349
  )&gt;0,
  "X",
  ""
)</f>
        <v/>
      </c>
      <c r="D349" s="41" t="str">
        <f t="shared" si="348"/>
        <v/>
      </c>
      <c r="E349" s="41" t="str">
        <f t="shared" si="348"/>
        <v/>
      </c>
      <c r="F349" s="41" t="str">
        <f t="shared" si="348"/>
        <v/>
      </c>
      <c r="G349" s="41" t="str">
        <f t="shared" si="348"/>
        <v/>
      </c>
      <c r="H349" s="41" t="str">
        <f t="shared" si="348"/>
        <v/>
      </c>
      <c r="I349" s="41" t="str">
        <f t="shared" si="348"/>
        <v/>
      </c>
      <c r="J349" s="41" t="str">
        <f t="shared" si="348"/>
        <v/>
      </c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67.5" customHeight="1">
      <c r="A350" s="39"/>
      <c r="B350" s="43" t="str">
        <f>IFERROR(__xludf.DUMMYFUNCTION("IFERROR(
  LET(
    periodos, C$1:Z$1,
    marcas, C350:Z350,
    pos, MAX(
          FILTER(
            COLUMN(marcas)-COLUMN(C350)+1,
            marcas=""X""
          )
        ),
    ultimo, INDEX(periodos, pos),
    XLOOKUP(
      $A350,
      INDI"&amp;"RECT(""'""&amp;ultimo&amp;""'!C:C""),
      INDIRECT(""'""&amp;ultimo&amp;""'!A:A"")
    )
  ),
  """"
)"),"")</f>
        <v/>
      </c>
      <c r="C350" s="41" t="str">
        <f t="shared" ref="C350:J350" si="349">IF(
  COUNTIF(
    INDIRECT("'"&amp;C$1&amp;"'!C:C"),
    $A350
  )&gt;0,
  "X",
  ""
)</f>
        <v/>
      </c>
      <c r="D350" s="41" t="str">
        <f t="shared" si="349"/>
        <v/>
      </c>
      <c r="E350" s="41" t="str">
        <f t="shared" si="349"/>
        <v/>
      </c>
      <c r="F350" s="41" t="str">
        <f t="shared" si="349"/>
        <v/>
      </c>
      <c r="G350" s="41" t="str">
        <f t="shared" si="349"/>
        <v/>
      </c>
      <c r="H350" s="41" t="str">
        <f t="shared" si="349"/>
        <v/>
      </c>
      <c r="I350" s="41" t="str">
        <f t="shared" si="349"/>
        <v/>
      </c>
      <c r="J350" s="41" t="str">
        <f t="shared" si="349"/>
        <v/>
      </c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67.5" customHeight="1">
      <c r="A351" s="39"/>
      <c r="B351" s="43" t="str">
        <f>IFERROR(__xludf.DUMMYFUNCTION("IFERROR(
  LET(
    periodos, C$1:Z$1,
    marcas, C351:Z351,
    pos, MAX(
          FILTER(
            COLUMN(marcas)-COLUMN(C351)+1,
            marcas=""X""
          )
        ),
    ultimo, INDEX(periodos, pos),
    XLOOKUP(
      $A351,
      INDI"&amp;"RECT(""'""&amp;ultimo&amp;""'!C:C""),
      INDIRECT(""'""&amp;ultimo&amp;""'!A:A"")
    )
  ),
  """"
)"),"")</f>
        <v/>
      </c>
      <c r="C351" s="41" t="str">
        <f t="shared" ref="C351:J351" si="350">IF(
  COUNTIF(
    INDIRECT("'"&amp;C$1&amp;"'!C:C"),
    $A351
  )&gt;0,
  "X",
  ""
)</f>
        <v/>
      </c>
      <c r="D351" s="41" t="str">
        <f t="shared" si="350"/>
        <v/>
      </c>
      <c r="E351" s="41" t="str">
        <f t="shared" si="350"/>
        <v/>
      </c>
      <c r="F351" s="41" t="str">
        <f t="shared" si="350"/>
        <v/>
      </c>
      <c r="G351" s="41" t="str">
        <f t="shared" si="350"/>
        <v/>
      </c>
      <c r="H351" s="41" t="str">
        <f t="shared" si="350"/>
        <v/>
      </c>
      <c r="I351" s="41" t="str">
        <f t="shared" si="350"/>
        <v/>
      </c>
      <c r="J351" s="41" t="str">
        <f t="shared" si="350"/>
        <v/>
      </c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67.5" customHeight="1">
      <c r="A352" s="39"/>
      <c r="B352" s="43" t="str">
        <f>IFERROR(__xludf.DUMMYFUNCTION("IFERROR(
  LET(
    periodos, C$1:Z$1,
    marcas, C352:Z352,
    pos, MAX(
          FILTER(
            COLUMN(marcas)-COLUMN(C352)+1,
            marcas=""X""
          )
        ),
    ultimo, INDEX(periodos, pos),
    XLOOKUP(
      $A352,
      INDI"&amp;"RECT(""'""&amp;ultimo&amp;""'!C:C""),
      INDIRECT(""'""&amp;ultimo&amp;""'!A:A"")
    )
  ),
  """"
)"),"")</f>
        <v/>
      </c>
      <c r="C352" s="41" t="str">
        <f t="shared" ref="C352:J352" si="351">IF(
  COUNTIF(
    INDIRECT("'"&amp;C$1&amp;"'!C:C"),
    $A352
  )&gt;0,
  "X",
  ""
)</f>
        <v/>
      </c>
      <c r="D352" s="41" t="str">
        <f t="shared" si="351"/>
        <v/>
      </c>
      <c r="E352" s="41" t="str">
        <f t="shared" si="351"/>
        <v/>
      </c>
      <c r="F352" s="41" t="str">
        <f t="shared" si="351"/>
        <v/>
      </c>
      <c r="G352" s="41" t="str">
        <f t="shared" si="351"/>
        <v/>
      </c>
      <c r="H352" s="41" t="str">
        <f t="shared" si="351"/>
        <v/>
      </c>
      <c r="I352" s="41" t="str">
        <f t="shared" si="351"/>
        <v/>
      </c>
      <c r="J352" s="41" t="str">
        <f t="shared" si="351"/>
        <v/>
      </c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67.5" customHeight="1">
      <c r="A353" s="39"/>
      <c r="B353" s="43" t="str">
        <f>IFERROR(__xludf.DUMMYFUNCTION("IFERROR(
  LET(
    periodos, C$1:Z$1,
    marcas, C353:Z353,
    pos, MAX(
          FILTER(
            COLUMN(marcas)-COLUMN(C353)+1,
            marcas=""X""
          )
        ),
    ultimo, INDEX(periodos, pos),
    XLOOKUP(
      $A353,
      INDI"&amp;"RECT(""'""&amp;ultimo&amp;""'!C:C""),
      INDIRECT(""'""&amp;ultimo&amp;""'!A:A"")
    )
  ),
  """"
)"),"")</f>
        <v/>
      </c>
      <c r="C353" s="41" t="str">
        <f t="shared" ref="C353:J353" si="352">IF(
  COUNTIF(
    INDIRECT("'"&amp;C$1&amp;"'!C:C"),
    $A353
  )&gt;0,
  "X",
  ""
)</f>
        <v/>
      </c>
      <c r="D353" s="41" t="str">
        <f t="shared" si="352"/>
        <v/>
      </c>
      <c r="E353" s="41" t="str">
        <f t="shared" si="352"/>
        <v/>
      </c>
      <c r="F353" s="41" t="str">
        <f t="shared" si="352"/>
        <v/>
      </c>
      <c r="G353" s="41" t="str">
        <f t="shared" si="352"/>
        <v/>
      </c>
      <c r="H353" s="41" t="str">
        <f t="shared" si="352"/>
        <v/>
      </c>
      <c r="I353" s="41" t="str">
        <f t="shared" si="352"/>
        <v/>
      </c>
      <c r="J353" s="41" t="str">
        <f t="shared" si="352"/>
        <v/>
      </c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67.5" customHeight="1">
      <c r="A354" s="39"/>
      <c r="B354" s="43" t="str">
        <f>IFERROR(__xludf.DUMMYFUNCTION("IFERROR(
  LET(
    periodos, C$1:Z$1,
    marcas, C354:Z354,
    pos, MAX(
          FILTER(
            COLUMN(marcas)-COLUMN(C354)+1,
            marcas=""X""
          )
        ),
    ultimo, INDEX(periodos, pos),
    XLOOKUP(
      $A354,
      INDI"&amp;"RECT(""'""&amp;ultimo&amp;""'!C:C""),
      INDIRECT(""'""&amp;ultimo&amp;""'!A:A"")
    )
  ),
  """"
)"),"")</f>
        <v/>
      </c>
      <c r="C354" s="41" t="str">
        <f t="shared" ref="C354:J354" si="353">IF(
  COUNTIF(
    INDIRECT("'"&amp;C$1&amp;"'!C:C"),
    $A354
  )&gt;0,
  "X",
  ""
)</f>
        <v/>
      </c>
      <c r="D354" s="41" t="str">
        <f t="shared" si="353"/>
        <v/>
      </c>
      <c r="E354" s="41" t="str">
        <f t="shared" si="353"/>
        <v/>
      </c>
      <c r="F354" s="41" t="str">
        <f t="shared" si="353"/>
        <v/>
      </c>
      <c r="G354" s="41" t="str">
        <f t="shared" si="353"/>
        <v/>
      </c>
      <c r="H354" s="41" t="str">
        <f t="shared" si="353"/>
        <v/>
      </c>
      <c r="I354" s="41" t="str">
        <f t="shared" si="353"/>
        <v/>
      </c>
      <c r="J354" s="41" t="str">
        <f t="shared" si="353"/>
        <v/>
      </c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67.5" customHeight="1">
      <c r="A355" s="39"/>
      <c r="B355" s="43" t="str">
        <f>IFERROR(__xludf.DUMMYFUNCTION("IFERROR(
  LET(
    periodos, C$1:Z$1,
    marcas, C355:Z355,
    pos, MAX(
          FILTER(
            COLUMN(marcas)-COLUMN(C355)+1,
            marcas=""X""
          )
        ),
    ultimo, INDEX(periodos, pos),
    XLOOKUP(
      $A355,
      INDI"&amp;"RECT(""'""&amp;ultimo&amp;""'!C:C""),
      INDIRECT(""'""&amp;ultimo&amp;""'!A:A"")
    )
  ),
  """"
)"),"")</f>
        <v/>
      </c>
      <c r="C355" s="41" t="str">
        <f t="shared" ref="C355:J355" si="354">IF(
  COUNTIF(
    INDIRECT("'"&amp;C$1&amp;"'!C:C"),
    $A355
  )&gt;0,
  "X",
  ""
)</f>
        <v/>
      </c>
      <c r="D355" s="41" t="str">
        <f t="shared" si="354"/>
        <v/>
      </c>
      <c r="E355" s="41" t="str">
        <f t="shared" si="354"/>
        <v/>
      </c>
      <c r="F355" s="41" t="str">
        <f t="shared" si="354"/>
        <v/>
      </c>
      <c r="G355" s="41" t="str">
        <f t="shared" si="354"/>
        <v/>
      </c>
      <c r="H355" s="41" t="str">
        <f t="shared" si="354"/>
        <v/>
      </c>
      <c r="I355" s="41" t="str">
        <f t="shared" si="354"/>
        <v/>
      </c>
      <c r="J355" s="41" t="str">
        <f t="shared" si="354"/>
        <v/>
      </c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67.5" customHeight="1">
      <c r="A356" s="39"/>
      <c r="B356" s="43" t="str">
        <f>IFERROR(__xludf.DUMMYFUNCTION("IFERROR(
  LET(
    periodos, C$1:Z$1,
    marcas, C356:Z356,
    pos, MAX(
          FILTER(
            COLUMN(marcas)-COLUMN(C356)+1,
            marcas=""X""
          )
        ),
    ultimo, INDEX(periodos, pos),
    XLOOKUP(
      $A356,
      INDI"&amp;"RECT(""'""&amp;ultimo&amp;""'!C:C""),
      INDIRECT(""'""&amp;ultimo&amp;""'!A:A"")
    )
  ),
  """"
)"),"")</f>
        <v/>
      </c>
      <c r="C356" s="41" t="str">
        <f t="shared" ref="C356:J356" si="355">IF(
  COUNTIF(
    INDIRECT("'"&amp;C$1&amp;"'!C:C"),
    $A356
  )&gt;0,
  "X",
  ""
)</f>
        <v/>
      </c>
      <c r="D356" s="41" t="str">
        <f t="shared" si="355"/>
        <v/>
      </c>
      <c r="E356" s="41" t="str">
        <f t="shared" si="355"/>
        <v/>
      </c>
      <c r="F356" s="41" t="str">
        <f t="shared" si="355"/>
        <v/>
      </c>
      <c r="G356" s="41" t="str">
        <f t="shared" si="355"/>
        <v/>
      </c>
      <c r="H356" s="41" t="str">
        <f t="shared" si="355"/>
        <v/>
      </c>
      <c r="I356" s="41" t="str">
        <f t="shared" si="355"/>
        <v/>
      </c>
      <c r="J356" s="41" t="str">
        <f t="shared" si="355"/>
        <v/>
      </c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67.5" customHeight="1">
      <c r="A357" s="39"/>
      <c r="B357" s="43" t="str">
        <f>IFERROR(__xludf.DUMMYFUNCTION("IFERROR(
  LET(
    periodos, C$1:Z$1,
    marcas, C357:Z357,
    pos, MAX(
          FILTER(
            COLUMN(marcas)-COLUMN(C357)+1,
            marcas=""X""
          )
        ),
    ultimo, INDEX(periodos, pos),
    XLOOKUP(
      $A357,
      INDI"&amp;"RECT(""'""&amp;ultimo&amp;""'!C:C""),
      INDIRECT(""'""&amp;ultimo&amp;""'!A:A"")
    )
  ),
  """"
)"),"")</f>
        <v/>
      </c>
      <c r="C357" s="41" t="str">
        <f t="shared" ref="C357:J357" si="356">IF(
  COUNTIF(
    INDIRECT("'"&amp;C$1&amp;"'!C:C"),
    $A357
  )&gt;0,
  "X",
  ""
)</f>
        <v/>
      </c>
      <c r="D357" s="41" t="str">
        <f t="shared" si="356"/>
        <v/>
      </c>
      <c r="E357" s="41" t="str">
        <f t="shared" si="356"/>
        <v/>
      </c>
      <c r="F357" s="41" t="str">
        <f t="shared" si="356"/>
        <v/>
      </c>
      <c r="G357" s="41" t="str">
        <f t="shared" si="356"/>
        <v/>
      </c>
      <c r="H357" s="41" t="str">
        <f t="shared" si="356"/>
        <v/>
      </c>
      <c r="I357" s="41" t="str">
        <f t="shared" si="356"/>
        <v/>
      </c>
      <c r="J357" s="41" t="str">
        <f t="shared" si="356"/>
        <v/>
      </c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67.5" customHeight="1">
      <c r="A358" s="39"/>
      <c r="B358" s="43" t="str">
        <f>IFERROR(__xludf.DUMMYFUNCTION("IFERROR(
  LET(
    periodos, C$1:Z$1,
    marcas, C358:Z358,
    pos, MAX(
          FILTER(
            COLUMN(marcas)-COLUMN(C358)+1,
            marcas=""X""
          )
        ),
    ultimo, INDEX(periodos, pos),
    XLOOKUP(
      $A358,
      INDI"&amp;"RECT(""'""&amp;ultimo&amp;""'!C:C""),
      INDIRECT(""'""&amp;ultimo&amp;""'!A:A"")
    )
  ),
  """"
)"),"")</f>
        <v/>
      </c>
      <c r="C358" s="41" t="str">
        <f t="shared" ref="C358:J358" si="357">IF(
  COUNTIF(
    INDIRECT("'"&amp;C$1&amp;"'!C:C"),
    $A358
  )&gt;0,
  "X",
  ""
)</f>
        <v/>
      </c>
      <c r="D358" s="41" t="str">
        <f t="shared" si="357"/>
        <v/>
      </c>
      <c r="E358" s="41" t="str">
        <f t="shared" si="357"/>
        <v/>
      </c>
      <c r="F358" s="41" t="str">
        <f t="shared" si="357"/>
        <v/>
      </c>
      <c r="G358" s="41" t="str">
        <f t="shared" si="357"/>
        <v/>
      </c>
      <c r="H358" s="41" t="str">
        <f t="shared" si="357"/>
        <v/>
      </c>
      <c r="I358" s="41" t="str">
        <f t="shared" si="357"/>
        <v/>
      </c>
      <c r="J358" s="41" t="str">
        <f t="shared" si="357"/>
        <v/>
      </c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67.5" customHeight="1">
      <c r="A359" s="39"/>
      <c r="B359" s="43" t="str">
        <f>IFERROR(__xludf.DUMMYFUNCTION("IFERROR(
  LET(
    periodos, C$1:Z$1,
    marcas, C359:Z359,
    pos, MAX(
          FILTER(
            COLUMN(marcas)-COLUMN(C359)+1,
            marcas=""X""
          )
        ),
    ultimo, INDEX(periodos, pos),
    XLOOKUP(
      $A359,
      INDI"&amp;"RECT(""'""&amp;ultimo&amp;""'!C:C""),
      INDIRECT(""'""&amp;ultimo&amp;""'!A:A"")
    )
  ),
  """"
)"),"")</f>
        <v/>
      </c>
      <c r="C359" s="41" t="str">
        <f t="shared" ref="C359:J359" si="358">IF(
  COUNTIF(
    INDIRECT("'"&amp;C$1&amp;"'!C:C"),
    $A359
  )&gt;0,
  "X",
  ""
)</f>
        <v/>
      </c>
      <c r="D359" s="41" t="str">
        <f t="shared" si="358"/>
        <v/>
      </c>
      <c r="E359" s="41" t="str">
        <f t="shared" si="358"/>
        <v/>
      </c>
      <c r="F359" s="41" t="str">
        <f t="shared" si="358"/>
        <v/>
      </c>
      <c r="G359" s="41" t="str">
        <f t="shared" si="358"/>
        <v/>
      </c>
      <c r="H359" s="41" t="str">
        <f t="shared" si="358"/>
        <v/>
      </c>
      <c r="I359" s="41" t="str">
        <f t="shared" si="358"/>
        <v/>
      </c>
      <c r="J359" s="41" t="str">
        <f t="shared" si="358"/>
        <v/>
      </c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67.5" customHeight="1">
      <c r="A360" s="39"/>
      <c r="B360" s="43" t="str">
        <f>IFERROR(__xludf.DUMMYFUNCTION("IFERROR(
  LET(
    periodos, C$1:Z$1,
    marcas, C360:Z360,
    pos, MAX(
          FILTER(
            COLUMN(marcas)-COLUMN(C360)+1,
            marcas=""X""
          )
        ),
    ultimo, INDEX(periodos, pos),
    XLOOKUP(
      $A360,
      INDI"&amp;"RECT(""'""&amp;ultimo&amp;""'!C:C""),
      INDIRECT(""'""&amp;ultimo&amp;""'!A:A"")
    )
  ),
  """"
)"),"")</f>
        <v/>
      </c>
      <c r="C360" s="41" t="str">
        <f t="shared" ref="C360:J360" si="359">IF(
  COUNTIF(
    INDIRECT("'"&amp;C$1&amp;"'!C:C"),
    $A360
  )&gt;0,
  "X",
  ""
)</f>
        <v/>
      </c>
      <c r="D360" s="41" t="str">
        <f t="shared" si="359"/>
        <v/>
      </c>
      <c r="E360" s="41" t="str">
        <f t="shared" si="359"/>
        <v/>
      </c>
      <c r="F360" s="41" t="str">
        <f t="shared" si="359"/>
        <v/>
      </c>
      <c r="G360" s="41" t="str">
        <f t="shared" si="359"/>
        <v/>
      </c>
      <c r="H360" s="41" t="str">
        <f t="shared" si="359"/>
        <v/>
      </c>
      <c r="I360" s="41" t="str">
        <f t="shared" si="359"/>
        <v/>
      </c>
      <c r="J360" s="41" t="str">
        <f t="shared" si="359"/>
        <v/>
      </c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67.5" customHeight="1">
      <c r="A361" s="39"/>
      <c r="B361" s="43" t="str">
        <f>IFERROR(__xludf.DUMMYFUNCTION("IFERROR(
  LET(
    periodos, C$1:Z$1,
    marcas, C361:Z361,
    pos, MAX(
          FILTER(
            COLUMN(marcas)-COLUMN(C361)+1,
            marcas=""X""
          )
        ),
    ultimo, INDEX(periodos, pos),
    XLOOKUP(
      $A361,
      INDI"&amp;"RECT(""'""&amp;ultimo&amp;""'!C:C""),
      INDIRECT(""'""&amp;ultimo&amp;""'!A:A"")
    )
  ),
  """"
)"),"")</f>
        <v/>
      </c>
      <c r="C361" s="41" t="str">
        <f t="shared" ref="C361:J361" si="360">IF(
  COUNTIF(
    INDIRECT("'"&amp;C$1&amp;"'!C:C"),
    $A361
  )&gt;0,
  "X",
  ""
)</f>
        <v/>
      </c>
      <c r="D361" s="41" t="str">
        <f t="shared" si="360"/>
        <v/>
      </c>
      <c r="E361" s="41" t="str">
        <f t="shared" si="360"/>
        <v/>
      </c>
      <c r="F361" s="41" t="str">
        <f t="shared" si="360"/>
        <v/>
      </c>
      <c r="G361" s="41" t="str">
        <f t="shared" si="360"/>
        <v/>
      </c>
      <c r="H361" s="41" t="str">
        <f t="shared" si="360"/>
        <v/>
      </c>
      <c r="I361" s="41" t="str">
        <f t="shared" si="360"/>
        <v/>
      </c>
      <c r="J361" s="41" t="str">
        <f t="shared" si="360"/>
        <v/>
      </c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67.5" customHeight="1">
      <c r="A362" s="39"/>
      <c r="B362" s="43" t="str">
        <f>IFERROR(__xludf.DUMMYFUNCTION("IFERROR(
  LET(
    periodos, C$1:Z$1,
    marcas, C362:Z362,
    pos, MAX(
          FILTER(
            COLUMN(marcas)-COLUMN(C362)+1,
            marcas=""X""
          )
        ),
    ultimo, INDEX(periodos, pos),
    XLOOKUP(
      $A362,
      INDI"&amp;"RECT(""'""&amp;ultimo&amp;""'!C:C""),
      INDIRECT(""'""&amp;ultimo&amp;""'!A:A"")
    )
  ),
  """"
)"),"")</f>
        <v/>
      </c>
      <c r="C362" s="41" t="str">
        <f t="shared" ref="C362:J362" si="361">IF(
  COUNTIF(
    INDIRECT("'"&amp;C$1&amp;"'!C:C"),
    $A362
  )&gt;0,
  "X",
  ""
)</f>
        <v/>
      </c>
      <c r="D362" s="41" t="str">
        <f t="shared" si="361"/>
        <v/>
      </c>
      <c r="E362" s="41" t="str">
        <f t="shared" si="361"/>
        <v/>
      </c>
      <c r="F362" s="41" t="str">
        <f t="shared" si="361"/>
        <v/>
      </c>
      <c r="G362" s="41" t="str">
        <f t="shared" si="361"/>
        <v/>
      </c>
      <c r="H362" s="41" t="str">
        <f t="shared" si="361"/>
        <v/>
      </c>
      <c r="I362" s="41" t="str">
        <f t="shared" si="361"/>
        <v/>
      </c>
      <c r="J362" s="41" t="str">
        <f t="shared" si="361"/>
        <v/>
      </c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67.5" customHeight="1">
      <c r="A363" s="39"/>
      <c r="B363" s="43" t="str">
        <f>IFERROR(__xludf.DUMMYFUNCTION("IFERROR(
  LET(
    periodos, C$1:Z$1,
    marcas, C363:Z363,
    pos, MAX(
          FILTER(
            COLUMN(marcas)-COLUMN(C363)+1,
            marcas=""X""
          )
        ),
    ultimo, INDEX(periodos, pos),
    XLOOKUP(
      $A363,
      INDI"&amp;"RECT(""'""&amp;ultimo&amp;""'!C:C""),
      INDIRECT(""'""&amp;ultimo&amp;""'!A:A"")
    )
  ),
  """"
)"),"")</f>
        <v/>
      </c>
      <c r="C363" s="41" t="str">
        <f t="shared" ref="C363:J363" si="362">IF(
  COUNTIF(
    INDIRECT("'"&amp;C$1&amp;"'!C:C"),
    $A363
  )&gt;0,
  "X",
  ""
)</f>
        <v/>
      </c>
      <c r="D363" s="41" t="str">
        <f t="shared" si="362"/>
        <v/>
      </c>
      <c r="E363" s="41" t="str">
        <f t="shared" si="362"/>
        <v/>
      </c>
      <c r="F363" s="41" t="str">
        <f t="shared" si="362"/>
        <v/>
      </c>
      <c r="G363" s="41" t="str">
        <f t="shared" si="362"/>
        <v/>
      </c>
      <c r="H363" s="41" t="str">
        <f t="shared" si="362"/>
        <v/>
      </c>
      <c r="I363" s="41" t="str">
        <f t="shared" si="362"/>
        <v/>
      </c>
      <c r="J363" s="41" t="str">
        <f t="shared" si="362"/>
        <v/>
      </c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67.5" customHeight="1">
      <c r="A364" s="39"/>
      <c r="B364" s="43" t="str">
        <f>IFERROR(__xludf.DUMMYFUNCTION("IFERROR(
  LET(
    periodos, C$1:Z$1,
    marcas, C364:Z364,
    pos, MAX(
          FILTER(
            COLUMN(marcas)-COLUMN(C364)+1,
            marcas=""X""
          )
        ),
    ultimo, INDEX(periodos, pos),
    XLOOKUP(
      $A364,
      INDI"&amp;"RECT(""'""&amp;ultimo&amp;""'!C:C""),
      INDIRECT(""'""&amp;ultimo&amp;""'!A:A"")
    )
  ),
  """"
)"),"")</f>
        <v/>
      </c>
      <c r="C364" s="41" t="str">
        <f t="shared" ref="C364:J364" si="363">IF(
  COUNTIF(
    INDIRECT("'"&amp;C$1&amp;"'!C:C"),
    $A364
  )&gt;0,
  "X",
  ""
)</f>
        <v/>
      </c>
      <c r="D364" s="41" t="str">
        <f t="shared" si="363"/>
        <v/>
      </c>
      <c r="E364" s="41" t="str">
        <f t="shared" si="363"/>
        <v/>
      </c>
      <c r="F364" s="41" t="str">
        <f t="shared" si="363"/>
        <v/>
      </c>
      <c r="G364" s="41" t="str">
        <f t="shared" si="363"/>
        <v/>
      </c>
      <c r="H364" s="41" t="str">
        <f t="shared" si="363"/>
        <v/>
      </c>
      <c r="I364" s="41" t="str">
        <f t="shared" si="363"/>
        <v/>
      </c>
      <c r="J364" s="41" t="str">
        <f t="shared" si="363"/>
        <v/>
      </c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67.5" customHeight="1">
      <c r="A365" s="39"/>
      <c r="B365" s="43" t="str">
        <f>IFERROR(__xludf.DUMMYFUNCTION("IFERROR(
  LET(
    periodos, C$1:Z$1,
    marcas, C365:Z365,
    pos, MAX(
          FILTER(
            COLUMN(marcas)-COLUMN(C365)+1,
            marcas=""X""
          )
        ),
    ultimo, INDEX(periodos, pos),
    XLOOKUP(
      $A365,
      INDI"&amp;"RECT(""'""&amp;ultimo&amp;""'!C:C""),
      INDIRECT(""'""&amp;ultimo&amp;""'!A:A"")
    )
  ),
  """"
)"),"")</f>
        <v/>
      </c>
      <c r="C365" s="41" t="str">
        <f t="shared" ref="C365:J365" si="364">IF(
  COUNTIF(
    INDIRECT("'"&amp;C$1&amp;"'!C:C"),
    $A365
  )&gt;0,
  "X",
  ""
)</f>
        <v/>
      </c>
      <c r="D365" s="41" t="str">
        <f t="shared" si="364"/>
        <v/>
      </c>
      <c r="E365" s="41" t="str">
        <f t="shared" si="364"/>
        <v/>
      </c>
      <c r="F365" s="41" t="str">
        <f t="shared" si="364"/>
        <v/>
      </c>
      <c r="G365" s="41" t="str">
        <f t="shared" si="364"/>
        <v/>
      </c>
      <c r="H365" s="41" t="str">
        <f t="shared" si="364"/>
        <v/>
      </c>
      <c r="I365" s="41" t="str">
        <f t="shared" si="364"/>
        <v/>
      </c>
      <c r="J365" s="41" t="str">
        <f t="shared" si="364"/>
        <v/>
      </c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67.5" customHeight="1">
      <c r="A366" s="39"/>
      <c r="B366" s="43" t="str">
        <f>IFERROR(__xludf.DUMMYFUNCTION("IFERROR(
  LET(
    periodos, C$1:Z$1,
    marcas, C366:Z366,
    pos, MAX(
          FILTER(
            COLUMN(marcas)-COLUMN(C366)+1,
            marcas=""X""
          )
        ),
    ultimo, INDEX(periodos, pos),
    XLOOKUP(
      $A366,
      INDI"&amp;"RECT(""'""&amp;ultimo&amp;""'!C:C""),
      INDIRECT(""'""&amp;ultimo&amp;""'!A:A"")
    )
  ),
  """"
)"),"")</f>
        <v/>
      </c>
      <c r="C366" s="41" t="str">
        <f t="shared" ref="C366:J366" si="365">IF(
  COUNTIF(
    INDIRECT("'"&amp;C$1&amp;"'!C:C"),
    $A366
  )&gt;0,
  "X",
  ""
)</f>
        <v/>
      </c>
      <c r="D366" s="41" t="str">
        <f t="shared" si="365"/>
        <v/>
      </c>
      <c r="E366" s="41" t="str">
        <f t="shared" si="365"/>
        <v/>
      </c>
      <c r="F366" s="41" t="str">
        <f t="shared" si="365"/>
        <v/>
      </c>
      <c r="G366" s="41" t="str">
        <f t="shared" si="365"/>
        <v/>
      </c>
      <c r="H366" s="41" t="str">
        <f t="shared" si="365"/>
        <v/>
      </c>
      <c r="I366" s="41" t="str">
        <f t="shared" si="365"/>
        <v/>
      </c>
      <c r="J366" s="41" t="str">
        <f t="shared" si="365"/>
        <v/>
      </c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67.5" customHeight="1">
      <c r="A367" s="39"/>
      <c r="B367" s="43" t="str">
        <f>IFERROR(__xludf.DUMMYFUNCTION("IFERROR(
  LET(
    periodos, C$1:Z$1,
    marcas, C367:Z367,
    pos, MAX(
          FILTER(
            COLUMN(marcas)-COLUMN(C367)+1,
            marcas=""X""
          )
        ),
    ultimo, INDEX(periodos, pos),
    XLOOKUP(
      $A367,
      INDI"&amp;"RECT(""'""&amp;ultimo&amp;""'!C:C""),
      INDIRECT(""'""&amp;ultimo&amp;""'!A:A"")
    )
  ),
  """"
)"),"")</f>
        <v/>
      </c>
      <c r="C367" s="41" t="str">
        <f t="shared" ref="C367:J367" si="366">IF(
  COUNTIF(
    INDIRECT("'"&amp;C$1&amp;"'!C:C"),
    $A367
  )&gt;0,
  "X",
  ""
)</f>
        <v/>
      </c>
      <c r="D367" s="41" t="str">
        <f t="shared" si="366"/>
        <v/>
      </c>
      <c r="E367" s="41" t="str">
        <f t="shared" si="366"/>
        <v/>
      </c>
      <c r="F367" s="41" t="str">
        <f t="shared" si="366"/>
        <v/>
      </c>
      <c r="G367" s="41" t="str">
        <f t="shared" si="366"/>
        <v/>
      </c>
      <c r="H367" s="41" t="str">
        <f t="shared" si="366"/>
        <v/>
      </c>
      <c r="I367" s="41" t="str">
        <f t="shared" si="366"/>
        <v/>
      </c>
      <c r="J367" s="41" t="str">
        <f t="shared" si="366"/>
        <v/>
      </c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67.5" customHeight="1">
      <c r="A368" s="39"/>
      <c r="B368" s="43" t="str">
        <f>IFERROR(__xludf.DUMMYFUNCTION("IFERROR(
  LET(
    periodos, C$1:Z$1,
    marcas, C368:Z368,
    pos, MAX(
          FILTER(
            COLUMN(marcas)-COLUMN(C368)+1,
            marcas=""X""
          )
        ),
    ultimo, INDEX(periodos, pos),
    XLOOKUP(
      $A368,
      INDI"&amp;"RECT(""'""&amp;ultimo&amp;""'!C:C""),
      INDIRECT(""'""&amp;ultimo&amp;""'!A:A"")
    )
  ),
  """"
)"),"")</f>
        <v/>
      </c>
      <c r="C368" s="41" t="str">
        <f t="shared" ref="C368:J368" si="367">IF(
  COUNTIF(
    INDIRECT("'"&amp;C$1&amp;"'!C:C"),
    $A368
  )&gt;0,
  "X",
  ""
)</f>
        <v/>
      </c>
      <c r="D368" s="41" t="str">
        <f t="shared" si="367"/>
        <v/>
      </c>
      <c r="E368" s="41" t="str">
        <f t="shared" si="367"/>
        <v/>
      </c>
      <c r="F368" s="41" t="str">
        <f t="shared" si="367"/>
        <v/>
      </c>
      <c r="G368" s="41" t="str">
        <f t="shared" si="367"/>
        <v/>
      </c>
      <c r="H368" s="41" t="str">
        <f t="shared" si="367"/>
        <v/>
      </c>
      <c r="I368" s="41" t="str">
        <f t="shared" si="367"/>
        <v/>
      </c>
      <c r="J368" s="41" t="str">
        <f t="shared" si="367"/>
        <v/>
      </c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67.5" customHeight="1">
      <c r="A369" s="39"/>
      <c r="B369" s="43" t="str">
        <f>IFERROR(__xludf.DUMMYFUNCTION("IFERROR(
  LET(
    periodos, C$1:Z$1,
    marcas, C369:Z369,
    pos, MAX(
          FILTER(
            COLUMN(marcas)-COLUMN(C369)+1,
            marcas=""X""
          )
        ),
    ultimo, INDEX(periodos, pos),
    XLOOKUP(
      $A369,
      INDI"&amp;"RECT(""'""&amp;ultimo&amp;""'!C:C""),
      INDIRECT(""'""&amp;ultimo&amp;""'!A:A"")
    )
  ),
  """"
)"),"")</f>
        <v/>
      </c>
      <c r="C369" s="41" t="str">
        <f t="shared" ref="C369:J369" si="368">IF(
  COUNTIF(
    INDIRECT("'"&amp;C$1&amp;"'!C:C"),
    $A369
  )&gt;0,
  "X",
  ""
)</f>
        <v/>
      </c>
      <c r="D369" s="41" t="str">
        <f t="shared" si="368"/>
        <v/>
      </c>
      <c r="E369" s="41" t="str">
        <f t="shared" si="368"/>
        <v/>
      </c>
      <c r="F369" s="41" t="str">
        <f t="shared" si="368"/>
        <v/>
      </c>
      <c r="G369" s="41" t="str">
        <f t="shared" si="368"/>
        <v/>
      </c>
      <c r="H369" s="41" t="str">
        <f t="shared" si="368"/>
        <v/>
      </c>
      <c r="I369" s="41" t="str">
        <f t="shared" si="368"/>
        <v/>
      </c>
      <c r="J369" s="41" t="str">
        <f t="shared" si="368"/>
        <v/>
      </c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67.5" customHeight="1">
      <c r="A370" s="39"/>
      <c r="B370" s="43" t="str">
        <f>IFERROR(__xludf.DUMMYFUNCTION("IFERROR(
  LET(
    periodos, C$1:Z$1,
    marcas, C370:Z370,
    pos, MAX(
          FILTER(
            COLUMN(marcas)-COLUMN(C370)+1,
            marcas=""X""
          )
        ),
    ultimo, INDEX(periodos, pos),
    XLOOKUP(
      $A370,
      INDI"&amp;"RECT(""'""&amp;ultimo&amp;""'!C:C""),
      INDIRECT(""'""&amp;ultimo&amp;""'!A:A"")
    )
  ),
  """"
)"),"")</f>
        <v/>
      </c>
      <c r="C370" s="41" t="str">
        <f t="shared" ref="C370:J370" si="369">IF(
  COUNTIF(
    INDIRECT("'"&amp;C$1&amp;"'!C:C"),
    $A370
  )&gt;0,
  "X",
  ""
)</f>
        <v/>
      </c>
      <c r="D370" s="41" t="str">
        <f t="shared" si="369"/>
        <v/>
      </c>
      <c r="E370" s="41" t="str">
        <f t="shared" si="369"/>
        <v/>
      </c>
      <c r="F370" s="41" t="str">
        <f t="shared" si="369"/>
        <v/>
      </c>
      <c r="G370" s="41" t="str">
        <f t="shared" si="369"/>
        <v/>
      </c>
      <c r="H370" s="41" t="str">
        <f t="shared" si="369"/>
        <v/>
      </c>
      <c r="I370" s="41" t="str">
        <f t="shared" si="369"/>
        <v/>
      </c>
      <c r="J370" s="41" t="str">
        <f t="shared" si="369"/>
        <v/>
      </c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67.5" customHeight="1">
      <c r="A371" s="39"/>
      <c r="B371" s="43" t="str">
        <f>IFERROR(__xludf.DUMMYFUNCTION("IFERROR(
  LET(
    periodos, C$1:Z$1,
    marcas, C371:Z371,
    pos, MAX(
          FILTER(
            COLUMN(marcas)-COLUMN(C371)+1,
            marcas=""X""
          )
        ),
    ultimo, INDEX(periodos, pos),
    XLOOKUP(
      $A371,
      INDI"&amp;"RECT(""'""&amp;ultimo&amp;""'!C:C""),
      INDIRECT(""'""&amp;ultimo&amp;""'!A:A"")
    )
  ),
  """"
)"),"")</f>
        <v/>
      </c>
      <c r="C371" s="41" t="str">
        <f t="shared" ref="C371:J371" si="370">IF(
  COUNTIF(
    INDIRECT("'"&amp;C$1&amp;"'!C:C"),
    $A371
  )&gt;0,
  "X",
  ""
)</f>
        <v/>
      </c>
      <c r="D371" s="41" t="str">
        <f t="shared" si="370"/>
        <v/>
      </c>
      <c r="E371" s="41" t="str">
        <f t="shared" si="370"/>
        <v/>
      </c>
      <c r="F371" s="41" t="str">
        <f t="shared" si="370"/>
        <v/>
      </c>
      <c r="G371" s="41" t="str">
        <f t="shared" si="370"/>
        <v/>
      </c>
      <c r="H371" s="41" t="str">
        <f t="shared" si="370"/>
        <v/>
      </c>
      <c r="I371" s="41" t="str">
        <f t="shared" si="370"/>
        <v/>
      </c>
      <c r="J371" s="41" t="str">
        <f t="shared" si="370"/>
        <v/>
      </c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67.5" customHeight="1">
      <c r="A372" s="39"/>
      <c r="B372" s="43" t="str">
        <f>IFERROR(__xludf.DUMMYFUNCTION("IFERROR(
  LET(
    periodos, C$1:Z$1,
    marcas, C372:Z372,
    pos, MAX(
          FILTER(
            COLUMN(marcas)-COLUMN(C372)+1,
            marcas=""X""
          )
        ),
    ultimo, INDEX(periodos, pos),
    XLOOKUP(
      $A372,
      INDI"&amp;"RECT(""'""&amp;ultimo&amp;""'!C:C""),
      INDIRECT(""'""&amp;ultimo&amp;""'!A:A"")
    )
  ),
  """"
)"),"")</f>
        <v/>
      </c>
      <c r="C372" s="41" t="str">
        <f t="shared" ref="C372:J372" si="371">IF(
  COUNTIF(
    INDIRECT("'"&amp;C$1&amp;"'!C:C"),
    $A372
  )&gt;0,
  "X",
  ""
)</f>
        <v/>
      </c>
      <c r="D372" s="41" t="str">
        <f t="shared" si="371"/>
        <v/>
      </c>
      <c r="E372" s="41" t="str">
        <f t="shared" si="371"/>
        <v/>
      </c>
      <c r="F372" s="41" t="str">
        <f t="shared" si="371"/>
        <v/>
      </c>
      <c r="G372" s="41" t="str">
        <f t="shared" si="371"/>
        <v/>
      </c>
      <c r="H372" s="41" t="str">
        <f t="shared" si="371"/>
        <v/>
      </c>
      <c r="I372" s="41" t="str">
        <f t="shared" si="371"/>
        <v/>
      </c>
      <c r="J372" s="41" t="str">
        <f t="shared" si="371"/>
        <v/>
      </c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67.5" customHeight="1">
      <c r="A373" s="39"/>
      <c r="B373" s="43" t="str">
        <f>IFERROR(__xludf.DUMMYFUNCTION("IFERROR(
  LET(
    periodos, C$1:Z$1,
    marcas, C373:Z373,
    pos, MAX(
          FILTER(
            COLUMN(marcas)-COLUMN(C373)+1,
            marcas=""X""
          )
        ),
    ultimo, INDEX(periodos, pos),
    XLOOKUP(
      $A373,
      INDI"&amp;"RECT(""'""&amp;ultimo&amp;""'!C:C""),
      INDIRECT(""'""&amp;ultimo&amp;""'!A:A"")
    )
  ),
  """"
)"),"")</f>
        <v/>
      </c>
      <c r="C373" s="41" t="str">
        <f t="shared" ref="C373:J373" si="372">IF(
  COUNTIF(
    INDIRECT("'"&amp;C$1&amp;"'!C:C"),
    $A373
  )&gt;0,
  "X",
  ""
)</f>
        <v/>
      </c>
      <c r="D373" s="41" t="str">
        <f t="shared" si="372"/>
        <v/>
      </c>
      <c r="E373" s="41" t="str">
        <f t="shared" si="372"/>
        <v/>
      </c>
      <c r="F373" s="41" t="str">
        <f t="shared" si="372"/>
        <v/>
      </c>
      <c r="G373" s="41" t="str">
        <f t="shared" si="372"/>
        <v/>
      </c>
      <c r="H373" s="41" t="str">
        <f t="shared" si="372"/>
        <v/>
      </c>
      <c r="I373" s="41" t="str">
        <f t="shared" si="372"/>
        <v/>
      </c>
      <c r="J373" s="41" t="str">
        <f t="shared" si="372"/>
        <v/>
      </c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67.5" customHeight="1">
      <c r="A374" s="39"/>
      <c r="B374" s="43" t="str">
        <f>IFERROR(__xludf.DUMMYFUNCTION("IFERROR(
  LET(
    periodos, C$1:Z$1,
    marcas, C374:Z374,
    pos, MAX(
          FILTER(
            COLUMN(marcas)-COLUMN(C374)+1,
            marcas=""X""
          )
        ),
    ultimo, INDEX(periodos, pos),
    XLOOKUP(
      $A374,
      INDI"&amp;"RECT(""'""&amp;ultimo&amp;""'!C:C""),
      INDIRECT(""'""&amp;ultimo&amp;""'!A:A"")
    )
  ),
  """"
)"),"")</f>
        <v/>
      </c>
      <c r="C374" s="41" t="str">
        <f t="shared" ref="C374:J374" si="373">IF(
  COUNTIF(
    INDIRECT("'"&amp;C$1&amp;"'!C:C"),
    $A374
  )&gt;0,
  "X",
  ""
)</f>
        <v/>
      </c>
      <c r="D374" s="41" t="str">
        <f t="shared" si="373"/>
        <v/>
      </c>
      <c r="E374" s="41" t="str">
        <f t="shared" si="373"/>
        <v/>
      </c>
      <c r="F374" s="41" t="str">
        <f t="shared" si="373"/>
        <v/>
      </c>
      <c r="G374" s="41" t="str">
        <f t="shared" si="373"/>
        <v/>
      </c>
      <c r="H374" s="41" t="str">
        <f t="shared" si="373"/>
        <v/>
      </c>
      <c r="I374" s="41" t="str">
        <f t="shared" si="373"/>
        <v/>
      </c>
      <c r="J374" s="41" t="str">
        <f t="shared" si="373"/>
        <v/>
      </c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67.5" customHeight="1">
      <c r="A375" s="39"/>
      <c r="B375" s="43" t="str">
        <f>IFERROR(__xludf.DUMMYFUNCTION("IFERROR(
  LET(
    periodos, C$1:Z$1,
    marcas, C375:Z375,
    pos, MAX(
          FILTER(
            COLUMN(marcas)-COLUMN(C375)+1,
            marcas=""X""
          )
        ),
    ultimo, INDEX(periodos, pos),
    XLOOKUP(
      $A375,
      INDI"&amp;"RECT(""'""&amp;ultimo&amp;""'!C:C""),
      INDIRECT(""'""&amp;ultimo&amp;""'!A:A"")
    )
  ),
  """"
)"),"")</f>
        <v/>
      </c>
      <c r="C375" s="41" t="str">
        <f t="shared" ref="C375:J375" si="374">IF(
  COUNTIF(
    INDIRECT("'"&amp;C$1&amp;"'!C:C"),
    $A375
  )&gt;0,
  "X",
  ""
)</f>
        <v/>
      </c>
      <c r="D375" s="41" t="str">
        <f t="shared" si="374"/>
        <v/>
      </c>
      <c r="E375" s="41" t="str">
        <f t="shared" si="374"/>
        <v/>
      </c>
      <c r="F375" s="41" t="str">
        <f t="shared" si="374"/>
        <v/>
      </c>
      <c r="G375" s="41" t="str">
        <f t="shared" si="374"/>
        <v/>
      </c>
      <c r="H375" s="41" t="str">
        <f t="shared" si="374"/>
        <v/>
      </c>
      <c r="I375" s="41" t="str">
        <f t="shared" si="374"/>
        <v/>
      </c>
      <c r="J375" s="41" t="str">
        <f t="shared" si="374"/>
        <v/>
      </c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67.5" customHeight="1">
      <c r="A376" s="39"/>
      <c r="B376" s="43" t="str">
        <f>IFERROR(__xludf.DUMMYFUNCTION("IFERROR(
  LET(
    periodos, C$1:Z$1,
    marcas, C376:Z376,
    pos, MAX(
          FILTER(
            COLUMN(marcas)-COLUMN(C376)+1,
            marcas=""X""
          )
        ),
    ultimo, INDEX(periodos, pos),
    XLOOKUP(
      $A376,
      INDI"&amp;"RECT(""'""&amp;ultimo&amp;""'!C:C""),
      INDIRECT(""'""&amp;ultimo&amp;""'!A:A"")
    )
  ),
  """"
)"),"")</f>
        <v/>
      </c>
      <c r="C376" s="41" t="str">
        <f t="shared" ref="C376:J376" si="375">IF(
  COUNTIF(
    INDIRECT("'"&amp;C$1&amp;"'!C:C"),
    $A376
  )&gt;0,
  "X",
  ""
)</f>
        <v/>
      </c>
      <c r="D376" s="41" t="str">
        <f t="shared" si="375"/>
        <v/>
      </c>
      <c r="E376" s="41" t="str">
        <f t="shared" si="375"/>
        <v/>
      </c>
      <c r="F376" s="41" t="str">
        <f t="shared" si="375"/>
        <v/>
      </c>
      <c r="G376" s="41" t="str">
        <f t="shared" si="375"/>
        <v/>
      </c>
      <c r="H376" s="41" t="str">
        <f t="shared" si="375"/>
        <v/>
      </c>
      <c r="I376" s="41" t="str">
        <f t="shared" si="375"/>
        <v/>
      </c>
      <c r="J376" s="41" t="str">
        <f t="shared" si="375"/>
        <v/>
      </c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67.5" customHeight="1">
      <c r="A377" s="39"/>
      <c r="B377" s="43" t="str">
        <f>IFERROR(__xludf.DUMMYFUNCTION("IFERROR(
  LET(
    periodos, C$1:Z$1,
    marcas, C377:Z377,
    pos, MAX(
          FILTER(
            COLUMN(marcas)-COLUMN(C377)+1,
            marcas=""X""
          )
        ),
    ultimo, INDEX(periodos, pos),
    XLOOKUP(
      $A377,
      INDI"&amp;"RECT(""'""&amp;ultimo&amp;""'!C:C""),
      INDIRECT(""'""&amp;ultimo&amp;""'!A:A"")
    )
  ),
  """"
)"),"")</f>
        <v/>
      </c>
      <c r="C377" s="41" t="str">
        <f t="shared" ref="C377:J377" si="376">IF(
  COUNTIF(
    INDIRECT("'"&amp;C$1&amp;"'!C:C"),
    $A377
  )&gt;0,
  "X",
  ""
)</f>
        <v/>
      </c>
      <c r="D377" s="41" t="str">
        <f t="shared" si="376"/>
        <v/>
      </c>
      <c r="E377" s="41" t="str">
        <f t="shared" si="376"/>
        <v/>
      </c>
      <c r="F377" s="41" t="str">
        <f t="shared" si="376"/>
        <v/>
      </c>
      <c r="G377" s="41" t="str">
        <f t="shared" si="376"/>
        <v/>
      </c>
      <c r="H377" s="41" t="str">
        <f t="shared" si="376"/>
        <v/>
      </c>
      <c r="I377" s="41" t="str">
        <f t="shared" si="376"/>
        <v/>
      </c>
      <c r="J377" s="41" t="str">
        <f t="shared" si="376"/>
        <v/>
      </c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67.5" customHeight="1">
      <c r="A378" s="39"/>
      <c r="B378" s="43" t="str">
        <f>IFERROR(__xludf.DUMMYFUNCTION("IFERROR(
  LET(
    periodos, C$1:Z$1,
    marcas, C378:Z378,
    pos, MAX(
          FILTER(
            COLUMN(marcas)-COLUMN(C378)+1,
            marcas=""X""
          )
        ),
    ultimo, INDEX(periodos, pos),
    XLOOKUP(
      $A378,
      INDI"&amp;"RECT(""'""&amp;ultimo&amp;""'!C:C""),
      INDIRECT(""'""&amp;ultimo&amp;""'!A:A"")
    )
  ),
  """"
)"),"")</f>
        <v/>
      </c>
      <c r="C378" s="41" t="str">
        <f t="shared" ref="C378:J378" si="377">IF(
  COUNTIF(
    INDIRECT("'"&amp;C$1&amp;"'!C:C"),
    $A378
  )&gt;0,
  "X",
  ""
)</f>
        <v/>
      </c>
      <c r="D378" s="41" t="str">
        <f t="shared" si="377"/>
        <v/>
      </c>
      <c r="E378" s="41" t="str">
        <f t="shared" si="377"/>
        <v/>
      </c>
      <c r="F378" s="41" t="str">
        <f t="shared" si="377"/>
        <v/>
      </c>
      <c r="G378" s="41" t="str">
        <f t="shared" si="377"/>
        <v/>
      </c>
      <c r="H378" s="41" t="str">
        <f t="shared" si="377"/>
        <v/>
      </c>
      <c r="I378" s="41" t="str">
        <f t="shared" si="377"/>
        <v/>
      </c>
      <c r="J378" s="41" t="str">
        <f t="shared" si="377"/>
        <v/>
      </c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67.5" customHeight="1">
      <c r="A379" s="39"/>
      <c r="B379" s="43" t="str">
        <f>IFERROR(__xludf.DUMMYFUNCTION("IFERROR(
  LET(
    periodos, C$1:Z$1,
    marcas, C379:Z379,
    pos, MAX(
          FILTER(
            COLUMN(marcas)-COLUMN(C379)+1,
            marcas=""X""
          )
        ),
    ultimo, INDEX(periodos, pos),
    XLOOKUP(
      $A379,
      INDI"&amp;"RECT(""'""&amp;ultimo&amp;""'!C:C""),
      INDIRECT(""'""&amp;ultimo&amp;""'!A:A"")
    )
  ),
  """"
)"),"")</f>
        <v/>
      </c>
      <c r="C379" s="41" t="str">
        <f t="shared" ref="C379:J379" si="378">IF(
  COUNTIF(
    INDIRECT("'"&amp;C$1&amp;"'!C:C"),
    $A379
  )&gt;0,
  "X",
  ""
)</f>
        <v/>
      </c>
      <c r="D379" s="41" t="str">
        <f t="shared" si="378"/>
        <v/>
      </c>
      <c r="E379" s="41" t="str">
        <f t="shared" si="378"/>
        <v/>
      </c>
      <c r="F379" s="41" t="str">
        <f t="shared" si="378"/>
        <v/>
      </c>
      <c r="G379" s="41" t="str">
        <f t="shared" si="378"/>
        <v/>
      </c>
      <c r="H379" s="41" t="str">
        <f t="shared" si="378"/>
        <v/>
      </c>
      <c r="I379" s="41" t="str">
        <f t="shared" si="378"/>
        <v/>
      </c>
      <c r="J379" s="41" t="str">
        <f t="shared" si="378"/>
        <v/>
      </c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67.5" customHeight="1">
      <c r="A380" s="39"/>
      <c r="B380" s="43" t="str">
        <f>IFERROR(__xludf.DUMMYFUNCTION("IFERROR(
  LET(
    periodos, C$1:Z$1,
    marcas, C380:Z380,
    pos, MAX(
          FILTER(
            COLUMN(marcas)-COLUMN(C380)+1,
            marcas=""X""
          )
        ),
    ultimo, INDEX(periodos, pos),
    XLOOKUP(
      $A380,
      INDI"&amp;"RECT(""'""&amp;ultimo&amp;""'!C:C""),
      INDIRECT(""'""&amp;ultimo&amp;""'!A:A"")
    )
  ),
  """"
)"),"")</f>
        <v/>
      </c>
      <c r="C380" s="41" t="str">
        <f t="shared" ref="C380:J380" si="379">IF(
  COUNTIF(
    INDIRECT("'"&amp;C$1&amp;"'!C:C"),
    $A380
  )&gt;0,
  "X",
  ""
)</f>
        <v/>
      </c>
      <c r="D380" s="41" t="str">
        <f t="shared" si="379"/>
        <v/>
      </c>
      <c r="E380" s="41" t="str">
        <f t="shared" si="379"/>
        <v/>
      </c>
      <c r="F380" s="41" t="str">
        <f t="shared" si="379"/>
        <v/>
      </c>
      <c r="G380" s="41" t="str">
        <f t="shared" si="379"/>
        <v/>
      </c>
      <c r="H380" s="41" t="str">
        <f t="shared" si="379"/>
        <v/>
      </c>
      <c r="I380" s="41" t="str">
        <f t="shared" si="379"/>
        <v/>
      </c>
      <c r="J380" s="41" t="str">
        <f t="shared" si="379"/>
        <v/>
      </c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67.5" customHeight="1">
      <c r="A381" s="39"/>
      <c r="B381" s="43" t="str">
        <f>IFERROR(__xludf.DUMMYFUNCTION("IFERROR(
  LET(
    periodos, C$1:Z$1,
    marcas, C381:Z381,
    pos, MAX(
          FILTER(
            COLUMN(marcas)-COLUMN(C381)+1,
            marcas=""X""
          )
        ),
    ultimo, INDEX(periodos, pos),
    XLOOKUP(
      $A381,
      INDI"&amp;"RECT(""'""&amp;ultimo&amp;""'!C:C""),
      INDIRECT(""'""&amp;ultimo&amp;""'!A:A"")
    )
  ),
  """"
)"),"")</f>
        <v/>
      </c>
      <c r="C381" s="41" t="str">
        <f t="shared" ref="C381:J381" si="380">IF(
  COUNTIF(
    INDIRECT("'"&amp;C$1&amp;"'!C:C"),
    $A381
  )&gt;0,
  "X",
  ""
)</f>
        <v/>
      </c>
      <c r="D381" s="41" t="str">
        <f t="shared" si="380"/>
        <v/>
      </c>
      <c r="E381" s="41" t="str">
        <f t="shared" si="380"/>
        <v/>
      </c>
      <c r="F381" s="41" t="str">
        <f t="shared" si="380"/>
        <v/>
      </c>
      <c r="G381" s="41" t="str">
        <f t="shared" si="380"/>
        <v/>
      </c>
      <c r="H381" s="41" t="str">
        <f t="shared" si="380"/>
        <v/>
      </c>
      <c r="I381" s="41" t="str">
        <f t="shared" si="380"/>
        <v/>
      </c>
      <c r="J381" s="41" t="str">
        <f t="shared" si="380"/>
        <v/>
      </c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67.5" customHeight="1">
      <c r="A382" s="39"/>
      <c r="B382" s="43" t="str">
        <f>IFERROR(__xludf.DUMMYFUNCTION("IFERROR(
  LET(
    periodos, C$1:Z$1,
    marcas, C382:Z382,
    pos, MAX(
          FILTER(
            COLUMN(marcas)-COLUMN(C382)+1,
            marcas=""X""
          )
        ),
    ultimo, INDEX(periodos, pos),
    XLOOKUP(
      $A382,
      INDI"&amp;"RECT(""'""&amp;ultimo&amp;""'!C:C""),
      INDIRECT(""'""&amp;ultimo&amp;""'!A:A"")
    )
  ),
  """"
)"),"")</f>
        <v/>
      </c>
      <c r="C382" s="41" t="str">
        <f t="shared" ref="C382:J382" si="381">IF(
  COUNTIF(
    INDIRECT("'"&amp;C$1&amp;"'!C:C"),
    $A382
  )&gt;0,
  "X",
  ""
)</f>
        <v/>
      </c>
      <c r="D382" s="41" t="str">
        <f t="shared" si="381"/>
        <v/>
      </c>
      <c r="E382" s="41" t="str">
        <f t="shared" si="381"/>
        <v/>
      </c>
      <c r="F382" s="41" t="str">
        <f t="shared" si="381"/>
        <v/>
      </c>
      <c r="G382" s="41" t="str">
        <f t="shared" si="381"/>
        <v/>
      </c>
      <c r="H382" s="41" t="str">
        <f t="shared" si="381"/>
        <v/>
      </c>
      <c r="I382" s="41" t="str">
        <f t="shared" si="381"/>
        <v/>
      </c>
      <c r="J382" s="41" t="str">
        <f t="shared" si="381"/>
        <v/>
      </c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67.5" customHeight="1">
      <c r="A383" s="39"/>
      <c r="B383" s="43" t="str">
        <f>IFERROR(__xludf.DUMMYFUNCTION("IFERROR(
  LET(
    periodos, C$1:Z$1,
    marcas, C383:Z383,
    pos, MAX(
          FILTER(
            COLUMN(marcas)-COLUMN(C383)+1,
            marcas=""X""
          )
        ),
    ultimo, INDEX(periodos, pos),
    XLOOKUP(
      $A383,
      INDI"&amp;"RECT(""'""&amp;ultimo&amp;""'!C:C""),
      INDIRECT(""'""&amp;ultimo&amp;""'!A:A"")
    )
  ),
  """"
)"),"")</f>
        <v/>
      </c>
      <c r="C383" s="41" t="str">
        <f t="shared" ref="C383:J383" si="382">IF(
  COUNTIF(
    INDIRECT("'"&amp;C$1&amp;"'!C:C"),
    $A383
  )&gt;0,
  "X",
  ""
)</f>
        <v/>
      </c>
      <c r="D383" s="41" t="str">
        <f t="shared" si="382"/>
        <v/>
      </c>
      <c r="E383" s="41" t="str">
        <f t="shared" si="382"/>
        <v/>
      </c>
      <c r="F383" s="41" t="str">
        <f t="shared" si="382"/>
        <v/>
      </c>
      <c r="G383" s="41" t="str">
        <f t="shared" si="382"/>
        <v/>
      </c>
      <c r="H383" s="41" t="str">
        <f t="shared" si="382"/>
        <v/>
      </c>
      <c r="I383" s="41" t="str">
        <f t="shared" si="382"/>
        <v/>
      </c>
      <c r="J383" s="41" t="str">
        <f t="shared" si="382"/>
        <v/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67.5" customHeight="1">
      <c r="A384" s="39"/>
      <c r="B384" s="43" t="str">
        <f>IFERROR(__xludf.DUMMYFUNCTION("IFERROR(
  LET(
    periodos, C$1:Z$1,
    marcas, C384:Z384,
    pos, MAX(
          FILTER(
            COLUMN(marcas)-COLUMN(C384)+1,
            marcas=""X""
          )
        ),
    ultimo, INDEX(periodos, pos),
    XLOOKUP(
      $A384,
      INDI"&amp;"RECT(""'""&amp;ultimo&amp;""'!C:C""),
      INDIRECT(""'""&amp;ultimo&amp;""'!A:A"")
    )
  ),
  """"
)"),"")</f>
        <v/>
      </c>
      <c r="C384" s="41" t="str">
        <f t="shared" ref="C384:J384" si="383">IF(
  COUNTIF(
    INDIRECT("'"&amp;C$1&amp;"'!C:C"),
    $A384
  )&gt;0,
  "X",
  ""
)</f>
        <v/>
      </c>
      <c r="D384" s="41" t="str">
        <f t="shared" si="383"/>
        <v/>
      </c>
      <c r="E384" s="41" t="str">
        <f t="shared" si="383"/>
        <v/>
      </c>
      <c r="F384" s="41" t="str">
        <f t="shared" si="383"/>
        <v/>
      </c>
      <c r="G384" s="41" t="str">
        <f t="shared" si="383"/>
        <v/>
      </c>
      <c r="H384" s="41" t="str">
        <f t="shared" si="383"/>
        <v/>
      </c>
      <c r="I384" s="41" t="str">
        <f t="shared" si="383"/>
        <v/>
      </c>
      <c r="J384" s="41" t="str">
        <f t="shared" si="383"/>
        <v/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67.5" customHeight="1">
      <c r="A385" s="39"/>
      <c r="B385" s="43" t="str">
        <f>IFERROR(__xludf.DUMMYFUNCTION("IFERROR(
  LET(
    periodos, C$1:Z$1,
    marcas, C385:Z385,
    pos, MAX(
          FILTER(
            COLUMN(marcas)-COLUMN(C385)+1,
            marcas=""X""
          )
        ),
    ultimo, INDEX(periodos, pos),
    XLOOKUP(
      $A385,
      INDI"&amp;"RECT(""'""&amp;ultimo&amp;""'!C:C""),
      INDIRECT(""'""&amp;ultimo&amp;""'!A:A"")
    )
  ),
  """"
)"),"")</f>
        <v/>
      </c>
      <c r="C385" s="41" t="str">
        <f t="shared" ref="C385:J385" si="384">IF(
  COUNTIF(
    INDIRECT("'"&amp;C$1&amp;"'!C:C"),
    $A385
  )&gt;0,
  "X",
  ""
)</f>
        <v/>
      </c>
      <c r="D385" s="41" t="str">
        <f t="shared" si="384"/>
        <v/>
      </c>
      <c r="E385" s="41" t="str">
        <f t="shared" si="384"/>
        <v/>
      </c>
      <c r="F385" s="41" t="str">
        <f t="shared" si="384"/>
        <v/>
      </c>
      <c r="G385" s="41" t="str">
        <f t="shared" si="384"/>
        <v/>
      </c>
      <c r="H385" s="41" t="str">
        <f t="shared" si="384"/>
        <v/>
      </c>
      <c r="I385" s="41" t="str">
        <f t="shared" si="384"/>
        <v/>
      </c>
      <c r="J385" s="41" t="str">
        <f t="shared" si="384"/>
        <v/>
      </c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67.5" customHeight="1">
      <c r="A386" s="39"/>
      <c r="B386" s="43" t="str">
        <f>IFERROR(__xludf.DUMMYFUNCTION("IFERROR(
  LET(
    periodos, C$1:Z$1,
    marcas, C386:Z386,
    pos, MAX(
          FILTER(
            COLUMN(marcas)-COLUMN(C386)+1,
            marcas=""X""
          )
        ),
    ultimo, INDEX(periodos, pos),
    XLOOKUP(
      $A386,
      INDI"&amp;"RECT(""'""&amp;ultimo&amp;""'!C:C""),
      INDIRECT(""'""&amp;ultimo&amp;""'!A:A"")
    )
  ),
  """"
)"),"")</f>
        <v/>
      </c>
      <c r="C386" s="41" t="str">
        <f t="shared" ref="C386:J386" si="385">IF(
  COUNTIF(
    INDIRECT("'"&amp;C$1&amp;"'!C:C"),
    $A386
  )&gt;0,
  "X",
  ""
)</f>
        <v/>
      </c>
      <c r="D386" s="41" t="str">
        <f t="shared" si="385"/>
        <v/>
      </c>
      <c r="E386" s="41" t="str">
        <f t="shared" si="385"/>
        <v/>
      </c>
      <c r="F386" s="41" t="str">
        <f t="shared" si="385"/>
        <v/>
      </c>
      <c r="G386" s="41" t="str">
        <f t="shared" si="385"/>
        <v/>
      </c>
      <c r="H386" s="41" t="str">
        <f t="shared" si="385"/>
        <v/>
      </c>
      <c r="I386" s="41" t="str">
        <f t="shared" si="385"/>
        <v/>
      </c>
      <c r="J386" s="41" t="str">
        <f t="shared" si="385"/>
        <v/>
      </c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67.5" customHeight="1">
      <c r="A387" s="39"/>
      <c r="B387" s="43" t="str">
        <f>IFERROR(__xludf.DUMMYFUNCTION("IFERROR(
  LET(
    periodos, C$1:Z$1,
    marcas, C387:Z387,
    pos, MAX(
          FILTER(
            COLUMN(marcas)-COLUMN(C387)+1,
            marcas=""X""
          )
        ),
    ultimo, INDEX(periodos, pos),
    XLOOKUP(
      $A387,
      INDI"&amp;"RECT(""'""&amp;ultimo&amp;""'!C:C""),
      INDIRECT(""'""&amp;ultimo&amp;""'!A:A"")
    )
  ),
  """"
)"),"")</f>
        <v/>
      </c>
      <c r="C387" s="41" t="str">
        <f t="shared" ref="C387:J387" si="386">IF(
  COUNTIF(
    INDIRECT("'"&amp;C$1&amp;"'!C:C"),
    $A387
  )&gt;0,
  "X",
  ""
)</f>
        <v/>
      </c>
      <c r="D387" s="41" t="str">
        <f t="shared" si="386"/>
        <v/>
      </c>
      <c r="E387" s="41" t="str">
        <f t="shared" si="386"/>
        <v/>
      </c>
      <c r="F387" s="41" t="str">
        <f t="shared" si="386"/>
        <v/>
      </c>
      <c r="G387" s="41" t="str">
        <f t="shared" si="386"/>
        <v/>
      </c>
      <c r="H387" s="41" t="str">
        <f t="shared" si="386"/>
        <v/>
      </c>
      <c r="I387" s="41" t="str">
        <f t="shared" si="386"/>
        <v/>
      </c>
      <c r="J387" s="41" t="str">
        <f t="shared" si="386"/>
        <v/>
      </c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67.5" customHeight="1">
      <c r="A388" s="39"/>
      <c r="B388" s="43" t="str">
        <f>IFERROR(__xludf.DUMMYFUNCTION("IFERROR(
  LET(
    periodos, C$1:Z$1,
    marcas, C388:Z388,
    pos, MAX(
          FILTER(
            COLUMN(marcas)-COLUMN(C388)+1,
            marcas=""X""
          )
        ),
    ultimo, INDEX(periodos, pos),
    XLOOKUP(
      $A388,
      INDI"&amp;"RECT(""'""&amp;ultimo&amp;""'!C:C""),
      INDIRECT(""'""&amp;ultimo&amp;""'!A:A"")
    )
  ),
  """"
)"),"")</f>
        <v/>
      </c>
      <c r="C388" s="41" t="str">
        <f t="shared" ref="C388:J388" si="387">IF(
  COUNTIF(
    INDIRECT("'"&amp;C$1&amp;"'!C:C"),
    $A388
  )&gt;0,
  "X",
  ""
)</f>
        <v/>
      </c>
      <c r="D388" s="41" t="str">
        <f t="shared" si="387"/>
        <v/>
      </c>
      <c r="E388" s="41" t="str">
        <f t="shared" si="387"/>
        <v/>
      </c>
      <c r="F388" s="41" t="str">
        <f t="shared" si="387"/>
        <v/>
      </c>
      <c r="G388" s="41" t="str">
        <f t="shared" si="387"/>
        <v/>
      </c>
      <c r="H388" s="41" t="str">
        <f t="shared" si="387"/>
        <v/>
      </c>
      <c r="I388" s="41" t="str">
        <f t="shared" si="387"/>
        <v/>
      </c>
      <c r="J388" s="41" t="str">
        <f t="shared" si="387"/>
        <v/>
      </c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67.5" customHeight="1">
      <c r="A389" s="39"/>
      <c r="B389" s="43" t="str">
        <f>IFERROR(__xludf.DUMMYFUNCTION("IFERROR(
  LET(
    periodos, C$1:Z$1,
    marcas, C389:Z389,
    pos, MAX(
          FILTER(
            COLUMN(marcas)-COLUMN(C389)+1,
            marcas=""X""
          )
        ),
    ultimo, INDEX(periodos, pos),
    XLOOKUP(
      $A389,
      INDI"&amp;"RECT(""'""&amp;ultimo&amp;""'!C:C""),
      INDIRECT(""'""&amp;ultimo&amp;""'!A:A"")
    )
  ),
  """"
)"),"")</f>
        <v/>
      </c>
      <c r="C389" s="41" t="str">
        <f t="shared" ref="C389:J389" si="388">IF(
  COUNTIF(
    INDIRECT("'"&amp;C$1&amp;"'!C:C"),
    $A389
  )&gt;0,
  "X",
  ""
)</f>
        <v/>
      </c>
      <c r="D389" s="41" t="str">
        <f t="shared" si="388"/>
        <v/>
      </c>
      <c r="E389" s="41" t="str">
        <f t="shared" si="388"/>
        <v/>
      </c>
      <c r="F389" s="41" t="str">
        <f t="shared" si="388"/>
        <v/>
      </c>
      <c r="G389" s="41" t="str">
        <f t="shared" si="388"/>
        <v/>
      </c>
      <c r="H389" s="41" t="str">
        <f t="shared" si="388"/>
        <v/>
      </c>
      <c r="I389" s="41" t="str">
        <f t="shared" si="388"/>
        <v/>
      </c>
      <c r="J389" s="41" t="str">
        <f t="shared" si="388"/>
        <v/>
      </c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67.5" customHeight="1">
      <c r="A390" s="39"/>
      <c r="B390" s="43" t="str">
        <f>IFERROR(__xludf.DUMMYFUNCTION("IFERROR(
  LET(
    periodos, C$1:Z$1,
    marcas, C390:Z390,
    pos, MAX(
          FILTER(
            COLUMN(marcas)-COLUMN(C390)+1,
            marcas=""X""
          )
        ),
    ultimo, INDEX(periodos, pos),
    XLOOKUP(
      $A390,
      INDI"&amp;"RECT(""'""&amp;ultimo&amp;""'!C:C""),
      INDIRECT(""'""&amp;ultimo&amp;""'!A:A"")
    )
  ),
  """"
)"),"")</f>
        <v/>
      </c>
      <c r="C390" s="41" t="str">
        <f t="shared" ref="C390:J390" si="389">IF(
  COUNTIF(
    INDIRECT("'"&amp;C$1&amp;"'!C:C"),
    $A390
  )&gt;0,
  "X",
  ""
)</f>
        <v/>
      </c>
      <c r="D390" s="41" t="str">
        <f t="shared" si="389"/>
        <v/>
      </c>
      <c r="E390" s="41" t="str">
        <f t="shared" si="389"/>
        <v/>
      </c>
      <c r="F390" s="41" t="str">
        <f t="shared" si="389"/>
        <v/>
      </c>
      <c r="G390" s="41" t="str">
        <f t="shared" si="389"/>
        <v/>
      </c>
      <c r="H390" s="41" t="str">
        <f t="shared" si="389"/>
        <v/>
      </c>
      <c r="I390" s="41" t="str">
        <f t="shared" si="389"/>
        <v/>
      </c>
      <c r="J390" s="41" t="str">
        <f t="shared" si="389"/>
        <v/>
      </c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67.5" customHeight="1">
      <c r="A391" s="39"/>
      <c r="B391" s="43" t="str">
        <f>IFERROR(__xludf.DUMMYFUNCTION("IFERROR(
  LET(
    periodos, C$1:Z$1,
    marcas, C391:Z391,
    pos, MAX(
          FILTER(
            COLUMN(marcas)-COLUMN(C391)+1,
            marcas=""X""
          )
        ),
    ultimo, INDEX(periodos, pos),
    XLOOKUP(
      $A391,
      INDI"&amp;"RECT(""'""&amp;ultimo&amp;""'!C:C""),
      INDIRECT(""'""&amp;ultimo&amp;""'!A:A"")
    )
  ),
  """"
)"),"")</f>
        <v/>
      </c>
      <c r="C391" s="41" t="str">
        <f t="shared" ref="C391:J391" si="390">IF(
  COUNTIF(
    INDIRECT("'"&amp;C$1&amp;"'!C:C"),
    $A391
  )&gt;0,
  "X",
  ""
)</f>
        <v/>
      </c>
      <c r="D391" s="41" t="str">
        <f t="shared" si="390"/>
        <v/>
      </c>
      <c r="E391" s="41" t="str">
        <f t="shared" si="390"/>
        <v/>
      </c>
      <c r="F391" s="41" t="str">
        <f t="shared" si="390"/>
        <v/>
      </c>
      <c r="G391" s="41" t="str">
        <f t="shared" si="390"/>
        <v/>
      </c>
      <c r="H391" s="41" t="str">
        <f t="shared" si="390"/>
        <v/>
      </c>
      <c r="I391" s="41" t="str">
        <f t="shared" si="390"/>
        <v/>
      </c>
      <c r="J391" s="41" t="str">
        <f t="shared" si="390"/>
        <v/>
      </c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67.5" customHeight="1">
      <c r="A392" s="39"/>
      <c r="B392" s="43" t="str">
        <f>IFERROR(__xludf.DUMMYFUNCTION("IFERROR(
  LET(
    periodos, C$1:Z$1,
    marcas, C392:Z392,
    pos, MAX(
          FILTER(
            COLUMN(marcas)-COLUMN(C392)+1,
            marcas=""X""
          )
        ),
    ultimo, INDEX(periodos, pos),
    XLOOKUP(
      $A392,
      INDI"&amp;"RECT(""'""&amp;ultimo&amp;""'!C:C""),
      INDIRECT(""'""&amp;ultimo&amp;""'!A:A"")
    )
  ),
  """"
)"),"")</f>
        <v/>
      </c>
      <c r="C392" s="41" t="str">
        <f t="shared" ref="C392:J392" si="391">IF(
  COUNTIF(
    INDIRECT("'"&amp;C$1&amp;"'!C:C"),
    $A392
  )&gt;0,
  "X",
  ""
)</f>
        <v/>
      </c>
      <c r="D392" s="41" t="str">
        <f t="shared" si="391"/>
        <v/>
      </c>
      <c r="E392" s="41" t="str">
        <f t="shared" si="391"/>
        <v/>
      </c>
      <c r="F392" s="41" t="str">
        <f t="shared" si="391"/>
        <v/>
      </c>
      <c r="G392" s="41" t="str">
        <f t="shared" si="391"/>
        <v/>
      </c>
      <c r="H392" s="41" t="str">
        <f t="shared" si="391"/>
        <v/>
      </c>
      <c r="I392" s="41" t="str">
        <f t="shared" si="391"/>
        <v/>
      </c>
      <c r="J392" s="41" t="str">
        <f t="shared" si="391"/>
        <v/>
      </c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67.5" customHeight="1">
      <c r="A393" s="39"/>
      <c r="B393" s="43" t="str">
        <f>IFERROR(__xludf.DUMMYFUNCTION("IFERROR(
  LET(
    periodos, C$1:Z$1,
    marcas, C393:Z393,
    pos, MAX(
          FILTER(
            COLUMN(marcas)-COLUMN(C393)+1,
            marcas=""X""
          )
        ),
    ultimo, INDEX(periodos, pos),
    XLOOKUP(
      $A393,
      INDI"&amp;"RECT(""'""&amp;ultimo&amp;""'!C:C""),
      INDIRECT(""'""&amp;ultimo&amp;""'!A:A"")
    )
  ),
  """"
)"),"")</f>
        <v/>
      </c>
      <c r="C393" s="41" t="str">
        <f t="shared" ref="C393:J393" si="392">IF(
  COUNTIF(
    INDIRECT("'"&amp;C$1&amp;"'!C:C"),
    $A393
  )&gt;0,
  "X",
  ""
)</f>
        <v/>
      </c>
      <c r="D393" s="41" t="str">
        <f t="shared" si="392"/>
        <v/>
      </c>
      <c r="E393" s="41" t="str">
        <f t="shared" si="392"/>
        <v/>
      </c>
      <c r="F393" s="41" t="str">
        <f t="shared" si="392"/>
        <v/>
      </c>
      <c r="G393" s="41" t="str">
        <f t="shared" si="392"/>
        <v/>
      </c>
      <c r="H393" s="41" t="str">
        <f t="shared" si="392"/>
        <v/>
      </c>
      <c r="I393" s="41" t="str">
        <f t="shared" si="392"/>
        <v/>
      </c>
      <c r="J393" s="41" t="str">
        <f t="shared" si="392"/>
        <v/>
      </c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67.5" customHeight="1">
      <c r="A394" s="39"/>
      <c r="B394" s="43" t="str">
        <f>IFERROR(__xludf.DUMMYFUNCTION("IFERROR(
  LET(
    periodos, C$1:Z$1,
    marcas, C394:Z394,
    pos, MAX(
          FILTER(
            COLUMN(marcas)-COLUMN(C394)+1,
            marcas=""X""
          )
        ),
    ultimo, INDEX(periodos, pos),
    XLOOKUP(
      $A394,
      INDI"&amp;"RECT(""'""&amp;ultimo&amp;""'!C:C""),
      INDIRECT(""'""&amp;ultimo&amp;""'!A:A"")
    )
  ),
  """"
)"),"")</f>
        <v/>
      </c>
      <c r="C394" s="41" t="str">
        <f t="shared" ref="C394:J394" si="393">IF(
  COUNTIF(
    INDIRECT("'"&amp;C$1&amp;"'!C:C"),
    $A394
  )&gt;0,
  "X",
  ""
)</f>
        <v/>
      </c>
      <c r="D394" s="41" t="str">
        <f t="shared" si="393"/>
        <v/>
      </c>
      <c r="E394" s="41" t="str">
        <f t="shared" si="393"/>
        <v/>
      </c>
      <c r="F394" s="41" t="str">
        <f t="shared" si="393"/>
        <v/>
      </c>
      <c r="G394" s="41" t="str">
        <f t="shared" si="393"/>
        <v/>
      </c>
      <c r="H394" s="41" t="str">
        <f t="shared" si="393"/>
        <v/>
      </c>
      <c r="I394" s="41" t="str">
        <f t="shared" si="393"/>
        <v/>
      </c>
      <c r="J394" s="41" t="str">
        <f t="shared" si="393"/>
        <v/>
      </c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67.5" customHeight="1">
      <c r="A395" s="39"/>
      <c r="B395" s="43" t="str">
        <f>IFERROR(__xludf.DUMMYFUNCTION("IFERROR(
  LET(
    periodos, C$1:Z$1,
    marcas, C395:Z395,
    pos, MAX(
          FILTER(
            COLUMN(marcas)-COLUMN(C395)+1,
            marcas=""X""
          )
        ),
    ultimo, INDEX(periodos, pos),
    XLOOKUP(
      $A395,
      INDI"&amp;"RECT(""'""&amp;ultimo&amp;""'!C:C""),
      INDIRECT(""'""&amp;ultimo&amp;""'!A:A"")
    )
  ),
  """"
)"),"")</f>
        <v/>
      </c>
      <c r="C395" s="41" t="str">
        <f t="shared" ref="C395:J395" si="394">IF(
  COUNTIF(
    INDIRECT("'"&amp;C$1&amp;"'!C:C"),
    $A395
  )&gt;0,
  "X",
  ""
)</f>
        <v/>
      </c>
      <c r="D395" s="41" t="str">
        <f t="shared" si="394"/>
        <v/>
      </c>
      <c r="E395" s="41" t="str">
        <f t="shared" si="394"/>
        <v/>
      </c>
      <c r="F395" s="41" t="str">
        <f t="shared" si="394"/>
        <v/>
      </c>
      <c r="G395" s="41" t="str">
        <f t="shared" si="394"/>
        <v/>
      </c>
      <c r="H395" s="41" t="str">
        <f t="shared" si="394"/>
        <v/>
      </c>
      <c r="I395" s="41" t="str">
        <f t="shared" si="394"/>
        <v/>
      </c>
      <c r="J395" s="41" t="str">
        <f t="shared" si="394"/>
        <v/>
      </c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67.5" customHeight="1">
      <c r="A396" s="39"/>
      <c r="B396" s="43" t="str">
        <f>IFERROR(__xludf.DUMMYFUNCTION("IFERROR(
  LET(
    periodos, C$1:Z$1,
    marcas, C396:Z396,
    pos, MAX(
          FILTER(
            COLUMN(marcas)-COLUMN(C396)+1,
            marcas=""X""
          )
        ),
    ultimo, INDEX(periodos, pos),
    XLOOKUP(
      $A396,
      INDI"&amp;"RECT(""'""&amp;ultimo&amp;""'!C:C""),
      INDIRECT(""'""&amp;ultimo&amp;""'!A:A"")
    )
  ),
  """"
)"),"")</f>
        <v/>
      </c>
      <c r="C396" s="41" t="str">
        <f t="shared" ref="C396:J396" si="395">IF(
  COUNTIF(
    INDIRECT("'"&amp;C$1&amp;"'!C:C"),
    $A396
  )&gt;0,
  "X",
  ""
)</f>
        <v/>
      </c>
      <c r="D396" s="41" t="str">
        <f t="shared" si="395"/>
        <v/>
      </c>
      <c r="E396" s="41" t="str">
        <f t="shared" si="395"/>
        <v/>
      </c>
      <c r="F396" s="41" t="str">
        <f t="shared" si="395"/>
        <v/>
      </c>
      <c r="G396" s="41" t="str">
        <f t="shared" si="395"/>
        <v/>
      </c>
      <c r="H396" s="41" t="str">
        <f t="shared" si="395"/>
        <v/>
      </c>
      <c r="I396" s="41" t="str">
        <f t="shared" si="395"/>
        <v/>
      </c>
      <c r="J396" s="41" t="str">
        <f t="shared" si="395"/>
        <v/>
      </c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67.5" customHeight="1">
      <c r="A397" s="39"/>
      <c r="B397" s="43" t="str">
        <f>IFERROR(__xludf.DUMMYFUNCTION("IFERROR(
  LET(
    periodos, C$1:Z$1,
    marcas, C397:Z397,
    pos, MAX(
          FILTER(
            COLUMN(marcas)-COLUMN(C397)+1,
            marcas=""X""
          )
        ),
    ultimo, INDEX(periodos, pos),
    XLOOKUP(
      $A397,
      INDI"&amp;"RECT(""'""&amp;ultimo&amp;""'!C:C""),
      INDIRECT(""'""&amp;ultimo&amp;""'!A:A"")
    )
  ),
  """"
)"),"")</f>
        <v/>
      </c>
      <c r="C397" s="41" t="str">
        <f t="shared" ref="C397:J397" si="396">IF(
  COUNTIF(
    INDIRECT("'"&amp;C$1&amp;"'!C:C"),
    $A397
  )&gt;0,
  "X",
  ""
)</f>
        <v/>
      </c>
      <c r="D397" s="41" t="str">
        <f t="shared" si="396"/>
        <v/>
      </c>
      <c r="E397" s="41" t="str">
        <f t="shared" si="396"/>
        <v/>
      </c>
      <c r="F397" s="41" t="str">
        <f t="shared" si="396"/>
        <v/>
      </c>
      <c r="G397" s="41" t="str">
        <f t="shared" si="396"/>
        <v/>
      </c>
      <c r="H397" s="41" t="str">
        <f t="shared" si="396"/>
        <v/>
      </c>
      <c r="I397" s="41" t="str">
        <f t="shared" si="396"/>
        <v/>
      </c>
      <c r="J397" s="41" t="str">
        <f t="shared" si="396"/>
        <v/>
      </c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67.5" customHeight="1">
      <c r="A398" s="39"/>
      <c r="B398" s="43" t="str">
        <f>IFERROR(__xludf.DUMMYFUNCTION("IFERROR(
  LET(
    periodos, C$1:Z$1,
    marcas, C398:Z398,
    pos, MAX(
          FILTER(
            COLUMN(marcas)-COLUMN(C398)+1,
            marcas=""X""
          )
        ),
    ultimo, INDEX(periodos, pos),
    XLOOKUP(
      $A398,
      INDI"&amp;"RECT(""'""&amp;ultimo&amp;""'!C:C""),
      INDIRECT(""'""&amp;ultimo&amp;""'!A:A"")
    )
  ),
  """"
)"),"")</f>
        <v/>
      </c>
      <c r="C398" s="41" t="str">
        <f t="shared" ref="C398:J398" si="397">IF(
  COUNTIF(
    INDIRECT("'"&amp;C$1&amp;"'!C:C"),
    $A398
  )&gt;0,
  "X",
  ""
)</f>
        <v/>
      </c>
      <c r="D398" s="41" t="str">
        <f t="shared" si="397"/>
        <v/>
      </c>
      <c r="E398" s="41" t="str">
        <f t="shared" si="397"/>
        <v/>
      </c>
      <c r="F398" s="41" t="str">
        <f t="shared" si="397"/>
        <v/>
      </c>
      <c r="G398" s="41" t="str">
        <f t="shared" si="397"/>
        <v/>
      </c>
      <c r="H398" s="41" t="str">
        <f t="shared" si="397"/>
        <v/>
      </c>
      <c r="I398" s="41" t="str">
        <f t="shared" si="397"/>
        <v/>
      </c>
      <c r="J398" s="41" t="str">
        <f t="shared" si="397"/>
        <v/>
      </c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67.5" customHeight="1">
      <c r="A399" s="39"/>
      <c r="B399" s="43" t="str">
        <f>IFERROR(__xludf.DUMMYFUNCTION("IFERROR(
  LET(
    periodos, C$1:Z$1,
    marcas, C399:Z399,
    pos, MAX(
          FILTER(
            COLUMN(marcas)-COLUMN(C399)+1,
            marcas=""X""
          )
        ),
    ultimo, INDEX(periodos, pos),
    XLOOKUP(
      $A399,
      INDI"&amp;"RECT(""'""&amp;ultimo&amp;""'!C:C""),
      INDIRECT(""'""&amp;ultimo&amp;""'!A:A"")
    )
  ),
  """"
)"),"")</f>
        <v/>
      </c>
      <c r="C399" s="41" t="str">
        <f t="shared" ref="C399:J399" si="398">IF(
  COUNTIF(
    INDIRECT("'"&amp;C$1&amp;"'!C:C"),
    $A399
  )&gt;0,
  "X",
  ""
)</f>
        <v/>
      </c>
      <c r="D399" s="41" t="str">
        <f t="shared" si="398"/>
        <v/>
      </c>
      <c r="E399" s="41" t="str">
        <f t="shared" si="398"/>
        <v/>
      </c>
      <c r="F399" s="41" t="str">
        <f t="shared" si="398"/>
        <v/>
      </c>
      <c r="G399" s="41" t="str">
        <f t="shared" si="398"/>
        <v/>
      </c>
      <c r="H399" s="41" t="str">
        <f t="shared" si="398"/>
        <v/>
      </c>
      <c r="I399" s="41" t="str">
        <f t="shared" si="398"/>
        <v/>
      </c>
      <c r="J399" s="41" t="str">
        <f t="shared" si="398"/>
        <v/>
      </c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67.5" customHeight="1">
      <c r="A400" s="39"/>
      <c r="B400" s="43" t="str">
        <f>IFERROR(__xludf.DUMMYFUNCTION("IFERROR(
  LET(
    periodos, C$1:Z$1,
    marcas, C400:Z400,
    pos, MAX(
          FILTER(
            COLUMN(marcas)-COLUMN(C400)+1,
            marcas=""X""
          )
        ),
    ultimo, INDEX(periodos, pos),
    XLOOKUP(
      $A400,
      INDI"&amp;"RECT(""'""&amp;ultimo&amp;""'!C:C""),
      INDIRECT(""'""&amp;ultimo&amp;""'!A:A"")
    )
  ),
  """"
)"),"")</f>
        <v/>
      </c>
      <c r="C400" s="41" t="str">
        <f t="shared" ref="C400:J400" si="399">IF(
  COUNTIF(
    INDIRECT("'"&amp;C$1&amp;"'!C:C"),
    $A400
  )&gt;0,
  "X",
  ""
)</f>
        <v/>
      </c>
      <c r="D400" s="41" t="str">
        <f t="shared" si="399"/>
        <v/>
      </c>
      <c r="E400" s="41" t="str">
        <f t="shared" si="399"/>
        <v/>
      </c>
      <c r="F400" s="41" t="str">
        <f t="shared" si="399"/>
        <v/>
      </c>
      <c r="G400" s="41" t="str">
        <f t="shared" si="399"/>
        <v/>
      </c>
      <c r="H400" s="41" t="str">
        <f t="shared" si="399"/>
        <v/>
      </c>
      <c r="I400" s="41" t="str">
        <f t="shared" si="399"/>
        <v/>
      </c>
      <c r="J400" s="41" t="str">
        <f t="shared" si="399"/>
        <v/>
      </c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67.5" customHeight="1">
      <c r="A401" s="39"/>
      <c r="B401" s="43" t="str">
        <f>IFERROR(__xludf.DUMMYFUNCTION("IFERROR(
  LET(
    periodos, C$1:Z$1,
    marcas, C401:Z401,
    pos, MAX(
          FILTER(
            COLUMN(marcas)-COLUMN(C401)+1,
            marcas=""X""
          )
        ),
    ultimo, INDEX(periodos, pos),
    XLOOKUP(
      $A401,
      INDI"&amp;"RECT(""'""&amp;ultimo&amp;""'!C:C""),
      INDIRECT(""'""&amp;ultimo&amp;""'!A:A"")
    )
  ),
  """"
)"),"")</f>
        <v/>
      </c>
      <c r="C401" s="41" t="str">
        <f t="shared" ref="C401:J401" si="400">IF(
  COUNTIF(
    INDIRECT("'"&amp;C$1&amp;"'!C:C"),
    $A401
  )&gt;0,
  "X",
  ""
)</f>
        <v/>
      </c>
      <c r="D401" s="41" t="str">
        <f t="shared" si="400"/>
        <v/>
      </c>
      <c r="E401" s="41" t="str">
        <f t="shared" si="400"/>
        <v/>
      </c>
      <c r="F401" s="41" t="str">
        <f t="shared" si="400"/>
        <v/>
      </c>
      <c r="G401" s="41" t="str">
        <f t="shared" si="400"/>
        <v/>
      </c>
      <c r="H401" s="41" t="str">
        <f t="shared" si="400"/>
        <v/>
      </c>
      <c r="I401" s="41" t="str">
        <f t="shared" si="400"/>
        <v/>
      </c>
      <c r="J401" s="41" t="str">
        <f t="shared" si="400"/>
        <v/>
      </c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67.5" customHeight="1">
      <c r="A402" s="39"/>
      <c r="B402" s="43" t="str">
        <f>IFERROR(__xludf.DUMMYFUNCTION("IFERROR(
  LET(
    periodos, C$1:Z$1,
    marcas, C402:Z402,
    pos, MAX(
          FILTER(
            COLUMN(marcas)-COLUMN(C402)+1,
            marcas=""X""
          )
        ),
    ultimo, INDEX(periodos, pos),
    XLOOKUP(
      $A402,
      INDI"&amp;"RECT(""'""&amp;ultimo&amp;""'!C:C""),
      INDIRECT(""'""&amp;ultimo&amp;""'!A:A"")
    )
  ),
  """"
)"),"")</f>
        <v/>
      </c>
      <c r="C402" s="41" t="str">
        <f t="shared" ref="C402:J402" si="401">IF(
  COUNTIF(
    INDIRECT("'"&amp;C$1&amp;"'!C:C"),
    $A402
  )&gt;0,
  "X",
  ""
)</f>
        <v/>
      </c>
      <c r="D402" s="41" t="str">
        <f t="shared" si="401"/>
        <v/>
      </c>
      <c r="E402" s="41" t="str">
        <f t="shared" si="401"/>
        <v/>
      </c>
      <c r="F402" s="41" t="str">
        <f t="shared" si="401"/>
        <v/>
      </c>
      <c r="G402" s="41" t="str">
        <f t="shared" si="401"/>
        <v/>
      </c>
      <c r="H402" s="41" t="str">
        <f t="shared" si="401"/>
        <v/>
      </c>
      <c r="I402" s="41" t="str">
        <f t="shared" si="401"/>
        <v/>
      </c>
      <c r="J402" s="41" t="str">
        <f t="shared" si="401"/>
        <v/>
      </c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67.5" customHeight="1">
      <c r="A403" s="39"/>
      <c r="B403" s="43" t="str">
        <f>IFERROR(__xludf.DUMMYFUNCTION("IFERROR(
  LET(
    periodos, C$1:Z$1,
    marcas, C403:Z403,
    pos, MAX(
          FILTER(
            COLUMN(marcas)-COLUMN(C403)+1,
            marcas=""X""
          )
        ),
    ultimo, INDEX(periodos, pos),
    XLOOKUP(
      $A403,
      INDI"&amp;"RECT(""'""&amp;ultimo&amp;""'!C:C""),
      INDIRECT(""'""&amp;ultimo&amp;""'!A:A"")
    )
  ),
  """"
)"),"")</f>
        <v/>
      </c>
      <c r="C403" s="41" t="str">
        <f t="shared" ref="C403:J403" si="402">IF(
  COUNTIF(
    INDIRECT("'"&amp;C$1&amp;"'!C:C"),
    $A403
  )&gt;0,
  "X",
  ""
)</f>
        <v/>
      </c>
      <c r="D403" s="41" t="str">
        <f t="shared" si="402"/>
        <v/>
      </c>
      <c r="E403" s="41" t="str">
        <f t="shared" si="402"/>
        <v/>
      </c>
      <c r="F403" s="41" t="str">
        <f t="shared" si="402"/>
        <v/>
      </c>
      <c r="G403" s="41" t="str">
        <f t="shared" si="402"/>
        <v/>
      </c>
      <c r="H403" s="41" t="str">
        <f t="shared" si="402"/>
        <v/>
      </c>
      <c r="I403" s="41" t="str">
        <f t="shared" si="402"/>
        <v/>
      </c>
      <c r="J403" s="41" t="str">
        <f t="shared" si="402"/>
        <v/>
      </c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67.5" customHeight="1">
      <c r="A404" s="39"/>
      <c r="B404" s="43" t="str">
        <f>IFERROR(__xludf.DUMMYFUNCTION("IFERROR(
  LET(
    periodos, C$1:Z$1,
    marcas, C404:Z404,
    pos, MAX(
          FILTER(
            COLUMN(marcas)-COLUMN(C404)+1,
            marcas=""X""
          )
        ),
    ultimo, INDEX(periodos, pos),
    XLOOKUP(
      $A404,
      INDI"&amp;"RECT(""'""&amp;ultimo&amp;""'!C:C""),
      INDIRECT(""'""&amp;ultimo&amp;""'!A:A"")
    )
  ),
  """"
)"),"")</f>
        <v/>
      </c>
      <c r="C404" s="41" t="str">
        <f t="shared" ref="C404:J404" si="403">IF(
  COUNTIF(
    INDIRECT("'"&amp;C$1&amp;"'!C:C"),
    $A404
  )&gt;0,
  "X",
  ""
)</f>
        <v/>
      </c>
      <c r="D404" s="41" t="str">
        <f t="shared" si="403"/>
        <v/>
      </c>
      <c r="E404" s="41" t="str">
        <f t="shared" si="403"/>
        <v/>
      </c>
      <c r="F404" s="41" t="str">
        <f t="shared" si="403"/>
        <v/>
      </c>
      <c r="G404" s="41" t="str">
        <f t="shared" si="403"/>
        <v/>
      </c>
      <c r="H404" s="41" t="str">
        <f t="shared" si="403"/>
        <v/>
      </c>
      <c r="I404" s="41" t="str">
        <f t="shared" si="403"/>
        <v/>
      </c>
      <c r="J404" s="41" t="str">
        <f t="shared" si="403"/>
        <v/>
      </c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67.5" customHeight="1">
      <c r="A405" s="39"/>
      <c r="B405" s="43" t="str">
        <f>IFERROR(__xludf.DUMMYFUNCTION("IFERROR(
  LET(
    periodos, C$1:Z$1,
    marcas, C405:Z405,
    pos, MAX(
          FILTER(
            COLUMN(marcas)-COLUMN(C405)+1,
            marcas=""X""
          )
        ),
    ultimo, INDEX(periodos, pos),
    XLOOKUP(
      $A405,
      INDI"&amp;"RECT(""'""&amp;ultimo&amp;""'!C:C""),
      INDIRECT(""'""&amp;ultimo&amp;""'!A:A"")
    )
  ),
  """"
)"),"")</f>
        <v/>
      </c>
      <c r="C405" s="41" t="str">
        <f t="shared" ref="C405:J405" si="404">IF(
  COUNTIF(
    INDIRECT("'"&amp;C$1&amp;"'!C:C"),
    $A405
  )&gt;0,
  "X",
  ""
)</f>
        <v/>
      </c>
      <c r="D405" s="41" t="str">
        <f t="shared" si="404"/>
        <v/>
      </c>
      <c r="E405" s="41" t="str">
        <f t="shared" si="404"/>
        <v/>
      </c>
      <c r="F405" s="41" t="str">
        <f t="shared" si="404"/>
        <v/>
      </c>
      <c r="G405" s="41" t="str">
        <f t="shared" si="404"/>
        <v/>
      </c>
      <c r="H405" s="41" t="str">
        <f t="shared" si="404"/>
        <v/>
      </c>
      <c r="I405" s="41" t="str">
        <f t="shared" si="404"/>
        <v/>
      </c>
      <c r="J405" s="41" t="str">
        <f t="shared" si="404"/>
        <v/>
      </c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67.5" customHeight="1">
      <c r="A406" s="39"/>
      <c r="B406" s="43" t="str">
        <f>IFERROR(__xludf.DUMMYFUNCTION("IFERROR(
  LET(
    periodos, C$1:Z$1,
    marcas, C406:Z406,
    pos, MAX(
          FILTER(
            COLUMN(marcas)-COLUMN(C406)+1,
            marcas=""X""
          )
        ),
    ultimo, INDEX(periodos, pos),
    XLOOKUP(
      $A406,
      INDI"&amp;"RECT(""'""&amp;ultimo&amp;""'!C:C""),
      INDIRECT(""'""&amp;ultimo&amp;""'!A:A"")
    )
  ),
  """"
)"),"")</f>
        <v/>
      </c>
      <c r="C406" s="41" t="str">
        <f t="shared" ref="C406:J406" si="405">IF(
  COUNTIF(
    INDIRECT("'"&amp;C$1&amp;"'!C:C"),
    $A406
  )&gt;0,
  "X",
  ""
)</f>
        <v/>
      </c>
      <c r="D406" s="41" t="str">
        <f t="shared" si="405"/>
        <v/>
      </c>
      <c r="E406" s="41" t="str">
        <f t="shared" si="405"/>
        <v/>
      </c>
      <c r="F406" s="41" t="str">
        <f t="shared" si="405"/>
        <v/>
      </c>
      <c r="G406" s="41" t="str">
        <f t="shared" si="405"/>
        <v/>
      </c>
      <c r="H406" s="41" t="str">
        <f t="shared" si="405"/>
        <v/>
      </c>
      <c r="I406" s="41" t="str">
        <f t="shared" si="405"/>
        <v/>
      </c>
      <c r="J406" s="41" t="str">
        <f t="shared" si="405"/>
        <v/>
      </c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67.5" customHeight="1">
      <c r="A407" s="39"/>
      <c r="B407" s="43" t="str">
        <f>IFERROR(__xludf.DUMMYFUNCTION("IFERROR(
  LET(
    periodos, C$1:Z$1,
    marcas, C407:Z407,
    pos, MAX(
          FILTER(
            COLUMN(marcas)-COLUMN(C407)+1,
            marcas=""X""
          )
        ),
    ultimo, INDEX(periodos, pos),
    XLOOKUP(
      $A407,
      INDI"&amp;"RECT(""'""&amp;ultimo&amp;""'!C:C""),
      INDIRECT(""'""&amp;ultimo&amp;""'!A:A"")
    )
  ),
  """"
)"),"")</f>
        <v/>
      </c>
      <c r="C407" s="41" t="str">
        <f t="shared" ref="C407:J407" si="406">IF(
  COUNTIF(
    INDIRECT("'"&amp;C$1&amp;"'!C:C"),
    $A407
  )&gt;0,
  "X",
  ""
)</f>
        <v/>
      </c>
      <c r="D407" s="41" t="str">
        <f t="shared" si="406"/>
        <v/>
      </c>
      <c r="E407" s="41" t="str">
        <f t="shared" si="406"/>
        <v/>
      </c>
      <c r="F407" s="41" t="str">
        <f t="shared" si="406"/>
        <v/>
      </c>
      <c r="G407" s="41" t="str">
        <f t="shared" si="406"/>
        <v/>
      </c>
      <c r="H407" s="41" t="str">
        <f t="shared" si="406"/>
        <v/>
      </c>
      <c r="I407" s="41" t="str">
        <f t="shared" si="406"/>
        <v/>
      </c>
      <c r="J407" s="41" t="str">
        <f t="shared" si="406"/>
        <v/>
      </c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67.5" customHeight="1">
      <c r="A408" s="39"/>
      <c r="B408" s="43" t="str">
        <f>IFERROR(__xludf.DUMMYFUNCTION("IFERROR(
  LET(
    periodos, C$1:Z$1,
    marcas, C408:Z408,
    pos, MAX(
          FILTER(
            COLUMN(marcas)-COLUMN(C408)+1,
            marcas=""X""
          )
        ),
    ultimo, INDEX(periodos, pos),
    XLOOKUP(
      $A408,
      INDI"&amp;"RECT(""'""&amp;ultimo&amp;""'!C:C""),
      INDIRECT(""'""&amp;ultimo&amp;""'!A:A"")
    )
  ),
  """"
)"),"")</f>
        <v/>
      </c>
      <c r="C408" s="41" t="str">
        <f t="shared" ref="C408:J408" si="407">IF(
  COUNTIF(
    INDIRECT("'"&amp;C$1&amp;"'!C:C"),
    $A408
  )&gt;0,
  "X",
  ""
)</f>
        <v/>
      </c>
      <c r="D408" s="41" t="str">
        <f t="shared" si="407"/>
        <v/>
      </c>
      <c r="E408" s="41" t="str">
        <f t="shared" si="407"/>
        <v/>
      </c>
      <c r="F408" s="41" t="str">
        <f t="shared" si="407"/>
        <v/>
      </c>
      <c r="G408" s="41" t="str">
        <f t="shared" si="407"/>
        <v/>
      </c>
      <c r="H408" s="41" t="str">
        <f t="shared" si="407"/>
        <v/>
      </c>
      <c r="I408" s="41" t="str">
        <f t="shared" si="407"/>
        <v/>
      </c>
      <c r="J408" s="41" t="str">
        <f t="shared" si="407"/>
        <v/>
      </c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67.5" customHeight="1">
      <c r="A409" s="39"/>
      <c r="B409" s="43" t="str">
        <f>IFERROR(__xludf.DUMMYFUNCTION("IFERROR(
  LET(
    periodos, C$1:Z$1,
    marcas, C409:Z409,
    pos, MAX(
          FILTER(
            COLUMN(marcas)-COLUMN(C409)+1,
            marcas=""X""
          )
        ),
    ultimo, INDEX(periodos, pos),
    XLOOKUP(
      $A409,
      INDI"&amp;"RECT(""'""&amp;ultimo&amp;""'!C:C""),
      INDIRECT(""'""&amp;ultimo&amp;""'!A:A"")
    )
  ),
  """"
)"),"")</f>
        <v/>
      </c>
      <c r="C409" s="41" t="str">
        <f t="shared" ref="C409:J409" si="408">IF(
  COUNTIF(
    INDIRECT("'"&amp;C$1&amp;"'!C:C"),
    $A409
  )&gt;0,
  "X",
  ""
)</f>
        <v/>
      </c>
      <c r="D409" s="41" t="str">
        <f t="shared" si="408"/>
        <v/>
      </c>
      <c r="E409" s="41" t="str">
        <f t="shared" si="408"/>
        <v/>
      </c>
      <c r="F409" s="41" t="str">
        <f t="shared" si="408"/>
        <v/>
      </c>
      <c r="G409" s="41" t="str">
        <f t="shared" si="408"/>
        <v/>
      </c>
      <c r="H409" s="41" t="str">
        <f t="shared" si="408"/>
        <v/>
      </c>
      <c r="I409" s="41" t="str">
        <f t="shared" si="408"/>
        <v/>
      </c>
      <c r="J409" s="41" t="str">
        <f t="shared" si="408"/>
        <v/>
      </c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67.5" customHeight="1">
      <c r="A410" s="39"/>
      <c r="B410" s="43" t="str">
        <f>IFERROR(__xludf.DUMMYFUNCTION("IFERROR(
  LET(
    periodos, C$1:Z$1,
    marcas, C410:Z410,
    pos, MAX(
          FILTER(
            COLUMN(marcas)-COLUMN(C410)+1,
            marcas=""X""
          )
        ),
    ultimo, INDEX(periodos, pos),
    XLOOKUP(
      $A410,
      INDI"&amp;"RECT(""'""&amp;ultimo&amp;""'!C:C""),
      INDIRECT(""'""&amp;ultimo&amp;""'!A:A"")
    )
  ),
  """"
)"),"")</f>
        <v/>
      </c>
      <c r="C410" s="41" t="str">
        <f t="shared" ref="C410:J410" si="409">IF(
  COUNTIF(
    INDIRECT("'"&amp;C$1&amp;"'!C:C"),
    $A410
  )&gt;0,
  "X",
  ""
)</f>
        <v/>
      </c>
      <c r="D410" s="41" t="str">
        <f t="shared" si="409"/>
        <v/>
      </c>
      <c r="E410" s="41" t="str">
        <f t="shared" si="409"/>
        <v/>
      </c>
      <c r="F410" s="41" t="str">
        <f t="shared" si="409"/>
        <v/>
      </c>
      <c r="G410" s="41" t="str">
        <f t="shared" si="409"/>
        <v/>
      </c>
      <c r="H410" s="41" t="str">
        <f t="shared" si="409"/>
        <v/>
      </c>
      <c r="I410" s="41" t="str">
        <f t="shared" si="409"/>
        <v/>
      </c>
      <c r="J410" s="41" t="str">
        <f t="shared" si="409"/>
        <v/>
      </c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67.5" customHeight="1">
      <c r="A411" s="39"/>
      <c r="B411" s="43" t="str">
        <f>IFERROR(__xludf.DUMMYFUNCTION("IFERROR(
  LET(
    periodos, C$1:Z$1,
    marcas, C411:Z411,
    pos, MAX(
          FILTER(
            COLUMN(marcas)-COLUMN(C411)+1,
            marcas=""X""
          )
        ),
    ultimo, INDEX(periodos, pos),
    XLOOKUP(
      $A411,
      INDI"&amp;"RECT(""'""&amp;ultimo&amp;""'!C:C""),
      INDIRECT(""'""&amp;ultimo&amp;""'!A:A"")
    )
  ),
  """"
)"),"")</f>
        <v/>
      </c>
      <c r="C411" s="41" t="str">
        <f t="shared" ref="C411:J411" si="410">IF(
  COUNTIF(
    INDIRECT("'"&amp;C$1&amp;"'!C:C"),
    $A411
  )&gt;0,
  "X",
  ""
)</f>
        <v/>
      </c>
      <c r="D411" s="41" t="str">
        <f t="shared" si="410"/>
        <v/>
      </c>
      <c r="E411" s="41" t="str">
        <f t="shared" si="410"/>
        <v/>
      </c>
      <c r="F411" s="41" t="str">
        <f t="shared" si="410"/>
        <v/>
      </c>
      <c r="G411" s="41" t="str">
        <f t="shared" si="410"/>
        <v/>
      </c>
      <c r="H411" s="41" t="str">
        <f t="shared" si="410"/>
        <v/>
      </c>
      <c r="I411" s="41" t="str">
        <f t="shared" si="410"/>
        <v/>
      </c>
      <c r="J411" s="41" t="str">
        <f t="shared" si="410"/>
        <v/>
      </c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67.5" customHeight="1">
      <c r="A412" s="39"/>
      <c r="B412" s="43" t="str">
        <f>IFERROR(__xludf.DUMMYFUNCTION("IFERROR(
  LET(
    periodos, C$1:Z$1,
    marcas, C412:Z412,
    pos, MAX(
          FILTER(
            COLUMN(marcas)-COLUMN(C412)+1,
            marcas=""X""
          )
        ),
    ultimo, INDEX(periodos, pos),
    XLOOKUP(
      $A412,
      INDI"&amp;"RECT(""'""&amp;ultimo&amp;""'!C:C""),
      INDIRECT(""'""&amp;ultimo&amp;""'!A:A"")
    )
  ),
  """"
)"),"")</f>
        <v/>
      </c>
      <c r="C412" s="41" t="str">
        <f t="shared" ref="C412:J412" si="411">IF(
  COUNTIF(
    INDIRECT("'"&amp;C$1&amp;"'!C:C"),
    $A412
  )&gt;0,
  "X",
  ""
)</f>
        <v/>
      </c>
      <c r="D412" s="41" t="str">
        <f t="shared" si="411"/>
        <v/>
      </c>
      <c r="E412" s="41" t="str">
        <f t="shared" si="411"/>
        <v/>
      </c>
      <c r="F412" s="41" t="str">
        <f t="shared" si="411"/>
        <v/>
      </c>
      <c r="G412" s="41" t="str">
        <f t="shared" si="411"/>
        <v/>
      </c>
      <c r="H412" s="41" t="str">
        <f t="shared" si="411"/>
        <v/>
      </c>
      <c r="I412" s="41" t="str">
        <f t="shared" si="411"/>
        <v/>
      </c>
      <c r="J412" s="41" t="str">
        <f t="shared" si="411"/>
        <v/>
      </c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67.5" customHeight="1">
      <c r="A413" s="39"/>
      <c r="B413" s="43" t="str">
        <f>IFERROR(__xludf.DUMMYFUNCTION("IFERROR(
  LET(
    periodos, C$1:Z$1,
    marcas, C413:Z413,
    pos, MAX(
          FILTER(
            COLUMN(marcas)-COLUMN(C413)+1,
            marcas=""X""
          )
        ),
    ultimo, INDEX(periodos, pos),
    XLOOKUP(
      $A413,
      INDI"&amp;"RECT(""'""&amp;ultimo&amp;""'!C:C""),
      INDIRECT(""'""&amp;ultimo&amp;""'!A:A"")
    )
  ),
  """"
)"),"")</f>
        <v/>
      </c>
      <c r="C413" s="41" t="str">
        <f t="shared" ref="C413:J413" si="412">IF(
  COUNTIF(
    INDIRECT("'"&amp;C$1&amp;"'!C:C"),
    $A413
  )&gt;0,
  "X",
  ""
)</f>
        <v/>
      </c>
      <c r="D413" s="41" t="str">
        <f t="shared" si="412"/>
        <v/>
      </c>
      <c r="E413" s="41" t="str">
        <f t="shared" si="412"/>
        <v/>
      </c>
      <c r="F413" s="41" t="str">
        <f t="shared" si="412"/>
        <v/>
      </c>
      <c r="G413" s="41" t="str">
        <f t="shared" si="412"/>
        <v/>
      </c>
      <c r="H413" s="41" t="str">
        <f t="shared" si="412"/>
        <v/>
      </c>
      <c r="I413" s="41" t="str">
        <f t="shared" si="412"/>
        <v/>
      </c>
      <c r="J413" s="41" t="str">
        <f t="shared" si="412"/>
        <v/>
      </c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67.5" customHeight="1">
      <c r="A414" s="39"/>
      <c r="B414" s="43" t="str">
        <f>IFERROR(__xludf.DUMMYFUNCTION("IFERROR(
  LET(
    periodos, C$1:Z$1,
    marcas, C414:Z414,
    pos, MAX(
          FILTER(
            COLUMN(marcas)-COLUMN(C414)+1,
            marcas=""X""
          )
        ),
    ultimo, INDEX(periodos, pos),
    XLOOKUP(
      $A414,
      INDI"&amp;"RECT(""'""&amp;ultimo&amp;""'!C:C""),
      INDIRECT(""'""&amp;ultimo&amp;""'!A:A"")
    )
  ),
  """"
)"),"")</f>
        <v/>
      </c>
      <c r="C414" s="41" t="str">
        <f t="shared" ref="C414:J414" si="413">IF(
  COUNTIF(
    INDIRECT("'"&amp;C$1&amp;"'!C:C"),
    $A414
  )&gt;0,
  "X",
  ""
)</f>
        <v/>
      </c>
      <c r="D414" s="41" t="str">
        <f t="shared" si="413"/>
        <v/>
      </c>
      <c r="E414" s="41" t="str">
        <f t="shared" si="413"/>
        <v/>
      </c>
      <c r="F414" s="41" t="str">
        <f t="shared" si="413"/>
        <v/>
      </c>
      <c r="G414" s="41" t="str">
        <f t="shared" si="413"/>
        <v/>
      </c>
      <c r="H414" s="41" t="str">
        <f t="shared" si="413"/>
        <v/>
      </c>
      <c r="I414" s="41" t="str">
        <f t="shared" si="413"/>
        <v/>
      </c>
      <c r="J414" s="41" t="str">
        <f t="shared" si="413"/>
        <v/>
      </c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67.5" customHeight="1">
      <c r="A415" s="39"/>
      <c r="B415" s="43" t="str">
        <f>IFERROR(__xludf.DUMMYFUNCTION("IFERROR(
  LET(
    periodos, C$1:Z$1,
    marcas, C415:Z415,
    pos, MAX(
          FILTER(
            COLUMN(marcas)-COLUMN(C415)+1,
            marcas=""X""
          )
        ),
    ultimo, INDEX(periodos, pos),
    XLOOKUP(
      $A415,
      INDI"&amp;"RECT(""'""&amp;ultimo&amp;""'!C:C""),
      INDIRECT(""'""&amp;ultimo&amp;""'!A:A"")
    )
  ),
  """"
)"),"")</f>
        <v/>
      </c>
      <c r="C415" s="41" t="str">
        <f t="shared" ref="C415:J415" si="414">IF(
  COUNTIF(
    INDIRECT("'"&amp;C$1&amp;"'!C:C"),
    $A415
  )&gt;0,
  "X",
  ""
)</f>
        <v/>
      </c>
      <c r="D415" s="41" t="str">
        <f t="shared" si="414"/>
        <v/>
      </c>
      <c r="E415" s="41" t="str">
        <f t="shared" si="414"/>
        <v/>
      </c>
      <c r="F415" s="41" t="str">
        <f t="shared" si="414"/>
        <v/>
      </c>
      <c r="G415" s="41" t="str">
        <f t="shared" si="414"/>
        <v/>
      </c>
      <c r="H415" s="41" t="str">
        <f t="shared" si="414"/>
        <v/>
      </c>
      <c r="I415" s="41" t="str">
        <f t="shared" si="414"/>
        <v/>
      </c>
      <c r="J415" s="41" t="str">
        <f t="shared" si="414"/>
        <v/>
      </c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67.5" customHeight="1">
      <c r="A416" s="39"/>
      <c r="B416" s="43" t="str">
        <f>IFERROR(__xludf.DUMMYFUNCTION("IFERROR(
  LET(
    periodos, C$1:Z$1,
    marcas, C416:Z416,
    pos, MAX(
          FILTER(
            COLUMN(marcas)-COLUMN(C416)+1,
            marcas=""X""
          )
        ),
    ultimo, INDEX(periodos, pos),
    XLOOKUP(
      $A416,
      INDI"&amp;"RECT(""'""&amp;ultimo&amp;""'!C:C""),
      INDIRECT(""'""&amp;ultimo&amp;""'!A:A"")
    )
  ),
  """"
)"),"")</f>
        <v/>
      </c>
      <c r="C416" s="41" t="str">
        <f t="shared" ref="C416:J416" si="415">IF(
  COUNTIF(
    INDIRECT("'"&amp;C$1&amp;"'!C:C"),
    $A416
  )&gt;0,
  "X",
  ""
)</f>
        <v/>
      </c>
      <c r="D416" s="41" t="str">
        <f t="shared" si="415"/>
        <v/>
      </c>
      <c r="E416" s="41" t="str">
        <f t="shared" si="415"/>
        <v/>
      </c>
      <c r="F416" s="41" t="str">
        <f t="shared" si="415"/>
        <v/>
      </c>
      <c r="G416" s="41" t="str">
        <f t="shared" si="415"/>
        <v/>
      </c>
      <c r="H416" s="41" t="str">
        <f t="shared" si="415"/>
        <v/>
      </c>
      <c r="I416" s="41" t="str">
        <f t="shared" si="415"/>
        <v/>
      </c>
      <c r="J416" s="41" t="str">
        <f t="shared" si="415"/>
        <v/>
      </c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67.5" customHeight="1">
      <c r="A417" s="39"/>
      <c r="B417" s="43" t="str">
        <f>IFERROR(__xludf.DUMMYFUNCTION("IFERROR(
  LET(
    periodos, C$1:Z$1,
    marcas, C417:Z417,
    pos, MAX(
          FILTER(
            COLUMN(marcas)-COLUMN(C417)+1,
            marcas=""X""
          )
        ),
    ultimo, INDEX(periodos, pos),
    XLOOKUP(
      $A417,
      INDI"&amp;"RECT(""'""&amp;ultimo&amp;""'!C:C""),
      INDIRECT(""'""&amp;ultimo&amp;""'!A:A"")
    )
  ),
  """"
)"),"")</f>
        <v/>
      </c>
      <c r="C417" s="41" t="str">
        <f t="shared" ref="C417:J417" si="416">IF(
  COUNTIF(
    INDIRECT("'"&amp;C$1&amp;"'!C:C"),
    $A417
  )&gt;0,
  "X",
  ""
)</f>
        <v/>
      </c>
      <c r="D417" s="41" t="str">
        <f t="shared" si="416"/>
        <v/>
      </c>
      <c r="E417" s="41" t="str">
        <f t="shared" si="416"/>
        <v/>
      </c>
      <c r="F417" s="41" t="str">
        <f t="shared" si="416"/>
        <v/>
      </c>
      <c r="G417" s="41" t="str">
        <f t="shared" si="416"/>
        <v/>
      </c>
      <c r="H417" s="41" t="str">
        <f t="shared" si="416"/>
        <v/>
      </c>
      <c r="I417" s="41" t="str">
        <f t="shared" si="416"/>
        <v/>
      </c>
      <c r="J417" s="41" t="str">
        <f t="shared" si="416"/>
        <v/>
      </c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67.5" customHeight="1">
      <c r="A418" s="39"/>
      <c r="B418" s="43" t="str">
        <f>IFERROR(__xludf.DUMMYFUNCTION("IFERROR(
  LET(
    periodos, C$1:Z$1,
    marcas, C418:Z418,
    pos, MAX(
          FILTER(
            COLUMN(marcas)-COLUMN(C418)+1,
            marcas=""X""
          )
        ),
    ultimo, INDEX(periodos, pos),
    XLOOKUP(
      $A418,
      INDI"&amp;"RECT(""'""&amp;ultimo&amp;""'!C:C""),
      INDIRECT(""'""&amp;ultimo&amp;""'!A:A"")
    )
  ),
  """"
)"),"")</f>
        <v/>
      </c>
      <c r="C418" s="41" t="str">
        <f t="shared" ref="C418:J418" si="417">IF(
  COUNTIF(
    INDIRECT("'"&amp;C$1&amp;"'!C:C"),
    $A418
  )&gt;0,
  "X",
  ""
)</f>
        <v/>
      </c>
      <c r="D418" s="41" t="str">
        <f t="shared" si="417"/>
        <v/>
      </c>
      <c r="E418" s="41" t="str">
        <f t="shared" si="417"/>
        <v/>
      </c>
      <c r="F418" s="41" t="str">
        <f t="shared" si="417"/>
        <v/>
      </c>
      <c r="G418" s="41" t="str">
        <f t="shared" si="417"/>
        <v/>
      </c>
      <c r="H418" s="41" t="str">
        <f t="shared" si="417"/>
        <v/>
      </c>
      <c r="I418" s="41" t="str">
        <f t="shared" si="417"/>
        <v/>
      </c>
      <c r="J418" s="41" t="str">
        <f t="shared" si="417"/>
        <v/>
      </c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67.5" customHeight="1">
      <c r="A419" s="39"/>
      <c r="B419" s="43" t="str">
        <f>IFERROR(__xludf.DUMMYFUNCTION("IFERROR(
  LET(
    periodos, C$1:Z$1,
    marcas, C419:Z419,
    pos, MAX(
          FILTER(
            COLUMN(marcas)-COLUMN(C419)+1,
            marcas=""X""
          )
        ),
    ultimo, INDEX(periodos, pos),
    XLOOKUP(
      $A419,
      INDI"&amp;"RECT(""'""&amp;ultimo&amp;""'!C:C""),
      INDIRECT(""'""&amp;ultimo&amp;""'!A:A"")
    )
  ),
  """"
)"),"")</f>
        <v/>
      </c>
      <c r="C419" s="41" t="str">
        <f t="shared" ref="C419:J419" si="418">IF(
  COUNTIF(
    INDIRECT("'"&amp;C$1&amp;"'!C:C"),
    $A419
  )&gt;0,
  "X",
  ""
)</f>
        <v/>
      </c>
      <c r="D419" s="41" t="str">
        <f t="shared" si="418"/>
        <v/>
      </c>
      <c r="E419" s="41" t="str">
        <f t="shared" si="418"/>
        <v/>
      </c>
      <c r="F419" s="41" t="str">
        <f t="shared" si="418"/>
        <v/>
      </c>
      <c r="G419" s="41" t="str">
        <f t="shared" si="418"/>
        <v/>
      </c>
      <c r="H419" s="41" t="str">
        <f t="shared" si="418"/>
        <v/>
      </c>
      <c r="I419" s="41" t="str">
        <f t="shared" si="418"/>
        <v/>
      </c>
      <c r="J419" s="41" t="str">
        <f t="shared" si="418"/>
        <v/>
      </c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67.5" customHeight="1">
      <c r="A420" s="39"/>
      <c r="B420" s="43" t="str">
        <f>IFERROR(__xludf.DUMMYFUNCTION("IFERROR(
  LET(
    periodos, C$1:Z$1,
    marcas, C420:Z420,
    pos, MAX(
          FILTER(
            COLUMN(marcas)-COLUMN(C420)+1,
            marcas=""X""
          )
        ),
    ultimo, INDEX(periodos, pos),
    XLOOKUP(
      $A420,
      INDI"&amp;"RECT(""'""&amp;ultimo&amp;""'!C:C""),
      INDIRECT(""'""&amp;ultimo&amp;""'!A:A"")
    )
  ),
  """"
)"),"")</f>
        <v/>
      </c>
      <c r="C420" s="41" t="str">
        <f t="shared" ref="C420:J420" si="419">IF(
  COUNTIF(
    INDIRECT("'"&amp;C$1&amp;"'!C:C"),
    $A420
  )&gt;0,
  "X",
  ""
)</f>
        <v/>
      </c>
      <c r="D420" s="41" t="str">
        <f t="shared" si="419"/>
        <v/>
      </c>
      <c r="E420" s="41" t="str">
        <f t="shared" si="419"/>
        <v/>
      </c>
      <c r="F420" s="41" t="str">
        <f t="shared" si="419"/>
        <v/>
      </c>
      <c r="G420" s="41" t="str">
        <f t="shared" si="419"/>
        <v/>
      </c>
      <c r="H420" s="41" t="str">
        <f t="shared" si="419"/>
        <v/>
      </c>
      <c r="I420" s="41" t="str">
        <f t="shared" si="419"/>
        <v/>
      </c>
      <c r="J420" s="41" t="str">
        <f t="shared" si="419"/>
        <v/>
      </c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67.5" customHeight="1">
      <c r="A421" s="39"/>
      <c r="B421" s="43" t="str">
        <f>IFERROR(__xludf.DUMMYFUNCTION("IFERROR(
  LET(
    periodos, C$1:Z$1,
    marcas, C421:Z421,
    pos, MAX(
          FILTER(
            COLUMN(marcas)-COLUMN(C421)+1,
            marcas=""X""
          )
        ),
    ultimo, INDEX(periodos, pos),
    XLOOKUP(
      $A421,
      INDI"&amp;"RECT(""'""&amp;ultimo&amp;""'!C:C""),
      INDIRECT(""'""&amp;ultimo&amp;""'!A:A"")
    )
  ),
  """"
)"),"")</f>
        <v/>
      </c>
      <c r="C421" s="41" t="str">
        <f t="shared" ref="C421:J421" si="420">IF(
  COUNTIF(
    INDIRECT("'"&amp;C$1&amp;"'!C:C"),
    $A421
  )&gt;0,
  "X",
  ""
)</f>
        <v/>
      </c>
      <c r="D421" s="41" t="str">
        <f t="shared" si="420"/>
        <v/>
      </c>
      <c r="E421" s="41" t="str">
        <f t="shared" si="420"/>
        <v/>
      </c>
      <c r="F421" s="41" t="str">
        <f t="shared" si="420"/>
        <v/>
      </c>
      <c r="G421" s="41" t="str">
        <f t="shared" si="420"/>
        <v/>
      </c>
      <c r="H421" s="41" t="str">
        <f t="shared" si="420"/>
        <v/>
      </c>
      <c r="I421" s="41" t="str">
        <f t="shared" si="420"/>
        <v/>
      </c>
      <c r="J421" s="41" t="str">
        <f t="shared" si="420"/>
        <v/>
      </c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67.5" customHeight="1">
      <c r="A422" s="39"/>
      <c r="B422" s="43" t="str">
        <f>IFERROR(__xludf.DUMMYFUNCTION("IFERROR(
  LET(
    periodos, C$1:Z$1,
    marcas, C422:Z422,
    pos, MAX(
          FILTER(
            COLUMN(marcas)-COLUMN(C422)+1,
            marcas=""X""
          )
        ),
    ultimo, INDEX(periodos, pos),
    XLOOKUP(
      $A422,
      INDI"&amp;"RECT(""'""&amp;ultimo&amp;""'!C:C""),
      INDIRECT(""'""&amp;ultimo&amp;""'!A:A"")
    )
  ),
  """"
)"),"")</f>
        <v/>
      </c>
      <c r="C422" s="41" t="str">
        <f t="shared" ref="C422:J422" si="421">IF(
  COUNTIF(
    INDIRECT("'"&amp;C$1&amp;"'!C:C"),
    $A422
  )&gt;0,
  "X",
  ""
)</f>
        <v/>
      </c>
      <c r="D422" s="41" t="str">
        <f t="shared" si="421"/>
        <v/>
      </c>
      <c r="E422" s="41" t="str">
        <f t="shared" si="421"/>
        <v/>
      </c>
      <c r="F422" s="41" t="str">
        <f t="shared" si="421"/>
        <v/>
      </c>
      <c r="G422" s="41" t="str">
        <f t="shared" si="421"/>
        <v/>
      </c>
      <c r="H422" s="41" t="str">
        <f t="shared" si="421"/>
        <v/>
      </c>
      <c r="I422" s="41" t="str">
        <f t="shared" si="421"/>
        <v/>
      </c>
      <c r="J422" s="41" t="str">
        <f t="shared" si="421"/>
        <v/>
      </c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67.5" customHeight="1">
      <c r="A423" s="39"/>
      <c r="B423" s="43" t="str">
        <f>IFERROR(__xludf.DUMMYFUNCTION("IFERROR(
  LET(
    periodos, C$1:Z$1,
    marcas, C423:Z423,
    pos, MAX(
          FILTER(
            COLUMN(marcas)-COLUMN(C423)+1,
            marcas=""X""
          )
        ),
    ultimo, INDEX(periodos, pos),
    XLOOKUP(
      $A423,
      INDI"&amp;"RECT(""'""&amp;ultimo&amp;""'!C:C""),
      INDIRECT(""'""&amp;ultimo&amp;""'!A:A"")
    )
  ),
  """"
)"),"")</f>
        <v/>
      </c>
      <c r="C423" s="41" t="str">
        <f t="shared" ref="C423:J423" si="422">IF(
  COUNTIF(
    INDIRECT("'"&amp;C$1&amp;"'!C:C"),
    $A423
  )&gt;0,
  "X",
  ""
)</f>
        <v/>
      </c>
      <c r="D423" s="41" t="str">
        <f t="shared" si="422"/>
        <v/>
      </c>
      <c r="E423" s="41" t="str">
        <f t="shared" si="422"/>
        <v/>
      </c>
      <c r="F423" s="41" t="str">
        <f t="shared" si="422"/>
        <v/>
      </c>
      <c r="G423" s="41" t="str">
        <f t="shared" si="422"/>
        <v/>
      </c>
      <c r="H423" s="41" t="str">
        <f t="shared" si="422"/>
        <v/>
      </c>
      <c r="I423" s="41" t="str">
        <f t="shared" si="422"/>
        <v/>
      </c>
      <c r="J423" s="41" t="str">
        <f t="shared" si="422"/>
        <v/>
      </c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67.5" customHeight="1">
      <c r="A424" s="39"/>
      <c r="B424" s="43" t="str">
        <f>IFERROR(__xludf.DUMMYFUNCTION("IFERROR(
  LET(
    periodos, C$1:Z$1,
    marcas, C424:Z424,
    pos, MAX(
          FILTER(
            COLUMN(marcas)-COLUMN(C424)+1,
            marcas=""X""
          )
        ),
    ultimo, INDEX(periodos, pos),
    XLOOKUP(
      $A424,
      INDI"&amp;"RECT(""'""&amp;ultimo&amp;""'!C:C""),
      INDIRECT(""'""&amp;ultimo&amp;""'!A:A"")
    )
  ),
  """"
)"),"")</f>
        <v/>
      </c>
      <c r="C424" s="41" t="str">
        <f t="shared" ref="C424:J424" si="423">IF(
  COUNTIF(
    INDIRECT("'"&amp;C$1&amp;"'!C:C"),
    $A424
  )&gt;0,
  "X",
  ""
)</f>
        <v/>
      </c>
      <c r="D424" s="41" t="str">
        <f t="shared" si="423"/>
        <v/>
      </c>
      <c r="E424" s="41" t="str">
        <f t="shared" si="423"/>
        <v/>
      </c>
      <c r="F424" s="41" t="str">
        <f t="shared" si="423"/>
        <v/>
      </c>
      <c r="G424" s="41" t="str">
        <f t="shared" si="423"/>
        <v/>
      </c>
      <c r="H424" s="41" t="str">
        <f t="shared" si="423"/>
        <v/>
      </c>
      <c r="I424" s="41" t="str">
        <f t="shared" si="423"/>
        <v/>
      </c>
      <c r="J424" s="41" t="str">
        <f t="shared" si="423"/>
        <v/>
      </c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67.5" customHeight="1">
      <c r="A425" s="39"/>
      <c r="B425" s="43" t="str">
        <f>IFERROR(__xludf.DUMMYFUNCTION("IFERROR(
  LET(
    periodos, C$1:Z$1,
    marcas, C425:Z425,
    pos, MAX(
          FILTER(
            COLUMN(marcas)-COLUMN(C425)+1,
            marcas=""X""
          )
        ),
    ultimo, INDEX(periodos, pos),
    XLOOKUP(
      $A425,
      INDI"&amp;"RECT(""'""&amp;ultimo&amp;""'!C:C""),
      INDIRECT(""'""&amp;ultimo&amp;""'!A:A"")
    )
  ),
  """"
)"),"")</f>
        <v/>
      </c>
      <c r="C425" s="41" t="str">
        <f t="shared" ref="C425:J425" si="424">IF(
  COUNTIF(
    INDIRECT("'"&amp;C$1&amp;"'!C:C"),
    $A425
  )&gt;0,
  "X",
  ""
)</f>
        <v/>
      </c>
      <c r="D425" s="41" t="str">
        <f t="shared" si="424"/>
        <v/>
      </c>
      <c r="E425" s="41" t="str">
        <f t="shared" si="424"/>
        <v/>
      </c>
      <c r="F425" s="41" t="str">
        <f t="shared" si="424"/>
        <v/>
      </c>
      <c r="G425" s="41" t="str">
        <f t="shared" si="424"/>
        <v/>
      </c>
      <c r="H425" s="41" t="str">
        <f t="shared" si="424"/>
        <v/>
      </c>
      <c r="I425" s="41" t="str">
        <f t="shared" si="424"/>
        <v/>
      </c>
      <c r="J425" s="41" t="str">
        <f t="shared" si="424"/>
        <v/>
      </c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67.5" customHeight="1">
      <c r="A426" s="39"/>
      <c r="B426" s="43" t="str">
        <f>IFERROR(__xludf.DUMMYFUNCTION("IFERROR(
  LET(
    periodos, C$1:Z$1,
    marcas, C426:Z426,
    pos, MAX(
          FILTER(
            COLUMN(marcas)-COLUMN(C426)+1,
            marcas=""X""
          )
        ),
    ultimo, INDEX(periodos, pos),
    XLOOKUP(
      $A426,
      INDI"&amp;"RECT(""'""&amp;ultimo&amp;""'!C:C""),
      INDIRECT(""'""&amp;ultimo&amp;""'!A:A"")
    )
  ),
  """"
)"),"")</f>
        <v/>
      </c>
      <c r="C426" s="41" t="str">
        <f t="shared" ref="C426:J426" si="425">IF(
  COUNTIF(
    INDIRECT("'"&amp;C$1&amp;"'!C:C"),
    $A426
  )&gt;0,
  "X",
  ""
)</f>
        <v/>
      </c>
      <c r="D426" s="41" t="str">
        <f t="shared" si="425"/>
        <v/>
      </c>
      <c r="E426" s="41" t="str">
        <f t="shared" si="425"/>
        <v/>
      </c>
      <c r="F426" s="41" t="str">
        <f t="shared" si="425"/>
        <v/>
      </c>
      <c r="G426" s="41" t="str">
        <f t="shared" si="425"/>
        <v/>
      </c>
      <c r="H426" s="41" t="str">
        <f t="shared" si="425"/>
        <v/>
      </c>
      <c r="I426" s="41" t="str">
        <f t="shared" si="425"/>
        <v/>
      </c>
      <c r="J426" s="41" t="str">
        <f t="shared" si="425"/>
        <v/>
      </c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67.5" customHeight="1">
      <c r="A427" s="39"/>
      <c r="B427" s="43" t="str">
        <f>IFERROR(__xludf.DUMMYFUNCTION("IFERROR(
  LET(
    periodos, C$1:Z$1,
    marcas, C427:Z427,
    pos, MAX(
          FILTER(
            COLUMN(marcas)-COLUMN(C427)+1,
            marcas=""X""
          )
        ),
    ultimo, INDEX(periodos, pos),
    XLOOKUP(
      $A427,
      INDI"&amp;"RECT(""'""&amp;ultimo&amp;""'!C:C""),
      INDIRECT(""'""&amp;ultimo&amp;""'!A:A"")
    )
  ),
  """"
)"),"")</f>
        <v/>
      </c>
      <c r="C427" s="41" t="str">
        <f t="shared" ref="C427:J427" si="426">IF(
  COUNTIF(
    INDIRECT("'"&amp;C$1&amp;"'!C:C"),
    $A427
  )&gt;0,
  "X",
  ""
)</f>
        <v/>
      </c>
      <c r="D427" s="41" t="str">
        <f t="shared" si="426"/>
        <v/>
      </c>
      <c r="E427" s="41" t="str">
        <f t="shared" si="426"/>
        <v/>
      </c>
      <c r="F427" s="41" t="str">
        <f t="shared" si="426"/>
        <v/>
      </c>
      <c r="G427" s="41" t="str">
        <f t="shared" si="426"/>
        <v/>
      </c>
      <c r="H427" s="41" t="str">
        <f t="shared" si="426"/>
        <v/>
      </c>
      <c r="I427" s="41" t="str">
        <f t="shared" si="426"/>
        <v/>
      </c>
      <c r="J427" s="41" t="str">
        <f t="shared" si="426"/>
        <v/>
      </c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67.5" customHeight="1">
      <c r="A428" s="39"/>
      <c r="B428" s="43" t="str">
        <f>IFERROR(__xludf.DUMMYFUNCTION("IFERROR(
  LET(
    periodos, C$1:Z$1,
    marcas, C428:Z428,
    pos, MAX(
          FILTER(
            COLUMN(marcas)-COLUMN(C428)+1,
            marcas=""X""
          )
        ),
    ultimo, INDEX(periodos, pos),
    XLOOKUP(
      $A428,
      INDI"&amp;"RECT(""'""&amp;ultimo&amp;""'!C:C""),
      INDIRECT(""'""&amp;ultimo&amp;""'!A:A"")
    )
  ),
  """"
)"),"")</f>
        <v/>
      </c>
      <c r="C428" s="41" t="str">
        <f t="shared" ref="C428:J428" si="427">IF(
  COUNTIF(
    INDIRECT("'"&amp;C$1&amp;"'!C:C"),
    $A428
  )&gt;0,
  "X",
  ""
)</f>
        <v/>
      </c>
      <c r="D428" s="41" t="str">
        <f t="shared" si="427"/>
        <v/>
      </c>
      <c r="E428" s="41" t="str">
        <f t="shared" si="427"/>
        <v/>
      </c>
      <c r="F428" s="41" t="str">
        <f t="shared" si="427"/>
        <v/>
      </c>
      <c r="G428" s="41" t="str">
        <f t="shared" si="427"/>
        <v/>
      </c>
      <c r="H428" s="41" t="str">
        <f t="shared" si="427"/>
        <v/>
      </c>
      <c r="I428" s="41" t="str">
        <f t="shared" si="427"/>
        <v/>
      </c>
      <c r="J428" s="41" t="str">
        <f t="shared" si="427"/>
        <v/>
      </c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67.5" customHeight="1">
      <c r="A429" s="39"/>
      <c r="B429" s="43" t="str">
        <f>IFERROR(__xludf.DUMMYFUNCTION("IFERROR(
  LET(
    periodos, C$1:Z$1,
    marcas, C429:Z429,
    pos, MAX(
          FILTER(
            COLUMN(marcas)-COLUMN(C429)+1,
            marcas=""X""
          )
        ),
    ultimo, INDEX(periodos, pos),
    XLOOKUP(
      $A429,
      INDI"&amp;"RECT(""'""&amp;ultimo&amp;""'!C:C""),
      INDIRECT(""'""&amp;ultimo&amp;""'!A:A"")
    )
  ),
  """"
)"),"")</f>
        <v/>
      </c>
      <c r="C429" s="41" t="str">
        <f t="shared" ref="C429:J429" si="428">IF(
  COUNTIF(
    INDIRECT("'"&amp;C$1&amp;"'!C:C"),
    $A429
  )&gt;0,
  "X",
  ""
)</f>
        <v/>
      </c>
      <c r="D429" s="41" t="str">
        <f t="shared" si="428"/>
        <v/>
      </c>
      <c r="E429" s="41" t="str">
        <f t="shared" si="428"/>
        <v/>
      </c>
      <c r="F429" s="41" t="str">
        <f t="shared" si="428"/>
        <v/>
      </c>
      <c r="G429" s="41" t="str">
        <f t="shared" si="428"/>
        <v/>
      </c>
      <c r="H429" s="41" t="str">
        <f t="shared" si="428"/>
        <v/>
      </c>
      <c r="I429" s="41" t="str">
        <f t="shared" si="428"/>
        <v/>
      </c>
      <c r="J429" s="41" t="str">
        <f t="shared" si="428"/>
        <v/>
      </c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67.5" customHeight="1">
      <c r="A430" s="39"/>
      <c r="B430" s="43" t="str">
        <f>IFERROR(__xludf.DUMMYFUNCTION("IFERROR(
  LET(
    periodos, C$1:Z$1,
    marcas, C430:Z430,
    pos, MAX(
          FILTER(
            COLUMN(marcas)-COLUMN(C430)+1,
            marcas=""X""
          )
        ),
    ultimo, INDEX(periodos, pos),
    XLOOKUP(
      $A430,
      INDI"&amp;"RECT(""'""&amp;ultimo&amp;""'!C:C""),
      INDIRECT(""'""&amp;ultimo&amp;""'!A:A"")
    )
  ),
  """"
)"),"")</f>
        <v/>
      </c>
      <c r="C430" s="41" t="str">
        <f t="shared" ref="C430:J430" si="429">IF(
  COUNTIF(
    INDIRECT("'"&amp;C$1&amp;"'!C:C"),
    $A430
  )&gt;0,
  "X",
  ""
)</f>
        <v/>
      </c>
      <c r="D430" s="41" t="str">
        <f t="shared" si="429"/>
        <v/>
      </c>
      <c r="E430" s="41" t="str">
        <f t="shared" si="429"/>
        <v/>
      </c>
      <c r="F430" s="41" t="str">
        <f t="shared" si="429"/>
        <v/>
      </c>
      <c r="G430" s="41" t="str">
        <f t="shared" si="429"/>
        <v/>
      </c>
      <c r="H430" s="41" t="str">
        <f t="shared" si="429"/>
        <v/>
      </c>
      <c r="I430" s="41" t="str">
        <f t="shared" si="429"/>
        <v/>
      </c>
      <c r="J430" s="41" t="str">
        <f t="shared" si="429"/>
        <v/>
      </c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67.5" customHeight="1">
      <c r="A431" s="39"/>
      <c r="B431" s="43" t="str">
        <f>IFERROR(__xludf.DUMMYFUNCTION("IFERROR(
  LET(
    periodos, C$1:Z$1,
    marcas, C431:Z431,
    pos, MAX(
          FILTER(
            COLUMN(marcas)-COLUMN(C431)+1,
            marcas=""X""
          )
        ),
    ultimo, INDEX(periodos, pos),
    XLOOKUP(
      $A431,
      INDI"&amp;"RECT(""'""&amp;ultimo&amp;""'!C:C""),
      INDIRECT(""'""&amp;ultimo&amp;""'!A:A"")
    )
  ),
  """"
)"),"")</f>
        <v/>
      </c>
      <c r="C431" s="41" t="str">
        <f t="shared" ref="C431:J431" si="430">IF(
  COUNTIF(
    INDIRECT("'"&amp;C$1&amp;"'!C:C"),
    $A431
  )&gt;0,
  "X",
  ""
)</f>
        <v/>
      </c>
      <c r="D431" s="41" t="str">
        <f t="shared" si="430"/>
        <v/>
      </c>
      <c r="E431" s="41" t="str">
        <f t="shared" si="430"/>
        <v/>
      </c>
      <c r="F431" s="41" t="str">
        <f t="shared" si="430"/>
        <v/>
      </c>
      <c r="G431" s="41" t="str">
        <f t="shared" si="430"/>
        <v/>
      </c>
      <c r="H431" s="41" t="str">
        <f t="shared" si="430"/>
        <v/>
      </c>
      <c r="I431" s="41" t="str">
        <f t="shared" si="430"/>
        <v/>
      </c>
      <c r="J431" s="41" t="str">
        <f t="shared" si="430"/>
        <v/>
      </c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67.5" customHeight="1">
      <c r="A432" s="39"/>
      <c r="B432" s="43" t="str">
        <f>IFERROR(__xludf.DUMMYFUNCTION("IFERROR(
  LET(
    periodos, C$1:Z$1,
    marcas, C432:Z432,
    pos, MAX(
          FILTER(
            COLUMN(marcas)-COLUMN(C432)+1,
            marcas=""X""
          )
        ),
    ultimo, INDEX(periodos, pos),
    XLOOKUP(
      $A432,
      INDI"&amp;"RECT(""'""&amp;ultimo&amp;""'!C:C""),
      INDIRECT(""'""&amp;ultimo&amp;""'!A:A"")
    )
  ),
  """"
)"),"")</f>
        <v/>
      </c>
      <c r="C432" s="41" t="str">
        <f t="shared" ref="C432:J432" si="431">IF(
  COUNTIF(
    INDIRECT("'"&amp;C$1&amp;"'!C:C"),
    $A432
  )&gt;0,
  "X",
  ""
)</f>
        <v/>
      </c>
      <c r="D432" s="41" t="str">
        <f t="shared" si="431"/>
        <v/>
      </c>
      <c r="E432" s="41" t="str">
        <f t="shared" si="431"/>
        <v/>
      </c>
      <c r="F432" s="41" t="str">
        <f t="shared" si="431"/>
        <v/>
      </c>
      <c r="G432" s="41" t="str">
        <f t="shared" si="431"/>
        <v/>
      </c>
      <c r="H432" s="41" t="str">
        <f t="shared" si="431"/>
        <v/>
      </c>
      <c r="I432" s="41" t="str">
        <f t="shared" si="431"/>
        <v/>
      </c>
      <c r="J432" s="41" t="str">
        <f t="shared" si="431"/>
        <v/>
      </c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67.5" customHeight="1">
      <c r="A433" s="39"/>
      <c r="B433" s="43" t="str">
        <f>IFERROR(__xludf.DUMMYFUNCTION("IFERROR(
  LET(
    periodos, C$1:Z$1,
    marcas, C433:Z433,
    pos, MAX(
          FILTER(
            COLUMN(marcas)-COLUMN(C433)+1,
            marcas=""X""
          )
        ),
    ultimo, INDEX(periodos, pos),
    XLOOKUP(
      $A433,
      INDI"&amp;"RECT(""'""&amp;ultimo&amp;""'!C:C""),
      INDIRECT(""'""&amp;ultimo&amp;""'!A:A"")
    )
  ),
  """"
)"),"")</f>
        <v/>
      </c>
      <c r="C433" s="41" t="str">
        <f t="shared" ref="C433:J433" si="432">IF(
  COUNTIF(
    INDIRECT("'"&amp;C$1&amp;"'!C:C"),
    $A433
  )&gt;0,
  "X",
  ""
)</f>
        <v/>
      </c>
      <c r="D433" s="41" t="str">
        <f t="shared" si="432"/>
        <v/>
      </c>
      <c r="E433" s="41" t="str">
        <f t="shared" si="432"/>
        <v/>
      </c>
      <c r="F433" s="41" t="str">
        <f t="shared" si="432"/>
        <v/>
      </c>
      <c r="G433" s="41" t="str">
        <f t="shared" si="432"/>
        <v/>
      </c>
      <c r="H433" s="41" t="str">
        <f t="shared" si="432"/>
        <v/>
      </c>
      <c r="I433" s="41" t="str">
        <f t="shared" si="432"/>
        <v/>
      </c>
      <c r="J433" s="41" t="str">
        <f t="shared" si="432"/>
        <v/>
      </c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67.5" customHeight="1">
      <c r="A434" s="39"/>
      <c r="B434" s="43" t="str">
        <f>IFERROR(__xludf.DUMMYFUNCTION("IFERROR(
  LET(
    periodos, C$1:Z$1,
    marcas, C434:Z434,
    pos, MAX(
          FILTER(
            COLUMN(marcas)-COLUMN(C434)+1,
            marcas=""X""
          )
        ),
    ultimo, INDEX(periodos, pos),
    XLOOKUP(
      $A434,
      INDI"&amp;"RECT(""'""&amp;ultimo&amp;""'!C:C""),
      INDIRECT(""'""&amp;ultimo&amp;""'!A:A"")
    )
  ),
  """"
)"),"")</f>
        <v/>
      </c>
      <c r="C434" s="41" t="str">
        <f t="shared" ref="C434:J434" si="433">IF(
  COUNTIF(
    INDIRECT("'"&amp;C$1&amp;"'!C:C"),
    $A434
  )&gt;0,
  "X",
  ""
)</f>
        <v/>
      </c>
      <c r="D434" s="41" t="str">
        <f t="shared" si="433"/>
        <v/>
      </c>
      <c r="E434" s="41" t="str">
        <f t="shared" si="433"/>
        <v/>
      </c>
      <c r="F434" s="41" t="str">
        <f t="shared" si="433"/>
        <v/>
      </c>
      <c r="G434" s="41" t="str">
        <f t="shared" si="433"/>
        <v/>
      </c>
      <c r="H434" s="41" t="str">
        <f t="shared" si="433"/>
        <v/>
      </c>
      <c r="I434" s="41" t="str">
        <f t="shared" si="433"/>
        <v/>
      </c>
      <c r="J434" s="41" t="str">
        <f t="shared" si="433"/>
        <v/>
      </c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67.5" customHeight="1">
      <c r="A435" s="39"/>
      <c r="B435" s="43" t="str">
        <f>IFERROR(__xludf.DUMMYFUNCTION("IFERROR(
  LET(
    periodos, C$1:Z$1,
    marcas, C435:Z435,
    pos, MAX(
          FILTER(
            COLUMN(marcas)-COLUMN(C435)+1,
            marcas=""X""
          )
        ),
    ultimo, INDEX(periodos, pos),
    XLOOKUP(
      $A435,
      INDI"&amp;"RECT(""'""&amp;ultimo&amp;""'!C:C""),
      INDIRECT(""'""&amp;ultimo&amp;""'!A:A"")
    )
  ),
  """"
)"),"")</f>
        <v/>
      </c>
      <c r="C435" s="41" t="str">
        <f t="shared" ref="C435:J435" si="434">IF(
  COUNTIF(
    INDIRECT("'"&amp;C$1&amp;"'!C:C"),
    $A435
  )&gt;0,
  "X",
  ""
)</f>
        <v/>
      </c>
      <c r="D435" s="41" t="str">
        <f t="shared" si="434"/>
        <v/>
      </c>
      <c r="E435" s="41" t="str">
        <f t="shared" si="434"/>
        <v/>
      </c>
      <c r="F435" s="41" t="str">
        <f t="shared" si="434"/>
        <v/>
      </c>
      <c r="G435" s="41" t="str">
        <f t="shared" si="434"/>
        <v/>
      </c>
      <c r="H435" s="41" t="str">
        <f t="shared" si="434"/>
        <v/>
      </c>
      <c r="I435" s="41" t="str">
        <f t="shared" si="434"/>
        <v/>
      </c>
      <c r="J435" s="41" t="str">
        <f t="shared" si="434"/>
        <v/>
      </c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67.5" customHeight="1">
      <c r="A436" s="39"/>
      <c r="B436" s="43" t="str">
        <f>IFERROR(__xludf.DUMMYFUNCTION("IFERROR(
  LET(
    periodos, C$1:Z$1,
    marcas, C436:Z436,
    pos, MAX(
          FILTER(
            COLUMN(marcas)-COLUMN(C436)+1,
            marcas=""X""
          )
        ),
    ultimo, INDEX(periodos, pos),
    XLOOKUP(
      $A436,
      INDI"&amp;"RECT(""'""&amp;ultimo&amp;""'!C:C""),
      INDIRECT(""'""&amp;ultimo&amp;""'!A:A"")
    )
  ),
  """"
)"),"")</f>
        <v/>
      </c>
      <c r="C436" s="41" t="str">
        <f t="shared" ref="C436:J436" si="435">IF(
  COUNTIF(
    INDIRECT("'"&amp;C$1&amp;"'!C:C"),
    $A436
  )&gt;0,
  "X",
  ""
)</f>
        <v/>
      </c>
      <c r="D436" s="41" t="str">
        <f t="shared" si="435"/>
        <v/>
      </c>
      <c r="E436" s="41" t="str">
        <f t="shared" si="435"/>
        <v/>
      </c>
      <c r="F436" s="41" t="str">
        <f t="shared" si="435"/>
        <v/>
      </c>
      <c r="G436" s="41" t="str">
        <f t="shared" si="435"/>
        <v/>
      </c>
      <c r="H436" s="41" t="str">
        <f t="shared" si="435"/>
        <v/>
      </c>
      <c r="I436" s="41" t="str">
        <f t="shared" si="435"/>
        <v/>
      </c>
      <c r="J436" s="41" t="str">
        <f t="shared" si="435"/>
        <v/>
      </c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67.5" customHeight="1">
      <c r="A437" s="39"/>
      <c r="B437" s="43" t="str">
        <f>IFERROR(__xludf.DUMMYFUNCTION("IFERROR(
  LET(
    periodos, C$1:Z$1,
    marcas, C437:Z437,
    pos, MAX(
          FILTER(
            COLUMN(marcas)-COLUMN(C437)+1,
            marcas=""X""
          )
        ),
    ultimo, INDEX(periodos, pos),
    XLOOKUP(
      $A437,
      INDI"&amp;"RECT(""'""&amp;ultimo&amp;""'!C:C""),
      INDIRECT(""'""&amp;ultimo&amp;""'!A:A"")
    )
  ),
  """"
)"),"")</f>
        <v/>
      </c>
      <c r="C437" s="41" t="str">
        <f t="shared" ref="C437:J437" si="436">IF(
  COUNTIF(
    INDIRECT("'"&amp;C$1&amp;"'!C:C"),
    $A437
  )&gt;0,
  "X",
  ""
)</f>
        <v/>
      </c>
      <c r="D437" s="41" t="str">
        <f t="shared" si="436"/>
        <v/>
      </c>
      <c r="E437" s="41" t="str">
        <f t="shared" si="436"/>
        <v/>
      </c>
      <c r="F437" s="41" t="str">
        <f t="shared" si="436"/>
        <v/>
      </c>
      <c r="G437" s="41" t="str">
        <f t="shared" si="436"/>
        <v/>
      </c>
      <c r="H437" s="41" t="str">
        <f t="shared" si="436"/>
        <v/>
      </c>
      <c r="I437" s="41" t="str">
        <f t="shared" si="436"/>
        <v/>
      </c>
      <c r="J437" s="41" t="str">
        <f t="shared" si="436"/>
        <v/>
      </c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67.5" customHeight="1">
      <c r="A438" s="39"/>
      <c r="B438" s="43" t="str">
        <f>IFERROR(__xludf.DUMMYFUNCTION("IFERROR(
  LET(
    periodos, C$1:Z$1,
    marcas, C438:Z438,
    pos, MAX(
          FILTER(
            COLUMN(marcas)-COLUMN(C438)+1,
            marcas=""X""
          )
        ),
    ultimo, INDEX(periodos, pos),
    XLOOKUP(
      $A438,
      INDI"&amp;"RECT(""'""&amp;ultimo&amp;""'!C:C""),
      INDIRECT(""'""&amp;ultimo&amp;""'!A:A"")
    )
  ),
  """"
)"),"")</f>
        <v/>
      </c>
      <c r="C438" s="41" t="str">
        <f t="shared" ref="C438:J438" si="437">IF(
  COUNTIF(
    INDIRECT("'"&amp;C$1&amp;"'!C:C"),
    $A438
  )&gt;0,
  "X",
  ""
)</f>
        <v/>
      </c>
      <c r="D438" s="41" t="str">
        <f t="shared" si="437"/>
        <v/>
      </c>
      <c r="E438" s="41" t="str">
        <f t="shared" si="437"/>
        <v/>
      </c>
      <c r="F438" s="41" t="str">
        <f t="shared" si="437"/>
        <v/>
      </c>
      <c r="G438" s="41" t="str">
        <f t="shared" si="437"/>
        <v/>
      </c>
      <c r="H438" s="41" t="str">
        <f t="shared" si="437"/>
        <v/>
      </c>
      <c r="I438" s="41" t="str">
        <f t="shared" si="437"/>
        <v/>
      </c>
      <c r="J438" s="41" t="str">
        <f t="shared" si="437"/>
        <v/>
      </c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67.5" customHeight="1">
      <c r="A439" s="39"/>
      <c r="B439" s="43" t="str">
        <f>IFERROR(__xludf.DUMMYFUNCTION("IFERROR(
  LET(
    periodos, C$1:Z$1,
    marcas, C439:Z439,
    pos, MAX(
          FILTER(
            COLUMN(marcas)-COLUMN(C439)+1,
            marcas=""X""
          )
        ),
    ultimo, INDEX(periodos, pos),
    XLOOKUP(
      $A439,
      INDI"&amp;"RECT(""'""&amp;ultimo&amp;""'!C:C""),
      INDIRECT(""'""&amp;ultimo&amp;""'!A:A"")
    )
  ),
  """"
)"),"")</f>
        <v/>
      </c>
      <c r="C439" s="41" t="str">
        <f t="shared" ref="C439:J439" si="438">IF(
  COUNTIF(
    INDIRECT("'"&amp;C$1&amp;"'!C:C"),
    $A439
  )&gt;0,
  "X",
  ""
)</f>
        <v/>
      </c>
      <c r="D439" s="41" t="str">
        <f t="shared" si="438"/>
        <v/>
      </c>
      <c r="E439" s="41" t="str">
        <f t="shared" si="438"/>
        <v/>
      </c>
      <c r="F439" s="41" t="str">
        <f t="shared" si="438"/>
        <v/>
      </c>
      <c r="G439" s="41" t="str">
        <f t="shared" si="438"/>
        <v/>
      </c>
      <c r="H439" s="41" t="str">
        <f t="shared" si="438"/>
        <v/>
      </c>
      <c r="I439" s="41" t="str">
        <f t="shared" si="438"/>
        <v/>
      </c>
      <c r="J439" s="41" t="str">
        <f t="shared" si="438"/>
        <v/>
      </c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67.5" customHeight="1">
      <c r="A440" s="39"/>
      <c r="B440" s="43" t="str">
        <f>IFERROR(__xludf.DUMMYFUNCTION("IFERROR(
  LET(
    periodos, C$1:Z$1,
    marcas, C440:Z440,
    pos, MAX(
          FILTER(
            COLUMN(marcas)-COLUMN(C440)+1,
            marcas=""X""
          )
        ),
    ultimo, INDEX(periodos, pos),
    XLOOKUP(
      $A440,
      INDI"&amp;"RECT(""'""&amp;ultimo&amp;""'!C:C""),
      INDIRECT(""'""&amp;ultimo&amp;""'!A:A"")
    )
  ),
  """"
)"),"")</f>
        <v/>
      </c>
      <c r="C440" s="41" t="str">
        <f t="shared" ref="C440:J440" si="439">IF(
  COUNTIF(
    INDIRECT("'"&amp;C$1&amp;"'!C:C"),
    $A440
  )&gt;0,
  "X",
  ""
)</f>
        <v/>
      </c>
      <c r="D440" s="41" t="str">
        <f t="shared" si="439"/>
        <v/>
      </c>
      <c r="E440" s="41" t="str">
        <f t="shared" si="439"/>
        <v/>
      </c>
      <c r="F440" s="41" t="str">
        <f t="shared" si="439"/>
        <v/>
      </c>
      <c r="G440" s="41" t="str">
        <f t="shared" si="439"/>
        <v/>
      </c>
      <c r="H440" s="41" t="str">
        <f t="shared" si="439"/>
        <v/>
      </c>
      <c r="I440" s="41" t="str">
        <f t="shared" si="439"/>
        <v/>
      </c>
      <c r="J440" s="41" t="str">
        <f t="shared" si="439"/>
        <v/>
      </c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67.5" customHeight="1">
      <c r="A441" s="39"/>
      <c r="B441" s="43" t="str">
        <f>IFERROR(__xludf.DUMMYFUNCTION("IFERROR(
  LET(
    periodos, C$1:Z$1,
    marcas, C441:Z441,
    pos, MAX(
          FILTER(
            COLUMN(marcas)-COLUMN(C441)+1,
            marcas=""X""
          )
        ),
    ultimo, INDEX(periodos, pos),
    XLOOKUP(
      $A441,
      INDI"&amp;"RECT(""'""&amp;ultimo&amp;""'!C:C""),
      INDIRECT(""'""&amp;ultimo&amp;""'!A:A"")
    )
  ),
  """"
)"),"")</f>
        <v/>
      </c>
      <c r="C441" s="41" t="str">
        <f t="shared" ref="C441:J441" si="440">IF(
  COUNTIF(
    INDIRECT("'"&amp;C$1&amp;"'!C:C"),
    $A441
  )&gt;0,
  "X",
  ""
)</f>
        <v/>
      </c>
      <c r="D441" s="41" t="str">
        <f t="shared" si="440"/>
        <v/>
      </c>
      <c r="E441" s="41" t="str">
        <f t="shared" si="440"/>
        <v/>
      </c>
      <c r="F441" s="41" t="str">
        <f t="shared" si="440"/>
        <v/>
      </c>
      <c r="G441" s="41" t="str">
        <f t="shared" si="440"/>
        <v/>
      </c>
      <c r="H441" s="41" t="str">
        <f t="shared" si="440"/>
        <v/>
      </c>
      <c r="I441" s="41" t="str">
        <f t="shared" si="440"/>
        <v/>
      </c>
      <c r="J441" s="41" t="str">
        <f t="shared" si="440"/>
        <v/>
      </c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67.5" customHeight="1">
      <c r="A442" s="39"/>
      <c r="B442" s="43" t="str">
        <f>IFERROR(__xludf.DUMMYFUNCTION("IFERROR(
  LET(
    periodos, C$1:Z$1,
    marcas, C442:Z442,
    pos, MAX(
          FILTER(
            COLUMN(marcas)-COLUMN(C442)+1,
            marcas=""X""
          )
        ),
    ultimo, INDEX(periodos, pos),
    XLOOKUP(
      $A442,
      INDI"&amp;"RECT(""'""&amp;ultimo&amp;""'!C:C""),
      INDIRECT(""'""&amp;ultimo&amp;""'!A:A"")
    )
  ),
  """"
)"),"")</f>
        <v/>
      </c>
      <c r="C442" s="41" t="str">
        <f t="shared" ref="C442:J442" si="441">IF(
  COUNTIF(
    INDIRECT("'"&amp;C$1&amp;"'!C:C"),
    $A442
  )&gt;0,
  "X",
  ""
)</f>
        <v/>
      </c>
      <c r="D442" s="41" t="str">
        <f t="shared" si="441"/>
        <v/>
      </c>
      <c r="E442" s="41" t="str">
        <f t="shared" si="441"/>
        <v/>
      </c>
      <c r="F442" s="41" t="str">
        <f t="shared" si="441"/>
        <v/>
      </c>
      <c r="G442" s="41" t="str">
        <f t="shared" si="441"/>
        <v/>
      </c>
      <c r="H442" s="41" t="str">
        <f t="shared" si="441"/>
        <v/>
      </c>
      <c r="I442" s="41" t="str">
        <f t="shared" si="441"/>
        <v/>
      </c>
      <c r="J442" s="41" t="str">
        <f t="shared" si="441"/>
        <v/>
      </c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67.5" customHeight="1">
      <c r="A443" s="39"/>
      <c r="B443" s="43" t="str">
        <f>IFERROR(__xludf.DUMMYFUNCTION("IFERROR(
  LET(
    periodos, C$1:Z$1,
    marcas, C443:Z443,
    pos, MAX(
          FILTER(
            COLUMN(marcas)-COLUMN(C443)+1,
            marcas=""X""
          )
        ),
    ultimo, INDEX(periodos, pos),
    XLOOKUP(
      $A443,
      INDI"&amp;"RECT(""'""&amp;ultimo&amp;""'!C:C""),
      INDIRECT(""'""&amp;ultimo&amp;""'!A:A"")
    )
  ),
  """"
)"),"")</f>
        <v/>
      </c>
      <c r="C443" s="41" t="str">
        <f t="shared" ref="C443:J443" si="442">IF(
  COUNTIF(
    INDIRECT("'"&amp;C$1&amp;"'!C:C"),
    $A443
  )&gt;0,
  "X",
  ""
)</f>
        <v/>
      </c>
      <c r="D443" s="41" t="str">
        <f t="shared" si="442"/>
        <v/>
      </c>
      <c r="E443" s="41" t="str">
        <f t="shared" si="442"/>
        <v/>
      </c>
      <c r="F443" s="41" t="str">
        <f t="shared" si="442"/>
        <v/>
      </c>
      <c r="G443" s="41" t="str">
        <f t="shared" si="442"/>
        <v/>
      </c>
      <c r="H443" s="41" t="str">
        <f t="shared" si="442"/>
        <v/>
      </c>
      <c r="I443" s="41" t="str">
        <f t="shared" si="442"/>
        <v/>
      </c>
      <c r="J443" s="41" t="str">
        <f t="shared" si="442"/>
        <v/>
      </c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67.5" customHeight="1">
      <c r="A444" s="39"/>
      <c r="B444" s="43" t="str">
        <f>IFERROR(__xludf.DUMMYFUNCTION("IFERROR(
  LET(
    periodos, C$1:Z$1,
    marcas, C444:Z444,
    pos, MAX(
          FILTER(
            COLUMN(marcas)-COLUMN(C444)+1,
            marcas=""X""
          )
        ),
    ultimo, INDEX(periodos, pos),
    XLOOKUP(
      $A444,
      INDI"&amp;"RECT(""'""&amp;ultimo&amp;""'!C:C""),
      INDIRECT(""'""&amp;ultimo&amp;""'!A:A"")
    )
  ),
  """"
)"),"")</f>
        <v/>
      </c>
      <c r="C444" s="41" t="str">
        <f t="shared" ref="C444:J444" si="443">IF(
  COUNTIF(
    INDIRECT("'"&amp;C$1&amp;"'!C:C"),
    $A444
  )&gt;0,
  "X",
  ""
)</f>
        <v/>
      </c>
      <c r="D444" s="41" t="str">
        <f t="shared" si="443"/>
        <v/>
      </c>
      <c r="E444" s="41" t="str">
        <f t="shared" si="443"/>
        <v/>
      </c>
      <c r="F444" s="41" t="str">
        <f t="shared" si="443"/>
        <v/>
      </c>
      <c r="G444" s="41" t="str">
        <f t="shared" si="443"/>
        <v/>
      </c>
      <c r="H444" s="41" t="str">
        <f t="shared" si="443"/>
        <v/>
      </c>
      <c r="I444" s="41" t="str">
        <f t="shared" si="443"/>
        <v/>
      </c>
      <c r="J444" s="41" t="str">
        <f t="shared" si="443"/>
        <v/>
      </c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67.5" customHeight="1">
      <c r="A445" s="39"/>
      <c r="B445" s="43" t="str">
        <f>IFERROR(__xludf.DUMMYFUNCTION("IFERROR(
  LET(
    periodos, C$1:Z$1,
    marcas, C445:Z445,
    pos, MAX(
          FILTER(
            COLUMN(marcas)-COLUMN(C445)+1,
            marcas=""X""
          )
        ),
    ultimo, INDEX(periodos, pos),
    XLOOKUP(
      $A445,
      INDI"&amp;"RECT(""'""&amp;ultimo&amp;""'!C:C""),
      INDIRECT(""'""&amp;ultimo&amp;""'!A:A"")
    )
  ),
  """"
)"),"")</f>
        <v/>
      </c>
      <c r="C445" s="41" t="str">
        <f t="shared" ref="C445:J445" si="444">IF(
  COUNTIF(
    INDIRECT("'"&amp;C$1&amp;"'!C:C"),
    $A445
  )&gt;0,
  "X",
  ""
)</f>
        <v/>
      </c>
      <c r="D445" s="41" t="str">
        <f t="shared" si="444"/>
        <v/>
      </c>
      <c r="E445" s="41" t="str">
        <f t="shared" si="444"/>
        <v/>
      </c>
      <c r="F445" s="41" t="str">
        <f t="shared" si="444"/>
        <v/>
      </c>
      <c r="G445" s="41" t="str">
        <f t="shared" si="444"/>
        <v/>
      </c>
      <c r="H445" s="41" t="str">
        <f t="shared" si="444"/>
        <v/>
      </c>
      <c r="I445" s="41" t="str">
        <f t="shared" si="444"/>
        <v/>
      </c>
      <c r="J445" s="41" t="str">
        <f t="shared" si="444"/>
        <v/>
      </c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67.5" customHeight="1">
      <c r="A446" s="39"/>
      <c r="B446" s="43" t="str">
        <f>IFERROR(__xludf.DUMMYFUNCTION("IFERROR(
  LET(
    periodos, C$1:Z$1,
    marcas, C446:Z446,
    pos, MAX(
          FILTER(
            COLUMN(marcas)-COLUMN(C446)+1,
            marcas=""X""
          )
        ),
    ultimo, INDEX(periodos, pos),
    XLOOKUP(
      $A446,
      INDI"&amp;"RECT(""'""&amp;ultimo&amp;""'!C:C""),
      INDIRECT(""'""&amp;ultimo&amp;""'!A:A"")
    )
  ),
  """"
)"),"")</f>
        <v/>
      </c>
      <c r="C446" s="41" t="str">
        <f t="shared" ref="C446:J446" si="445">IF(
  COUNTIF(
    INDIRECT("'"&amp;C$1&amp;"'!C:C"),
    $A446
  )&gt;0,
  "X",
  ""
)</f>
        <v/>
      </c>
      <c r="D446" s="41" t="str">
        <f t="shared" si="445"/>
        <v/>
      </c>
      <c r="E446" s="41" t="str">
        <f t="shared" si="445"/>
        <v/>
      </c>
      <c r="F446" s="41" t="str">
        <f t="shared" si="445"/>
        <v/>
      </c>
      <c r="G446" s="41" t="str">
        <f t="shared" si="445"/>
        <v/>
      </c>
      <c r="H446" s="41" t="str">
        <f t="shared" si="445"/>
        <v/>
      </c>
      <c r="I446" s="41" t="str">
        <f t="shared" si="445"/>
        <v/>
      </c>
      <c r="J446" s="41" t="str">
        <f t="shared" si="445"/>
        <v/>
      </c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67.5" customHeight="1">
      <c r="A447" s="39"/>
      <c r="B447" s="43" t="str">
        <f>IFERROR(__xludf.DUMMYFUNCTION("IFERROR(
  LET(
    periodos, C$1:Z$1,
    marcas, C447:Z447,
    pos, MAX(
          FILTER(
            COLUMN(marcas)-COLUMN(C447)+1,
            marcas=""X""
          )
        ),
    ultimo, INDEX(periodos, pos),
    XLOOKUP(
      $A447,
      INDI"&amp;"RECT(""'""&amp;ultimo&amp;""'!C:C""),
      INDIRECT(""'""&amp;ultimo&amp;""'!A:A"")
    )
  ),
  """"
)"),"")</f>
        <v/>
      </c>
      <c r="C447" s="41" t="str">
        <f t="shared" ref="C447:J447" si="446">IF(
  COUNTIF(
    INDIRECT("'"&amp;C$1&amp;"'!C:C"),
    $A447
  )&gt;0,
  "X",
  ""
)</f>
        <v/>
      </c>
      <c r="D447" s="41" t="str">
        <f t="shared" si="446"/>
        <v/>
      </c>
      <c r="E447" s="41" t="str">
        <f t="shared" si="446"/>
        <v/>
      </c>
      <c r="F447" s="41" t="str">
        <f t="shared" si="446"/>
        <v/>
      </c>
      <c r="G447" s="41" t="str">
        <f t="shared" si="446"/>
        <v/>
      </c>
      <c r="H447" s="41" t="str">
        <f t="shared" si="446"/>
        <v/>
      </c>
      <c r="I447" s="41" t="str">
        <f t="shared" si="446"/>
        <v/>
      </c>
      <c r="J447" s="41" t="str">
        <f t="shared" si="446"/>
        <v/>
      </c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67.5" customHeight="1">
      <c r="A448" s="39"/>
      <c r="B448" s="43" t="str">
        <f>IFERROR(__xludf.DUMMYFUNCTION("IFERROR(
  LET(
    periodos, C$1:Z$1,
    marcas, C448:Z448,
    pos, MAX(
          FILTER(
            COLUMN(marcas)-COLUMN(C448)+1,
            marcas=""X""
          )
        ),
    ultimo, INDEX(periodos, pos),
    XLOOKUP(
      $A448,
      INDI"&amp;"RECT(""'""&amp;ultimo&amp;""'!C:C""),
      INDIRECT(""'""&amp;ultimo&amp;""'!A:A"")
    )
  ),
  """"
)"),"")</f>
        <v/>
      </c>
      <c r="C448" s="41" t="str">
        <f t="shared" ref="C448:J448" si="447">IF(
  COUNTIF(
    INDIRECT("'"&amp;C$1&amp;"'!C:C"),
    $A448
  )&gt;0,
  "X",
  ""
)</f>
        <v/>
      </c>
      <c r="D448" s="41" t="str">
        <f t="shared" si="447"/>
        <v/>
      </c>
      <c r="E448" s="41" t="str">
        <f t="shared" si="447"/>
        <v/>
      </c>
      <c r="F448" s="41" t="str">
        <f t="shared" si="447"/>
        <v/>
      </c>
      <c r="G448" s="41" t="str">
        <f t="shared" si="447"/>
        <v/>
      </c>
      <c r="H448" s="41" t="str">
        <f t="shared" si="447"/>
        <v/>
      </c>
      <c r="I448" s="41" t="str">
        <f t="shared" si="447"/>
        <v/>
      </c>
      <c r="J448" s="41" t="str">
        <f t="shared" si="447"/>
        <v/>
      </c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67.5" customHeight="1">
      <c r="A449" s="39"/>
      <c r="B449" s="43" t="str">
        <f>IFERROR(__xludf.DUMMYFUNCTION("IFERROR(
  LET(
    periodos, C$1:Z$1,
    marcas, C449:Z449,
    pos, MAX(
          FILTER(
            COLUMN(marcas)-COLUMN(C449)+1,
            marcas=""X""
          )
        ),
    ultimo, INDEX(periodos, pos),
    XLOOKUP(
      $A449,
      INDI"&amp;"RECT(""'""&amp;ultimo&amp;""'!C:C""),
      INDIRECT(""'""&amp;ultimo&amp;""'!A:A"")
    )
  ),
  """"
)"),"")</f>
        <v/>
      </c>
      <c r="C449" s="41" t="str">
        <f t="shared" ref="C449:J449" si="448">IF(
  COUNTIF(
    INDIRECT("'"&amp;C$1&amp;"'!C:C"),
    $A449
  )&gt;0,
  "X",
  ""
)</f>
        <v/>
      </c>
      <c r="D449" s="41" t="str">
        <f t="shared" si="448"/>
        <v/>
      </c>
      <c r="E449" s="41" t="str">
        <f t="shared" si="448"/>
        <v/>
      </c>
      <c r="F449" s="41" t="str">
        <f t="shared" si="448"/>
        <v/>
      </c>
      <c r="G449" s="41" t="str">
        <f t="shared" si="448"/>
        <v/>
      </c>
      <c r="H449" s="41" t="str">
        <f t="shared" si="448"/>
        <v/>
      </c>
      <c r="I449" s="41" t="str">
        <f t="shared" si="448"/>
        <v/>
      </c>
      <c r="J449" s="41" t="str">
        <f t="shared" si="448"/>
        <v/>
      </c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67.5" customHeight="1">
      <c r="A450" s="39"/>
      <c r="B450" s="43" t="str">
        <f>IFERROR(__xludf.DUMMYFUNCTION("IFERROR(
  LET(
    periodos, C$1:Z$1,
    marcas, C450:Z450,
    pos, MAX(
          FILTER(
            COLUMN(marcas)-COLUMN(C450)+1,
            marcas=""X""
          )
        ),
    ultimo, INDEX(periodos, pos),
    XLOOKUP(
      $A450,
      INDI"&amp;"RECT(""'""&amp;ultimo&amp;""'!C:C""),
      INDIRECT(""'""&amp;ultimo&amp;""'!A:A"")
    )
  ),
  """"
)"),"")</f>
        <v/>
      </c>
      <c r="C450" s="41" t="str">
        <f t="shared" ref="C450:J450" si="449">IF(
  COUNTIF(
    INDIRECT("'"&amp;C$1&amp;"'!C:C"),
    $A450
  )&gt;0,
  "X",
  ""
)</f>
        <v/>
      </c>
      <c r="D450" s="41" t="str">
        <f t="shared" si="449"/>
        <v/>
      </c>
      <c r="E450" s="41" t="str">
        <f t="shared" si="449"/>
        <v/>
      </c>
      <c r="F450" s="41" t="str">
        <f t="shared" si="449"/>
        <v/>
      </c>
      <c r="G450" s="41" t="str">
        <f t="shared" si="449"/>
        <v/>
      </c>
      <c r="H450" s="41" t="str">
        <f t="shared" si="449"/>
        <v/>
      </c>
      <c r="I450" s="41" t="str">
        <f t="shared" si="449"/>
        <v/>
      </c>
      <c r="J450" s="41" t="str">
        <f t="shared" si="449"/>
        <v/>
      </c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67.5" customHeight="1">
      <c r="A451" s="39"/>
      <c r="B451" s="43" t="str">
        <f>IFERROR(__xludf.DUMMYFUNCTION("IFERROR(
  LET(
    periodos, C$1:Z$1,
    marcas, C451:Z451,
    pos, MAX(
          FILTER(
            COLUMN(marcas)-COLUMN(C451)+1,
            marcas=""X""
          )
        ),
    ultimo, INDEX(periodos, pos),
    XLOOKUP(
      $A451,
      INDI"&amp;"RECT(""'""&amp;ultimo&amp;""'!C:C""),
      INDIRECT(""'""&amp;ultimo&amp;""'!A:A"")
    )
  ),
  """"
)"),"")</f>
        <v/>
      </c>
      <c r="C451" s="41" t="str">
        <f t="shared" ref="C451:J451" si="450">IF(
  COUNTIF(
    INDIRECT("'"&amp;C$1&amp;"'!C:C"),
    $A451
  )&gt;0,
  "X",
  ""
)</f>
        <v/>
      </c>
      <c r="D451" s="41" t="str">
        <f t="shared" si="450"/>
        <v/>
      </c>
      <c r="E451" s="41" t="str">
        <f t="shared" si="450"/>
        <v/>
      </c>
      <c r="F451" s="41" t="str">
        <f t="shared" si="450"/>
        <v/>
      </c>
      <c r="G451" s="41" t="str">
        <f t="shared" si="450"/>
        <v/>
      </c>
      <c r="H451" s="41" t="str">
        <f t="shared" si="450"/>
        <v/>
      </c>
      <c r="I451" s="41" t="str">
        <f t="shared" si="450"/>
        <v/>
      </c>
      <c r="J451" s="41" t="str">
        <f t="shared" si="450"/>
        <v/>
      </c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67.5" customHeight="1">
      <c r="A452" s="39"/>
      <c r="B452" s="43" t="str">
        <f>IFERROR(__xludf.DUMMYFUNCTION("IFERROR(
  LET(
    periodos, C$1:Z$1,
    marcas, C452:Z452,
    pos, MAX(
          FILTER(
            COLUMN(marcas)-COLUMN(C452)+1,
            marcas=""X""
          )
        ),
    ultimo, INDEX(periodos, pos),
    XLOOKUP(
      $A452,
      INDI"&amp;"RECT(""'""&amp;ultimo&amp;""'!C:C""),
      INDIRECT(""'""&amp;ultimo&amp;""'!A:A"")
    )
  ),
  """"
)"),"")</f>
        <v/>
      </c>
      <c r="C452" s="41" t="str">
        <f t="shared" ref="C452:J452" si="451">IF(
  COUNTIF(
    INDIRECT("'"&amp;C$1&amp;"'!C:C"),
    $A452
  )&gt;0,
  "X",
  ""
)</f>
        <v/>
      </c>
      <c r="D452" s="41" t="str">
        <f t="shared" si="451"/>
        <v/>
      </c>
      <c r="E452" s="41" t="str">
        <f t="shared" si="451"/>
        <v/>
      </c>
      <c r="F452" s="41" t="str">
        <f t="shared" si="451"/>
        <v/>
      </c>
      <c r="G452" s="41" t="str">
        <f t="shared" si="451"/>
        <v/>
      </c>
      <c r="H452" s="41" t="str">
        <f t="shared" si="451"/>
        <v/>
      </c>
      <c r="I452" s="41" t="str">
        <f t="shared" si="451"/>
        <v/>
      </c>
      <c r="J452" s="41" t="str">
        <f t="shared" si="451"/>
        <v/>
      </c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67.5" customHeight="1">
      <c r="A453" s="39"/>
      <c r="B453" s="43" t="str">
        <f>IFERROR(__xludf.DUMMYFUNCTION("IFERROR(
  LET(
    periodos, C$1:Z$1,
    marcas, C453:Z453,
    pos, MAX(
          FILTER(
            COLUMN(marcas)-COLUMN(C453)+1,
            marcas=""X""
          )
        ),
    ultimo, INDEX(periodos, pos),
    XLOOKUP(
      $A453,
      INDI"&amp;"RECT(""'""&amp;ultimo&amp;""'!C:C""),
      INDIRECT(""'""&amp;ultimo&amp;""'!A:A"")
    )
  ),
  """"
)"),"")</f>
        <v/>
      </c>
      <c r="C453" s="41" t="str">
        <f t="shared" ref="C453:J453" si="452">IF(
  COUNTIF(
    INDIRECT("'"&amp;C$1&amp;"'!C:C"),
    $A453
  )&gt;0,
  "X",
  ""
)</f>
        <v/>
      </c>
      <c r="D453" s="41" t="str">
        <f t="shared" si="452"/>
        <v/>
      </c>
      <c r="E453" s="41" t="str">
        <f t="shared" si="452"/>
        <v/>
      </c>
      <c r="F453" s="41" t="str">
        <f t="shared" si="452"/>
        <v/>
      </c>
      <c r="G453" s="41" t="str">
        <f t="shared" si="452"/>
        <v/>
      </c>
      <c r="H453" s="41" t="str">
        <f t="shared" si="452"/>
        <v/>
      </c>
      <c r="I453" s="41" t="str">
        <f t="shared" si="452"/>
        <v/>
      </c>
      <c r="J453" s="41" t="str">
        <f t="shared" si="452"/>
        <v/>
      </c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67.5" customHeight="1">
      <c r="A454" s="39"/>
      <c r="B454" s="43" t="str">
        <f>IFERROR(__xludf.DUMMYFUNCTION("IFERROR(
  LET(
    periodos, C$1:Z$1,
    marcas, C454:Z454,
    pos, MAX(
          FILTER(
            COLUMN(marcas)-COLUMN(C454)+1,
            marcas=""X""
          )
        ),
    ultimo, INDEX(periodos, pos),
    XLOOKUP(
      $A454,
      INDI"&amp;"RECT(""'""&amp;ultimo&amp;""'!C:C""),
      INDIRECT(""'""&amp;ultimo&amp;""'!A:A"")
    )
  ),
  """"
)"),"")</f>
        <v/>
      </c>
      <c r="C454" s="41" t="str">
        <f t="shared" ref="C454:J454" si="453">IF(
  COUNTIF(
    INDIRECT("'"&amp;C$1&amp;"'!C:C"),
    $A454
  )&gt;0,
  "X",
  ""
)</f>
        <v/>
      </c>
      <c r="D454" s="41" t="str">
        <f t="shared" si="453"/>
        <v/>
      </c>
      <c r="E454" s="41" t="str">
        <f t="shared" si="453"/>
        <v/>
      </c>
      <c r="F454" s="41" t="str">
        <f t="shared" si="453"/>
        <v/>
      </c>
      <c r="G454" s="41" t="str">
        <f t="shared" si="453"/>
        <v/>
      </c>
      <c r="H454" s="41" t="str">
        <f t="shared" si="453"/>
        <v/>
      </c>
      <c r="I454" s="41" t="str">
        <f t="shared" si="453"/>
        <v/>
      </c>
      <c r="J454" s="41" t="str">
        <f t="shared" si="453"/>
        <v/>
      </c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67.5" customHeight="1">
      <c r="A455" s="39"/>
      <c r="B455" s="43" t="str">
        <f>IFERROR(__xludf.DUMMYFUNCTION("IFERROR(
  LET(
    periodos, C$1:Z$1,
    marcas, C455:Z455,
    pos, MAX(
          FILTER(
            COLUMN(marcas)-COLUMN(C455)+1,
            marcas=""X""
          )
        ),
    ultimo, INDEX(periodos, pos),
    XLOOKUP(
      $A455,
      INDI"&amp;"RECT(""'""&amp;ultimo&amp;""'!C:C""),
      INDIRECT(""'""&amp;ultimo&amp;""'!A:A"")
    )
  ),
  """"
)"),"")</f>
        <v/>
      </c>
      <c r="C455" s="41" t="str">
        <f t="shared" ref="C455:J455" si="454">IF(
  COUNTIF(
    INDIRECT("'"&amp;C$1&amp;"'!C:C"),
    $A455
  )&gt;0,
  "X",
  ""
)</f>
        <v/>
      </c>
      <c r="D455" s="41" t="str">
        <f t="shared" si="454"/>
        <v/>
      </c>
      <c r="E455" s="41" t="str">
        <f t="shared" si="454"/>
        <v/>
      </c>
      <c r="F455" s="41" t="str">
        <f t="shared" si="454"/>
        <v/>
      </c>
      <c r="G455" s="41" t="str">
        <f t="shared" si="454"/>
        <v/>
      </c>
      <c r="H455" s="41" t="str">
        <f t="shared" si="454"/>
        <v/>
      </c>
      <c r="I455" s="41" t="str">
        <f t="shared" si="454"/>
        <v/>
      </c>
      <c r="J455" s="41" t="str">
        <f t="shared" si="454"/>
        <v/>
      </c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67.5" customHeight="1">
      <c r="A456" s="39"/>
      <c r="B456" s="43" t="str">
        <f>IFERROR(__xludf.DUMMYFUNCTION("IFERROR(
  LET(
    periodos, C$1:Z$1,
    marcas, C456:Z456,
    pos, MAX(
          FILTER(
            COLUMN(marcas)-COLUMN(C456)+1,
            marcas=""X""
          )
        ),
    ultimo, INDEX(periodos, pos),
    XLOOKUP(
      $A456,
      INDI"&amp;"RECT(""'""&amp;ultimo&amp;""'!C:C""),
      INDIRECT(""'""&amp;ultimo&amp;""'!A:A"")
    )
  ),
  """"
)"),"")</f>
        <v/>
      </c>
      <c r="C456" s="41" t="str">
        <f t="shared" ref="C456:J456" si="455">IF(
  COUNTIF(
    INDIRECT("'"&amp;C$1&amp;"'!C:C"),
    $A456
  )&gt;0,
  "X",
  ""
)</f>
        <v/>
      </c>
      <c r="D456" s="41" t="str">
        <f t="shared" si="455"/>
        <v/>
      </c>
      <c r="E456" s="41" t="str">
        <f t="shared" si="455"/>
        <v/>
      </c>
      <c r="F456" s="41" t="str">
        <f t="shared" si="455"/>
        <v/>
      </c>
      <c r="G456" s="41" t="str">
        <f t="shared" si="455"/>
        <v/>
      </c>
      <c r="H456" s="41" t="str">
        <f t="shared" si="455"/>
        <v/>
      </c>
      <c r="I456" s="41" t="str">
        <f t="shared" si="455"/>
        <v/>
      </c>
      <c r="J456" s="41" t="str">
        <f t="shared" si="455"/>
        <v/>
      </c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67.5" customHeight="1">
      <c r="A457" s="39"/>
      <c r="B457" s="43" t="str">
        <f>IFERROR(__xludf.DUMMYFUNCTION("IFERROR(
  LET(
    periodos, C$1:Z$1,
    marcas, C457:Z457,
    pos, MAX(
          FILTER(
            COLUMN(marcas)-COLUMN(C457)+1,
            marcas=""X""
          )
        ),
    ultimo, INDEX(periodos, pos),
    XLOOKUP(
      $A457,
      INDI"&amp;"RECT(""'""&amp;ultimo&amp;""'!C:C""),
      INDIRECT(""'""&amp;ultimo&amp;""'!A:A"")
    )
  ),
  """"
)"),"")</f>
        <v/>
      </c>
      <c r="C457" s="41" t="str">
        <f t="shared" ref="C457:J457" si="456">IF(
  COUNTIF(
    INDIRECT("'"&amp;C$1&amp;"'!C:C"),
    $A457
  )&gt;0,
  "X",
  ""
)</f>
        <v/>
      </c>
      <c r="D457" s="41" t="str">
        <f t="shared" si="456"/>
        <v/>
      </c>
      <c r="E457" s="41" t="str">
        <f t="shared" si="456"/>
        <v/>
      </c>
      <c r="F457" s="41" t="str">
        <f t="shared" si="456"/>
        <v/>
      </c>
      <c r="G457" s="41" t="str">
        <f t="shared" si="456"/>
        <v/>
      </c>
      <c r="H457" s="41" t="str">
        <f t="shared" si="456"/>
        <v/>
      </c>
      <c r="I457" s="41" t="str">
        <f t="shared" si="456"/>
        <v/>
      </c>
      <c r="J457" s="41" t="str">
        <f t="shared" si="456"/>
        <v/>
      </c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67.5" customHeight="1">
      <c r="A458" s="39"/>
      <c r="B458" s="43" t="str">
        <f>IFERROR(__xludf.DUMMYFUNCTION("IFERROR(
  LET(
    periodos, C$1:Z$1,
    marcas, C458:Z458,
    pos, MAX(
          FILTER(
            COLUMN(marcas)-COLUMN(C458)+1,
            marcas=""X""
          )
        ),
    ultimo, INDEX(periodos, pos),
    XLOOKUP(
      $A458,
      INDI"&amp;"RECT(""'""&amp;ultimo&amp;""'!C:C""),
      INDIRECT(""'""&amp;ultimo&amp;""'!A:A"")
    )
  ),
  """"
)"),"")</f>
        <v/>
      </c>
      <c r="C458" s="41" t="str">
        <f t="shared" ref="C458:J458" si="457">IF(
  COUNTIF(
    INDIRECT("'"&amp;C$1&amp;"'!C:C"),
    $A458
  )&gt;0,
  "X",
  ""
)</f>
        <v/>
      </c>
      <c r="D458" s="41" t="str">
        <f t="shared" si="457"/>
        <v/>
      </c>
      <c r="E458" s="41" t="str">
        <f t="shared" si="457"/>
        <v/>
      </c>
      <c r="F458" s="41" t="str">
        <f t="shared" si="457"/>
        <v/>
      </c>
      <c r="G458" s="41" t="str">
        <f t="shared" si="457"/>
        <v/>
      </c>
      <c r="H458" s="41" t="str">
        <f t="shared" si="457"/>
        <v/>
      </c>
      <c r="I458" s="41" t="str">
        <f t="shared" si="457"/>
        <v/>
      </c>
      <c r="J458" s="41" t="str">
        <f t="shared" si="457"/>
        <v/>
      </c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67.5" customHeight="1">
      <c r="A459" s="39"/>
      <c r="B459" s="43" t="str">
        <f>IFERROR(__xludf.DUMMYFUNCTION("IFERROR(
  LET(
    periodos, C$1:Z$1,
    marcas, C459:Z459,
    pos, MAX(
          FILTER(
            COLUMN(marcas)-COLUMN(C459)+1,
            marcas=""X""
          )
        ),
    ultimo, INDEX(periodos, pos),
    XLOOKUP(
      $A459,
      INDI"&amp;"RECT(""'""&amp;ultimo&amp;""'!C:C""),
      INDIRECT(""'""&amp;ultimo&amp;""'!A:A"")
    )
  ),
  """"
)"),"")</f>
        <v/>
      </c>
      <c r="C459" s="41" t="str">
        <f t="shared" ref="C459:J459" si="458">IF(
  COUNTIF(
    INDIRECT("'"&amp;C$1&amp;"'!C:C"),
    $A459
  )&gt;0,
  "X",
  ""
)</f>
        <v/>
      </c>
      <c r="D459" s="41" t="str">
        <f t="shared" si="458"/>
        <v/>
      </c>
      <c r="E459" s="41" t="str">
        <f t="shared" si="458"/>
        <v/>
      </c>
      <c r="F459" s="41" t="str">
        <f t="shared" si="458"/>
        <v/>
      </c>
      <c r="G459" s="41" t="str">
        <f t="shared" si="458"/>
        <v/>
      </c>
      <c r="H459" s="41" t="str">
        <f t="shared" si="458"/>
        <v/>
      </c>
      <c r="I459" s="41" t="str">
        <f t="shared" si="458"/>
        <v/>
      </c>
      <c r="J459" s="41" t="str">
        <f t="shared" si="458"/>
        <v/>
      </c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67.5" customHeight="1">
      <c r="A460" s="39"/>
      <c r="B460" s="43" t="str">
        <f>IFERROR(__xludf.DUMMYFUNCTION("IFERROR(
  LET(
    periodos, C$1:Z$1,
    marcas, C460:Z460,
    pos, MAX(
          FILTER(
            COLUMN(marcas)-COLUMN(C460)+1,
            marcas=""X""
          )
        ),
    ultimo, INDEX(periodos, pos),
    XLOOKUP(
      $A460,
      INDI"&amp;"RECT(""'""&amp;ultimo&amp;""'!C:C""),
      INDIRECT(""'""&amp;ultimo&amp;""'!A:A"")
    )
  ),
  """"
)"),"")</f>
        <v/>
      </c>
      <c r="C460" s="41" t="str">
        <f t="shared" ref="C460:J460" si="459">IF(
  COUNTIF(
    INDIRECT("'"&amp;C$1&amp;"'!C:C"),
    $A460
  )&gt;0,
  "X",
  ""
)</f>
        <v/>
      </c>
      <c r="D460" s="41" t="str">
        <f t="shared" si="459"/>
        <v/>
      </c>
      <c r="E460" s="41" t="str">
        <f t="shared" si="459"/>
        <v/>
      </c>
      <c r="F460" s="41" t="str">
        <f t="shared" si="459"/>
        <v/>
      </c>
      <c r="G460" s="41" t="str">
        <f t="shared" si="459"/>
        <v/>
      </c>
      <c r="H460" s="41" t="str">
        <f t="shared" si="459"/>
        <v/>
      </c>
      <c r="I460" s="41" t="str">
        <f t="shared" si="459"/>
        <v/>
      </c>
      <c r="J460" s="41" t="str">
        <f t="shared" si="459"/>
        <v/>
      </c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67.5" customHeight="1">
      <c r="A461" s="39"/>
      <c r="B461" s="43" t="str">
        <f>IFERROR(__xludf.DUMMYFUNCTION("IFERROR(
  LET(
    periodos, C$1:Z$1,
    marcas, C461:Z461,
    pos, MAX(
          FILTER(
            COLUMN(marcas)-COLUMN(C461)+1,
            marcas=""X""
          )
        ),
    ultimo, INDEX(periodos, pos),
    XLOOKUP(
      $A461,
      INDI"&amp;"RECT(""'""&amp;ultimo&amp;""'!C:C""),
      INDIRECT(""'""&amp;ultimo&amp;""'!A:A"")
    )
  ),
  """"
)"),"")</f>
        <v/>
      </c>
      <c r="C461" s="41" t="str">
        <f t="shared" ref="C461:J461" si="460">IF(
  COUNTIF(
    INDIRECT("'"&amp;C$1&amp;"'!C:C"),
    $A461
  )&gt;0,
  "X",
  ""
)</f>
        <v/>
      </c>
      <c r="D461" s="41" t="str">
        <f t="shared" si="460"/>
        <v/>
      </c>
      <c r="E461" s="41" t="str">
        <f t="shared" si="460"/>
        <v/>
      </c>
      <c r="F461" s="41" t="str">
        <f t="shared" si="460"/>
        <v/>
      </c>
      <c r="G461" s="41" t="str">
        <f t="shared" si="460"/>
        <v/>
      </c>
      <c r="H461" s="41" t="str">
        <f t="shared" si="460"/>
        <v/>
      </c>
      <c r="I461" s="41" t="str">
        <f t="shared" si="460"/>
        <v/>
      </c>
      <c r="J461" s="41" t="str">
        <f t="shared" si="460"/>
        <v/>
      </c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67.5" customHeight="1">
      <c r="A462" s="39"/>
      <c r="B462" s="43" t="str">
        <f>IFERROR(__xludf.DUMMYFUNCTION("IFERROR(
  LET(
    periodos, C$1:Z$1,
    marcas, C462:Z462,
    pos, MAX(
          FILTER(
            COLUMN(marcas)-COLUMN(C462)+1,
            marcas=""X""
          )
        ),
    ultimo, INDEX(periodos, pos),
    XLOOKUP(
      $A462,
      INDI"&amp;"RECT(""'""&amp;ultimo&amp;""'!C:C""),
      INDIRECT(""'""&amp;ultimo&amp;""'!A:A"")
    )
  ),
  """"
)"),"")</f>
        <v/>
      </c>
      <c r="C462" s="41" t="str">
        <f t="shared" ref="C462:J462" si="461">IF(
  COUNTIF(
    INDIRECT("'"&amp;C$1&amp;"'!C:C"),
    $A462
  )&gt;0,
  "X",
  ""
)</f>
        <v/>
      </c>
      <c r="D462" s="41" t="str">
        <f t="shared" si="461"/>
        <v/>
      </c>
      <c r="E462" s="41" t="str">
        <f t="shared" si="461"/>
        <v/>
      </c>
      <c r="F462" s="41" t="str">
        <f t="shared" si="461"/>
        <v/>
      </c>
      <c r="G462" s="41" t="str">
        <f t="shared" si="461"/>
        <v/>
      </c>
      <c r="H462" s="41" t="str">
        <f t="shared" si="461"/>
        <v/>
      </c>
      <c r="I462" s="41" t="str">
        <f t="shared" si="461"/>
        <v/>
      </c>
      <c r="J462" s="41" t="str">
        <f t="shared" si="461"/>
        <v/>
      </c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67.5" customHeight="1">
      <c r="A463" s="39"/>
      <c r="B463" s="43" t="str">
        <f>IFERROR(__xludf.DUMMYFUNCTION("IFERROR(
  LET(
    periodos, C$1:Z$1,
    marcas, C463:Z463,
    pos, MAX(
          FILTER(
            COLUMN(marcas)-COLUMN(C463)+1,
            marcas=""X""
          )
        ),
    ultimo, INDEX(periodos, pos),
    XLOOKUP(
      $A463,
      INDI"&amp;"RECT(""'""&amp;ultimo&amp;""'!C:C""),
      INDIRECT(""'""&amp;ultimo&amp;""'!A:A"")
    )
  ),
  """"
)"),"")</f>
        <v/>
      </c>
      <c r="C463" s="41" t="str">
        <f t="shared" ref="C463:J463" si="462">IF(
  COUNTIF(
    INDIRECT("'"&amp;C$1&amp;"'!C:C"),
    $A463
  )&gt;0,
  "X",
  ""
)</f>
        <v/>
      </c>
      <c r="D463" s="41" t="str">
        <f t="shared" si="462"/>
        <v/>
      </c>
      <c r="E463" s="41" t="str">
        <f t="shared" si="462"/>
        <v/>
      </c>
      <c r="F463" s="41" t="str">
        <f t="shared" si="462"/>
        <v/>
      </c>
      <c r="G463" s="41" t="str">
        <f t="shared" si="462"/>
        <v/>
      </c>
      <c r="H463" s="41" t="str">
        <f t="shared" si="462"/>
        <v/>
      </c>
      <c r="I463" s="41" t="str">
        <f t="shared" si="462"/>
        <v/>
      </c>
      <c r="J463" s="41" t="str">
        <f t="shared" si="462"/>
        <v/>
      </c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67.5" customHeight="1">
      <c r="A464" s="39"/>
      <c r="B464" s="43" t="str">
        <f>IFERROR(__xludf.DUMMYFUNCTION("IFERROR(
  LET(
    periodos, C$1:Z$1,
    marcas, C464:Z464,
    pos, MAX(
          FILTER(
            COLUMN(marcas)-COLUMN(C464)+1,
            marcas=""X""
          )
        ),
    ultimo, INDEX(periodos, pos),
    XLOOKUP(
      $A464,
      INDI"&amp;"RECT(""'""&amp;ultimo&amp;""'!C:C""),
      INDIRECT(""'""&amp;ultimo&amp;""'!A:A"")
    )
  ),
  """"
)"),"")</f>
        <v/>
      </c>
      <c r="C464" s="41" t="str">
        <f t="shared" ref="C464:J464" si="463">IF(
  COUNTIF(
    INDIRECT("'"&amp;C$1&amp;"'!C:C"),
    $A464
  )&gt;0,
  "X",
  ""
)</f>
        <v/>
      </c>
      <c r="D464" s="41" t="str">
        <f t="shared" si="463"/>
        <v/>
      </c>
      <c r="E464" s="41" t="str">
        <f t="shared" si="463"/>
        <v/>
      </c>
      <c r="F464" s="41" t="str">
        <f t="shared" si="463"/>
        <v/>
      </c>
      <c r="G464" s="41" t="str">
        <f t="shared" si="463"/>
        <v/>
      </c>
      <c r="H464" s="41" t="str">
        <f t="shared" si="463"/>
        <v/>
      </c>
      <c r="I464" s="41" t="str">
        <f t="shared" si="463"/>
        <v/>
      </c>
      <c r="J464" s="41" t="str">
        <f t="shared" si="463"/>
        <v/>
      </c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67.5" customHeight="1">
      <c r="A465" s="39"/>
      <c r="B465" s="43" t="str">
        <f>IFERROR(__xludf.DUMMYFUNCTION("IFERROR(
  LET(
    periodos, C$1:Z$1,
    marcas, C465:Z465,
    pos, MAX(
          FILTER(
            COLUMN(marcas)-COLUMN(C465)+1,
            marcas=""X""
          )
        ),
    ultimo, INDEX(periodos, pos),
    XLOOKUP(
      $A465,
      INDI"&amp;"RECT(""'""&amp;ultimo&amp;""'!C:C""),
      INDIRECT(""'""&amp;ultimo&amp;""'!A:A"")
    )
  ),
  """"
)"),"")</f>
        <v/>
      </c>
      <c r="C465" s="41" t="str">
        <f t="shared" ref="C465:J465" si="464">IF(
  COUNTIF(
    INDIRECT("'"&amp;C$1&amp;"'!C:C"),
    $A465
  )&gt;0,
  "X",
  ""
)</f>
        <v/>
      </c>
      <c r="D465" s="41" t="str">
        <f t="shared" si="464"/>
        <v/>
      </c>
      <c r="E465" s="41" t="str">
        <f t="shared" si="464"/>
        <v/>
      </c>
      <c r="F465" s="41" t="str">
        <f t="shared" si="464"/>
        <v/>
      </c>
      <c r="G465" s="41" t="str">
        <f t="shared" si="464"/>
        <v/>
      </c>
      <c r="H465" s="41" t="str">
        <f t="shared" si="464"/>
        <v/>
      </c>
      <c r="I465" s="41" t="str">
        <f t="shared" si="464"/>
        <v/>
      </c>
      <c r="J465" s="41" t="str">
        <f t="shared" si="464"/>
        <v/>
      </c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67.5" customHeight="1">
      <c r="A466" s="39"/>
      <c r="B466" s="43" t="str">
        <f>IFERROR(__xludf.DUMMYFUNCTION("IFERROR(
  LET(
    periodos, C$1:Z$1,
    marcas, C466:Z466,
    pos, MAX(
          FILTER(
            COLUMN(marcas)-COLUMN(C466)+1,
            marcas=""X""
          )
        ),
    ultimo, INDEX(periodos, pos),
    XLOOKUP(
      $A466,
      INDI"&amp;"RECT(""'""&amp;ultimo&amp;""'!C:C""),
      INDIRECT(""'""&amp;ultimo&amp;""'!A:A"")
    )
  ),
  """"
)"),"")</f>
        <v/>
      </c>
      <c r="C466" s="41" t="str">
        <f t="shared" ref="C466:J466" si="465">IF(
  COUNTIF(
    INDIRECT("'"&amp;C$1&amp;"'!C:C"),
    $A466
  )&gt;0,
  "X",
  ""
)</f>
        <v/>
      </c>
      <c r="D466" s="41" t="str">
        <f t="shared" si="465"/>
        <v/>
      </c>
      <c r="E466" s="41" t="str">
        <f t="shared" si="465"/>
        <v/>
      </c>
      <c r="F466" s="41" t="str">
        <f t="shared" si="465"/>
        <v/>
      </c>
      <c r="G466" s="41" t="str">
        <f t="shared" si="465"/>
        <v/>
      </c>
      <c r="H466" s="41" t="str">
        <f t="shared" si="465"/>
        <v/>
      </c>
      <c r="I466" s="41" t="str">
        <f t="shared" si="465"/>
        <v/>
      </c>
      <c r="J466" s="41" t="str">
        <f t="shared" si="465"/>
        <v/>
      </c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67.5" customHeight="1">
      <c r="A467" s="39"/>
      <c r="B467" s="43" t="str">
        <f>IFERROR(__xludf.DUMMYFUNCTION("IFERROR(
  LET(
    periodos, C$1:Z$1,
    marcas, C467:Z467,
    pos, MAX(
          FILTER(
            COLUMN(marcas)-COLUMN(C467)+1,
            marcas=""X""
          )
        ),
    ultimo, INDEX(periodos, pos),
    XLOOKUP(
      $A467,
      INDI"&amp;"RECT(""'""&amp;ultimo&amp;""'!C:C""),
      INDIRECT(""'""&amp;ultimo&amp;""'!A:A"")
    )
  ),
  """"
)"),"")</f>
        <v/>
      </c>
      <c r="C467" s="41" t="str">
        <f t="shared" ref="C467:J467" si="466">IF(
  COUNTIF(
    INDIRECT("'"&amp;C$1&amp;"'!C:C"),
    $A467
  )&gt;0,
  "X",
  ""
)</f>
        <v/>
      </c>
      <c r="D467" s="41" t="str">
        <f t="shared" si="466"/>
        <v/>
      </c>
      <c r="E467" s="41" t="str">
        <f t="shared" si="466"/>
        <v/>
      </c>
      <c r="F467" s="41" t="str">
        <f t="shared" si="466"/>
        <v/>
      </c>
      <c r="G467" s="41" t="str">
        <f t="shared" si="466"/>
        <v/>
      </c>
      <c r="H467" s="41" t="str">
        <f t="shared" si="466"/>
        <v/>
      </c>
      <c r="I467" s="41" t="str">
        <f t="shared" si="466"/>
        <v/>
      </c>
      <c r="J467" s="41" t="str">
        <f t="shared" si="466"/>
        <v/>
      </c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67.5" customHeight="1">
      <c r="A468" s="39"/>
      <c r="B468" s="43" t="str">
        <f>IFERROR(__xludf.DUMMYFUNCTION("IFERROR(
  LET(
    periodos, C$1:Z$1,
    marcas, C468:Z468,
    pos, MAX(
          FILTER(
            COLUMN(marcas)-COLUMN(C468)+1,
            marcas=""X""
          )
        ),
    ultimo, INDEX(periodos, pos),
    XLOOKUP(
      $A468,
      INDI"&amp;"RECT(""'""&amp;ultimo&amp;""'!C:C""),
      INDIRECT(""'""&amp;ultimo&amp;""'!A:A"")
    )
  ),
  """"
)"),"")</f>
        <v/>
      </c>
      <c r="C468" s="41" t="str">
        <f t="shared" ref="C468:J468" si="467">IF(
  COUNTIF(
    INDIRECT("'"&amp;C$1&amp;"'!C:C"),
    $A468
  )&gt;0,
  "X",
  ""
)</f>
        <v/>
      </c>
      <c r="D468" s="41" t="str">
        <f t="shared" si="467"/>
        <v/>
      </c>
      <c r="E468" s="41" t="str">
        <f t="shared" si="467"/>
        <v/>
      </c>
      <c r="F468" s="41" t="str">
        <f t="shared" si="467"/>
        <v/>
      </c>
      <c r="G468" s="41" t="str">
        <f t="shared" si="467"/>
        <v/>
      </c>
      <c r="H468" s="41" t="str">
        <f t="shared" si="467"/>
        <v/>
      </c>
      <c r="I468" s="41" t="str">
        <f t="shared" si="467"/>
        <v/>
      </c>
      <c r="J468" s="41" t="str">
        <f t="shared" si="467"/>
        <v/>
      </c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67.5" customHeight="1">
      <c r="A469" s="39"/>
      <c r="B469" s="43" t="str">
        <f>IFERROR(__xludf.DUMMYFUNCTION("IFERROR(
  LET(
    periodos, C$1:Z$1,
    marcas, C469:Z469,
    pos, MAX(
          FILTER(
            COLUMN(marcas)-COLUMN(C469)+1,
            marcas=""X""
          )
        ),
    ultimo, INDEX(periodos, pos),
    XLOOKUP(
      $A469,
      INDI"&amp;"RECT(""'""&amp;ultimo&amp;""'!C:C""),
      INDIRECT(""'""&amp;ultimo&amp;""'!A:A"")
    )
  ),
  """"
)"),"")</f>
        <v/>
      </c>
      <c r="C469" s="41" t="str">
        <f t="shared" ref="C469:J469" si="468">IF(
  COUNTIF(
    INDIRECT("'"&amp;C$1&amp;"'!C:C"),
    $A469
  )&gt;0,
  "X",
  ""
)</f>
        <v/>
      </c>
      <c r="D469" s="41" t="str">
        <f t="shared" si="468"/>
        <v/>
      </c>
      <c r="E469" s="41" t="str">
        <f t="shared" si="468"/>
        <v/>
      </c>
      <c r="F469" s="41" t="str">
        <f t="shared" si="468"/>
        <v/>
      </c>
      <c r="G469" s="41" t="str">
        <f t="shared" si="468"/>
        <v/>
      </c>
      <c r="H469" s="41" t="str">
        <f t="shared" si="468"/>
        <v/>
      </c>
      <c r="I469" s="41" t="str">
        <f t="shared" si="468"/>
        <v/>
      </c>
      <c r="J469" s="41" t="str">
        <f t="shared" si="468"/>
        <v/>
      </c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67.5" customHeight="1">
      <c r="A470" s="39"/>
      <c r="B470" s="43" t="str">
        <f>IFERROR(__xludf.DUMMYFUNCTION("IFERROR(
  LET(
    periodos, C$1:Z$1,
    marcas, C470:Z470,
    pos, MAX(
          FILTER(
            COLUMN(marcas)-COLUMN(C470)+1,
            marcas=""X""
          )
        ),
    ultimo, INDEX(periodos, pos),
    XLOOKUP(
      $A470,
      INDI"&amp;"RECT(""'""&amp;ultimo&amp;""'!C:C""),
      INDIRECT(""'""&amp;ultimo&amp;""'!A:A"")
    )
  ),
  """"
)"),"")</f>
        <v/>
      </c>
      <c r="C470" s="41" t="str">
        <f t="shared" ref="C470:J470" si="469">IF(
  COUNTIF(
    INDIRECT("'"&amp;C$1&amp;"'!C:C"),
    $A470
  )&gt;0,
  "X",
  ""
)</f>
        <v/>
      </c>
      <c r="D470" s="41" t="str">
        <f t="shared" si="469"/>
        <v/>
      </c>
      <c r="E470" s="41" t="str">
        <f t="shared" si="469"/>
        <v/>
      </c>
      <c r="F470" s="41" t="str">
        <f t="shared" si="469"/>
        <v/>
      </c>
      <c r="G470" s="41" t="str">
        <f t="shared" si="469"/>
        <v/>
      </c>
      <c r="H470" s="41" t="str">
        <f t="shared" si="469"/>
        <v/>
      </c>
      <c r="I470" s="41" t="str">
        <f t="shared" si="469"/>
        <v/>
      </c>
      <c r="J470" s="41" t="str">
        <f t="shared" si="469"/>
        <v/>
      </c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67.5" customHeight="1">
      <c r="A471" s="39"/>
      <c r="B471" s="43" t="str">
        <f>IFERROR(__xludf.DUMMYFUNCTION("IFERROR(
  LET(
    periodos, C$1:Z$1,
    marcas, C471:Z471,
    pos, MAX(
          FILTER(
            COLUMN(marcas)-COLUMN(C471)+1,
            marcas=""X""
          )
        ),
    ultimo, INDEX(periodos, pos),
    XLOOKUP(
      $A471,
      INDI"&amp;"RECT(""'""&amp;ultimo&amp;""'!C:C""),
      INDIRECT(""'""&amp;ultimo&amp;""'!A:A"")
    )
  ),
  """"
)"),"")</f>
        <v/>
      </c>
      <c r="C471" s="41" t="str">
        <f t="shared" ref="C471:J471" si="470">IF(
  COUNTIF(
    INDIRECT("'"&amp;C$1&amp;"'!C:C"),
    $A471
  )&gt;0,
  "X",
  ""
)</f>
        <v/>
      </c>
      <c r="D471" s="41" t="str">
        <f t="shared" si="470"/>
        <v/>
      </c>
      <c r="E471" s="41" t="str">
        <f t="shared" si="470"/>
        <v/>
      </c>
      <c r="F471" s="41" t="str">
        <f t="shared" si="470"/>
        <v/>
      </c>
      <c r="G471" s="41" t="str">
        <f t="shared" si="470"/>
        <v/>
      </c>
      <c r="H471" s="41" t="str">
        <f t="shared" si="470"/>
        <v/>
      </c>
      <c r="I471" s="41" t="str">
        <f t="shared" si="470"/>
        <v/>
      </c>
      <c r="J471" s="41" t="str">
        <f t="shared" si="470"/>
        <v/>
      </c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67.5" customHeight="1">
      <c r="A472" s="39"/>
      <c r="B472" s="43" t="str">
        <f>IFERROR(__xludf.DUMMYFUNCTION("IFERROR(
  LET(
    periodos, C$1:Z$1,
    marcas, C472:Z472,
    pos, MAX(
          FILTER(
            COLUMN(marcas)-COLUMN(C472)+1,
            marcas=""X""
          )
        ),
    ultimo, INDEX(periodos, pos),
    XLOOKUP(
      $A472,
      INDI"&amp;"RECT(""'""&amp;ultimo&amp;""'!C:C""),
      INDIRECT(""'""&amp;ultimo&amp;""'!A:A"")
    )
  ),
  """"
)"),"")</f>
        <v/>
      </c>
      <c r="C472" s="41" t="str">
        <f t="shared" ref="C472:J472" si="471">IF(
  COUNTIF(
    INDIRECT("'"&amp;C$1&amp;"'!C:C"),
    $A472
  )&gt;0,
  "X",
  ""
)</f>
        <v/>
      </c>
      <c r="D472" s="41" t="str">
        <f t="shared" si="471"/>
        <v/>
      </c>
      <c r="E472" s="41" t="str">
        <f t="shared" si="471"/>
        <v/>
      </c>
      <c r="F472" s="41" t="str">
        <f t="shared" si="471"/>
        <v/>
      </c>
      <c r="G472" s="41" t="str">
        <f t="shared" si="471"/>
        <v/>
      </c>
      <c r="H472" s="41" t="str">
        <f t="shared" si="471"/>
        <v/>
      </c>
      <c r="I472" s="41" t="str">
        <f t="shared" si="471"/>
        <v/>
      </c>
      <c r="J472" s="41" t="str">
        <f t="shared" si="471"/>
        <v/>
      </c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67.5" customHeight="1">
      <c r="A473" s="39"/>
      <c r="B473" s="43" t="str">
        <f>IFERROR(__xludf.DUMMYFUNCTION("IFERROR(
  LET(
    periodos, C$1:Z$1,
    marcas, C473:Z473,
    pos, MAX(
          FILTER(
            COLUMN(marcas)-COLUMN(C473)+1,
            marcas=""X""
          )
        ),
    ultimo, INDEX(periodos, pos),
    XLOOKUP(
      $A473,
      INDI"&amp;"RECT(""'""&amp;ultimo&amp;""'!C:C""),
      INDIRECT(""'""&amp;ultimo&amp;""'!A:A"")
    )
  ),
  """"
)"),"")</f>
        <v/>
      </c>
      <c r="C473" s="41" t="str">
        <f t="shared" ref="C473:J473" si="472">IF(
  COUNTIF(
    INDIRECT("'"&amp;C$1&amp;"'!C:C"),
    $A473
  )&gt;0,
  "X",
  ""
)</f>
        <v/>
      </c>
      <c r="D473" s="41" t="str">
        <f t="shared" si="472"/>
        <v/>
      </c>
      <c r="E473" s="41" t="str">
        <f t="shared" si="472"/>
        <v/>
      </c>
      <c r="F473" s="41" t="str">
        <f t="shared" si="472"/>
        <v/>
      </c>
      <c r="G473" s="41" t="str">
        <f t="shared" si="472"/>
        <v/>
      </c>
      <c r="H473" s="41" t="str">
        <f t="shared" si="472"/>
        <v/>
      </c>
      <c r="I473" s="41" t="str">
        <f t="shared" si="472"/>
        <v/>
      </c>
      <c r="J473" s="41" t="str">
        <f t="shared" si="472"/>
        <v/>
      </c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67.5" customHeight="1">
      <c r="A474" s="39"/>
      <c r="B474" s="43" t="str">
        <f>IFERROR(__xludf.DUMMYFUNCTION("IFERROR(
  LET(
    periodos, C$1:Z$1,
    marcas, C474:Z474,
    pos, MAX(
          FILTER(
            COLUMN(marcas)-COLUMN(C474)+1,
            marcas=""X""
          )
        ),
    ultimo, INDEX(periodos, pos),
    XLOOKUP(
      $A474,
      INDI"&amp;"RECT(""'""&amp;ultimo&amp;""'!C:C""),
      INDIRECT(""'""&amp;ultimo&amp;""'!A:A"")
    )
  ),
  """"
)"),"")</f>
        <v/>
      </c>
      <c r="C474" s="41" t="str">
        <f t="shared" ref="C474:J474" si="473">IF(
  COUNTIF(
    INDIRECT("'"&amp;C$1&amp;"'!C:C"),
    $A474
  )&gt;0,
  "X",
  ""
)</f>
        <v/>
      </c>
      <c r="D474" s="41" t="str">
        <f t="shared" si="473"/>
        <v/>
      </c>
      <c r="E474" s="41" t="str">
        <f t="shared" si="473"/>
        <v/>
      </c>
      <c r="F474" s="41" t="str">
        <f t="shared" si="473"/>
        <v/>
      </c>
      <c r="G474" s="41" t="str">
        <f t="shared" si="473"/>
        <v/>
      </c>
      <c r="H474" s="41" t="str">
        <f t="shared" si="473"/>
        <v/>
      </c>
      <c r="I474" s="41" t="str">
        <f t="shared" si="473"/>
        <v/>
      </c>
      <c r="J474" s="41" t="str">
        <f t="shared" si="473"/>
        <v/>
      </c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67.5" customHeight="1">
      <c r="A475" s="39"/>
      <c r="B475" s="43" t="str">
        <f>IFERROR(__xludf.DUMMYFUNCTION("IFERROR(
  LET(
    periodos, C$1:Z$1,
    marcas, C475:Z475,
    pos, MAX(
          FILTER(
            COLUMN(marcas)-COLUMN(C475)+1,
            marcas=""X""
          )
        ),
    ultimo, INDEX(periodos, pos),
    XLOOKUP(
      $A475,
      INDI"&amp;"RECT(""'""&amp;ultimo&amp;""'!C:C""),
      INDIRECT(""'""&amp;ultimo&amp;""'!A:A"")
    )
  ),
  """"
)"),"")</f>
        <v/>
      </c>
      <c r="C475" s="41" t="str">
        <f t="shared" ref="C475:J475" si="474">IF(
  COUNTIF(
    INDIRECT("'"&amp;C$1&amp;"'!C:C"),
    $A475
  )&gt;0,
  "X",
  ""
)</f>
        <v/>
      </c>
      <c r="D475" s="41" t="str">
        <f t="shared" si="474"/>
        <v/>
      </c>
      <c r="E475" s="41" t="str">
        <f t="shared" si="474"/>
        <v/>
      </c>
      <c r="F475" s="41" t="str">
        <f t="shared" si="474"/>
        <v/>
      </c>
      <c r="G475" s="41" t="str">
        <f t="shared" si="474"/>
        <v/>
      </c>
      <c r="H475" s="41" t="str">
        <f t="shared" si="474"/>
        <v/>
      </c>
      <c r="I475" s="41" t="str">
        <f t="shared" si="474"/>
        <v/>
      </c>
      <c r="J475" s="41" t="str">
        <f t="shared" si="474"/>
        <v/>
      </c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67.5" customHeight="1">
      <c r="A476" s="39"/>
      <c r="B476" s="43" t="str">
        <f>IFERROR(__xludf.DUMMYFUNCTION("IFERROR(
  LET(
    periodos, C$1:Z$1,
    marcas, C476:Z476,
    pos, MAX(
          FILTER(
            COLUMN(marcas)-COLUMN(C476)+1,
            marcas=""X""
          )
        ),
    ultimo, INDEX(periodos, pos),
    XLOOKUP(
      $A476,
      INDI"&amp;"RECT(""'""&amp;ultimo&amp;""'!C:C""),
      INDIRECT(""'""&amp;ultimo&amp;""'!A:A"")
    )
  ),
  """"
)"),"")</f>
        <v/>
      </c>
      <c r="C476" s="41" t="str">
        <f t="shared" ref="C476:J476" si="475">IF(
  COUNTIF(
    INDIRECT("'"&amp;C$1&amp;"'!C:C"),
    $A476
  )&gt;0,
  "X",
  ""
)</f>
        <v/>
      </c>
      <c r="D476" s="41" t="str">
        <f t="shared" si="475"/>
        <v/>
      </c>
      <c r="E476" s="41" t="str">
        <f t="shared" si="475"/>
        <v/>
      </c>
      <c r="F476" s="41" t="str">
        <f t="shared" si="475"/>
        <v/>
      </c>
      <c r="G476" s="41" t="str">
        <f t="shared" si="475"/>
        <v/>
      </c>
      <c r="H476" s="41" t="str">
        <f t="shared" si="475"/>
        <v/>
      </c>
      <c r="I476" s="41" t="str">
        <f t="shared" si="475"/>
        <v/>
      </c>
      <c r="J476" s="41" t="str">
        <f t="shared" si="475"/>
        <v/>
      </c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67.5" customHeight="1">
      <c r="A477" s="39"/>
      <c r="B477" s="43" t="str">
        <f>IFERROR(__xludf.DUMMYFUNCTION("IFERROR(
  LET(
    periodos, C$1:Z$1,
    marcas, C477:Z477,
    pos, MAX(
          FILTER(
            COLUMN(marcas)-COLUMN(C477)+1,
            marcas=""X""
          )
        ),
    ultimo, INDEX(periodos, pos),
    XLOOKUP(
      $A477,
      INDI"&amp;"RECT(""'""&amp;ultimo&amp;""'!C:C""),
      INDIRECT(""'""&amp;ultimo&amp;""'!A:A"")
    )
  ),
  """"
)"),"")</f>
        <v/>
      </c>
      <c r="C477" s="41" t="str">
        <f t="shared" ref="C477:J477" si="476">IF(
  COUNTIF(
    INDIRECT("'"&amp;C$1&amp;"'!C:C"),
    $A477
  )&gt;0,
  "X",
  ""
)</f>
        <v/>
      </c>
      <c r="D477" s="41" t="str">
        <f t="shared" si="476"/>
        <v/>
      </c>
      <c r="E477" s="41" t="str">
        <f t="shared" si="476"/>
        <v/>
      </c>
      <c r="F477" s="41" t="str">
        <f t="shared" si="476"/>
        <v/>
      </c>
      <c r="G477" s="41" t="str">
        <f t="shared" si="476"/>
        <v/>
      </c>
      <c r="H477" s="41" t="str">
        <f t="shared" si="476"/>
        <v/>
      </c>
      <c r="I477" s="41" t="str">
        <f t="shared" si="476"/>
        <v/>
      </c>
      <c r="J477" s="41" t="str">
        <f t="shared" si="476"/>
        <v/>
      </c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67.5" customHeight="1">
      <c r="A478" s="39"/>
      <c r="B478" s="43" t="str">
        <f>IFERROR(__xludf.DUMMYFUNCTION("IFERROR(
  LET(
    periodos, C$1:Z$1,
    marcas, C478:Z478,
    pos, MAX(
          FILTER(
            COLUMN(marcas)-COLUMN(C478)+1,
            marcas=""X""
          )
        ),
    ultimo, INDEX(periodos, pos),
    XLOOKUP(
      $A478,
      INDI"&amp;"RECT(""'""&amp;ultimo&amp;""'!C:C""),
      INDIRECT(""'""&amp;ultimo&amp;""'!A:A"")
    )
  ),
  """"
)"),"")</f>
        <v/>
      </c>
      <c r="C478" s="41" t="str">
        <f t="shared" ref="C478:J478" si="477">IF(
  COUNTIF(
    INDIRECT("'"&amp;C$1&amp;"'!C:C"),
    $A478
  )&gt;0,
  "X",
  ""
)</f>
        <v/>
      </c>
      <c r="D478" s="41" t="str">
        <f t="shared" si="477"/>
        <v/>
      </c>
      <c r="E478" s="41" t="str">
        <f t="shared" si="477"/>
        <v/>
      </c>
      <c r="F478" s="41" t="str">
        <f t="shared" si="477"/>
        <v/>
      </c>
      <c r="G478" s="41" t="str">
        <f t="shared" si="477"/>
        <v/>
      </c>
      <c r="H478" s="41" t="str">
        <f t="shared" si="477"/>
        <v/>
      </c>
      <c r="I478" s="41" t="str">
        <f t="shared" si="477"/>
        <v/>
      </c>
      <c r="J478" s="41" t="str">
        <f t="shared" si="477"/>
        <v/>
      </c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67.5" customHeight="1">
      <c r="A479" s="39"/>
      <c r="B479" s="43" t="str">
        <f>IFERROR(__xludf.DUMMYFUNCTION("IFERROR(
  LET(
    periodos, C$1:Z$1,
    marcas, C479:Z479,
    pos, MAX(
          FILTER(
            COLUMN(marcas)-COLUMN(C479)+1,
            marcas=""X""
          )
        ),
    ultimo, INDEX(periodos, pos),
    XLOOKUP(
      $A479,
      INDI"&amp;"RECT(""'""&amp;ultimo&amp;""'!C:C""),
      INDIRECT(""'""&amp;ultimo&amp;""'!A:A"")
    )
  ),
  """"
)"),"")</f>
        <v/>
      </c>
      <c r="C479" s="41" t="str">
        <f t="shared" ref="C479:J479" si="478">IF(
  COUNTIF(
    INDIRECT("'"&amp;C$1&amp;"'!C:C"),
    $A479
  )&gt;0,
  "X",
  ""
)</f>
        <v/>
      </c>
      <c r="D479" s="41" t="str">
        <f t="shared" si="478"/>
        <v/>
      </c>
      <c r="E479" s="41" t="str">
        <f t="shared" si="478"/>
        <v/>
      </c>
      <c r="F479" s="41" t="str">
        <f t="shared" si="478"/>
        <v/>
      </c>
      <c r="G479" s="41" t="str">
        <f t="shared" si="478"/>
        <v/>
      </c>
      <c r="H479" s="41" t="str">
        <f t="shared" si="478"/>
        <v/>
      </c>
      <c r="I479" s="41" t="str">
        <f t="shared" si="478"/>
        <v/>
      </c>
      <c r="J479" s="41" t="str">
        <f t="shared" si="478"/>
        <v/>
      </c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67.5" customHeight="1">
      <c r="A480" s="39"/>
      <c r="B480" s="43" t="str">
        <f>IFERROR(__xludf.DUMMYFUNCTION("IFERROR(
  LET(
    periodos, C$1:Z$1,
    marcas, C480:Z480,
    pos, MAX(
          FILTER(
            COLUMN(marcas)-COLUMN(C480)+1,
            marcas=""X""
          )
        ),
    ultimo, INDEX(periodos, pos),
    XLOOKUP(
      $A480,
      INDI"&amp;"RECT(""'""&amp;ultimo&amp;""'!C:C""),
      INDIRECT(""'""&amp;ultimo&amp;""'!A:A"")
    )
  ),
  """"
)"),"")</f>
        <v/>
      </c>
      <c r="C480" s="41" t="str">
        <f t="shared" ref="C480:J480" si="479">IF(
  COUNTIF(
    INDIRECT("'"&amp;C$1&amp;"'!C:C"),
    $A480
  )&gt;0,
  "X",
  ""
)</f>
        <v/>
      </c>
      <c r="D480" s="41" t="str">
        <f t="shared" si="479"/>
        <v/>
      </c>
      <c r="E480" s="41" t="str">
        <f t="shared" si="479"/>
        <v/>
      </c>
      <c r="F480" s="41" t="str">
        <f t="shared" si="479"/>
        <v/>
      </c>
      <c r="G480" s="41" t="str">
        <f t="shared" si="479"/>
        <v/>
      </c>
      <c r="H480" s="41" t="str">
        <f t="shared" si="479"/>
        <v/>
      </c>
      <c r="I480" s="41" t="str">
        <f t="shared" si="479"/>
        <v/>
      </c>
      <c r="J480" s="41" t="str">
        <f t="shared" si="479"/>
        <v/>
      </c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67.5" customHeight="1">
      <c r="A481" s="39"/>
      <c r="B481" s="43" t="str">
        <f>IFERROR(__xludf.DUMMYFUNCTION("IFERROR(
  LET(
    periodos, C$1:Z$1,
    marcas, C481:Z481,
    pos, MAX(
          FILTER(
            COLUMN(marcas)-COLUMN(C481)+1,
            marcas=""X""
          )
        ),
    ultimo, INDEX(periodos, pos),
    XLOOKUP(
      $A481,
      INDI"&amp;"RECT(""'""&amp;ultimo&amp;""'!C:C""),
      INDIRECT(""'""&amp;ultimo&amp;""'!A:A"")
    )
  ),
  """"
)"),"")</f>
        <v/>
      </c>
      <c r="C481" s="41" t="str">
        <f t="shared" ref="C481:J481" si="480">IF(
  COUNTIF(
    INDIRECT("'"&amp;C$1&amp;"'!C:C"),
    $A481
  )&gt;0,
  "X",
  ""
)</f>
        <v/>
      </c>
      <c r="D481" s="41" t="str">
        <f t="shared" si="480"/>
        <v/>
      </c>
      <c r="E481" s="41" t="str">
        <f t="shared" si="480"/>
        <v/>
      </c>
      <c r="F481" s="41" t="str">
        <f t="shared" si="480"/>
        <v/>
      </c>
      <c r="G481" s="41" t="str">
        <f t="shared" si="480"/>
        <v/>
      </c>
      <c r="H481" s="41" t="str">
        <f t="shared" si="480"/>
        <v/>
      </c>
      <c r="I481" s="41" t="str">
        <f t="shared" si="480"/>
        <v/>
      </c>
      <c r="J481" s="41" t="str">
        <f t="shared" si="480"/>
        <v/>
      </c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67.5" customHeight="1">
      <c r="A482" s="39"/>
      <c r="B482" s="43" t="str">
        <f>IFERROR(__xludf.DUMMYFUNCTION("IFERROR(
  LET(
    periodos, C$1:Z$1,
    marcas, C482:Z482,
    pos, MAX(
          FILTER(
            COLUMN(marcas)-COLUMN(C482)+1,
            marcas=""X""
          )
        ),
    ultimo, INDEX(periodos, pos),
    XLOOKUP(
      $A482,
      INDI"&amp;"RECT(""'""&amp;ultimo&amp;""'!C:C""),
      INDIRECT(""'""&amp;ultimo&amp;""'!A:A"")
    )
  ),
  """"
)"),"")</f>
        <v/>
      </c>
      <c r="C482" s="41" t="str">
        <f t="shared" ref="C482:J482" si="481">IF(
  COUNTIF(
    INDIRECT("'"&amp;C$1&amp;"'!C:C"),
    $A482
  )&gt;0,
  "X",
  ""
)</f>
        <v/>
      </c>
      <c r="D482" s="41" t="str">
        <f t="shared" si="481"/>
        <v/>
      </c>
      <c r="E482" s="41" t="str">
        <f t="shared" si="481"/>
        <v/>
      </c>
      <c r="F482" s="41" t="str">
        <f t="shared" si="481"/>
        <v/>
      </c>
      <c r="G482" s="41" t="str">
        <f t="shared" si="481"/>
        <v/>
      </c>
      <c r="H482" s="41" t="str">
        <f t="shared" si="481"/>
        <v/>
      </c>
      <c r="I482" s="41" t="str">
        <f t="shared" si="481"/>
        <v/>
      </c>
      <c r="J482" s="41" t="str">
        <f t="shared" si="481"/>
        <v/>
      </c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67.5" customHeight="1">
      <c r="A483" s="39"/>
      <c r="B483" s="43" t="str">
        <f>IFERROR(__xludf.DUMMYFUNCTION("IFERROR(
  LET(
    periodos, C$1:Z$1,
    marcas, C483:Z483,
    pos, MAX(
          FILTER(
            COLUMN(marcas)-COLUMN(C483)+1,
            marcas=""X""
          )
        ),
    ultimo, INDEX(periodos, pos),
    XLOOKUP(
      $A483,
      INDI"&amp;"RECT(""'""&amp;ultimo&amp;""'!C:C""),
      INDIRECT(""'""&amp;ultimo&amp;""'!A:A"")
    )
  ),
  """"
)"),"")</f>
        <v/>
      </c>
      <c r="C483" s="41" t="str">
        <f t="shared" ref="C483:J483" si="482">IF(
  COUNTIF(
    INDIRECT("'"&amp;C$1&amp;"'!C:C"),
    $A483
  )&gt;0,
  "X",
  ""
)</f>
        <v/>
      </c>
      <c r="D483" s="41" t="str">
        <f t="shared" si="482"/>
        <v/>
      </c>
      <c r="E483" s="41" t="str">
        <f t="shared" si="482"/>
        <v/>
      </c>
      <c r="F483" s="41" t="str">
        <f t="shared" si="482"/>
        <v/>
      </c>
      <c r="G483" s="41" t="str">
        <f t="shared" si="482"/>
        <v/>
      </c>
      <c r="H483" s="41" t="str">
        <f t="shared" si="482"/>
        <v/>
      </c>
      <c r="I483" s="41" t="str">
        <f t="shared" si="482"/>
        <v/>
      </c>
      <c r="J483" s="41" t="str">
        <f t="shared" si="482"/>
        <v/>
      </c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67.5" customHeight="1">
      <c r="A484" s="39"/>
      <c r="B484" s="43" t="str">
        <f>IFERROR(__xludf.DUMMYFUNCTION("IFERROR(
  LET(
    periodos, C$1:Z$1,
    marcas, C484:Z484,
    pos, MAX(
          FILTER(
            COLUMN(marcas)-COLUMN(C484)+1,
            marcas=""X""
          )
        ),
    ultimo, INDEX(periodos, pos),
    XLOOKUP(
      $A484,
      INDI"&amp;"RECT(""'""&amp;ultimo&amp;""'!C:C""),
      INDIRECT(""'""&amp;ultimo&amp;""'!A:A"")
    )
  ),
  """"
)"),"")</f>
        <v/>
      </c>
      <c r="C484" s="41" t="str">
        <f t="shared" ref="C484:J484" si="483">IF(
  COUNTIF(
    INDIRECT("'"&amp;C$1&amp;"'!C:C"),
    $A484
  )&gt;0,
  "X",
  ""
)</f>
        <v/>
      </c>
      <c r="D484" s="41" t="str">
        <f t="shared" si="483"/>
        <v/>
      </c>
      <c r="E484" s="41" t="str">
        <f t="shared" si="483"/>
        <v/>
      </c>
      <c r="F484" s="41" t="str">
        <f t="shared" si="483"/>
        <v/>
      </c>
      <c r="G484" s="41" t="str">
        <f t="shared" si="483"/>
        <v/>
      </c>
      <c r="H484" s="41" t="str">
        <f t="shared" si="483"/>
        <v/>
      </c>
      <c r="I484" s="41" t="str">
        <f t="shared" si="483"/>
        <v/>
      </c>
      <c r="J484" s="41" t="str">
        <f t="shared" si="483"/>
        <v/>
      </c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67.5" customHeight="1">
      <c r="A485" s="39"/>
      <c r="B485" s="43" t="str">
        <f>IFERROR(__xludf.DUMMYFUNCTION("IFERROR(
  LET(
    periodos, C$1:Z$1,
    marcas, C485:Z485,
    pos, MAX(
          FILTER(
            COLUMN(marcas)-COLUMN(C485)+1,
            marcas=""X""
          )
        ),
    ultimo, INDEX(periodos, pos),
    XLOOKUP(
      $A485,
      INDI"&amp;"RECT(""'""&amp;ultimo&amp;""'!C:C""),
      INDIRECT(""'""&amp;ultimo&amp;""'!A:A"")
    )
  ),
  """"
)"),"")</f>
        <v/>
      </c>
      <c r="C485" s="41" t="str">
        <f t="shared" ref="C485:J485" si="484">IF(
  COUNTIF(
    INDIRECT("'"&amp;C$1&amp;"'!C:C"),
    $A485
  )&gt;0,
  "X",
  ""
)</f>
        <v/>
      </c>
      <c r="D485" s="41" t="str">
        <f t="shared" si="484"/>
        <v/>
      </c>
      <c r="E485" s="41" t="str">
        <f t="shared" si="484"/>
        <v/>
      </c>
      <c r="F485" s="41" t="str">
        <f t="shared" si="484"/>
        <v/>
      </c>
      <c r="G485" s="41" t="str">
        <f t="shared" si="484"/>
        <v/>
      </c>
      <c r="H485" s="41" t="str">
        <f t="shared" si="484"/>
        <v/>
      </c>
      <c r="I485" s="41" t="str">
        <f t="shared" si="484"/>
        <v/>
      </c>
      <c r="J485" s="41" t="str">
        <f t="shared" si="484"/>
        <v/>
      </c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67.5" customHeight="1">
      <c r="A486" s="39"/>
      <c r="B486" s="43" t="str">
        <f>IFERROR(__xludf.DUMMYFUNCTION("IFERROR(
  LET(
    periodos, C$1:Z$1,
    marcas, C486:Z486,
    pos, MAX(
          FILTER(
            COLUMN(marcas)-COLUMN(C486)+1,
            marcas=""X""
          )
        ),
    ultimo, INDEX(periodos, pos),
    XLOOKUP(
      $A486,
      INDI"&amp;"RECT(""'""&amp;ultimo&amp;""'!C:C""),
      INDIRECT(""'""&amp;ultimo&amp;""'!A:A"")
    )
  ),
  """"
)"),"")</f>
        <v/>
      </c>
      <c r="C486" s="41" t="str">
        <f t="shared" ref="C486:J486" si="485">IF(
  COUNTIF(
    INDIRECT("'"&amp;C$1&amp;"'!C:C"),
    $A486
  )&gt;0,
  "X",
  ""
)</f>
        <v/>
      </c>
      <c r="D486" s="41" t="str">
        <f t="shared" si="485"/>
        <v/>
      </c>
      <c r="E486" s="41" t="str">
        <f t="shared" si="485"/>
        <v/>
      </c>
      <c r="F486" s="41" t="str">
        <f t="shared" si="485"/>
        <v/>
      </c>
      <c r="G486" s="41" t="str">
        <f t="shared" si="485"/>
        <v/>
      </c>
      <c r="H486" s="41" t="str">
        <f t="shared" si="485"/>
        <v/>
      </c>
      <c r="I486" s="41" t="str">
        <f t="shared" si="485"/>
        <v/>
      </c>
      <c r="J486" s="41" t="str">
        <f t="shared" si="485"/>
        <v/>
      </c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67.5" customHeight="1">
      <c r="A487" s="39"/>
      <c r="B487" s="43" t="str">
        <f>IFERROR(__xludf.DUMMYFUNCTION("IFERROR(
  LET(
    periodos, C$1:Z$1,
    marcas, C487:Z487,
    pos, MAX(
          FILTER(
            COLUMN(marcas)-COLUMN(C487)+1,
            marcas=""X""
          )
        ),
    ultimo, INDEX(periodos, pos),
    XLOOKUP(
      $A487,
      INDI"&amp;"RECT(""'""&amp;ultimo&amp;""'!C:C""),
      INDIRECT(""'""&amp;ultimo&amp;""'!A:A"")
    )
  ),
  """"
)"),"")</f>
        <v/>
      </c>
      <c r="C487" s="41" t="str">
        <f t="shared" ref="C487:J487" si="486">IF(
  COUNTIF(
    INDIRECT("'"&amp;C$1&amp;"'!C:C"),
    $A487
  )&gt;0,
  "X",
  ""
)</f>
        <v/>
      </c>
      <c r="D487" s="41" t="str">
        <f t="shared" si="486"/>
        <v/>
      </c>
      <c r="E487" s="41" t="str">
        <f t="shared" si="486"/>
        <v/>
      </c>
      <c r="F487" s="41" t="str">
        <f t="shared" si="486"/>
        <v/>
      </c>
      <c r="G487" s="41" t="str">
        <f t="shared" si="486"/>
        <v/>
      </c>
      <c r="H487" s="41" t="str">
        <f t="shared" si="486"/>
        <v/>
      </c>
      <c r="I487" s="41" t="str">
        <f t="shared" si="486"/>
        <v/>
      </c>
      <c r="J487" s="41" t="str">
        <f t="shared" si="486"/>
        <v/>
      </c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67.5" customHeight="1">
      <c r="A488" s="39"/>
      <c r="B488" s="43" t="str">
        <f>IFERROR(__xludf.DUMMYFUNCTION("IFERROR(
  LET(
    periodos, C$1:Z$1,
    marcas, C488:Z488,
    pos, MAX(
          FILTER(
            COLUMN(marcas)-COLUMN(C488)+1,
            marcas=""X""
          )
        ),
    ultimo, INDEX(periodos, pos),
    XLOOKUP(
      $A488,
      INDI"&amp;"RECT(""'""&amp;ultimo&amp;""'!C:C""),
      INDIRECT(""'""&amp;ultimo&amp;""'!A:A"")
    )
  ),
  """"
)"),"")</f>
        <v/>
      </c>
      <c r="C488" s="41" t="str">
        <f t="shared" ref="C488:J488" si="487">IF(
  COUNTIF(
    INDIRECT("'"&amp;C$1&amp;"'!C:C"),
    $A488
  )&gt;0,
  "X",
  ""
)</f>
        <v/>
      </c>
      <c r="D488" s="41" t="str">
        <f t="shared" si="487"/>
        <v/>
      </c>
      <c r="E488" s="41" t="str">
        <f t="shared" si="487"/>
        <v/>
      </c>
      <c r="F488" s="41" t="str">
        <f t="shared" si="487"/>
        <v/>
      </c>
      <c r="G488" s="41" t="str">
        <f t="shared" si="487"/>
        <v/>
      </c>
      <c r="H488" s="41" t="str">
        <f t="shared" si="487"/>
        <v/>
      </c>
      <c r="I488" s="41" t="str">
        <f t="shared" si="487"/>
        <v/>
      </c>
      <c r="J488" s="41" t="str">
        <f t="shared" si="487"/>
        <v/>
      </c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67.5" customHeight="1">
      <c r="A489" s="39"/>
      <c r="B489" s="43" t="str">
        <f>IFERROR(__xludf.DUMMYFUNCTION("IFERROR(
  LET(
    periodos, C$1:Z$1,
    marcas, C489:Z489,
    pos, MAX(
          FILTER(
            COLUMN(marcas)-COLUMN(C489)+1,
            marcas=""X""
          )
        ),
    ultimo, INDEX(periodos, pos),
    XLOOKUP(
      $A489,
      INDI"&amp;"RECT(""'""&amp;ultimo&amp;""'!C:C""),
      INDIRECT(""'""&amp;ultimo&amp;""'!A:A"")
    )
  ),
  """"
)"),"")</f>
        <v/>
      </c>
      <c r="C489" s="41" t="str">
        <f t="shared" ref="C489:J489" si="488">IF(
  COUNTIF(
    INDIRECT("'"&amp;C$1&amp;"'!C:C"),
    $A489
  )&gt;0,
  "X",
  ""
)</f>
        <v/>
      </c>
      <c r="D489" s="41" t="str">
        <f t="shared" si="488"/>
        <v/>
      </c>
      <c r="E489" s="41" t="str">
        <f t="shared" si="488"/>
        <v/>
      </c>
      <c r="F489" s="41" t="str">
        <f t="shared" si="488"/>
        <v/>
      </c>
      <c r="G489" s="41" t="str">
        <f t="shared" si="488"/>
        <v/>
      </c>
      <c r="H489" s="41" t="str">
        <f t="shared" si="488"/>
        <v/>
      </c>
      <c r="I489" s="41" t="str">
        <f t="shared" si="488"/>
        <v/>
      </c>
      <c r="J489" s="41" t="str">
        <f t="shared" si="488"/>
        <v/>
      </c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67.5" customHeight="1">
      <c r="A490" s="39"/>
      <c r="B490" s="43" t="str">
        <f>IFERROR(__xludf.DUMMYFUNCTION("IFERROR(
  LET(
    periodos, C$1:Z$1,
    marcas, C490:Z490,
    pos, MAX(
          FILTER(
            COLUMN(marcas)-COLUMN(C490)+1,
            marcas=""X""
          )
        ),
    ultimo, INDEX(periodos, pos),
    XLOOKUP(
      $A490,
      INDI"&amp;"RECT(""'""&amp;ultimo&amp;""'!C:C""),
      INDIRECT(""'""&amp;ultimo&amp;""'!A:A"")
    )
  ),
  """"
)"),"")</f>
        <v/>
      </c>
      <c r="C490" s="41" t="str">
        <f t="shared" ref="C490:J490" si="489">IF(
  COUNTIF(
    INDIRECT("'"&amp;C$1&amp;"'!C:C"),
    $A490
  )&gt;0,
  "X",
  ""
)</f>
        <v/>
      </c>
      <c r="D490" s="41" t="str">
        <f t="shared" si="489"/>
        <v/>
      </c>
      <c r="E490" s="41" t="str">
        <f t="shared" si="489"/>
        <v/>
      </c>
      <c r="F490" s="41" t="str">
        <f t="shared" si="489"/>
        <v/>
      </c>
      <c r="G490" s="41" t="str">
        <f t="shared" si="489"/>
        <v/>
      </c>
      <c r="H490" s="41" t="str">
        <f t="shared" si="489"/>
        <v/>
      </c>
      <c r="I490" s="41" t="str">
        <f t="shared" si="489"/>
        <v/>
      </c>
      <c r="J490" s="41" t="str">
        <f t="shared" si="489"/>
        <v/>
      </c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67.5" customHeight="1">
      <c r="A491" s="39"/>
      <c r="B491" s="43" t="str">
        <f>IFERROR(__xludf.DUMMYFUNCTION("IFERROR(
  LET(
    periodos, C$1:Z$1,
    marcas, C491:Z491,
    pos, MAX(
          FILTER(
            COLUMN(marcas)-COLUMN(C491)+1,
            marcas=""X""
          )
        ),
    ultimo, INDEX(periodos, pos),
    XLOOKUP(
      $A491,
      INDI"&amp;"RECT(""'""&amp;ultimo&amp;""'!C:C""),
      INDIRECT(""'""&amp;ultimo&amp;""'!A:A"")
    )
  ),
  """"
)"),"")</f>
        <v/>
      </c>
      <c r="C491" s="41" t="str">
        <f t="shared" ref="C491:J491" si="490">IF(
  COUNTIF(
    INDIRECT("'"&amp;C$1&amp;"'!C:C"),
    $A491
  )&gt;0,
  "X",
  ""
)</f>
        <v/>
      </c>
      <c r="D491" s="41" t="str">
        <f t="shared" si="490"/>
        <v/>
      </c>
      <c r="E491" s="41" t="str">
        <f t="shared" si="490"/>
        <v/>
      </c>
      <c r="F491" s="41" t="str">
        <f t="shared" si="490"/>
        <v/>
      </c>
      <c r="G491" s="41" t="str">
        <f t="shared" si="490"/>
        <v/>
      </c>
      <c r="H491" s="41" t="str">
        <f t="shared" si="490"/>
        <v/>
      </c>
      <c r="I491" s="41" t="str">
        <f t="shared" si="490"/>
        <v/>
      </c>
      <c r="J491" s="41" t="str">
        <f t="shared" si="490"/>
        <v/>
      </c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67.5" customHeight="1">
      <c r="A492" s="39"/>
      <c r="B492" s="43" t="str">
        <f>IFERROR(__xludf.DUMMYFUNCTION("IFERROR(
  LET(
    periodos, C$1:Z$1,
    marcas, C492:Z492,
    pos, MAX(
          FILTER(
            COLUMN(marcas)-COLUMN(C492)+1,
            marcas=""X""
          )
        ),
    ultimo, INDEX(periodos, pos),
    XLOOKUP(
      $A492,
      INDI"&amp;"RECT(""'""&amp;ultimo&amp;""'!C:C""),
      INDIRECT(""'""&amp;ultimo&amp;""'!A:A"")
    )
  ),
  """"
)"),"")</f>
        <v/>
      </c>
      <c r="C492" s="41" t="str">
        <f t="shared" ref="C492:J492" si="491">IF(
  COUNTIF(
    INDIRECT("'"&amp;C$1&amp;"'!C:C"),
    $A492
  )&gt;0,
  "X",
  ""
)</f>
        <v/>
      </c>
      <c r="D492" s="41" t="str">
        <f t="shared" si="491"/>
        <v/>
      </c>
      <c r="E492" s="41" t="str">
        <f t="shared" si="491"/>
        <v/>
      </c>
      <c r="F492" s="41" t="str">
        <f t="shared" si="491"/>
        <v/>
      </c>
      <c r="G492" s="41" t="str">
        <f t="shared" si="491"/>
        <v/>
      </c>
      <c r="H492" s="41" t="str">
        <f t="shared" si="491"/>
        <v/>
      </c>
      <c r="I492" s="41" t="str">
        <f t="shared" si="491"/>
        <v/>
      </c>
      <c r="J492" s="41" t="str">
        <f t="shared" si="491"/>
        <v/>
      </c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67.5" customHeight="1">
      <c r="A493" s="39"/>
      <c r="B493" s="43" t="str">
        <f>IFERROR(__xludf.DUMMYFUNCTION("IFERROR(
  LET(
    periodos, C$1:Z$1,
    marcas, C493:Z493,
    pos, MAX(
          FILTER(
            COLUMN(marcas)-COLUMN(C493)+1,
            marcas=""X""
          )
        ),
    ultimo, INDEX(periodos, pos),
    XLOOKUP(
      $A493,
      INDI"&amp;"RECT(""'""&amp;ultimo&amp;""'!C:C""),
      INDIRECT(""'""&amp;ultimo&amp;""'!A:A"")
    )
  ),
  """"
)"),"")</f>
        <v/>
      </c>
      <c r="C493" s="41" t="str">
        <f t="shared" ref="C493:J493" si="492">IF(
  COUNTIF(
    INDIRECT("'"&amp;C$1&amp;"'!C:C"),
    $A493
  )&gt;0,
  "X",
  ""
)</f>
        <v/>
      </c>
      <c r="D493" s="41" t="str">
        <f t="shared" si="492"/>
        <v/>
      </c>
      <c r="E493" s="41" t="str">
        <f t="shared" si="492"/>
        <v/>
      </c>
      <c r="F493" s="41" t="str">
        <f t="shared" si="492"/>
        <v/>
      </c>
      <c r="G493" s="41" t="str">
        <f t="shared" si="492"/>
        <v/>
      </c>
      <c r="H493" s="41" t="str">
        <f t="shared" si="492"/>
        <v/>
      </c>
      <c r="I493" s="41" t="str">
        <f t="shared" si="492"/>
        <v/>
      </c>
      <c r="J493" s="41" t="str">
        <f t="shared" si="492"/>
        <v/>
      </c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67.5" customHeight="1">
      <c r="A494" s="39"/>
      <c r="B494" s="43" t="str">
        <f>IFERROR(__xludf.DUMMYFUNCTION("IFERROR(
  LET(
    periodos, C$1:Z$1,
    marcas, C494:Z494,
    pos, MAX(
          FILTER(
            COLUMN(marcas)-COLUMN(C494)+1,
            marcas=""X""
          )
        ),
    ultimo, INDEX(periodos, pos),
    XLOOKUP(
      $A494,
      INDI"&amp;"RECT(""'""&amp;ultimo&amp;""'!C:C""),
      INDIRECT(""'""&amp;ultimo&amp;""'!A:A"")
    )
  ),
  """"
)"),"")</f>
        <v/>
      </c>
      <c r="C494" s="41" t="str">
        <f t="shared" ref="C494:J494" si="493">IF(
  COUNTIF(
    INDIRECT("'"&amp;C$1&amp;"'!C:C"),
    $A494
  )&gt;0,
  "X",
  ""
)</f>
        <v/>
      </c>
      <c r="D494" s="41" t="str">
        <f t="shared" si="493"/>
        <v/>
      </c>
      <c r="E494" s="41" t="str">
        <f t="shared" si="493"/>
        <v/>
      </c>
      <c r="F494" s="41" t="str">
        <f t="shared" si="493"/>
        <v/>
      </c>
      <c r="G494" s="41" t="str">
        <f t="shared" si="493"/>
        <v/>
      </c>
      <c r="H494" s="41" t="str">
        <f t="shared" si="493"/>
        <v/>
      </c>
      <c r="I494" s="41" t="str">
        <f t="shared" si="493"/>
        <v/>
      </c>
      <c r="J494" s="41" t="str">
        <f t="shared" si="493"/>
        <v/>
      </c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67.5" customHeight="1">
      <c r="A495" s="39"/>
      <c r="B495" s="43" t="str">
        <f>IFERROR(__xludf.DUMMYFUNCTION("IFERROR(
  LET(
    periodos, C$1:Z$1,
    marcas, C495:Z495,
    pos, MAX(
          FILTER(
            COLUMN(marcas)-COLUMN(C495)+1,
            marcas=""X""
          )
        ),
    ultimo, INDEX(periodos, pos),
    XLOOKUP(
      $A495,
      INDI"&amp;"RECT(""'""&amp;ultimo&amp;""'!C:C""),
      INDIRECT(""'""&amp;ultimo&amp;""'!A:A"")
    )
  ),
  """"
)"),"")</f>
        <v/>
      </c>
      <c r="C495" s="41" t="str">
        <f t="shared" ref="C495:J495" si="494">IF(
  COUNTIF(
    INDIRECT("'"&amp;C$1&amp;"'!C:C"),
    $A495
  )&gt;0,
  "X",
  ""
)</f>
        <v/>
      </c>
      <c r="D495" s="41" t="str">
        <f t="shared" si="494"/>
        <v/>
      </c>
      <c r="E495" s="41" t="str">
        <f t="shared" si="494"/>
        <v/>
      </c>
      <c r="F495" s="41" t="str">
        <f t="shared" si="494"/>
        <v/>
      </c>
      <c r="G495" s="41" t="str">
        <f t="shared" si="494"/>
        <v/>
      </c>
      <c r="H495" s="41" t="str">
        <f t="shared" si="494"/>
        <v/>
      </c>
      <c r="I495" s="41" t="str">
        <f t="shared" si="494"/>
        <v/>
      </c>
      <c r="J495" s="41" t="str">
        <f t="shared" si="494"/>
        <v/>
      </c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67.5" customHeight="1">
      <c r="A496" s="39"/>
      <c r="B496" s="43" t="str">
        <f>IFERROR(__xludf.DUMMYFUNCTION("IFERROR(
  LET(
    periodos, C$1:Z$1,
    marcas, C496:Z496,
    pos, MAX(
          FILTER(
            COLUMN(marcas)-COLUMN(C496)+1,
            marcas=""X""
          )
        ),
    ultimo, INDEX(periodos, pos),
    XLOOKUP(
      $A496,
      INDI"&amp;"RECT(""'""&amp;ultimo&amp;""'!C:C""),
      INDIRECT(""'""&amp;ultimo&amp;""'!A:A"")
    )
  ),
  """"
)"),"")</f>
        <v/>
      </c>
      <c r="C496" s="41" t="str">
        <f t="shared" ref="C496:J496" si="495">IF(
  COUNTIF(
    INDIRECT("'"&amp;C$1&amp;"'!C:C"),
    $A496
  )&gt;0,
  "X",
  ""
)</f>
        <v/>
      </c>
      <c r="D496" s="41" t="str">
        <f t="shared" si="495"/>
        <v/>
      </c>
      <c r="E496" s="41" t="str">
        <f t="shared" si="495"/>
        <v/>
      </c>
      <c r="F496" s="41" t="str">
        <f t="shared" si="495"/>
        <v/>
      </c>
      <c r="G496" s="41" t="str">
        <f t="shared" si="495"/>
        <v/>
      </c>
      <c r="H496" s="41" t="str">
        <f t="shared" si="495"/>
        <v/>
      </c>
      <c r="I496" s="41" t="str">
        <f t="shared" si="495"/>
        <v/>
      </c>
      <c r="J496" s="41" t="str">
        <f t="shared" si="495"/>
        <v/>
      </c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67.5" customHeight="1">
      <c r="A497" s="39"/>
      <c r="B497" s="43" t="str">
        <f>IFERROR(__xludf.DUMMYFUNCTION("IFERROR(
  LET(
    periodos, C$1:Z$1,
    marcas, C497:Z497,
    pos, MAX(
          FILTER(
            COLUMN(marcas)-COLUMN(C497)+1,
            marcas=""X""
          )
        ),
    ultimo, INDEX(periodos, pos),
    XLOOKUP(
      $A497,
      INDI"&amp;"RECT(""'""&amp;ultimo&amp;""'!C:C""),
      INDIRECT(""'""&amp;ultimo&amp;""'!A:A"")
    )
  ),
  """"
)"),"")</f>
        <v/>
      </c>
      <c r="C497" s="41" t="str">
        <f t="shared" ref="C497:J497" si="496">IF(
  COUNTIF(
    INDIRECT("'"&amp;C$1&amp;"'!C:C"),
    $A497
  )&gt;0,
  "X",
  ""
)</f>
        <v/>
      </c>
      <c r="D497" s="41" t="str">
        <f t="shared" si="496"/>
        <v/>
      </c>
      <c r="E497" s="41" t="str">
        <f t="shared" si="496"/>
        <v/>
      </c>
      <c r="F497" s="41" t="str">
        <f t="shared" si="496"/>
        <v/>
      </c>
      <c r="G497" s="41" t="str">
        <f t="shared" si="496"/>
        <v/>
      </c>
      <c r="H497" s="41" t="str">
        <f t="shared" si="496"/>
        <v/>
      </c>
      <c r="I497" s="41" t="str">
        <f t="shared" si="496"/>
        <v/>
      </c>
      <c r="J497" s="41" t="str">
        <f t="shared" si="496"/>
        <v/>
      </c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67.5" customHeight="1">
      <c r="A498" s="39"/>
      <c r="B498" s="43" t="str">
        <f>IFERROR(__xludf.DUMMYFUNCTION("IFERROR(
  LET(
    periodos, C$1:Z$1,
    marcas, C498:Z498,
    pos, MAX(
          FILTER(
            COLUMN(marcas)-COLUMN(C498)+1,
            marcas=""X""
          )
        ),
    ultimo, INDEX(periodos, pos),
    XLOOKUP(
      $A498,
      INDI"&amp;"RECT(""'""&amp;ultimo&amp;""'!C:C""),
      INDIRECT(""'""&amp;ultimo&amp;""'!A:A"")
    )
  ),
  """"
)"),"")</f>
        <v/>
      </c>
      <c r="C498" s="41" t="str">
        <f t="shared" ref="C498:J498" si="497">IF(
  COUNTIF(
    INDIRECT("'"&amp;C$1&amp;"'!C:C"),
    $A498
  )&gt;0,
  "X",
  ""
)</f>
        <v/>
      </c>
      <c r="D498" s="41" t="str">
        <f t="shared" si="497"/>
        <v/>
      </c>
      <c r="E498" s="41" t="str">
        <f t="shared" si="497"/>
        <v/>
      </c>
      <c r="F498" s="41" t="str">
        <f t="shared" si="497"/>
        <v/>
      </c>
      <c r="G498" s="41" t="str">
        <f t="shared" si="497"/>
        <v/>
      </c>
      <c r="H498" s="41" t="str">
        <f t="shared" si="497"/>
        <v/>
      </c>
      <c r="I498" s="41" t="str">
        <f t="shared" si="497"/>
        <v/>
      </c>
      <c r="J498" s="41" t="str">
        <f t="shared" si="497"/>
        <v/>
      </c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67.5" customHeight="1">
      <c r="A499" s="39"/>
      <c r="B499" s="43" t="str">
        <f>IFERROR(__xludf.DUMMYFUNCTION("IFERROR(
  LET(
    periodos, C$1:Z$1,
    marcas, C499:Z499,
    pos, MAX(
          FILTER(
            COLUMN(marcas)-COLUMN(C499)+1,
            marcas=""X""
          )
        ),
    ultimo, INDEX(periodos, pos),
    XLOOKUP(
      $A499,
      INDI"&amp;"RECT(""'""&amp;ultimo&amp;""'!C:C""),
      INDIRECT(""'""&amp;ultimo&amp;""'!A:A"")
    )
  ),
  """"
)"),"")</f>
        <v/>
      </c>
      <c r="C499" s="41" t="str">
        <f t="shared" ref="C499:J499" si="498">IF(
  COUNTIF(
    INDIRECT("'"&amp;C$1&amp;"'!C:C"),
    $A499
  )&gt;0,
  "X",
  ""
)</f>
        <v/>
      </c>
      <c r="D499" s="41" t="str">
        <f t="shared" si="498"/>
        <v/>
      </c>
      <c r="E499" s="41" t="str">
        <f t="shared" si="498"/>
        <v/>
      </c>
      <c r="F499" s="41" t="str">
        <f t="shared" si="498"/>
        <v/>
      </c>
      <c r="G499" s="41" t="str">
        <f t="shared" si="498"/>
        <v/>
      </c>
      <c r="H499" s="41" t="str">
        <f t="shared" si="498"/>
        <v/>
      </c>
      <c r="I499" s="41" t="str">
        <f t="shared" si="498"/>
        <v/>
      </c>
      <c r="J499" s="41" t="str">
        <f t="shared" si="498"/>
        <v/>
      </c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67.5" customHeight="1">
      <c r="A500" s="39"/>
      <c r="B500" s="43" t="str">
        <f>IFERROR(__xludf.DUMMYFUNCTION("IFERROR(
  LET(
    periodos, C$1:Z$1,
    marcas, C500:Z500,
    pos, MAX(
          FILTER(
            COLUMN(marcas)-COLUMN(C500)+1,
            marcas=""X""
          )
        ),
    ultimo, INDEX(periodos, pos),
    XLOOKUP(
      $A500,
      INDI"&amp;"RECT(""'""&amp;ultimo&amp;""'!C:C""),
      INDIRECT(""'""&amp;ultimo&amp;""'!A:A"")
    )
  ),
  """"
)"),"")</f>
        <v/>
      </c>
      <c r="C500" s="41" t="str">
        <f t="shared" ref="C500:J500" si="499">IF(
  COUNTIF(
    INDIRECT("'"&amp;C$1&amp;"'!C:C"),
    $A500
  )&gt;0,
  "X",
  ""
)</f>
        <v/>
      </c>
      <c r="D500" s="41" t="str">
        <f t="shared" si="499"/>
        <v/>
      </c>
      <c r="E500" s="41" t="str">
        <f t="shared" si="499"/>
        <v/>
      </c>
      <c r="F500" s="41" t="str">
        <f t="shared" si="499"/>
        <v/>
      </c>
      <c r="G500" s="41" t="str">
        <f t="shared" si="499"/>
        <v/>
      </c>
      <c r="H500" s="41" t="str">
        <f t="shared" si="499"/>
        <v/>
      </c>
      <c r="I500" s="41" t="str">
        <f t="shared" si="499"/>
        <v/>
      </c>
      <c r="J500" s="41" t="str">
        <f t="shared" si="499"/>
        <v/>
      </c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67.5" customHeight="1">
      <c r="A501" s="39"/>
      <c r="B501" s="43" t="str">
        <f>IFERROR(__xludf.DUMMYFUNCTION("IFERROR(
  LET(
    periodos, C$1:Z$1,
    marcas, C501:Z501,
    pos, MAX(
          FILTER(
            COLUMN(marcas)-COLUMN(C501)+1,
            marcas=""X""
          )
        ),
    ultimo, INDEX(periodos, pos),
    XLOOKUP(
      $A501,
      INDI"&amp;"RECT(""'""&amp;ultimo&amp;""'!C:C""),
      INDIRECT(""'""&amp;ultimo&amp;""'!A:A"")
    )
  ),
  """"
)"),"")</f>
        <v/>
      </c>
      <c r="C501" s="41" t="str">
        <f t="shared" ref="C501:J501" si="500">IF(
  COUNTIF(
    INDIRECT("'"&amp;C$1&amp;"'!C:C"),
    $A501
  )&gt;0,
  "X",
  ""
)</f>
        <v/>
      </c>
      <c r="D501" s="41" t="str">
        <f t="shared" si="500"/>
        <v/>
      </c>
      <c r="E501" s="41" t="str">
        <f t="shared" si="500"/>
        <v/>
      </c>
      <c r="F501" s="41" t="str">
        <f t="shared" si="500"/>
        <v/>
      </c>
      <c r="G501" s="41" t="str">
        <f t="shared" si="500"/>
        <v/>
      </c>
      <c r="H501" s="41" t="str">
        <f t="shared" si="500"/>
        <v/>
      </c>
      <c r="I501" s="41" t="str">
        <f t="shared" si="500"/>
        <v/>
      </c>
      <c r="J501" s="41" t="str">
        <f t="shared" si="500"/>
        <v/>
      </c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67.5" customHeight="1">
      <c r="A502" s="39"/>
      <c r="B502" s="43" t="str">
        <f>IFERROR(__xludf.DUMMYFUNCTION("IFERROR(
  LET(
    periodos, C$1:Z$1,
    marcas, C502:Z502,
    pos, MAX(
          FILTER(
            COLUMN(marcas)-COLUMN(C502)+1,
            marcas=""X""
          )
        ),
    ultimo, INDEX(periodos, pos),
    XLOOKUP(
      $A502,
      INDI"&amp;"RECT(""'""&amp;ultimo&amp;""'!C:C""),
      INDIRECT(""'""&amp;ultimo&amp;""'!A:A"")
    )
  ),
  """"
)"),"")</f>
        <v/>
      </c>
      <c r="C502" s="41" t="str">
        <f t="shared" ref="C502:J502" si="501">IF(
  COUNTIF(
    INDIRECT("'"&amp;C$1&amp;"'!C:C"),
    $A502
  )&gt;0,
  "X",
  ""
)</f>
        <v/>
      </c>
      <c r="D502" s="41" t="str">
        <f t="shared" si="501"/>
        <v/>
      </c>
      <c r="E502" s="41" t="str">
        <f t="shared" si="501"/>
        <v/>
      </c>
      <c r="F502" s="41" t="str">
        <f t="shared" si="501"/>
        <v/>
      </c>
      <c r="G502" s="41" t="str">
        <f t="shared" si="501"/>
        <v/>
      </c>
      <c r="H502" s="41" t="str">
        <f t="shared" si="501"/>
        <v/>
      </c>
      <c r="I502" s="41" t="str">
        <f t="shared" si="501"/>
        <v/>
      </c>
      <c r="J502" s="41" t="str">
        <f t="shared" si="501"/>
        <v/>
      </c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67.5" customHeight="1">
      <c r="A503" s="39"/>
      <c r="B503" s="43" t="str">
        <f>IFERROR(__xludf.DUMMYFUNCTION("IFERROR(
  LET(
    periodos, C$1:Z$1,
    marcas, C503:Z503,
    pos, MAX(
          FILTER(
            COLUMN(marcas)-COLUMN(C503)+1,
            marcas=""X""
          )
        ),
    ultimo, INDEX(periodos, pos),
    XLOOKUP(
      $A503,
      INDI"&amp;"RECT(""'""&amp;ultimo&amp;""'!C:C""),
      INDIRECT(""'""&amp;ultimo&amp;""'!A:A"")
    )
  ),
  """"
)"),"")</f>
        <v/>
      </c>
      <c r="C503" s="41" t="str">
        <f t="shared" ref="C503:J503" si="502">IF(
  COUNTIF(
    INDIRECT("'"&amp;C$1&amp;"'!C:C"),
    $A503
  )&gt;0,
  "X",
  ""
)</f>
        <v/>
      </c>
      <c r="D503" s="41" t="str">
        <f t="shared" si="502"/>
        <v/>
      </c>
      <c r="E503" s="41" t="str">
        <f t="shared" si="502"/>
        <v/>
      </c>
      <c r="F503" s="41" t="str">
        <f t="shared" si="502"/>
        <v/>
      </c>
      <c r="G503" s="41" t="str">
        <f t="shared" si="502"/>
        <v/>
      </c>
      <c r="H503" s="41" t="str">
        <f t="shared" si="502"/>
        <v/>
      </c>
      <c r="I503" s="41" t="str">
        <f t="shared" si="502"/>
        <v/>
      </c>
      <c r="J503" s="41" t="str">
        <f t="shared" si="502"/>
        <v/>
      </c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67.5" customHeight="1">
      <c r="A504" s="39"/>
      <c r="B504" s="43" t="str">
        <f>IFERROR(__xludf.DUMMYFUNCTION("IFERROR(
  LET(
    periodos, C$1:Z$1,
    marcas, C504:Z504,
    pos, MAX(
          FILTER(
            COLUMN(marcas)-COLUMN(C504)+1,
            marcas=""X""
          )
        ),
    ultimo, INDEX(periodos, pos),
    XLOOKUP(
      $A504,
      INDI"&amp;"RECT(""'""&amp;ultimo&amp;""'!C:C""),
      INDIRECT(""'""&amp;ultimo&amp;""'!A:A"")
    )
  ),
  """"
)"),"")</f>
        <v/>
      </c>
      <c r="C504" s="41" t="str">
        <f t="shared" ref="C504:J504" si="503">IF(
  COUNTIF(
    INDIRECT("'"&amp;C$1&amp;"'!C:C"),
    $A504
  )&gt;0,
  "X",
  ""
)</f>
        <v/>
      </c>
      <c r="D504" s="41" t="str">
        <f t="shared" si="503"/>
        <v/>
      </c>
      <c r="E504" s="41" t="str">
        <f t="shared" si="503"/>
        <v/>
      </c>
      <c r="F504" s="41" t="str">
        <f t="shared" si="503"/>
        <v/>
      </c>
      <c r="G504" s="41" t="str">
        <f t="shared" si="503"/>
        <v/>
      </c>
      <c r="H504" s="41" t="str">
        <f t="shared" si="503"/>
        <v/>
      </c>
      <c r="I504" s="41" t="str">
        <f t="shared" si="503"/>
        <v/>
      </c>
      <c r="J504" s="41" t="str">
        <f t="shared" si="503"/>
        <v/>
      </c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67.5" customHeight="1">
      <c r="A505" s="39"/>
      <c r="B505" s="43" t="str">
        <f>IFERROR(__xludf.DUMMYFUNCTION("IFERROR(
  LET(
    periodos, C$1:Z$1,
    marcas, C505:Z505,
    pos, MAX(
          FILTER(
            COLUMN(marcas)-COLUMN(C505)+1,
            marcas=""X""
          )
        ),
    ultimo, INDEX(periodos, pos),
    XLOOKUP(
      $A505,
      INDI"&amp;"RECT(""'""&amp;ultimo&amp;""'!C:C""),
      INDIRECT(""'""&amp;ultimo&amp;""'!A:A"")
    )
  ),
  """"
)"),"")</f>
        <v/>
      </c>
      <c r="C505" s="41" t="str">
        <f t="shared" ref="C505:J505" si="504">IF(
  COUNTIF(
    INDIRECT("'"&amp;C$1&amp;"'!C:C"),
    $A505
  )&gt;0,
  "X",
  ""
)</f>
        <v/>
      </c>
      <c r="D505" s="41" t="str">
        <f t="shared" si="504"/>
        <v/>
      </c>
      <c r="E505" s="41" t="str">
        <f t="shared" si="504"/>
        <v/>
      </c>
      <c r="F505" s="41" t="str">
        <f t="shared" si="504"/>
        <v/>
      </c>
      <c r="G505" s="41" t="str">
        <f t="shared" si="504"/>
        <v/>
      </c>
      <c r="H505" s="41" t="str">
        <f t="shared" si="504"/>
        <v/>
      </c>
      <c r="I505" s="41" t="str">
        <f t="shared" si="504"/>
        <v/>
      </c>
      <c r="J505" s="41" t="str">
        <f t="shared" si="504"/>
        <v/>
      </c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67.5" customHeight="1">
      <c r="A506" s="39"/>
      <c r="B506" s="43" t="str">
        <f>IFERROR(__xludf.DUMMYFUNCTION("IFERROR(
  LET(
    periodos, C$1:Z$1,
    marcas, C506:Z506,
    pos, MAX(
          FILTER(
            COLUMN(marcas)-COLUMN(C506)+1,
            marcas=""X""
          )
        ),
    ultimo, INDEX(periodos, pos),
    XLOOKUP(
      $A506,
      INDI"&amp;"RECT(""'""&amp;ultimo&amp;""'!C:C""),
      INDIRECT(""'""&amp;ultimo&amp;""'!A:A"")
    )
  ),
  """"
)"),"")</f>
        <v/>
      </c>
      <c r="C506" s="41" t="str">
        <f t="shared" ref="C506:J506" si="505">IF(
  COUNTIF(
    INDIRECT("'"&amp;C$1&amp;"'!C:C"),
    $A506
  )&gt;0,
  "X",
  ""
)</f>
        <v/>
      </c>
      <c r="D506" s="41" t="str">
        <f t="shared" si="505"/>
        <v/>
      </c>
      <c r="E506" s="41" t="str">
        <f t="shared" si="505"/>
        <v/>
      </c>
      <c r="F506" s="41" t="str">
        <f t="shared" si="505"/>
        <v/>
      </c>
      <c r="G506" s="41" t="str">
        <f t="shared" si="505"/>
        <v/>
      </c>
      <c r="H506" s="41" t="str">
        <f t="shared" si="505"/>
        <v/>
      </c>
      <c r="I506" s="41" t="str">
        <f t="shared" si="505"/>
        <v/>
      </c>
      <c r="J506" s="41" t="str">
        <f t="shared" si="505"/>
        <v/>
      </c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67.5" customHeight="1">
      <c r="A507" s="39"/>
      <c r="B507" s="43" t="str">
        <f>IFERROR(__xludf.DUMMYFUNCTION("IFERROR(
  LET(
    periodos, C$1:Z$1,
    marcas, C507:Z507,
    pos, MAX(
          FILTER(
            COLUMN(marcas)-COLUMN(C507)+1,
            marcas=""X""
          )
        ),
    ultimo, INDEX(periodos, pos),
    XLOOKUP(
      $A507,
      INDI"&amp;"RECT(""'""&amp;ultimo&amp;""'!C:C""),
      INDIRECT(""'""&amp;ultimo&amp;""'!A:A"")
    )
  ),
  """"
)"),"")</f>
        <v/>
      </c>
      <c r="C507" s="41" t="str">
        <f t="shared" ref="C507:J507" si="506">IF(
  COUNTIF(
    INDIRECT("'"&amp;C$1&amp;"'!C:C"),
    $A507
  )&gt;0,
  "X",
  ""
)</f>
        <v/>
      </c>
      <c r="D507" s="41" t="str">
        <f t="shared" si="506"/>
        <v/>
      </c>
      <c r="E507" s="41" t="str">
        <f t="shared" si="506"/>
        <v/>
      </c>
      <c r="F507" s="41" t="str">
        <f t="shared" si="506"/>
        <v/>
      </c>
      <c r="G507" s="41" t="str">
        <f t="shared" si="506"/>
        <v/>
      </c>
      <c r="H507" s="41" t="str">
        <f t="shared" si="506"/>
        <v/>
      </c>
      <c r="I507" s="41" t="str">
        <f t="shared" si="506"/>
        <v/>
      </c>
      <c r="J507" s="41" t="str">
        <f t="shared" si="506"/>
        <v/>
      </c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67.5" customHeight="1">
      <c r="A508" s="39"/>
      <c r="B508" s="43" t="str">
        <f>IFERROR(__xludf.DUMMYFUNCTION("IFERROR(
  LET(
    periodos, C$1:Z$1,
    marcas, C508:Z508,
    pos, MAX(
          FILTER(
            COLUMN(marcas)-COLUMN(C508)+1,
            marcas=""X""
          )
        ),
    ultimo, INDEX(periodos, pos),
    XLOOKUP(
      $A508,
      INDI"&amp;"RECT(""'""&amp;ultimo&amp;""'!C:C""),
      INDIRECT(""'""&amp;ultimo&amp;""'!A:A"")
    )
  ),
  """"
)"),"")</f>
        <v/>
      </c>
      <c r="C508" s="41" t="str">
        <f t="shared" ref="C508:J508" si="507">IF(
  COUNTIF(
    INDIRECT("'"&amp;C$1&amp;"'!C:C"),
    $A508
  )&gt;0,
  "X",
  ""
)</f>
        <v/>
      </c>
      <c r="D508" s="41" t="str">
        <f t="shared" si="507"/>
        <v/>
      </c>
      <c r="E508" s="41" t="str">
        <f t="shared" si="507"/>
        <v/>
      </c>
      <c r="F508" s="41" t="str">
        <f t="shared" si="507"/>
        <v/>
      </c>
      <c r="G508" s="41" t="str">
        <f t="shared" si="507"/>
        <v/>
      </c>
      <c r="H508" s="41" t="str">
        <f t="shared" si="507"/>
        <v/>
      </c>
      <c r="I508" s="41" t="str">
        <f t="shared" si="507"/>
        <v/>
      </c>
      <c r="J508" s="41" t="str">
        <f t="shared" si="507"/>
        <v/>
      </c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67.5" customHeight="1">
      <c r="A509" s="39"/>
      <c r="B509" s="43" t="str">
        <f>IFERROR(__xludf.DUMMYFUNCTION("IFERROR(
  LET(
    periodos, C$1:Z$1,
    marcas, C509:Z509,
    pos, MAX(
          FILTER(
            COLUMN(marcas)-COLUMN(C509)+1,
            marcas=""X""
          )
        ),
    ultimo, INDEX(periodos, pos),
    XLOOKUP(
      $A509,
      INDI"&amp;"RECT(""'""&amp;ultimo&amp;""'!C:C""),
      INDIRECT(""'""&amp;ultimo&amp;""'!A:A"")
    )
  ),
  """"
)"),"")</f>
        <v/>
      </c>
      <c r="C509" s="41" t="str">
        <f t="shared" ref="C509:J509" si="508">IF(
  COUNTIF(
    INDIRECT("'"&amp;C$1&amp;"'!C:C"),
    $A509
  )&gt;0,
  "X",
  ""
)</f>
        <v/>
      </c>
      <c r="D509" s="41" t="str">
        <f t="shared" si="508"/>
        <v/>
      </c>
      <c r="E509" s="41" t="str">
        <f t="shared" si="508"/>
        <v/>
      </c>
      <c r="F509" s="41" t="str">
        <f t="shared" si="508"/>
        <v/>
      </c>
      <c r="G509" s="41" t="str">
        <f t="shared" si="508"/>
        <v/>
      </c>
      <c r="H509" s="41" t="str">
        <f t="shared" si="508"/>
        <v/>
      </c>
      <c r="I509" s="41" t="str">
        <f t="shared" si="508"/>
        <v/>
      </c>
      <c r="J509" s="41" t="str">
        <f t="shared" si="508"/>
        <v/>
      </c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67.5" customHeight="1">
      <c r="A510" s="39"/>
      <c r="B510" s="43" t="str">
        <f>IFERROR(__xludf.DUMMYFUNCTION("IFERROR(
  LET(
    periodos, C$1:Z$1,
    marcas, C510:Z510,
    pos, MAX(
          FILTER(
            COLUMN(marcas)-COLUMN(C510)+1,
            marcas=""X""
          )
        ),
    ultimo, INDEX(periodos, pos),
    XLOOKUP(
      $A510,
      INDI"&amp;"RECT(""'""&amp;ultimo&amp;""'!C:C""),
      INDIRECT(""'""&amp;ultimo&amp;""'!A:A"")
    )
  ),
  """"
)"),"")</f>
        <v/>
      </c>
      <c r="C510" s="41" t="str">
        <f t="shared" ref="C510:J510" si="509">IF(
  COUNTIF(
    INDIRECT("'"&amp;C$1&amp;"'!C:C"),
    $A510
  )&gt;0,
  "X",
  ""
)</f>
        <v/>
      </c>
      <c r="D510" s="41" t="str">
        <f t="shared" si="509"/>
        <v/>
      </c>
      <c r="E510" s="41" t="str">
        <f t="shared" si="509"/>
        <v/>
      </c>
      <c r="F510" s="41" t="str">
        <f t="shared" si="509"/>
        <v/>
      </c>
      <c r="G510" s="41" t="str">
        <f t="shared" si="509"/>
        <v/>
      </c>
      <c r="H510" s="41" t="str">
        <f t="shared" si="509"/>
        <v/>
      </c>
      <c r="I510" s="41" t="str">
        <f t="shared" si="509"/>
        <v/>
      </c>
      <c r="J510" s="41" t="str">
        <f t="shared" si="509"/>
        <v/>
      </c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67.5" customHeight="1">
      <c r="A511" s="39"/>
      <c r="B511" s="43" t="str">
        <f>IFERROR(__xludf.DUMMYFUNCTION("IFERROR(
  LET(
    periodos, C$1:Z$1,
    marcas, C511:Z511,
    pos, MAX(
          FILTER(
            COLUMN(marcas)-COLUMN(C511)+1,
            marcas=""X""
          )
        ),
    ultimo, INDEX(periodos, pos),
    XLOOKUP(
      $A511,
      INDI"&amp;"RECT(""'""&amp;ultimo&amp;""'!C:C""),
      INDIRECT(""'""&amp;ultimo&amp;""'!A:A"")
    )
  ),
  """"
)"),"")</f>
        <v/>
      </c>
      <c r="C511" s="41" t="str">
        <f t="shared" ref="C511:J511" si="510">IF(
  COUNTIF(
    INDIRECT("'"&amp;C$1&amp;"'!C:C"),
    $A511
  )&gt;0,
  "X",
  ""
)</f>
        <v/>
      </c>
      <c r="D511" s="41" t="str">
        <f t="shared" si="510"/>
        <v/>
      </c>
      <c r="E511" s="41" t="str">
        <f t="shared" si="510"/>
        <v/>
      </c>
      <c r="F511" s="41" t="str">
        <f t="shared" si="510"/>
        <v/>
      </c>
      <c r="G511" s="41" t="str">
        <f t="shared" si="510"/>
        <v/>
      </c>
      <c r="H511" s="41" t="str">
        <f t="shared" si="510"/>
        <v/>
      </c>
      <c r="I511" s="41" t="str">
        <f t="shared" si="510"/>
        <v/>
      </c>
      <c r="J511" s="41" t="str">
        <f t="shared" si="510"/>
        <v/>
      </c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67.5" customHeight="1">
      <c r="A512" s="39"/>
      <c r="B512" s="43" t="str">
        <f>IFERROR(__xludf.DUMMYFUNCTION("IFERROR(
  LET(
    periodos, C$1:Z$1,
    marcas, C512:Z512,
    pos, MAX(
          FILTER(
            COLUMN(marcas)-COLUMN(C512)+1,
            marcas=""X""
          )
        ),
    ultimo, INDEX(periodos, pos),
    XLOOKUP(
      $A512,
      INDI"&amp;"RECT(""'""&amp;ultimo&amp;""'!C:C""),
      INDIRECT(""'""&amp;ultimo&amp;""'!A:A"")
    )
  ),
  """"
)"),"")</f>
        <v/>
      </c>
      <c r="C512" s="41" t="str">
        <f t="shared" ref="C512:J512" si="511">IF(
  COUNTIF(
    INDIRECT("'"&amp;C$1&amp;"'!C:C"),
    $A512
  )&gt;0,
  "X",
  ""
)</f>
        <v/>
      </c>
      <c r="D512" s="41" t="str">
        <f t="shared" si="511"/>
        <v/>
      </c>
      <c r="E512" s="41" t="str">
        <f t="shared" si="511"/>
        <v/>
      </c>
      <c r="F512" s="41" t="str">
        <f t="shared" si="511"/>
        <v/>
      </c>
      <c r="G512" s="41" t="str">
        <f t="shared" si="511"/>
        <v/>
      </c>
      <c r="H512" s="41" t="str">
        <f t="shared" si="511"/>
        <v/>
      </c>
      <c r="I512" s="41" t="str">
        <f t="shared" si="511"/>
        <v/>
      </c>
      <c r="J512" s="41" t="str">
        <f t="shared" si="511"/>
        <v/>
      </c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67.5" customHeight="1">
      <c r="A513" s="39"/>
      <c r="B513" s="43" t="str">
        <f>IFERROR(__xludf.DUMMYFUNCTION("IFERROR(
  LET(
    periodos, C$1:Z$1,
    marcas, C513:Z513,
    pos, MAX(
          FILTER(
            COLUMN(marcas)-COLUMN(C513)+1,
            marcas=""X""
          )
        ),
    ultimo, INDEX(periodos, pos),
    XLOOKUP(
      $A513,
      INDI"&amp;"RECT(""'""&amp;ultimo&amp;""'!C:C""),
      INDIRECT(""'""&amp;ultimo&amp;""'!A:A"")
    )
  ),
  """"
)"),"")</f>
        <v/>
      </c>
      <c r="C513" s="41" t="str">
        <f t="shared" ref="C513:J513" si="512">IF(
  COUNTIF(
    INDIRECT("'"&amp;C$1&amp;"'!C:C"),
    $A513
  )&gt;0,
  "X",
  ""
)</f>
        <v/>
      </c>
      <c r="D513" s="41" t="str">
        <f t="shared" si="512"/>
        <v/>
      </c>
      <c r="E513" s="41" t="str">
        <f t="shared" si="512"/>
        <v/>
      </c>
      <c r="F513" s="41" t="str">
        <f t="shared" si="512"/>
        <v/>
      </c>
      <c r="G513" s="41" t="str">
        <f t="shared" si="512"/>
        <v/>
      </c>
      <c r="H513" s="41" t="str">
        <f t="shared" si="512"/>
        <v/>
      </c>
      <c r="I513" s="41" t="str">
        <f t="shared" si="512"/>
        <v/>
      </c>
      <c r="J513" s="41" t="str">
        <f t="shared" si="512"/>
        <v/>
      </c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67.5" customHeight="1">
      <c r="A514" s="39"/>
      <c r="B514" s="43" t="str">
        <f>IFERROR(__xludf.DUMMYFUNCTION("IFERROR(
  LET(
    periodos, C$1:Z$1,
    marcas, C514:Z514,
    pos, MAX(
          FILTER(
            COLUMN(marcas)-COLUMN(C514)+1,
            marcas=""X""
          )
        ),
    ultimo, INDEX(periodos, pos),
    XLOOKUP(
      $A514,
      INDI"&amp;"RECT(""'""&amp;ultimo&amp;""'!C:C""),
      INDIRECT(""'""&amp;ultimo&amp;""'!A:A"")
    )
  ),
  """"
)"),"")</f>
        <v/>
      </c>
      <c r="C514" s="41" t="str">
        <f t="shared" ref="C514:J514" si="513">IF(
  COUNTIF(
    INDIRECT("'"&amp;C$1&amp;"'!C:C"),
    $A514
  )&gt;0,
  "X",
  ""
)</f>
        <v/>
      </c>
      <c r="D514" s="41" t="str">
        <f t="shared" si="513"/>
        <v/>
      </c>
      <c r="E514" s="41" t="str">
        <f t="shared" si="513"/>
        <v/>
      </c>
      <c r="F514" s="41" t="str">
        <f t="shared" si="513"/>
        <v/>
      </c>
      <c r="G514" s="41" t="str">
        <f t="shared" si="513"/>
        <v/>
      </c>
      <c r="H514" s="41" t="str">
        <f t="shared" si="513"/>
        <v/>
      </c>
      <c r="I514" s="41" t="str">
        <f t="shared" si="513"/>
        <v/>
      </c>
      <c r="J514" s="41" t="str">
        <f t="shared" si="513"/>
        <v/>
      </c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67.5" customHeight="1">
      <c r="A515" s="39"/>
      <c r="B515" s="43" t="str">
        <f>IFERROR(__xludf.DUMMYFUNCTION("IFERROR(
  LET(
    periodos, C$1:Z$1,
    marcas, C515:Z515,
    pos, MAX(
          FILTER(
            COLUMN(marcas)-COLUMN(C515)+1,
            marcas=""X""
          )
        ),
    ultimo, INDEX(periodos, pos),
    XLOOKUP(
      $A515,
      INDI"&amp;"RECT(""'""&amp;ultimo&amp;""'!C:C""),
      INDIRECT(""'""&amp;ultimo&amp;""'!A:A"")
    )
  ),
  """"
)"),"")</f>
        <v/>
      </c>
      <c r="C515" s="41" t="str">
        <f t="shared" ref="C515:J515" si="514">IF(
  COUNTIF(
    INDIRECT("'"&amp;C$1&amp;"'!C:C"),
    $A515
  )&gt;0,
  "X",
  ""
)</f>
        <v/>
      </c>
      <c r="D515" s="41" t="str">
        <f t="shared" si="514"/>
        <v/>
      </c>
      <c r="E515" s="41" t="str">
        <f t="shared" si="514"/>
        <v/>
      </c>
      <c r="F515" s="41" t="str">
        <f t="shared" si="514"/>
        <v/>
      </c>
      <c r="G515" s="41" t="str">
        <f t="shared" si="514"/>
        <v/>
      </c>
      <c r="H515" s="41" t="str">
        <f t="shared" si="514"/>
        <v/>
      </c>
      <c r="I515" s="41" t="str">
        <f t="shared" si="514"/>
        <v/>
      </c>
      <c r="J515" s="41" t="str">
        <f t="shared" si="514"/>
        <v/>
      </c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67.5" customHeight="1">
      <c r="A516" s="39"/>
      <c r="B516" s="43" t="str">
        <f>IFERROR(__xludf.DUMMYFUNCTION("IFERROR(
  LET(
    periodos, C$1:Z$1,
    marcas, C516:Z516,
    pos, MAX(
          FILTER(
            COLUMN(marcas)-COLUMN(C516)+1,
            marcas=""X""
          )
        ),
    ultimo, INDEX(periodos, pos),
    XLOOKUP(
      $A516,
      INDI"&amp;"RECT(""'""&amp;ultimo&amp;""'!C:C""),
      INDIRECT(""'""&amp;ultimo&amp;""'!A:A"")
    )
  ),
  """"
)"),"")</f>
        <v/>
      </c>
      <c r="C516" s="41" t="str">
        <f t="shared" ref="C516:J516" si="515">IF(
  COUNTIF(
    INDIRECT("'"&amp;C$1&amp;"'!C:C"),
    $A516
  )&gt;0,
  "X",
  ""
)</f>
        <v/>
      </c>
      <c r="D516" s="41" t="str">
        <f t="shared" si="515"/>
        <v/>
      </c>
      <c r="E516" s="41" t="str">
        <f t="shared" si="515"/>
        <v/>
      </c>
      <c r="F516" s="41" t="str">
        <f t="shared" si="515"/>
        <v/>
      </c>
      <c r="G516" s="41" t="str">
        <f t="shared" si="515"/>
        <v/>
      </c>
      <c r="H516" s="41" t="str">
        <f t="shared" si="515"/>
        <v/>
      </c>
      <c r="I516" s="41" t="str">
        <f t="shared" si="515"/>
        <v/>
      </c>
      <c r="J516" s="41" t="str">
        <f t="shared" si="515"/>
        <v/>
      </c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67.5" customHeight="1">
      <c r="A517" s="39"/>
      <c r="B517" s="43" t="str">
        <f>IFERROR(__xludf.DUMMYFUNCTION("IFERROR(
  LET(
    periodos, C$1:Z$1,
    marcas, C517:Z517,
    pos, MAX(
          FILTER(
            COLUMN(marcas)-COLUMN(C517)+1,
            marcas=""X""
          )
        ),
    ultimo, INDEX(periodos, pos),
    XLOOKUP(
      $A517,
      INDI"&amp;"RECT(""'""&amp;ultimo&amp;""'!C:C""),
      INDIRECT(""'""&amp;ultimo&amp;""'!A:A"")
    )
  ),
  """"
)"),"")</f>
        <v/>
      </c>
      <c r="C517" s="41" t="str">
        <f t="shared" ref="C517:J517" si="516">IF(
  COUNTIF(
    INDIRECT("'"&amp;C$1&amp;"'!C:C"),
    $A517
  )&gt;0,
  "X",
  ""
)</f>
        <v/>
      </c>
      <c r="D517" s="41" t="str">
        <f t="shared" si="516"/>
        <v/>
      </c>
      <c r="E517" s="41" t="str">
        <f t="shared" si="516"/>
        <v/>
      </c>
      <c r="F517" s="41" t="str">
        <f t="shared" si="516"/>
        <v/>
      </c>
      <c r="G517" s="41" t="str">
        <f t="shared" si="516"/>
        <v/>
      </c>
      <c r="H517" s="41" t="str">
        <f t="shared" si="516"/>
        <v/>
      </c>
      <c r="I517" s="41" t="str">
        <f t="shared" si="516"/>
        <v/>
      </c>
      <c r="J517" s="41" t="str">
        <f t="shared" si="516"/>
        <v/>
      </c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67.5" customHeight="1">
      <c r="A518" s="39"/>
      <c r="B518" s="43" t="str">
        <f>IFERROR(__xludf.DUMMYFUNCTION("IFERROR(
  LET(
    periodos, C$1:Z$1,
    marcas, C518:Z518,
    pos, MAX(
          FILTER(
            COLUMN(marcas)-COLUMN(C518)+1,
            marcas=""X""
          )
        ),
    ultimo, INDEX(periodos, pos),
    XLOOKUP(
      $A518,
      INDI"&amp;"RECT(""'""&amp;ultimo&amp;""'!C:C""),
      INDIRECT(""'""&amp;ultimo&amp;""'!A:A"")
    )
  ),
  """"
)"),"")</f>
        <v/>
      </c>
      <c r="C518" s="41" t="str">
        <f t="shared" ref="C518:J518" si="517">IF(
  COUNTIF(
    INDIRECT("'"&amp;C$1&amp;"'!C:C"),
    $A518
  )&gt;0,
  "X",
  ""
)</f>
        <v/>
      </c>
      <c r="D518" s="41" t="str">
        <f t="shared" si="517"/>
        <v/>
      </c>
      <c r="E518" s="41" t="str">
        <f t="shared" si="517"/>
        <v/>
      </c>
      <c r="F518" s="41" t="str">
        <f t="shared" si="517"/>
        <v/>
      </c>
      <c r="G518" s="41" t="str">
        <f t="shared" si="517"/>
        <v/>
      </c>
      <c r="H518" s="41" t="str">
        <f t="shared" si="517"/>
        <v/>
      </c>
      <c r="I518" s="41" t="str">
        <f t="shared" si="517"/>
        <v/>
      </c>
      <c r="J518" s="41" t="str">
        <f t="shared" si="517"/>
        <v/>
      </c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67.5" customHeight="1">
      <c r="A519" s="39"/>
      <c r="B519" s="43" t="str">
        <f>IFERROR(__xludf.DUMMYFUNCTION("IFERROR(
  LET(
    periodos, C$1:Z$1,
    marcas, C519:Z519,
    pos, MAX(
          FILTER(
            COLUMN(marcas)-COLUMN(C519)+1,
            marcas=""X""
          )
        ),
    ultimo, INDEX(periodos, pos),
    XLOOKUP(
      $A519,
      INDI"&amp;"RECT(""'""&amp;ultimo&amp;""'!C:C""),
      INDIRECT(""'""&amp;ultimo&amp;""'!A:A"")
    )
  ),
  """"
)"),"")</f>
        <v/>
      </c>
      <c r="C519" s="41" t="str">
        <f t="shared" ref="C519:J519" si="518">IF(
  COUNTIF(
    INDIRECT("'"&amp;C$1&amp;"'!C:C"),
    $A519
  )&gt;0,
  "X",
  ""
)</f>
        <v/>
      </c>
      <c r="D519" s="41" t="str">
        <f t="shared" si="518"/>
        <v/>
      </c>
      <c r="E519" s="41" t="str">
        <f t="shared" si="518"/>
        <v/>
      </c>
      <c r="F519" s="41" t="str">
        <f t="shared" si="518"/>
        <v/>
      </c>
      <c r="G519" s="41" t="str">
        <f t="shared" si="518"/>
        <v/>
      </c>
      <c r="H519" s="41" t="str">
        <f t="shared" si="518"/>
        <v/>
      </c>
      <c r="I519" s="41" t="str">
        <f t="shared" si="518"/>
        <v/>
      </c>
      <c r="J519" s="41" t="str">
        <f t="shared" si="518"/>
        <v/>
      </c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67.5" customHeight="1">
      <c r="A520" s="39"/>
      <c r="B520" s="43" t="str">
        <f>IFERROR(__xludf.DUMMYFUNCTION("IFERROR(
  LET(
    periodos, C$1:Z$1,
    marcas, C520:Z520,
    pos, MAX(
          FILTER(
            COLUMN(marcas)-COLUMN(C520)+1,
            marcas=""X""
          )
        ),
    ultimo, INDEX(periodos, pos),
    XLOOKUP(
      $A520,
      INDI"&amp;"RECT(""'""&amp;ultimo&amp;""'!C:C""),
      INDIRECT(""'""&amp;ultimo&amp;""'!A:A"")
    )
  ),
  """"
)"),"")</f>
        <v/>
      </c>
      <c r="C520" s="41" t="str">
        <f t="shared" ref="C520:J520" si="519">IF(
  COUNTIF(
    INDIRECT("'"&amp;C$1&amp;"'!C:C"),
    $A520
  )&gt;0,
  "X",
  ""
)</f>
        <v/>
      </c>
      <c r="D520" s="41" t="str">
        <f t="shared" si="519"/>
        <v/>
      </c>
      <c r="E520" s="41" t="str">
        <f t="shared" si="519"/>
        <v/>
      </c>
      <c r="F520" s="41" t="str">
        <f t="shared" si="519"/>
        <v/>
      </c>
      <c r="G520" s="41" t="str">
        <f t="shared" si="519"/>
        <v/>
      </c>
      <c r="H520" s="41" t="str">
        <f t="shared" si="519"/>
        <v/>
      </c>
      <c r="I520" s="41" t="str">
        <f t="shared" si="519"/>
        <v/>
      </c>
      <c r="J520" s="41" t="str">
        <f t="shared" si="519"/>
        <v/>
      </c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67.5" customHeight="1">
      <c r="A521" s="39"/>
      <c r="B521" s="43" t="str">
        <f>IFERROR(__xludf.DUMMYFUNCTION("IFERROR(
  LET(
    periodos, C$1:Z$1,
    marcas, C521:Z521,
    pos, MAX(
          FILTER(
            COLUMN(marcas)-COLUMN(C521)+1,
            marcas=""X""
          )
        ),
    ultimo, INDEX(periodos, pos),
    XLOOKUP(
      $A521,
      INDI"&amp;"RECT(""'""&amp;ultimo&amp;""'!C:C""),
      INDIRECT(""'""&amp;ultimo&amp;""'!A:A"")
    )
  ),
  """"
)"),"")</f>
        <v/>
      </c>
      <c r="C521" s="41" t="str">
        <f t="shared" ref="C521:J521" si="520">IF(
  COUNTIF(
    INDIRECT("'"&amp;C$1&amp;"'!C:C"),
    $A521
  )&gt;0,
  "X",
  ""
)</f>
        <v/>
      </c>
      <c r="D521" s="41" t="str">
        <f t="shared" si="520"/>
        <v/>
      </c>
      <c r="E521" s="41" t="str">
        <f t="shared" si="520"/>
        <v/>
      </c>
      <c r="F521" s="41" t="str">
        <f t="shared" si="520"/>
        <v/>
      </c>
      <c r="G521" s="41" t="str">
        <f t="shared" si="520"/>
        <v/>
      </c>
      <c r="H521" s="41" t="str">
        <f t="shared" si="520"/>
        <v/>
      </c>
      <c r="I521" s="41" t="str">
        <f t="shared" si="520"/>
        <v/>
      </c>
      <c r="J521" s="41" t="str">
        <f t="shared" si="520"/>
        <v/>
      </c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67.5" customHeight="1">
      <c r="A522" s="39"/>
      <c r="B522" s="43" t="str">
        <f>IFERROR(__xludf.DUMMYFUNCTION("IFERROR(
  LET(
    periodos, C$1:Z$1,
    marcas, C522:Z522,
    pos, MAX(
          FILTER(
            COLUMN(marcas)-COLUMN(C522)+1,
            marcas=""X""
          )
        ),
    ultimo, INDEX(periodos, pos),
    XLOOKUP(
      $A522,
      INDI"&amp;"RECT(""'""&amp;ultimo&amp;""'!C:C""),
      INDIRECT(""'""&amp;ultimo&amp;""'!A:A"")
    )
  ),
  """"
)"),"")</f>
        <v/>
      </c>
      <c r="C522" s="41" t="str">
        <f t="shared" ref="C522:J522" si="521">IF(
  COUNTIF(
    INDIRECT("'"&amp;C$1&amp;"'!C:C"),
    $A522
  )&gt;0,
  "X",
  ""
)</f>
        <v/>
      </c>
      <c r="D522" s="41" t="str">
        <f t="shared" si="521"/>
        <v/>
      </c>
      <c r="E522" s="41" t="str">
        <f t="shared" si="521"/>
        <v/>
      </c>
      <c r="F522" s="41" t="str">
        <f t="shared" si="521"/>
        <v/>
      </c>
      <c r="G522" s="41" t="str">
        <f t="shared" si="521"/>
        <v/>
      </c>
      <c r="H522" s="41" t="str">
        <f t="shared" si="521"/>
        <v/>
      </c>
      <c r="I522" s="41" t="str">
        <f t="shared" si="521"/>
        <v/>
      </c>
      <c r="J522" s="41" t="str">
        <f t="shared" si="521"/>
        <v/>
      </c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67.5" customHeight="1">
      <c r="A523" s="39"/>
      <c r="B523" s="43" t="str">
        <f>IFERROR(__xludf.DUMMYFUNCTION("IFERROR(
  LET(
    periodos, C$1:Z$1,
    marcas, C523:Z523,
    pos, MAX(
          FILTER(
            COLUMN(marcas)-COLUMN(C523)+1,
            marcas=""X""
          )
        ),
    ultimo, INDEX(periodos, pos),
    XLOOKUP(
      $A523,
      INDI"&amp;"RECT(""'""&amp;ultimo&amp;""'!C:C""),
      INDIRECT(""'""&amp;ultimo&amp;""'!A:A"")
    )
  ),
  """"
)"),"")</f>
        <v/>
      </c>
      <c r="C523" s="41" t="str">
        <f t="shared" ref="C523:J523" si="522">IF(
  COUNTIF(
    INDIRECT("'"&amp;C$1&amp;"'!C:C"),
    $A523
  )&gt;0,
  "X",
  ""
)</f>
        <v/>
      </c>
      <c r="D523" s="41" t="str">
        <f t="shared" si="522"/>
        <v/>
      </c>
      <c r="E523" s="41" t="str">
        <f t="shared" si="522"/>
        <v/>
      </c>
      <c r="F523" s="41" t="str">
        <f t="shared" si="522"/>
        <v/>
      </c>
      <c r="G523" s="41" t="str">
        <f t="shared" si="522"/>
        <v/>
      </c>
      <c r="H523" s="41" t="str">
        <f t="shared" si="522"/>
        <v/>
      </c>
      <c r="I523" s="41" t="str">
        <f t="shared" si="522"/>
        <v/>
      </c>
      <c r="J523" s="41" t="str">
        <f t="shared" si="522"/>
        <v/>
      </c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67.5" customHeight="1">
      <c r="A524" s="39"/>
      <c r="B524" s="43" t="str">
        <f>IFERROR(__xludf.DUMMYFUNCTION("IFERROR(
  LET(
    periodos, C$1:Z$1,
    marcas, C524:Z524,
    pos, MAX(
          FILTER(
            COLUMN(marcas)-COLUMN(C524)+1,
            marcas=""X""
          )
        ),
    ultimo, INDEX(periodos, pos),
    XLOOKUP(
      $A524,
      INDI"&amp;"RECT(""'""&amp;ultimo&amp;""'!C:C""),
      INDIRECT(""'""&amp;ultimo&amp;""'!A:A"")
    )
  ),
  """"
)"),"")</f>
        <v/>
      </c>
      <c r="C524" s="41" t="str">
        <f t="shared" ref="C524:J524" si="523">IF(
  COUNTIF(
    INDIRECT("'"&amp;C$1&amp;"'!C:C"),
    $A524
  )&gt;0,
  "X",
  ""
)</f>
        <v/>
      </c>
      <c r="D524" s="41" t="str">
        <f t="shared" si="523"/>
        <v/>
      </c>
      <c r="E524" s="41" t="str">
        <f t="shared" si="523"/>
        <v/>
      </c>
      <c r="F524" s="41" t="str">
        <f t="shared" si="523"/>
        <v/>
      </c>
      <c r="G524" s="41" t="str">
        <f t="shared" si="523"/>
        <v/>
      </c>
      <c r="H524" s="41" t="str">
        <f t="shared" si="523"/>
        <v/>
      </c>
      <c r="I524" s="41" t="str">
        <f t="shared" si="523"/>
        <v/>
      </c>
      <c r="J524" s="41" t="str">
        <f t="shared" si="523"/>
        <v/>
      </c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67.5" customHeight="1">
      <c r="A525" s="39"/>
      <c r="B525" s="43" t="str">
        <f>IFERROR(__xludf.DUMMYFUNCTION("IFERROR(
  LET(
    periodos, C$1:Z$1,
    marcas, C525:Z525,
    pos, MAX(
          FILTER(
            COLUMN(marcas)-COLUMN(C525)+1,
            marcas=""X""
          )
        ),
    ultimo, INDEX(periodos, pos),
    XLOOKUP(
      $A525,
      INDI"&amp;"RECT(""'""&amp;ultimo&amp;""'!C:C""),
      INDIRECT(""'""&amp;ultimo&amp;""'!A:A"")
    )
  ),
  """"
)"),"")</f>
        <v/>
      </c>
      <c r="C525" s="41" t="str">
        <f t="shared" ref="C525:J525" si="524">IF(
  COUNTIF(
    INDIRECT("'"&amp;C$1&amp;"'!C:C"),
    $A525
  )&gt;0,
  "X",
  ""
)</f>
        <v/>
      </c>
      <c r="D525" s="41" t="str">
        <f t="shared" si="524"/>
        <v/>
      </c>
      <c r="E525" s="41" t="str">
        <f t="shared" si="524"/>
        <v/>
      </c>
      <c r="F525" s="41" t="str">
        <f t="shared" si="524"/>
        <v/>
      </c>
      <c r="G525" s="41" t="str">
        <f t="shared" si="524"/>
        <v/>
      </c>
      <c r="H525" s="41" t="str">
        <f t="shared" si="524"/>
        <v/>
      </c>
      <c r="I525" s="41" t="str">
        <f t="shared" si="524"/>
        <v/>
      </c>
      <c r="J525" s="41" t="str">
        <f t="shared" si="524"/>
        <v/>
      </c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67.5" customHeight="1">
      <c r="A526" s="39"/>
      <c r="B526" s="43" t="str">
        <f>IFERROR(__xludf.DUMMYFUNCTION("IFERROR(
  LET(
    periodos, C$1:Z$1,
    marcas, C526:Z526,
    pos, MAX(
          FILTER(
            COLUMN(marcas)-COLUMN(C526)+1,
            marcas=""X""
          )
        ),
    ultimo, INDEX(periodos, pos),
    XLOOKUP(
      $A526,
      INDI"&amp;"RECT(""'""&amp;ultimo&amp;""'!C:C""),
      INDIRECT(""'""&amp;ultimo&amp;""'!A:A"")
    )
  ),
  """"
)"),"")</f>
        <v/>
      </c>
      <c r="C526" s="41" t="str">
        <f t="shared" ref="C526:J526" si="525">IF(
  COUNTIF(
    INDIRECT("'"&amp;C$1&amp;"'!C:C"),
    $A526
  )&gt;0,
  "X",
  ""
)</f>
        <v/>
      </c>
      <c r="D526" s="41" t="str">
        <f t="shared" si="525"/>
        <v/>
      </c>
      <c r="E526" s="41" t="str">
        <f t="shared" si="525"/>
        <v/>
      </c>
      <c r="F526" s="41" t="str">
        <f t="shared" si="525"/>
        <v/>
      </c>
      <c r="G526" s="41" t="str">
        <f t="shared" si="525"/>
        <v/>
      </c>
      <c r="H526" s="41" t="str">
        <f t="shared" si="525"/>
        <v/>
      </c>
      <c r="I526" s="41" t="str">
        <f t="shared" si="525"/>
        <v/>
      </c>
      <c r="J526" s="41" t="str">
        <f t="shared" si="525"/>
        <v/>
      </c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67.5" customHeight="1">
      <c r="A527" s="39"/>
      <c r="B527" s="43" t="str">
        <f>IFERROR(__xludf.DUMMYFUNCTION("IFERROR(
  LET(
    periodos, C$1:Z$1,
    marcas, C527:Z527,
    pos, MAX(
          FILTER(
            COLUMN(marcas)-COLUMN(C527)+1,
            marcas=""X""
          )
        ),
    ultimo, INDEX(periodos, pos),
    XLOOKUP(
      $A527,
      INDI"&amp;"RECT(""'""&amp;ultimo&amp;""'!C:C""),
      INDIRECT(""'""&amp;ultimo&amp;""'!A:A"")
    )
  ),
  """"
)"),"")</f>
        <v/>
      </c>
      <c r="C527" s="41" t="str">
        <f t="shared" ref="C527:J527" si="526">IF(
  COUNTIF(
    INDIRECT("'"&amp;C$1&amp;"'!C:C"),
    $A527
  )&gt;0,
  "X",
  ""
)</f>
        <v/>
      </c>
      <c r="D527" s="41" t="str">
        <f t="shared" si="526"/>
        <v/>
      </c>
      <c r="E527" s="41" t="str">
        <f t="shared" si="526"/>
        <v/>
      </c>
      <c r="F527" s="41" t="str">
        <f t="shared" si="526"/>
        <v/>
      </c>
      <c r="G527" s="41" t="str">
        <f t="shared" si="526"/>
        <v/>
      </c>
      <c r="H527" s="41" t="str">
        <f t="shared" si="526"/>
        <v/>
      </c>
      <c r="I527" s="41" t="str">
        <f t="shared" si="526"/>
        <v/>
      </c>
      <c r="J527" s="41" t="str">
        <f t="shared" si="526"/>
        <v/>
      </c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67.5" customHeight="1">
      <c r="A528" s="39"/>
      <c r="B528" s="43" t="str">
        <f>IFERROR(__xludf.DUMMYFUNCTION("IFERROR(
  LET(
    periodos, C$1:Z$1,
    marcas, C528:Z528,
    pos, MAX(
          FILTER(
            COLUMN(marcas)-COLUMN(C528)+1,
            marcas=""X""
          )
        ),
    ultimo, INDEX(periodos, pos),
    XLOOKUP(
      $A528,
      INDI"&amp;"RECT(""'""&amp;ultimo&amp;""'!C:C""),
      INDIRECT(""'""&amp;ultimo&amp;""'!A:A"")
    )
  ),
  """"
)"),"")</f>
        <v/>
      </c>
      <c r="C528" s="41" t="str">
        <f t="shared" ref="C528:J528" si="527">IF(
  COUNTIF(
    INDIRECT("'"&amp;C$1&amp;"'!C:C"),
    $A528
  )&gt;0,
  "X",
  ""
)</f>
        <v/>
      </c>
      <c r="D528" s="41" t="str">
        <f t="shared" si="527"/>
        <v/>
      </c>
      <c r="E528" s="41" t="str">
        <f t="shared" si="527"/>
        <v/>
      </c>
      <c r="F528" s="41" t="str">
        <f t="shared" si="527"/>
        <v/>
      </c>
      <c r="G528" s="41" t="str">
        <f t="shared" si="527"/>
        <v/>
      </c>
      <c r="H528" s="41" t="str">
        <f t="shared" si="527"/>
        <v/>
      </c>
      <c r="I528" s="41" t="str">
        <f t="shared" si="527"/>
        <v/>
      </c>
      <c r="J528" s="41" t="str">
        <f t="shared" si="527"/>
        <v/>
      </c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67.5" customHeight="1">
      <c r="A529" s="39"/>
      <c r="B529" s="43" t="str">
        <f>IFERROR(__xludf.DUMMYFUNCTION("IFERROR(
  LET(
    periodos, C$1:Z$1,
    marcas, C529:Z529,
    pos, MAX(
          FILTER(
            COLUMN(marcas)-COLUMN(C529)+1,
            marcas=""X""
          )
        ),
    ultimo, INDEX(periodos, pos),
    XLOOKUP(
      $A529,
      INDI"&amp;"RECT(""'""&amp;ultimo&amp;""'!C:C""),
      INDIRECT(""'""&amp;ultimo&amp;""'!A:A"")
    )
  ),
  """"
)"),"")</f>
        <v/>
      </c>
      <c r="C529" s="41" t="str">
        <f t="shared" ref="C529:J529" si="528">IF(
  COUNTIF(
    INDIRECT("'"&amp;C$1&amp;"'!C:C"),
    $A529
  )&gt;0,
  "X",
  ""
)</f>
        <v/>
      </c>
      <c r="D529" s="41" t="str">
        <f t="shared" si="528"/>
        <v/>
      </c>
      <c r="E529" s="41" t="str">
        <f t="shared" si="528"/>
        <v/>
      </c>
      <c r="F529" s="41" t="str">
        <f t="shared" si="528"/>
        <v/>
      </c>
      <c r="G529" s="41" t="str">
        <f t="shared" si="528"/>
        <v/>
      </c>
      <c r="H529" s="41" t="str">
        <f t="shared" si="528"/>
        <v/>
      </c>
      <c r="I529" s="41" t="str">
        <f t="shared" si="528"/>
        <v/>
      </c>
      <c r="J529" s="41" t="str">
        <f t="shared" si="528"/>
        <v/>
      </c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67.5" customHeight="1">
      <c r="A530" s="39"/>
      <c r="B530" s="43" t="str">
        <f>IFERROR(__xludf.DUMMYFUNCTION("IFERROR(
  LET(
    periodos, C$1:Z$1,
    marcas, C530:Z530,
    pos, MAX(
          FILTER(
            COLUMN(marcas)-COLUMN(C530)+1,
            marcas=""X""
          )
        ),
    ultimo, INDEX(periodos, pos),
    XLOOKUP(
      $A530,
      INDI"&amp;"RECT(""'""&amp;ultimo&amp;""'!C:C""),
      INDIRECT(""'""&amp;ultimo&amp;""'!A:A"")
    )
  ),
  """"
)"),"")</f>
        <v/>
      </c>
      <c r="C530" s="41" t="str">
        <f t="shared" ref="C530:J530" si="529">IF(
  COUNTIF(
    INDIRECT("'"&amp;C$1&amp;"'!C:C"),
    $A530
  )&gt;0,
  "X",
  ""
)</f>
        <v/>
      </c>
      <c r="D530" s="41" t="str">
        <f t="shared" si="529"/>
        <v/>
      </c>
      <c r="E530" s="41" t="str">
        <f t="shared" si="529"/>
        <v/>
      </c>
      <c r="F530" s="41" t="str">
        <f t="shared" si="529"/>
        <v/>
      </c>
      <c r="G530" s="41" t="str">
        <f t="shared" si="529"/>
        <v/>
      </c>
      <c r="H530" s="41" t="str">
        <f t="shared" si="529"/>
        <v/>
      </c>
      <c r="I530" s="41" t="str">
        <f t="shared" si="529"/>
        <v/>
      </c>
      <c r="J530" s="41" t="str">
        <f t="shared" si="529"/>
        <v/>
      </c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67.5" customHeight="1">
      <c r="A531" s="39"/>
      <c r="B531" s="43" t="str">
        <f>IFERROR(__xludf.DUMMYFUNCTION("IFERROR(
  LET(
    periodos, C$1:Z$1,
    marcas, C531:Z531,
    pos, MAX(
          FILTER(
            COLUMN(marcas)-COLUMN(C531)+1,
            marcas=""X""
          )
        ),
    ultimo, INDEX(periodos, pos),
    XLOOKUP(
      $A531,
      INDI"&amp;"RECT(""'""&amp;ultimo&amp;""'!C:C""),
      INDIRECT(""'""&amp;ultimo&amp;""'!A:A"")
    )
  ),
  """"
)"),"")</f>
        <v/>
      </c>
      <c r="C531" s="41" t="str">
        <f t="shared" ref="C531:J531" si="530">IF(
  COUNTIF(
    INDIRECT("'"&amp;C$1&amp;"'!C:C"),
    $A531
  )&gt;0,
  "X",
  ""
)</f>
        <v/>
      </c>
      <c r="D531" s="41" t="str">
        <f t="shared" si="530"/>
        <v/>
      </c>
      <c r="E531" s="41" t="str">
        <f t="shared" si="530"/>
        <v/>
      </c>
      <c r="F531" s="41" t="str">
        <f t="shared" si="530"/>
        <v/>
      </c>
      <c r="G531" s="41" t="str">
        <f t="shared" si="530"/>
        <v/>
      </c>
      <c r="H531" s="41" t="str">
        <f t="shared" si="530"/>
        <v/>
      </c>
      <c r="I531" s="41" t="str">
        <f t="shared" si="530"/>
        <v/>
      </c>
      <c r="J531" s="41" t="str">
        <f t="shared" si="530"/>
        <v/>
      </c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67.5" customHeight="1">
      <c r="A532" s="39"/>
      <c r="B532" s="43" t="str">
        <f>IFERROR(__xludf.DUMMYFUNCTION("IFERROR(
  LET(
    periodos, C$1:Z$1,
    marcas, C532:Z532,
    pos, MAX(
          FILTER(
            COLUMN(marcas)-COLUMN(C532)+1,
            marcas=""X""
          )
        ),
    ultimo, INDEX(periodos, pos),
    XLOOKUP(
      $A532,
      INDI"&amp;"RECT(""'""&amp;ultimo&amp;""'!C:C""),
      INDIRECT(""'""&amp;ultimo&amp;""'!A:A"")
    )
  ),
  """"
)"),"")</f>
        <v/>
      </c>
      <c r="C532" s="41" t="str">
        <f t="shared" ref="C532:J532" si="531">IF(
  COUNTIF(
    INDIRECT("'"&amp;C$1&amp;"'!C:C"),
    $A532
  )&gt;0,
  "X",
  ""
)</f>
        <v/>
      </c>
      <c r="D532" s="41" t="str">
        <f t="shared" si="531"/>
        <v/>
      </c>
      <c r="E532" s="41" t="str">
        <f t="shared" si="531"/>
        <v/>
      </c>
      <c r="F532" s="41" t="str">
        <f t="shared" si="531"/>
        <v/>
      </c>
      <c r="G532" s="41" t="str">
        <f t="shared" si="531"/>
        <v/>
      </c>
      <c r="H532" s="41" t="str">
        <f t="shared" si="531"/>
        <v/>
      </c>
      <c r="I532" s="41" t="str">
        <f t="shared" si="531"/>
        <v/>
      </c>
      <c r="J532" s="41" t="str">
        <f t="shared" si="531"/>
        <v/>
      </c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67.5" customHeight="1">
      <c r="A533" s="39"/>
      <c r="B533" s="43" t="str">
        <f>IFERROR(__xludf.DUMMYFUNCTION("IFERROR(
  LET(
    periodos, C$1:Z$1,
    marcas, C533:Z533,
    pos, MAX(
          FILTER(
            COLUMN(marcas)-COLUMN(C533)+1,
            marcas=""X""
          )
        ),
    ultimo, INDEX(periodos, pos),
    XLOOKUP(
      $A533,
      INDI"&amp;"RECT(""'""&amp;ultimo&amp;""'!C:C""),
      INDIRECT(""'""&amp;ultimo&amp;""'!A:A"")
    )
  ),
  """"
)"),"")</f>
        <v/>
      </c>
      <c r="C533" s="41" t="str">
        <f t="shared" ref="C533:J533" si="532">IF(
  COUNTIF(
    INDIRECT("'"&amp;C$1&amp;"'!C:C"),
    $A533
  )&gt;0,
  "X",
  ""
)</f>
        <v/>
      </c>
      <c r="D533" s="41" t="str">
        <f t="shared" si="532"/>
        <v/>
      </c>
      <c r="E533" s="41" t="str">
        <f t="shared" si="532"/>
        <v/>
      </c>
      <c r="F533" s="41" t="str">
        <f t="shared" si="532"/>
        <v/>
      </c>
      <c r="G533" s="41" t="str">
        <f t="shared" si="532"/>
        <v/>
      </c>
      <c r="H533" s="41" t="str">
        <f t="shared" si="532"/>
        <v/>
      </c>
      <c r="I533" s="41" t="str">
        <f t="shared" si="532"/>
        <v/>
      </c>
      <c r="J533" s="41" t="str">
        <f t="shared" si="532"/>
        <v/>
      </c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67.5" customHeight="1">
      <c r="A534" s="39"/>
      <c r="B534" s="43" t="str">
        <f>IFERROR(__xludf.DUMMYFUNCTION("IFERROR(
  LET(
    periodos, C$1:Z$1,
    marcas, C534:Z534,
    pos, MAX(
          FILTER(
            COLUMN(marcas)-COLUMN(C534)+1,
            marcas=""X""
          )
        ),
    ultimo, INDEX(periodos, pos),
    XLOOKUP(
      $A534,
      INDI"&amp;"RECT(""'""&amp;ultimo&amp;""'!C:C""),
      INDIRECT(""'""&amp;ultimo&amp;""'!A:A"")
    )
  ),
  """"
)"),"")</f>
        <v/>
      </c>
      <c r="C534" s="41" t="str">
        <f t="shared" ref="C534:J534" si="533">IF(
  COUNTIF(
    INDIRECT("'"&amp;C$1&amp;"'!C:C"),
    $A534
  )&gt;0,
  "X",
  ""
)</f>
        <v/>
      </c>
      <c r="D534" s="41" t="str">
        <f t="shared" si="533"/>
        <v/>
      </c>
      <c r="E534" s="41" t="str">
        <f t="shared" si="533"/>
        <v/>
      </c>
      <c r="F534" s="41" t="str">
        <f t="shared" si="533"/>
        <v/>
      </c>
      <c r="G534" s="41" t="str">
        <f t="shared" si="533"/>
        <v/>
      </c>
      <c r="H534" s="41" t="str">
        <f t="shared" si="533"/>
        <v/>
      </c>
      <c r="I534" s="41" t="str">
        <f t="shared" si="533"/>
        <v/>
      </c>
      <c r="J534" s="41" t="str">
        <f t="shared" si="533"/>
        <v/>
      </c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67.5" customHeight="1">
      <c r="A535" s="39"/>
      <c r="B535" s="43" t="str">
        <f>IFERROR(__xludf.DUMMYFUNCTION("IFERROR(
  LET(
    periodos, C$1:Z$1,
    marcas, C535:Z535,
    pos, MAX(
          FILTER(
            COLUMN(marcas)-COLUMN(C535)+1,
            marcas=""X""
          )
        ),
    ultimo, INDEX(periodos, pos),
    XLOOKUP(
      $A535,
      INDI"&amp;"RECT(""'""&amp;ultimo&amp;""'!C:C""),
      INDIRECT(""'""&amp;ultimo&amp;""'!A:A"")
    )
  ),
  """"
)"),"")</f>
        <v/>
      </c>
      <c r="C535" s="41" t="str">
        <f t="shared" ref="C535:J535" si="534">IF(
  COUNTIF(
    INDIRECT("'"&amp;C$1&amp;"'!C:C"),
    $A535
  )&gt;0,
  "X",
  ""
)</f>
        <v/>
      </c>
      <c r="D535" s="41" t="str">
        <f t="shared" si="534"/>
        <v/>
      </c>
      <c r="E535" s="41" t="str">
        <f t="shared" si="534"/>
        <v/>
      </c>
      <c r="F535" s="41" t="str">
        <f t="shared" si="534"/>
        <v/>
      </c>
      <c r="G535" s="41" t="str">
        <f t="shared" si="534"/>
        <v/>
      </c>
      <c r="H535" s="41" t="str">
        <f t="shared" si="534"/>
        <v/>
      </c>
      <c r="I535" s="41" t="str">
        <f t="shared" si="534"/>
        <v/>
      </c>
      <c r="J535" s="41" t="str">
        <f t="shared" si="534"/>
        <v/>
      </c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67.5" customHeight="1">
      <c r="A536" s="39"/>
      <c r="B536" s="43" t="str">
        <f>IFERROR(__xludf.DUMMYFUNCTION("IFERROR(
  LET(
    periodos, C$1:Z$1,
    marcas, C536:Z536,
    pos, MAX(
          FILTER(
            COLUMN(marcas)-COLUMN(C536)+1,
            marcas=""X""
          )
        ),
    ultimo, INDEX(periodos, pos),
    XLOOKUP(
      $A536,
      INDI"&amp;"RECT(""'""&amp;ultimo&amp;""'!C:C""),
      INDIRECT(""'""&amp;ultimo&amp;""'!A:A"")
    )
  ),
  """"
)"),"")</f>
        <v/>
      </c>
      <c r="C536" s="41" t="str">
        <f t="shared" ref="C536:J536" si="535">IF(
  COUNTIF(
    INDIRECT("'"&amp;C$1&amp;"'!C:C"),
    $A536
  )&gt;0,
  "X",
  ""
)</f>
        <v/>
      </c>
      <c r="D536" s="41" t="str">
        <f t="shared" si="535"/>
        <v/>
      </c>
      <c r="E536" s="41" t="str">
        <f t="shared" si="535"/>
        <v/>
      </c>
      <c r="F536" s="41" t="str">
        <f t="shared" si="535"/>
        <v/>
      </c>
      <c r="G536" s="41" t="str">
        <f t="shared" si="535"/>
        <v/>
      </c>
      <c r="H536" s="41" t="str">
        <f t="shared" si="535"/>
        <v/>
      </c>
      <c r="I536" s="41" t="str">
        <f t="shared" si="535"/>
        <v/>
      </c>
      <c r="J536" s="41" t="str">
        <f t="shared" si="535"/>
        <v/>
      </c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67.5" customHeight="1">
      <c r="A537" s="39"/>
      <c r="B537" s="43" t="str">
        <f>IFERROR(__xludf.DUMMYFUNCTION("IFERROR(
  LET(
    periodos, C$1:Z$1,
    marcas, C537:Z537,
    pos, MAX(
          FILTER(
            COLUMN(marcas)-COLUMN(C537)+1,
            marcas=""X""
          )
        ),
    ultimo, INDEX(periodos, pos),
    XLOOKUP(
      $A537,
      INDI"&amp;"RECT(""'""&amp;ultimo&amp;""'!C:C""),
      INDIRECT(""'""&amp;ultimo&amp;""'!A:A"")
    )
  ),
  """"
)"),"")</f>
        <v/>
      </c>
      <c r="C537" s="41" t="str">
        <f t="shared" ref="C537:J537" si="536">IF(
  COUNTIF(
    INDIRECT("'"&amp;C$1&amp;"'!C:C"),
    $A537
  )&gt;0,
  "X",
  ""
)</f>
        <v/>
      </c>
      <c r="D537" s="41" t="str">
        <f t="shared" si="536"/>
        <v/>
      </c>
      <c r="E537" s="41" t="str">
        <f t="shared" si="536"/>
        <v/>
      </c>
      <c r="F537" s="41" t="str">
        <f t="shared" si="536"/>
        <v/>
      </c>
      <c r="G537" s="41" t="str">
        <f t="shared" si="536"/>
        <v/>
      </c>
      <c r="H537" s="41" t="str">
        <f t="shared" si="536"/>
        <v/>
      </c>
      <c r="I537" s="41" t="str">
        <f t="shared" si="536"/>
        <v/>
      </c>
      <c r="J537" s="41" t="str">
        <f t="shared" si="536"/>
        <v/>
      </c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67.5" customHeight="1">
      <c r="A538" s="39"/>
      <c r="B538" s="43" t="str">
        <f>IFERROR(__xludf.DUMMYFUNCTION("IFERROR(
  LET(
    periodos, C$1:Z$1,
    marcas, C538:Z538,
    pos, MAX(
          FILTER(
            COLUMN(marcas)-COLUMN(C538)+1,
            marcas=""X""
          )
        ),
    ultimo, INDEX(periodos, pos),
    XLOOKUP(
      $A538,
      INDI"&amp;"RECT(""'""&amp;ultimo&amp;""'!C:C""),
      INDIRECT(""'""&amp;ultimo&amp;""'!A:A"")
    )
  ),
  """"
)"),"")</f>
        <v/>
      </c>
      <c r="C538" s="41" t="str">
        <f t="shared" ref="C538:J538" si="537">IF(
  COUNTIF(
    INDIRECT("'"&amp;C$1&amp;"'!C:C"),
    $A538
  )&gt;0,
  "X",
  ""
)</f>
        <v/>
      </c>
      <c r="D538" s="41" t="str">
        <f t="shared" si="537"/>
        <v/>
      </c>
      <c r="E538" s="41" t="str">
        <f t="shared" si="537"/>
        <v/>
      </c>
      <c r="F538" s="41" t="str">
        <f t="shared" si="537"/>
        <v/>
      </c>
      <c r="G538" s="41" t="str">
        <f t="shared" si="537"/>
        <v/>
      </c>
      <c r="H538" s="41" t="str">
        <f t="shared" si="537"/>
        <v/>
      </c>
      <c r="I538" s="41" t="str">
        <f t="shared" si="537"/>
        <v/>
      </c>
      <c r="J538" s="41" t="str">
        <f t="shared" si="537"/>
        <v/>
      </c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67.5" customHeight="1">
      <c r="A539" s="39"/>
      <c r="B539" s="43" t="str">
        <f>IFERROR(__xludf.DUMMYFUNCTION("IFERROR(
  LET(
    periodos, C$1:Z$1,
    marcas, C539:Z539,
    pos, MAX(
          FILTER(
            COLUMN(marcas)-COLUMN(C539)+1,
            marcas=""X""
          )
        ),
    ultimo, INDEX(periodos, pos),
    XLOOKUP(
      $A539,
      INDI"&amp;"RECT(""'""&amp;ultimo&amp;""'!C:C""),
      INDIRECT(""'""&amp;ultimo&amp;""'!A:A"")
    )
  ),
  """"
)"),"")</f>
        <v/>
      </c>
      <c r="C539" s="41" t="str">
        <f t="shared" ref="C539:J539" si="538">IF(
  COUNTIF(
    INDIRECT("'"&amp;C$1&amp;"'!C:C"),
    $A539
  )&gt;0,
  "X",
  ""
)</f>
        <v/>
      </c>
      <c r="D539" s="41" t="str">
        <f t="shared" si="538"/>
        <v/>
      </c>
      <c r="E539" s="41" t="str">
        <f t="shared" si="538"/>
        <v/>
      </c>
      <c r="F539" s="41" t="str">
        <f t="shared" si="538"/>
        <v/>
      </c>
      <c r="G539" s="41" t="str">
        <f t="shared" si="538"/>
        <v/>
      </c>
      <c r="H539" s="41" t="str">
        <f t="shared" si="538"/>
        <v/>
      </c>
      <c r="I539" s="41" t="str">
        <f t="shared" si="538"/>
        <v/>
      </c>
      <c r="J539" s="41" t="str">
        <f t="shared" si="538"/>
        <v/>
      </c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67.5" customHeight="1">
      <c r="A540" s="39"/>
      <c r="B540" s="43" t="str">
        <f>IFERROR(__xludf.DUMMYFUNCTION("IFERROR(
  LET(
    periodos, C$1:Z$1,
    marcas, C540:Z540,
    pos, MAX(
          FILTER(
            COLUMN(marcas)-COLUMN(C540)+1,
            marcas=""X""
          )
        ),
    ultimo, INDEX(periodos, pos),
    XLOOKUP(
      $A540,
      INDI"&amp;"RECT(""'""&amp;ultimo&amp;""'!C:C""),
      INDIRECT(""'""&amp;ultimo&amp;""'!A:A"")
    )
  ),
  """"
)"),"")</f>
        <v/>
      </c>
      <c r="C540" s="41" t="str">
        <f t="shared" ref="C540:J540" si="539">IF(
  COUNTIF(
    INDIRECT("'"&amp;C$1&amp;"'!C:C"),
    $A540
  )&gt;0,
  "X",
  ""
)</f>
        <v/>
      </c>
      <c r="D540" s="41" t="str">
        <f t="shared" si="539"/>
        <v/>
      </c>
      <c r="E540" s="41" t="str">
        <f t="shared" si="539"/>
        <v/>
      </c>
      <c r="F540" s="41" t="str">
        <f t="shared" si="539"/>
        <v/>
      </c>
      <c r="G540" s="41" t="str">
        <f t="shared" si="539"/>
        <v/>
      </c>
      <c r="H540" s="41" t="str">
        <f t="shared" si="539"/>
        <v/>
      </c>
      <c r="I540" s="41" t="str">
        <f t="shared" si="539"/>
        <v/>
      </c>
      <c r="J540" s="41" t="str">
        <f t="shared" si="539"/>
        <v/>
      </c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67.5" customHeight="1">
      <c r="A541" s="39"/>
      <c r="B541" s="43" t="str">
        <f>IFERROR(__xludf.DUMMYFUNCTION("IFERROR(
  LET(
    periodos, C$1:Z$1,
    marcas, C541:Z541,
    pos, MAX(
          FILTER(
            COLUMN(marcas)-COLUMN(C541)+1,
            marcas=""X""
          )
        ),
    ultimo, INDEX(periodos, pos),
    XLOOKUP(
      $A541,
      INDI"&amp;"RECT(""'""&amp;ultimo&amp;""'!C:C""),
      INDIRECT(""'""&amp;ultimo&amp;""'!A:A"")
    )
  ),
  """"
)"),"")</f>
        <v/>
      </c>
      <c r="C541" s="41" t="str">
        <f t="shared" ref="C541:J541" si="540">IF(
  COUNTIF(
    INDIRECT("'"&amp;C$1&amp;"'!C:C"),
    $A541
  )&gt;0,
  "X",
  ""
)</f>
        <v/>
      </c>
      <c r="D541" s="41" t="str">
        <f t="shared" si="540"/>
        <v/>
      </c>
      <c r="E541" s="41" t="str">
        <f t="shared" si="540"/>
        <v/>
      </c>
      <c r="F541" s="41" t="str">
        <f t="shared" si="540"/>
        <v/>
      </c>
      <c r="G541" s="41" t="str">
        <f t="shared" si="540"/>
        <v/>
      </c>
      <c r="H541" s="41" t="str">
        <f t="shared" si="540"/>
        <v/>
      </c>
      <c r="I541" s="41" t="str">
        <f t="shared" si="540"/>
        <v/>
      </c>
      <c r="J541" s="41" t="str">
        <f t="shared" si="540"/>
        <v/>
      </c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67.5" customHeight="1">
      <c r="A542" s="39"/>
      <c r="B542" s="43" t="str">
        <f>IFERROR(__xludf.DUMMYFUNCTION("IFERROR(
  LET(
    periodos, C$1:Z$1,
    marcas, C542:Z542,
    pos, MAX(
          FILTER(
            COLUMN(marcas)-COLUMN(C542)+1,
            marcas=""X""
          )
        ),
    ultimo, INDEX(periodos, pos),
    XLOOKUP(
      $A542,
      INDI"&amp;"RECT(""'""&amp;ultimo&amp;""'!C:C""),
      INDIRECT(""'""&amp;ultimo&amp;""'!A:A"")
    )
  ),
  """"
)"),"")</f>
        <v/>
      </c>
      <c r="C542" s="41" t="str">
        <f t="shared" ref="C542:J542" si="541">IF(
  COUNTIF(
    INDIRECT("'"&amp;C$1&amp;"'!C:C"),
    $A542
  )&gt;0,
  "X",
  ""
)</f>
        <v/>
      </c>
      <c r="D542" s="41" t="str">
        <f t="shared" si="541"/>
        <v/>
      </c>
      <c r="E542" s="41" t="str">
        <f t="shared" si="541"/>
        <v/>
      </c>
      <c r="F542" s="41" t="str">
        <f t="shared" si="541"/>
        <v/>
      </c>
      <c r="G542" s="41" t="str">
        <f t="shared" si="541"/>
        <v/>
      </c>
      <c r="H542" s="41" t="str">
        <f t="shared" si="541"/>
        <v/>
      </c>
      <c r="I542" s="41" t="str">
        <f t="shared" si="541"/>
        <v/>
      </c>
      <c r="J542" s="41" t="str">
        <f t="shared" si="541"/>
        <v/>
      </c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67.5" customHeight="1">
      <c r="A543" s="39"/>
      <c r="B543" s="43" t="str">
        <f>IFERROR(__xludf.DUMMYFUNCTION("IFERROR(
  LET(
    periodos, C$1:Z$1,
    marcas, C543:Z543,
    pos, MAX(
          FILTER(
            COLUMN(marcas)-COLUMN(C543)+1,
            marcas=""X""
          )
        ),
    ultimo, INDEX(periodos, pos),
    XLOOKUP(
      $A543,
      INDI"&amp;"RECT(""'""&amp;ultimo&amp;""'!C:C""),
      INDIRECT(""'""&amp;ultimo&amp;""'!A:A"")
    )
  ),
  """"
)"),"")</f>
        <v/>
      </c>
      <c r="C543" s="41" t="str">
        <f t="shared" ref="C543:J543" si="542">IF(
  COUNTIF(
    INDIRECT("'"&amp;C$1&amp;"'!C:C"),
    $A543
  )&gt;0,
  "X",
  ""
)</f>
        <v/>
      </c>
      <c r="D543" s="41" t="str">
        <f t="shared" si="542"/>
        <v/>
      </c>
      <c r="E543" s="41" t="str">
        <f t="shared" si="542"/>
        <v/>
      </c>
      <c r="F543" s="41" t="str">
        <f t="shared" si="542"/>
        <v/>
      </c>
      <c r="G543" s="41" t="str">
        <f t="shared" si="542"/>
        <v/>
      </c>
      <c r="H543" s="41" t="str">
        <f t="shared" si="542"/>
        <v/>
      </c>
      <c r="I543" s="41" t="str">
        <f t="shared" si="542"/>
        <v/>
      </c>
      <c r="J543" s="41" t="str">
        <f t="shared" si="542"/>
        <v/>
      </c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67.5" customHeight="1">
      <c r="A544" s="39"/>
      <c r="B544" s="43" t="str">
        <f>IFERROR(__xludf.DUMMYFUNCTION("IFERROR(
  LET(
    periodos, C$1:Z$1,
    marcas, C544:Z544,
    pos, MAX(
          FILTER(
            COLUMN(marcas)-COLUMN(C544)+1,
            marcas=""X""
          )
        ),
    ultimo, INDEX(periodos, pos),
    XLOOKUP(
      $A544,
      INDI"&amp;"RECT(""'""&amp;ultimo&amp;""'!C:C""),
      INDIRECT(""'""&amp;ultimo&amp;""'!A:A"")
    )
  ),
  """"
)"),"")</f>
        <v/>
      </c>
      <c r="C544" s="41" t="str">
        <f t="shared" ref="C544:J544" si="543">IF(
  COUNTIF(
    INDIRECT("'"&amp;C$1&amp;"'!C:C"),
    $A544
  )&gt;0,
  "X",
  ""
)</f>
        <v/>
      </c>
      <c r="D544" s="41" t="str">
        <f t="shared" si="543"/>
        <v/>
      </c>
      <c r="E544" s="41" t="str">
        <f t="shared" si="543"/>
        <v/>
      </c>
      <c r="F544" s="41" t="str">
        <f t="shared" si="543"/>
        <v/>
      </c>
      <c r="G544" s="41" t="str">
        <f t="shared" si="543"/>
        <v/>
      </c>
      <c r="H544" s="41" t="str">
        <f t="shared" si="543"/>
        <v/>
      </c>
      <c r="I544" s="41" t="str">
        <f t="shared" si="543"/>
        <v/>
      </c>
      <c r="J544" s="41" t="str">
        <f t="shared" si="543"/>
        <v/>
      </c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67.5" customHeight="1">
      <c r="A545" s="39"/>
      <c r="B545" s="43" t="str">
        <f>IFERROR(__xludf.DUMMYFUNCTION("IFERROR(
  LET(
    periodos, C$1:Z$1,
    marcas, C545:Z545,
    pos, MAX(
          FILTER(
            COLUMN(marcas)-COLUMN(C545)+1,
            marcas=""X""
          )
        ),
    ultimo, INDEX(periodos, pos),
    XLOOKUP(
      $A545,
      INDI"&amp;"RECT(""'""&amp;ultimo&amp;""'!C:C""),
      INDIRECT(""'""&amp;ultimo&amp;""'!A:A"")
    )
  ),
  """"
)"),"")</f>
        <v/>
      </c>
      <c r="C545" s="41" t="str">
        <f t="shared" ref="C545:J545" si="544">IF(
  COUNTIF(
    INDIRECT("'"&amp;C$1&amp;"'!C:C"),
    $A545
  )&gt;0,
  "X",
  ""
)</f>
        <v/>
      </c>
      <c r="D545" s="41" t="str">
        <f t="shared" si="544"/>
        <v/>
      </c>
      <c r="E545" s="41" t="str">
        <f t="shared" si="544"/>
        <v/>
      </c>
      <c r="F545" s="41" t="str">
        <f t="shared" si="544"/>
        <v/>
      </c>
      <c r="G545" s="41" t="str">
        <f t="shared" si="544"/>
        <v/>
      </c>
      <c r="H545" s="41" t="str">
        <f t="shared" si="544"/>
        <v/>
      </c>
      <c r="I545" s="41" t="str">
        <f t="shared" si="544"/>
        <v/>
      </c>
      <c r="J545" s="41" t="str">
        <f t="shared" si="544"/>
        <v/>
      </c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67.5" customHeight="1">
      <c r="A546" s="39"/>
      <c r="B546" s="43" t="str">
        <f>IFERROR(__xludf.DUMMYFUNCTION("IFERROR(
  LET(
    periodos, C$1:Z$1,
    marcas, C546:Z546,
    pos, MAX(
          FILTER(
            COLUMN(marcas)-COLUMN(C546)+1,
            marcas=""X""
          )
        ),
    ultimo, INDEX(periodos, pos),
    XLOOKUP(
      $A546,
      INDI"&amp;"RECT(""'""&amp;ultimo&amp;""'!C:C""),
      INDIRECT(""'""&amp;ultimo&amp;""'!A:A"")
    )
  ),
  """"
)"),"")</f>
        <v/>
      </c>
      <c r="C546" s="41" t="str">
        <f t="shared" ref="C546:J546" si="545">IF(
  COUNTIF(
    INDIRECT("'"&amp;C$1&amp;"'!C:C"),
    $A546
  )&gt;0,
  "X",
  ""
)</f>
        <v/>
      </c>
      <c r="D546" s="41" t="str">
        <f t="shared" si="545"/>
        <v/>
      </c>
      <c r="E546" s="41" t="str">
        <f t="shared" si="545"/>
        <v/>
      </c>
      <c r="F546" s="41" t="str">
        <f t="shared" si="545"/>
        <v/>
      </c>
      <c r="G546" s="41" t="str">
        <f t="shared" si="545"/>
        <v/>
      </c>
      <c r="H546" s="41" t="str">
        <f t="shared" si="545"/>
        <v/>
      </c>
      <c r="I546" s="41" t="str">
        <f t="shared" si="545"/>
        <v/>
      </c>
      <c r="J546" s="41" t="str">
        <f t="shared" si="545"/>
        <v/>
      </c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67.5" customHeight="1">
      <c r="A547" s="39"/>
      <c r="B547" s="43" t="str">
        <f>IFERROR(__xludf.DUMMYFUNCTION("IFERROR(
  LET(
    periodos, C$1:Z$1,
    marcas, C547:Z547,
    pos, MAX(
          FILTER(
            COLUMN(marcas)-COLUMN(C547)+1,
            marcas=""X""
          )
        ),
    ultimo, INDEX(periodos, pos),
    XLOOKUP(
      $A547,
      INDI"&amp;"RECT(""'""&amp;ultimo&amp;""'!C:C""),
      INDIRECT(""'""&amp;ultimo&amp;""'!A:A"")
    )
  ),
  """"
)"),"")</f>
        <v/>
      </c>
      <c r="C547" s="41" t="str">
        <f t="shared" ref="C547:J547" si="546">IF(
  COUNTIF(
    INDIRECT("'"&amp;C$1&amp;"'!C:C"),
    $A547
  )&gt;0,
  "X",
  ""
)</f>
        <v/>
      </c>
      <c r="D547" s="41" t="str">
        <f t="shared" si="546"/>
        <v/>
      </c>
      <c r="E547" s="41" t="str">
        <f t="shared" si="546"/>
        <v/>
      </c>
      <c r="F547" s="41" t="str">
        <f t="shared" si="546"/>
        <v/>
      </c>
      <c r="G547" s="41" t="str">
        <f t="shared" si="546"/>
        <v/>
      </c>
      <c r="H547" s="41" t="str">
        <f t="shared" si="546"/>
        <v/>
      </c>
      <c r="I547" s="41" t="str">
        <f t="shared" si="546"/>
        <v/>
      </c>
      <c r="J547" s="41" t="str">
        <f t="shared" si="546"/>
        <v/>
      </c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67.5" customHeight="1">
      <c r="A548" s="39"/>
      <c r="B548" s="43" t="str">
        <f>IFERROR(__xludf.DUMMYFUNCTION("IFERROR(
  LET(
    periodos, C$1:Z$1,
    marcas, C548:Z548,
    pos, MAX(
          FILTER(
            COLUMN(marcas)-COLUMN(C548)+1,
            marcas=""X""
          )
        ),
    ultimo, INDEX(periodos, pos),
    XLOOKUP(
      $A548,
      INDI"&amp;"RECT(""'""&amp;ultimo&amp;""'!C:C""),
      INDIRECT(""'""&amp;ultimo&amp;""'!A:A"")
    )
  ),
  """"
)"),"")</f>
        <v/>
      </c>
      <c r="C548" s="41" t="str">
        <f t="shared" ref="C548:J548" si="547">IF(
  COUNTIF(
    INDIRECT("'"&amp;C$1&amp;"'!C:C"),
    $A548
  )&gt;0,
  "X",
  ""
)</f>
        <v/>
      </c>
      <c r="D548" s="41" t="str">
        <f t="shared" si="547"/>
        <v/>
      </c>
      <c r="E548" s="41" t="str">
        <f t="shared" si="547"/>
        <v/>
      </c>
      <c r="F548" s="41" t="str">
        <f t="shared" si="547"/>
        <v/>
      </c>
      <c r="G548" s="41" t="str">
        <f t="shared" si="547"/>
        <v/>
      </c>
      <c r="H548" s="41" t="str">
        <f t="shared" si="547"/>
        <v/>
      </c>
      <c r="I548" s="41" t="str">
        <f t="shared" si="547"/>
        <v/>
      </c>
      <c r="J548" s="41" t="str">
        <f t="shared" si="547"/>
        <v/>
      </c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67.5" customHeight="1">
      <c r="A549" s="39"/>
      <c r="B549" s="43" t="str">
        <f>IFERROR(__xludf.DUMMYFUNCTION("IFERROR(
  LET(
    periodos, C$1:Z$1,
    marcas, C549:Z549,
    pos, MAX(
          FILTER(
            COLUMN(marcas)-COLUMN(C549)+1,
            marcas=""X""
          )
        ),
    ultimo, INDEX(periodos, pos),
    XLOOKUP(
      $A549,
      INDI"&amp;"RECT(""'""&amp;ultimo&amp;""'!C:C""),
      INDIRECT(""'""&amp;ultimo&amp;""'!A:A"")
    )
  ),
  """"
)"),"")</f>
        <v/>
      </c>
      <c r="C549" s="41" t="str">
        <f t="shared" ref="C549:J549" si="548">IF(
  COUNTIF(
    INDIRECT("'"&amp;C$1&amp;"'!C:C"),
    $A549
  )&gt;0,
  "X",
  ""
)</f>
        <v/>
      </c>
      <c r="D549" s="41" t="str">
        <f t="shared" si="548"/>
        <v/>
      </c>
      <c r="E549" s="41" t="str">
        <f t="shared" si="548"/>
        <v/>
      </c>
      <c r="F549" s="41" t="str">
        <f t="shared" si="548"/>
        <v/>
      </c>
      <c r="G549" s="41" t="str">
        <f t="shared" si="548"/>
        <v/>
      </c>
      <c r="H549" s="41" t="str">
        <f t="shared" si="548"/>
        <v/>
      </c>
      <c r="I549" s="41" t="str">
        <f t="shared" si="548"/>
        <v/>
      </c>
      <c r="J549" s="41" t="str">
        <f t="shared" si="548"/>
        <v/>
      </c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67.5" customHeight="1">
      <c r="A550" s="39"/>
      <c r="B550" s="43" t="str">
        <f>IFERROR(__xludf.DUMMYFUNCTION("IFERROR(
  LET(
    periodos, C$1:Z$1,
    marcas, C550:Z550,
    pos, MAX(
          FILTER(
            COLUMN(marcas)-COLUMN(C550)+1,
            marcas=""X""
          )
        ),
    ultimo, INDEX(periodos, pos),
    XLOOKUP(
      $A550,
      INDI"&amp;"RECT(""'""&amp;ultimo&amp;""'!C:C""),
      INDIRECT(""'""&amp;ultimo&amp;""'!A:A"")
    )
  ),
  """"
)"),"")</f>
        <v/>
      </c>
      <c r="C550" s="41" t="str">
        <f t="shared" ref="C550:J550" si="549">IF(
  COUNTIF(
    INDIRECT("'"&amp;C$1&amp;"'!C:C"),
    $A550
  )&gt;0,
  "X",
  ""
)</f>
        <v/>
      </c>
      <c r="D550" s="41" t="str">
        <f t="shared" si="549"/>
        <v/>
      </c>
      <c r="E550" s="41" t="str">
        <f t="shared" si="549"/>
        <v/>
      </c>
      <c r="F550" s="41" t="str">
        <f t="shared" si="549"/>
        <v/>
      </c>
      <c r="G550" s="41" t="str">
        <f t="shared" si="549"/>
        <v/>
      </c>
      <c r="H550" s="41" t="str">
        <f t="shared" si="549"/>
        <v/>
      </c>
      <c r="I550" s="41" t="str">
        <f t="shared" si="549"/>
        <v/>
      </c>
      <c r="J550" s="41" t="str">
        <f t="shared" si="549"/>
        <v/>
      </c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67.5" customHeight="1">
      <c r="A551" s="39"/>
      <c r="B551" s="43" t="str">
        <f>IFERROR(__xludf.DUMMYFUNCTION("IFERROR(
  LET(
    periodos, C$1:Z$1,
    marcas, C551:Z551,
    pos, MAX(
          FILTER(
            COLUMN(marcas)-COLUMN(C551)+1,
            marcas=""X""
          )
        ),
    ultimo, INDEX(periodos, pos),
    XLOOKUP(
      $A551,
      INDI"&amp;"RECT(""'""&amp;ultimo&amp;""'!C:C""),
      INDIRECT(""'""&amp;ultimo&amp;""'!A:A"")
    )
  ),
  """"
)"),"")</f>
        <v/>
      </c>
      <c r="C551" s="41" t="str">
        <f t="shared" ref="C551:J551" si="550">IF(
  COUNTIF(
    INDIRECT("'"&amp;C$1&amp;"'!C:C"),
    $A551
  )&gt;0,
  "X",
  ""
)</f>
        <v/>
      </c>
      <c r="D551" s="41" t="str">
        <f t="shared" si="550"/>
        <v/>
      </c>
      <c r="E551" s="41" t="str">
        <f t="shared" si="550"/>
        <v/>
      </c>
      <c r="F551" s="41" t="str">
        <f t="shared" si="550"/>
        <v/>
      </c>
      <c r="G551" s="41" t="str">
        <f t="shared" si="550"/>
        <v/>
      </c>
      <c r="H551" s="41" t="str">
        <f t="shared" si="550"/>
        <v/>
      </c>
      <c r="I551" s="41" t="str">
        <f t="shared" si="550"/>
        <v/>
      </c>
      <c r="J551" s="41" t="str">
        <f t="shared" si="550"/>
        <v/>
      </c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67.5" customHeight="1">
      <c r="A552" s="39"/>
      <c r="B552" s="43" t="str">
        <f>IFERROR(__xludf.DUMMYFUNCTION("IFERROR(
  LET(
    periodos, C$1:Z$1,
    marcas, C552:Z552,
    pos, MAX(
          FILTER(
            COLUMN(marcas)-COLUMN(C552)+1,
            marcas=""X""
          )
        ),
    ultimo, INDEX(periodos, pos),
    XLOOKUP(
      $A552,
      INDI"&amp;"RECT(""'""&amp;ultimo&amp;""'!C:C""),
      INDIRECT(""'""&amp;ultimo&amp;""'!A:A"")
    )
  ),
  """"
)"),"")</f>
        <v/>
      </c>
      <c r="C552" s="41" t="str">
        <f t="shared" ref="C552:J552" si="551">IF(
  COUNTIF(
    INDIRECT("'"&amp;C$1&amp;"'!C:C"),
    $A552
  )&gt;0,
  "X",
  ""
)</f>
        <v/>
      </c>
      <c r="D552" s="41" t="str">
        <f t="shared" si="551"/>
        <v/>
      </c>
      <c r="E552" s="41" t="str">
        <f t="shared" si="551"/>
        <v/>
      </c>
      <c r="F552" s="41" t="str">
        <f t="shared" si="551"/>
        <v/>
      </c>
      <c r="G552" s="41" t="str">
        <f t="shared" si="551"/>
        <v/>
      </c>
      <c r="H552" s="41" t="str">
        <f t="shared" si="551"/>
        <v/>
      </c>
      <c r="I552" s="41" t="str">
        <f t="shared" si="551"/>
        <v/>
      </c>
      <c r="J552" s="41" t="str">
        <f t="shared" si="551"/>
        <v/>
      </c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67.5" customHeight="1">
      <c r="A553" s="39"/>
      <c r="B553" s="43" t="str">
        <f>IFERROR(__xludf.DUMMYFUNCTION("IFERROR(
  LET(
    periodos, C$1:Z$1,
    marcas, C553:Z553,
    pos, MAX(
          FILTER(
            COLUMN(marcas)-COLUMN(C553)+1,
            marcas=""X""
          )
        ),
    ultimo, INDEX(periodos, pos),
    XLOOKUP(
      $A553,
      INDI"&amp;"RECT(""'""&amp;ultimo&amp;""'!C:C""),
      INDIRECT(""'""&amp;ultimo&amp;""'!A:A"")
    )
  ),
  """"
)"),"")</f>
        <v/>
      </c>
      <c r="C553" s="41" t="str">
        <f t="shared" ref="C553:J553" si="552">IF(
  COUNTIF(
    INDIRECT("'"&amp;C$1&amp;"'!C:C"),
    $A553
  )&gt;0,
  "X",
  ""
)</f>
        <v/>
      </c>
      <c r="D553" s="41" t="str">
        <f t="shared" si="552"/>
        <v/>
      </c>
      <c r="E553" s="41" t="str">
        <f t="shared" si="552"/>
        <v/>
      </c>
      <c r="F553" s="41" t="str">
        <f t="shared" si="552"/>
        <v/>
      </c>
      <c r="G553" s="41" t="str">
        <f t="shared" si="552"/>
        <v/>
      </c>
      <c r="H553" s="41" t="str">
        <f t="shared" si="552"/>
        <v/>
      </c>
      <c r="I553" s="41" t="str">
        <f t="shared" si="552"/>
        <v/>
      </c>
      <c r="J553" s="41" t="str">
        <f t="shared" si="552"/>
        <v/>
      </c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67.5" customHeight="1">
      <c r="A554" s="39"/>
      <c r="B554" s="43" t="str">
        <f>IFERROR(__xludf.DUMMYFUNCTION("IFERROR(
  LET(
    periodos, C$1:Z$1,
    marcas, C554:Z554,
    pos, MAX(
          FILTER(
            COLUMN(marcas)-COLUMN(C554)+1,
            marcas=""X""
          )
        ),
    ultimo, INDEX(periodos, pos),
    XLOOKUP(
      $A554,
      INDI"&amp;"RECT(""'""&amp;ultimo&amp;""'!C:C""),
      INDIRECT(""'""&amp;ultimo&amp;""'!A:A"")
    )
  ),
  """"
)"),"")</f>
        <v/>
      </c>
      <c r="C554" s="41" t="str">
        <f t="shared" ref="C554:J554" si="553">IF(
  COUNTIF(
    INDIRECT("'"&amp;C$1&amp;"'!C:C"),
    $A554
  )&gt;0,
  "X",
  ""
)</f>
        <v/>
      </c>
      <c r="D554" s="41" t="str">
        <f t="shared" si="553"/>
        <v/>
      </c>
      <c r="E554" s="41" t="str">
        <f t="shared" si="553"/>
        <v/>
      </c>
      <c r="F554" s="41" t="str">
        <f t="shared" si="553"/>
        <v/>
      </c>
      <c r="G554" s="41" t="str">
        <f t="shared" si="553"/>
        <v/>
      </c>
      <c r="H554" s="41" t="str">
        <f t="shared" si="553"/>
        <v/>
      </c>
      <c r="I554" s="41" t="str">
        <f t="shared" si="553"/>
        <v/>
      </c>
      <c r="J554" s="41" t="str">
        <f t="shared" si="553"/>
        <v/>
      </c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67.5" customHeight="1">
      <c r="A555" s="39"/>
      <c r="B555" s="43" t="str">
        <f>IFERROR(__xludf.DUMMYFUNCTION("IFERROR(
  LET(
    periodos, C$1:Z$1,
    marcas, C555:Z555,
    pos, MAX(
          FILTER(
            COLUMN(marcas)-COLUMN(C555)+1,
            marcas=""X""
          )
        ),
    ultimo, INDEX(periodos, pos),
    XLOOKUP(
      $A555,
      INDI"&amp;"RECT(""'""&amp;ultimo&amp;""'!C:C""),
      INDIRECT(""'""&amp;ultimo&amp;""'!A:A"")
    )
  ),
  """"
)"),"")</f>
        <v/>
      </c>
      <c r="C555" s="41" t="str">
        <f t="shared" ref="C555:J555" si="554">IF(
  COUNTIF(
    INDIRECT("'"&amp;C$1&amp;"'!C:C"),
    $A555
  )&gt;0,
  "X",
  ""
)</f>
        <v/>
      </c>
      <c r="D555" s="41" t="str">
        <f t="shared" si="554"/>
        <v/>
      </c>
      <c r="E555" s="41" t="str">
        <f t="shared" si="554"/>
        <v/>
      </c>
      <c r="F555" s="41" t="str">
        <f t="shared" si="554"/>
        <v/>
      </c>
      <c r="G555" s="41" t="str">
        <f t="shared" si="554"/>
        <v/>
      </c>
      <c r="H555" s="41" t="str">
        <f t="shared" si="554"/>
        <v/>
      </c>
      <c r="I555" s="41" t="str">
        <f t="shared" si="554"/>
        <v/>
      </c>
      <c r="J555" s="41" t="str">
        <f t="shared" si="554"/>
        <v/>
      </c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67.5" customHeight="1">
      <c r="A556" s="39"/>
      <c r="B556" s="43" t="str">
        <f>IFERROR(__xludf.DUMMYFUNCTION("IFERROR(
  LET(
    periodos, C$1:Z$1,
    marcas, C556:Z556,
    pos, MAX(
          FILTER(
            COLUMN(marcas)-COLUMN(C556)+1,
            marcas=""X""
          )
        ),
    ultimo, INDEX(periodos, pos),
    XLOOKUP(
      $A556,
      INDI"&amp;"RECT(""'""&amp;ultimo&amp;""'!C:C""),
      INDIRECT(""'""&amp;ultimo&amp;""'!A:A"")
    )
  ),
  """"
)"),"")</f>
        <v/>
      </c>
      <c r="C556" s="41" t="str">
        <f t="shared" ref="C556:J556" si="555">IF(
  COUNTIF(
    INDIRECT("'"&amp;C$1&amp;"'!C:C"),
    $A556
  )&gt;0,
  "X",
  ""
)</f>
        <v/>
      </c>
      <c r="D556" s="41" t="str">
        <f t="shared" si="555"/>
        <v/>
      </c>
      <c r="E556" s="41" t="str">
        <f t="shared" si="555"/>
        <v/>
      </c>
      <c r="F556" s="41" t="str">
        <f t="shared" si="555"/>
        <v/>
      </c>
      <c r="G556" s="41" t="str">
        <f t="shared" si="555"/>
        <v/>
      </c>
      <c r="H556" s="41" t="str">
        <f t="shared" si="555"/>
        <v/>
      </c>
      <c r="I556" s="41" t="str">
        <f t="shared" si="555"/>
        <v/>
      </c>
      <c r="J556" s="41" t="str">
        <f t="shared" si="555"/>
        <v/>
      </c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67.5" customHeight="1">
      <c r="A557" s="39"/>
      <c r="B557" s="43" t="str">
        <f>IFERROR(__xludf.DUMMYFUNCTION("IFERROR(
  LET(
    periodos, C$1:Z$1,
    marcas, C557:Z557,
    pos, MAX(
          FILTER(
            COLUMN(marcas)-COLUMN(C557)+1,
            marcas=""X""
          )
        ),
    ultimo, INDEX(periodos, pos),
    XLOOKUP(
      $A557,
      INDI"&amp;"RECT(""'""&amp;ultimo&amp;""'!C:C""),
      INDIRECT(""'""&amp;ultimo&amp;""'!A:A"")
    )
  ),
  """"
)"),"")</f>
        <v/>
      </c>
      <c r="C557" s="41" t="str">
        <f t="shared" ref="C557:J557" si="556">IF(
  COUNTIF(
    INDIRECT("'"&amp;C$1&amp;"'!C:C"),
    $A557
  )&gt;0,
  "X",
  ""
)</f>
        <v/>
      </c>
      <c r="D557" s="41" t="str">
        <f t="shared" si="556"/>
        <v/>
      </c>
      <c r="E557" s="41" t="str">
        <f t="shared" si="556"/>
        <v/>
      </c>
      <c r="F557" s="41" t="str">
        <f t="shared" si="556"/>
        <v/>
      </c>
      <c r="G557" s="41" t="str">
        <f t="shared" si="556"/>
        <v/>
      </c>
      <c r="H557" s="41" t="str">
        <f t="shared" si="556"/>
        <v/>
      </c>
      <c r="I557" s="41" t="str">
        <f t="shared" si="556"/>
        <v/>
      </c>
      <c r="J557" s="41" t="str">
        <f t="shared" si="556"/>
        <v/>
      </c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67.5" customHeight="1">
      <c r="A558" s="39"/>
      <c r="B558" s="43" t="str">
        <f>IFERROR(__xludf.DUMMYFUNCTION("IFERROR(
  LET(
    periodos, C$1:Z$1,
    marcas, C558:Z558,
    pos, MAX(
          FILTER(
            COLUMN(marcas)-COLUMN(C558)+1,
            marcas=""X""
          )
        ),
    ultimo, INDEX(periodos, pos),
    XLOOKUP(
      $A558,
      INDI"&amp;"RECT(""'""&amp;ultimo&amp;""'!C:C""),
      INDIRECT(""'""&amp;ultimo&amp;""'!A:A"")
    )
  ),
  """"
)"),"")</f>
        <v/>
      </c>
      <c r="C558" s="41" t="str">
        <f t="shared" ref="C558:J558" si="557">IF(
  COUNTIF(
    INDIRECT("'"&amp;C$1&amp;"'!C:C"),
    $A558
  )&gt;0,
  "X",
  ""
)</f>
        <v/>
      </c>
      <c r="D558" s="41" t="str">
        <f t="shared" si="557"/>
        <v/>
      </c>
      <c r="E558" s="41" t="str">
        <f t="shared" si="557"/>
        <v/>
      </c>
      <c r="F558" s="41" t="str">
        <f t="shared" si="557"/>
        <v/>
      </c>
      <c r="G558" s="41" t="str">
        <f t="shared" si="557"/>
        <v/>
      </c>
      <c r="H558" s="41" t="str">
        <f t="shared" si="557"/>
        <v/>
      </c>
      <c r="I558" s="41" t="str">
        <f t="shared" si="557"/>
        <v/>
      </c>
      <c r="J558" s="41" t="str">
        <f t="shared" si="557"/>
        <v/>
      </c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67.5" customHeight="1">
      <c r="A559" s="39"/>
      <c r="B559" s="43" t="str">
        <f>IFERROR(__xludf.DUMMYFUNCTION("IFERROR(
  LET(
    periodos, C$1:Z$1,
    marcas, C559:Z559,
    pos, MAX(
          FILTER(
            COLUMN(marcas)-COLUMN(C559)+1,
            marcas=""X""
          )
        ),
    ultimo, INDEX(periodos, pos),
    XLOOKUP(
      $A559,
      INDI"&amp;"RECT(""'""&amp;ultimo&amp;""'!C:C""),
      INDIRECT(""'""&amp;ultimo&amp;""'!A:A"")
    )
  ),
  """"
)"),"")</f>
        <v/>
      </c>
      <c r="C559" s="41" t="str">
        <f t="shared" ref="C559:J559" si="558">IF(
  COUNTIF(
    INDIRECT("'"&amp;C$1&amp;"'!C:C"),
    $A559
  )&gt;0,
  "X",
  ""
)</f>
        <v/>
      </c>
      <c r="D559" s="41" t="str">
        <f t="shared" si="558"/>
        <v/>
      </c>
      <c r="E559" s="41" t="str">
        <f t="shared" si="558"/>
        <v/>
      </c>
      <c r="F559" s="41" t="str">
        <f t="shared" si="558"/>
        <v/>
      </c>
      <c r="G559" s="41" t="str">
        <f t="shared" si="558"/>
        <v/>
      </c>
      <c r="H559" s="41" t="str">
        <f t="shared" si="558"/>
        <v/>
      </c>
      <c r="I559" s="41" t="str">
        <f t="shared" si="558"/>
        <v/>
      </c>
      <c r="J559" s="41" t="str">
        <f t="shared" si="558"/>
        <v/>
      </c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67.5" customHeight="1">
      <c r="A560" s="39"/>
      <c r="B560" s="43" t="str">
        <f>IFERROR(__xludf.DUMMYFUNCTION("IFERROR(
  LET(
    periodos, C$1:Z$1,
    marcas, C560:Z560,
    pos, MAX(
          FILTER(
            COLUMN(marcas)-COLUMN(C560)+1,
            marcas=""X""
          )
        ),
    ultimo, INDEX(periodos, pos),
    XLOOKUP(
      $A560,
      INDI"&amp;"RECT(""'""&amp;ultimo&amp;""'!C:C""),
      INDIRECT(""'""&amp;ultimo&amp;""'!A:A"")
    )
  ),
  """"
)"),"")</f>
        <v/>
      </c>
      <c r="C560" s="41" t="str">
        <f t="shared" ref="C560:J560" si="559">IF(
  COUNTIF(
    INDIRECT("'"&amp;C$1&amp;"'!C:C"),
    $A560
  )&gt;0,
  "X",
  ""
)</f>
        <v/>
      </c>
      <c r="D560" s="41" t="str">
        <f t="shared" si="559"/>
        <v/>
      </c>
      <c r="E560" s="41" t="str">
        <f t="shared" si="559"/>
        <v/>
      </c>
      <c r="F560" s="41" t="str">
        <f t="shared" si="559"/>
        <v/>
      </c>
      <c r="G560" s="41" t="str">
        <f t="shared" si="559"/>
        <v/>
      </c>
      <c r="H560" s="41" t="str">
        <f t="shared" si="559"/>
        <v/>
      </c>
      <c r="I560" s="41" t="str">
        <f t="shared" si="559"/>
        <v/>
      </c>
      <c r="J560" s="41" t="str">
        <f t="shared" si="559"/>
        <v/>
      </c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67.5" customHeight="1">
      <c r="A561" s="39"/>
      <c r="B561" s="43" t="str">
        <f>IFERROR(__xludf.DUMMYFUNCTION("IFERROR(
  LET(
    periodos, C$1:Z$1,
    marcas, C561:Z561,
    pos, MAX(
          FILTER(
            COLUMN(marcas)-COLUMN(C561)+1,
            marcas=""X""
          )
        ),
    ultimo, INDEX(periodos, pos),
    XLOOKUP(
      $A561,
      INDI"&amp;"RECT(""'""&amp;ultimo&amp;""'!C:C""),
      INDIRECT(""'""&amp;ultimo&amp;""'!A:A"")
    )
  ),
  """"
)"),"")</f>
        <v/>
      </c>
      <c r="C561" s="41" t="str">
        <f t="shared" ref="C561:J561" si="560">IF(
  COUNTIF(
    INDIRECT("'"&amp;C$1&amp;"'!C:C"),
    $A561
  )&gt;0,
  "X",
  ""
)</f>
        <v/>
      </c>
      <c r="D561" s="41" t="str">
        <f t="shared" si="560"/>
        <v/>
      </c>
      <c r="E561" s="41" t="str">
        <f t="shared" si="560"/>
        <v/>
      </c>
      <c r="F561" s="41" t="str">
        <f t="shared" si="560"/>
        <v/>
      </c>
      <c r="G561" s="41" t="str">
        <f t="shared" si="560"/>
        <v/>
      </c>
      <c r="H561" s="41" t="str">
        <f t="shared" si="560"/>
        <v/>
      </c>
      <c r="I561" s="41" t="str">
        <f t="shared" si="560"/>
        <v/>
      </c>
      <c r="J561" s="41" t="str">
        <f t="shared" si="560"/>
        <v/>
      </c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67.5" customHeight="1">
      <c r="A562" s="39"/>
      <c r="B562" s="43" t="str">
        <f>IFERROR(__xludf.DUMMYFUNCTION("IFERROR(
  LET(
    periodos, C$1:Z$1,
    marcas, C562:Z562,
    pos, MAX(
          FILTER(
            COLUMN(marcas)-COLUMN(C562)+1,
            marcas=""X""
          )
        ),
    ultimo, INDEX(periodos, pos),
    XLOOKUP(
      $A562,
      INDI"&amp;"RECT(""'""&amp;ultimo&amp;""'!C:C""),
      INDIRECT(""'""&amp;ultimo&amp;""'!A:A"")
    )
  ),
  """"
)"),"")</f>
        <v/>
      </c>
      <c r="C562" s="41" t="str">
        <f t="shared" ref="C562:J562" si="561">IF(
  COUNTIF(
    INDIRECT("'"&amp;C$1&amp;"'!C:C"),
    $A562
  )&gt;0,
  "X",
  ""
)</f>
        <v/>
      </c>
      <c r="D562" s="41" t="str">
        <f t="shared" si="561"/>
        <v/>
      </c>
      <c r="E562" s="41" t="str">
        <f t="shared" si="561"/>
        <v/>
      </c>
      <c r="F562" s="41" t="str">
        <f t="shared" si="561"/>
        <v/>
      </c>
      <c r="G562" s="41" t="str">
        <f t="shared" si="561"/>
        <v/>
      </c>
      <c r="H562" s="41" t="str">
        <f t="shared" si="561"/>
        <v/>
      </c>
      <c r="I562" s="41" t="str">
        <f t="shared" si="561"/>
        <v/>
      </c>
      <c r="J562" s="41" t="str">
        <f t="shared" si="561"/>
        <v/>
      </c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67.5" customHeight="1">
      <c r="A563" s="39"/>
      <c r="B563" s="43" t="str">
        <f>IFERROR(__xludf.DUMMYFUNCTION("IFERROR(
  LET(
    periodos, C$1:Z$1,
    marcas, C563:Z563,
    pos, MAX(
          FILTER(
            COLUMN(marcas)-COLUMN(C563)+1,
            marcas=""X""
          )
        ),
    ultimo, INDEX(periodos, pos),
    XLOOKUP(
      $A563,
      INDI"&amp;"RECT(""'""&amp;ultimo&amp;""'!C:C""),
      INDIRECT(""'""&amp;ultimo&amp;""'!A:A"")
    )
  ),
  """"
)"),"")</f>
        <v/>
      </c>
      <c r="C563" s="41" t="str">
        <f t="shared" ref="C563:J563" si="562">IF(
  COUNTIF(
    INDIRECT("'"&amp;C$1&amp;"'!C:C"),
    $A563
  )&gt;0,
  "X",
  ""
)</f>
        <v/>
      </c>
      <c r="D563" s="41" t="str">
        <f t="shared" si="562"/>
        <v/>
      </c>
      <c r="E563" s="41" t="str">
        <f t="shared" si="562"/>
        <v/>
      </c>
      <c r="F563" s="41" t="str">
        <f t="shared" si="562"/>
        <v/>
      </c>
      <c r="G563" s="41" t="str">
        <f t="shared" si="562"/>
        <v/>
      </c>
      <c r="H563" s="41" t="str">
        <f t="shared" si="562"/>
        <v/>
      </c>
      <c r="I563" s="41" t="str">
        <f t="shared" si="562"/>
        <v/>
      </c>
      <c r="J563" s="41" t="str">
        <f t="shared" si="562"/>
        <v/>
      </c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67.5" customHeight="1">
      <c r="A564" s="39"/>
      <c r="B564" s="43" t="str">
        <f>IFERROR(__xludf.DUMMYFUNCTION("IFERROR(
  LET(
    periodos, C$1:Z$1,
    marcas, C564:Z564,
    pos, MAX(
          FILTER(
            COLUMN(marcas)-COLUMN(C564)+1,
            marcas=""X""
          )
        ),
    ultimo, INDEX(periodos, pos),
    XLOOKUP(
      $A564,
      INDI"&amp;"RECT(""'""&amp;ultimo&amp;""'!C:C""),
      INDIRECT(""'""&amp;ultimo&amp;""'!A:A"")
    )
  ),
  """"
)"),"")</f>
        <v/>
      </c>
      <c r="C564" s="41" t="str">
        <f t="shared" ref="C564:J564" si="563">IF(
  COUNTIF(
    INDIRECT("'"&amp;C$1&amp;"'!C:C"),
    $A564
  )&gt;0,
  "X",
  ""
)</f>
        <v/>
      </c>
      <c r="D564" s="41" t="str">
        <f t="shared" si="563"/>
        <v/>
      </c>
      <c r="E564" s="41" t="str">
        <f t="shared" si="563"/>
        <v/>
      </c>
      <c r="F564" s="41" t="str">
        <f t="shared" si="563"/>
        <v/>
      </c>
      <c r="G564" s="41" t="str">
        <f t="shared" si="563"/>
        <v/>
      </c>
      <c r="H564" s="41" t="str">
        <f t="shared" si="563"/>
        <v/>
      </c>
      <c r="I564" s="41" t="str">
        <f t="shared" si="563"/>
        <v/>
      </c>
      <c r="J564" s="41" t="str">
        <f t="shared" si="563"/>
        <v/>
      </c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67.5" customHeight="1">
      <c r="A565" s="39"/>
      <c r="B565" s="43" t="str">
        <f>IFERROR(__xludf.DUMMYFUNCTION("IFERROR(
  LET(
    periodos, C$1:Z$1,
    marcas, C565:Z565,
    pos, MAX(
          FILTER(
            COLUMN(marcas)-COLUMN(C565)+1,
            marcas=""X""
          )
        ),
    ultimo, INDEX(periodos, pos),
    XLOOKUP(
      $A565,
      INDI"&amp;"RECT(""'""&amp;ultimo&amp;""'!C:C""),
      INDIRECT(""'""&amp;ultimo&amp;""'!A:A"")
    )
  ),
  """"
)"),"")</f>
        <v/>
      </c>
      <c r="C565" s="41" t="str">
        <f t="shared" ref="C565:J565" si="564">IF(
  COUNTIF(
    INDIRECT("'"&amp;C$1&amp;"'!C:C"),
    $A565
  )&gt;0,
  "X",
  ""
)</f>
        <v/>
      </c>
      <c r="D565" s="41" t="str">
        <f t="shared" si="564"/>
        <v/>
      </c>
      <c r="E565" s="41" t="str">
        <f t="shared" si="564"/>
        <v/>
      </c>
      <c r="F565" s="41" t="str">
        <f t="shared" si="564"/>
        <v/>
      </c>
      <c r="G565" s="41" t="str">
        <f t="shared" si="564"/>
        <v/>
      </c>
      <c r="H565" s="41" t="str">
        <f t="shared" si="564"/>
        <v/>
      </c>
      <c r="I565" s="41" t="str">
        <f t="shared" si="564"/>
        <v/>
      </c>
      <c r="J565" s="41" t="str">
        <f t="shared" si="564"/>
        <v/>
      </c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67.5" customHeight="1">
      <c r="A566" s="39"/>
      <c r="B566" s="43" t="str">
        <f>IFERROR(__xludf.DUMMYFUNCTION("IFERROR(
  LET(
    periodos, C$1:Z$1,
    marcas, C566:Z566,
    pos, MAX(
          FILTER(
            COLUMN(marcas)-COLUMN(C566)+1,
            marcas=""X""
          )
        ),
    ultimo, INDEX(periodos, pos),
    XLOOKUP(
      $A566,
      INDI"&amp;"RECT(""'""&amp;ultimo&amp;""'!C:C""),
      INDIRECT(""'""&amp;ultimo&amp;""'!A:A"")
    )
  ),
  """"
)"),"")</f>
        <v/>
      </c>
      <c r="C566" s="41" t="str">
        <f t="shared" ref="C566:J566" si="565">IF(
  COUNTIF(
    INDIRECT("'"&amp;C$1&amp;"'!C:C"),
    $A566
  )&gt;0,
  "X",
  ""
)</f>
        <v/>
      </c>
      <c r="D566" s="41" t="str">
        <f t="shared" si="565"/>
        <v/>
      </c>
      <c r="E566" s="41" t="str">
        <f t="shared" si="565"/>
        <v/>
      </c>
      <c r="F566" s="41" t="str">
        <f t="shared" si="565"/>
        <v/>
      </c>
      <c r="G566" s="41" t="str">
        <f t="shared" si="565"/>
        <v/>
      </c>
      <c r="H566" s="41" t="str">
        <f t="shared" si="565"/>
        <v/>
      </c>
      <c r="I566" s="41" t="str">
        <f t="shared" si="565"/>
        <v/>
      </c>
      <c r="J566" s="41" t="str">
        <f t="shared" si="565"/>
        <v/>
      </c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67.5" customHeight="1">
      <c r="A567" s="39"/>
      <c r="B567" s="43" t="str">
        <f>IFERROR(__xludf.DUMMYFUNCTION("IFERROR(
  LET(
    periodos, C$1:Z$1,
    marcas, C567:Z567,
    pos, MAX(
          FILTER(
            COLUMN(marcas)-COLUMN(C567)+1,
            marcas=""X""
          )
        ),
    ultimo, INDEX(periodos, pos),
    XLOOKUP(
      $A567,
      INDI"&amp;"RECT(""'""&amp;ultimo&amp;""'!C:C""),
      INDIRECT(""'""&amp;ultimo&amp;""'!A:A"")
    )
  ),
  """"
)"),"")</f>
        <v/>
      </c>
      <c r="C567" s="41" t="str">
        <f t="shared" ref="C567:J567" si="566">IF(
  COUNTIF(
    INDIRECT("'"&amp;C$1&amp;"'!C:C"),
    $A567
  )&gt;0,
  "X",
  ""
)</f>
        <v/>
      </c>
      <c r="D567" s="41" t="str">
        <f t="shared" si="566"/>
        <v/>
      </c>
      <c r="E567" s="41" t="str">
        <f t="shared" si="566"/>
        <v/>
      </c>
      <c r="F567" s="41" t="str">
        <f t="shared" si="566"/>
        <v/>
      </c>
      <c r="G567" s="41" t="str">
        <f t="shared" si="566"/>
        <v/>
      </c>
      <c r="H567" s="41" t="str">
        <f t="shared" si="566"/>
        <v/>
      </c>
      <c r="I567" s="41" t="str">
        <f t="shared" si="566"/>
        <v/>
      </c>
      <c r="J567" s="41" t="str">
        <f t="shared" si="566"/>
        <v/>
      </c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67.5" customHeight="1">
      <c r="A568" s="39"/>
      <c r="B568" s="43" t="str">
        <f>IFERROR(__xludf.DUMMYFUNCTION("IFERROR(
  LET(
    periodos, C$1:Z$1,
    marcas, C568:Z568,
    pos, MAX(
          FILTER(
            COLUMN(marcas)-COLUMN(C568)+1,
            marcas=""X""
          )
        ),
    ultimo, INDEX(periodos, pos),
    XLOOKUP(
      $A568,
      INDI"&amp;"RECT(""'""&amp;ultimo&amp;""'!C:C""),
      INDIRECT(""'""&amp;ultimo&amp;""'!A:A"")
    )
  ),
  """"
)"),"")</f>
        <v/>
      </c>
      <c r="C568" s="41" t="str">
        <f t="shared" ref="C568:J568" si="567">IF(
  COUNTIF(
    INDIRECT("'"&amp;C$1&amp;"'!C:C"),
    $A568
  )&gt;0,
  "X",
  ""
)</f>
        <v/>
      </c>
      <c r="D568" s="41" t="str">
        <f t="shared" si="567"/>
        <v/>
      </c>
      <c r="E568" s="41" t="str">
        <f t="shared" si="567"/>
        <v/>
      </c>
      <c r="F568" s="41" t="str">
        <f t="shared" si="567"/>
        <v/>
      </c>
      <c r="G568" s="41" t="str">
        <f t="shared" si="567"/>
        <v/>
      </c>
      <c r="H568" s="41" t="str">
        <f t="shared" si="567"/>
        <v/>
      </c>
      <c r="I568" s="41" t="str">
        <f t="shared" si="567"/>
        <v/>
      </c>
      <c r="J568" s="41" t="str">
        <f t="shared" si="567"/>
        <v/>
      </c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67.5" customHeight="1">
      <c r="A569" s="39"/>
      <c r="B569" s="43" t="str">
        <f>IFERROR(__xludf.DUMMYFUNCTION("IFERROR(
  LET(
    periodos, C$1:Z$1,
    marcas, C569:Z569,
    pos, MAX(
          FILTER(
            COLUMN(marcas)-COLUMN(C569)+1,
            marcas=""X""
          )
        ),
    ultimo, INDEX(periodos, pos),
    XLOOKUP(
      $A569,
      INDI"&amp;"RECT(""'""&amp;ultimo&amp;""'!C:C""),
      INDIRECT(""'""&amp;ultimo&amp;""'!A:A"")
    )
  ),
  """"
)"),"")</f>
        <v/>
      </c>
      <c r="C569" s="41" t="str">
        <f t="shared" ref="C569:J569" si="568">IF(
  COUNTIF(
    INDIRECT("'"&amp;C$1&amp;"'!C:C"),
    $A569
  )&gt;0,
  "X",
  ""
)</f>
        <v/>
      </c>
      <c r="D569" s="41" t="str">
        <f t="shared" si="568"/>
        <v/>
      </c>
      <c r="E569" s="41" t="str">
        <f t="shared" si="568"/>
        <v/>
      </c>
      <c r="F569" s="41" t="str">
        <f t="shared" si="568"/>
        <v/>
      </c>
      <c r="G569" s="41" t="str">
        <f t="shared" si="568"/>
        <v/>
      </c>
      <c r="H569" s="41" t="str">
        <f t="shared" si="568"/>
        <v/>
      </c>
      <c r="I569" s="41" t="str">
        <f t="shared" si="568"/>
        <v/>
      </c>
      <c r="J569" s="41" t="str">
        <f t="shared" si="568"/>
        <v/>
      </c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67.5" customHeight="1">
      <c r="A570" s="39"/>
      <c r="B570" s="43" t="str">
        <f>IFERROR(__xludf.DUMMYFUNCTION("IFERROR(
  LET(
    periodos, C$1:Z$1,
    marcas, C570:Z570,
    pos, MAX(
          FILTER(
            COLUMN(marcas)-COLUMN(C570)+1,
            marcas=""X""
          )
        ),
    ultimo, INDEX(periodos, pos),
    XLOOKUP(
      $A570,
      INDI"&amp;"RECT(""'""&amp;ultimo&amp;""'!C:C""),
      INDIRECT(""'""&amp;ultimo&amp;""'!A:A"")
    )
  ),
  """"
)"),"")</f>
        <v/>
      </c>
      <c r="C570" s="41" t="str">
        <f t="shared" ref="C570:J570" si="569">IF(
  COUNTIF(
    INDIRECT("'"&amp;C$1&amp;"'!C:C"),
    $A570
  )&gt;0,
  "X",
  ""
)</f>
        <v/>
      </c>
      <c r="D570" s="41" t="str">
        <f t="shared" si="569"/>
        <v/>
      </c>
      <c r="E570" s="41" t="str">
        <f t="shared" si="569"/>
        <v/>
      </c>
      <c r="F570" s="41" t="str">
        <f t="shared" si="569"/>
        <v/>
      </c>
      <c r="G570" s="41" t="str">
        <f t="shared" si="569"/>
        <v/>
      </c>
      <c r="H570" s="41" t="str">
        <f t="shared" si="569"/>
        <v/>
      </c>
      <c r="I570" s="41" t="str">
        <f t="shared" si="569"/>
        <v/>
      </c>
      <c r="J570" s="41" t="str">
        <f t="shared" si="569"/>
        <v/>
      </c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67.5" customHeight="1">
      <c r="A571" s="39"/>
      <c r="B571" s="43" t="str">
        <f>IFERROR(__xludf.DUMMYFUNCTION("IFERROR(
  LET(
    periodos, C$1:Z$1,
    marcas, C571:Z571,
    pos, MAX(
          FILTER(
            COLUMN(marcas)-COLUMN(C571)+1,
            marcas=""X""
          )
        ),
    ultimo, INDEX(periodos, pos),
    XLOOKUP(
      $A571,
      INDI"&amp;"RECT(""'""&amp;ultimo&amp;""'!C:C""),
      INDIRECT(""'""&amp;ultimo&amp;""'!A:A"")
    )
  ),
  """"
)"),"")</f>
        <v/>
      </c>
      <c r="C571" s="41" t="str">
        <f t="shared" ref="C571:J571" si="570">IF(
  COUNTIF(
    INDIRECT("'"&amp;C$1&amp;"'!C:C"),
    $A571
  )&gt;0,
  "X",
  ""
)</f>
        <v/>
      </c>
      <c r="D571" s="41" t="str">
        <f t="shared" si="570"/>
        <v/>
      </c>
      <c r="E571" s="41" t="str">
        <f t="shared" si="570"/>
        <v/>
      </c>
      <c r="F571" s="41" t="str">
        <f t="shared" si="570"/>
        <v/>
      </c>
      <c r="G571" s="41" t="str">
        <f t="shared" si="570"/>
        <v/>
      </c>
      <c r="H571" s="41" t="str">
        <f t="shared" si="570"/>
        <v/>
      </c>
      <c r="I571" s="41" t="str">
        <f t="shared" si="570"/>
        <v/>
      </c>
      <c r="J571" s="41" t="str">
        <f t="shared" si="570"/>
        <v/>
      </c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67.5" customHeight="1">
      <c r="A572" s="39"/>
      <c r="B572" s="43" t="str">
        <f>IFERROR(__xludf.DUMMYFUNCTION("IFERROR(
  LET(
    periodos, C$1:Z$1,
    marcas, C572:Z572,
    pos, MAX(
          FILTER(
            COLUMN(marcas)-COLUMN(C572)+1,
            marcas=""X""
          )
        ),
    ultimo, INDEX(periodos, pos),
    XLOOKUP(
      $A572,
      INDI"&amp;"RECT(""'""&amp;ultimo&amp;""'!C:C""),
      INDIRECT(""'""&amp;ultimo&amp;""'!A:A"")
    )
  ),
  """"
)"),"")</f>
        <v/>
      </c>
      <c r="C572" s="41" t="str">
        <f t="shared" ref="C572:J572" si="571">IF(
  COUNTIF(
    INDIRECT("'"&amp;C$1&amp;"'!C:C"),
    $A572
  )&gt;0,
  "X",
  ""
)</f>
        <v/>
      </c>
      <c r="D572" s="41" t="str">
        <f t="shared" si="571"/>
        <v/>
      </c>
      <c r="E572" s="41" t="str">
        <f t="shared" si="571"/>
        <v/>
      </c>
      <c r="F572" s="41" t="str">
        <f t="shared" si="571"/>
        <v/>
      </c>
      <c r="G572" s="41" t="str">
        <f t="shared" si="571"/>
        <v/>
      </c>
      <c r="H572" s="41" t="str">
        <f t="shared" si="571"/>
        <v/>
      </c>
      <c r="I572" s="41" t="str">
        <f t="shared" si="571"/>
        <v/>
      </c>
      <c r="J572" s="41" t="str">
        <f t="shared" si="571"/>
        <v/>
      </c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67.5" customHeight="1">
      <c r="A573" s="39"/>
      <c r="B573" s="43" t="str">
        <f>IFERROR(__xludf.DUMMYFUNCTION("IFERROR(
  LET(
    periodos, C$1:Z$1,
    marcas, C573:Z573,
    pos, MAX(
          FILTER(
            COLUMN(marcas)-COLUMN(C573)+1,
            marcas=""X""
          )
        ),
    ultimo, INDEX(periodos, pos),
    XLOOKUP(
      $A573,
      INDI"&amp;"RECT(""'""&amp;ultimo&amp;""'!C:C""),
      INDIRECT(""'""&amp;ultimo&amp;""'!A:A"")
    )
  ),
  """"
)"),"")</f>
        <v/>
      </c>
      <c r="C573" s="41" t="str">
        <f t="shared" ref="C573:J573" si="572">IF(
  COUNTIF(
    INDIRECT("'"&amp;C$1&amp;"'!C:C"),
    $A573
  )&gt;0,
  "X",
  ""
)</f>
        <v/>
      </c>
      <c r="D573" s="41" t="str">
        <f t="shared" si="572"/>
        <v/>
      </c>
      <c r="E573" s="41" t="str">
        <f t="shared" si="572"/>
        <v/>
      </c>
      <c r="F573" s="41" t="str">
        <f t="shared" si="572"/>
        <v/>
      </c>
      <c r="G573" s="41" t="str">
        <f t="shared" si="572"/>
        <v/>
      </c>
      <c r="H573" s="41" t="str">
        <f t="shared" si="572"/>
        <v/>
      </c>
      <c r="I573" s="41" t="str">
        <f t="shared" si="572"/>
        <v/>
      </c>
      <c r="J573" s="41" t="str">
        <f t="shared" si="572"/>
        <v/>
      </c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67.5" customHeight="1">
      <c r="A574" s="39"/>
      <c r="B574" s="43" t="str">
        <f>IFERROR(__xludf.DUMMYFUNCTION("IFERROR(
  LET(
    periodos, C$1:Z$1,
    marcas, C574:Z574,
    pos, MAX(
          FILTER(
            COLUMN(marcas)-COLUMN(C574)+1,
            marcas=""X""
          )
        ),
    ultimo, INDEX(periodos, pos),
    XLOOKUP(
      $A574,
      INDI"&amp;"RECT(""'""&amp;ultimo&amp;""'!C:C""),
      INDIRECT(""'""&amp;ultimo&amp;""'!A:A"")
    )
  ),
  """"
)"),"")</f>
        <v/>
      </c>
      <c r="C574" s="41" t="str">
        <f t="shared" ref="C574:J574" si="573">IF(
  COUNTIF(
    INDIRECT("'"&amp;C$1&amp;"'!C:C"),
    $A574
  )&gt;0,
  "X",
  ""
)</f>
        <v/>
      </c>
      <c r="D574" s="41" t="str">
        <f t="shared" si="573"/>
        <v/>
      </c>
      <c r="E574" s="41" t="str">
        <f t="shared" si="573"/>
        <v/>
      </c>
      <c r="F574" s="41" t="str">
        <f t="shared" si="573"/>
        <v/>
      </c>
      <c r="G574" s="41" t="str">
        <f t="shared" si="573"/>
        <v/>
      </c>
      <c r="H574" s="41" t="str">
        <f t="shared" si="573"/>
        <v/>
      </c>
      <c r="I574" s="41" t="str">
        <f t="shared" si="573"/>
        <v/>
      </c>
      <c r="J574" s="41" t="str">
        <f t="shared" si="573"/>
        <v/>
      </c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67.5" customHeight="1">
      <c r="A575" s="39"/>
      <c r="B575" s="43" t="str">
        <f>IFERROR(__xludf.DUMMYFUNCTION("IFERROR(
  LET(
    periodos, C$1:Z$1,
    marcas, C575:Z575,
    pos, MAX(
          FILTER(
            COLUMN(marcas)-COLUMN(C575)+1,
            marcas=""X""
          )
        ),
    ultimo, INDEX(periodos, pos),
    XLOOKUP(
      $A575,
      INDI"&amp;"RECT(""'""&amp;ultimo&amp;""'!C:C""),
      INDIRECT(""'""&amp;ultimo&amp;""'!A:A"")
    )
  ),
  """"
)"),"")</f>
        <v/>
      </c>
      <c r="C575" s="41" t="str">
        <f t="shared" ref="C575:J575" si="574">IF(
  COUNTIF(
    INDIRECT("'"&amp;C$1&amp;"'!C:C"),
    $A575
  )&gt;0,
  "X",
  ""
)</f>
        <v/>
      </c>
      <c r="D575" s="41" t="str">
        <f t="shared" si="574"/>
        <v/>
      </c>
      <c r="E575" s="41" t="str">
        <f t="shared" si="574"/>
        <v/>
      </c>
      <c r="F575" s="41" t="str">
        <f t="shared" si="574"/>
        <v/>
      </c>
      <c r="G575" s="41" t="str">
        <f t="shared" si="574"/>
        <v/>
      </c>
      <c r="H575" s="41" t="str">
        <f t="shared" si="574"/>
        <v/>
      </c>
      <c r="I575" s="41" t="str">
        <f t="shared" si="574"/>
        <v/>
      </c>
      <c r="J575" s="41" t="str">
        <f t="shared" si="574"/>
        <v/>
      </c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67.5" customHeight="1">
      <c r="A576" s="39"/>
      <c r="B576" s="43" t="str">
        <f>IFERROR(__xludf.DUMMYFUNCTION("IFERROR(
  LET(
    periodos, C$1:Z$1,
    marcas, C576:Z576,
    pos, MAX(
          FILTER(
            COLUMN(marcas)-COLUMN(C576)+1,
            marcas=""X""
          )
        ),
    ultimo, INDEX(periodos, pos),
    XLOOKUP(
      $A576,
      INDI"&amp;"RECT(""'""&amp;ultimo&amp;""'!C:C""),
      INDIRECT(""'""&amp;ultimo&amp;""'!A:A"")
    )
  ),
  """"
)"),"")</f>
        <v/>
      </c>
      <c r="C576" s="41" t="str">
        <f t="shared" ref="C576:J576" si="575">IF(
  COUNTIF(
    INDIRECT("'"&amp;C$1&amp;"'!C:C"),
    $A576
  )&gt;0,
  "X",
  ""
)</f>
        <v/>
      </c>
      <c r="D576" s="41" t="str">
        <f t="shared" si="575"/>
        <v/>
      </c>
      <c r="E576" s="41" t="str">
        <f t="shared" si="575"/>
        <v/>
      </c>
      <c r="F576" s="41" t="str">
        <f t="shared" si="575"/>
        <v/>
      </c>
      <c r="G576" s="41" t="str">
        <f t="shared" si="575"/>
        <v/>
      </c>
      <c r="H576" s="41" t="str">
        <f t="shared" si="575"/>
        <v/>
      </c>
      <c r="I576" s="41" t="str">
        <f t="shared" si="575"/>
        <v/>
      </c>
      <c r="J576" s="41" t="str">
        <f t="shared" si="575"/>
        <v/>
      </c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67.5" customHeight="1">
      <c r="A577" s="39"/>
      <c r="B577" s="43" t="str">
        <f>IFERROR(__xludf.DUMMYFUNCTION("IFERROR(
  LET(
    periodos, C$1:Z$1,
    marcas, C577:Z577,
    pos, MAX(
          FILTER(
            COLUMN(marcas)-COLUMN(C577)+1,
            marcas=""X""
          )
        ),
    ultimo, INDEX(periodos, pos),
    XLOOKUP(
      $A577,
      INDI"&amp;"RECT(""'""&amp;ultimo&amp;""'!C:C""),
      INDIRECT(""'""&amp;ultimo&amp;""'!A:A"")
    )
  ),
  """"
)"),"")</f>
        <v/>
      </c>
      <c r="C577" s="41" t="str">
        <f t="shared" ref="C577:J577" si="576">IF(
  COUNTIF(
    INDIRECT("'"&amp;C$1&amp;"'!C:C"),
    $A577
  )&gt;0,
  "X",
  ""
)</f>
        <v/>
      </c>
      <c r="D577" s="41" t="str">
        <f t="shared" si="576"/>
        <v/>
      </c>
      <c r="E577" s="41" t="str">
        <f t="shared" si="576"/>
        <v/>
      </c>
      <c r="F577" s="41" t="str">
        <f t="shared" si="576"/>
        <v/>
      </c>
      <c r="G577" s="41" t="str">
        <f t="shared" si="576"/>
        <v/>
      </c>
      <c r="H577" s="41" t="str">
        <f t="shared" si="576"/>
        <v/>
      </c>
      <c r="I577" s="41" t="str">
        <f t="shared" si="576"/>
        <v/>
      </c>
      <c r="J577" s="41" t="str">
        <f t="shared" si="576"/>
        <v/>
      </c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67.5" customHeight="1">
      <c r="A578" s="39"/>
      <c r="B578" s="43" t="str">
        <f>IFERROR(__xludf.DUMMYFUNCTION("IFERROR(
  LET(
    periodos, C$1:Z$1,
    marcas, C578:Z578,
    pos, MAX(
          FILTER(
            COLUMN(marcas)-COLUMN(C578)+1,
            marcas=""X""
          )
        ),
    ultimo, INDEX(periodos, pos),
    XLOOKUP(
      $A578,
      INDI"&amp;"RECT(""'""&amp;ultimo&amp;""'!C:C""),
      INDIRECT(""'""&amp;ultimo&amp;""'!A:A"")
    )
  ),
  """"
)"),"")</f>
        <v/>
      </c>
      <c r="C578" s="41" t="str">
        <f t="shared" ref="C578:J578" si="577">IF(
  COUNTIF(
    INDIRECT("'"&amp;C$1&amp;"'!C:C"),
    $A578
  )&gt;0,
  "X",
  ""
)</f>
        <v/>
      </c>
      <c r="D578" s="41" t="str">
        <f t="shared" si="577"/>
        <v/>
      </c>
      <c r="E578" s="41" t="str">
        <f t="shared" si="577"/>
        <v/>
      </c>
      <c r="F578" s="41" t="str">
        <f t="shared" si="577"/>
        <v/>
      </c>
      <c r="G578" s="41" t="str">
        <f t="shared" si="577"/>
        <v/>
      </c>
      <c r="H578" s="41" t="str">
        <f t="shared" si="577"/>
        <v/>
      </c>
      <c r="I578" s="41" t="str">
        <f t="shared" si="577"/>
        <v/>
      </c>
      <c r="J578" s="41" t="str">
        <f t="shared" si="577"/>
        <v/>
      </c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67.5" customHeight="1">
      <c r="A579" s="39"/>
      <c r="B579" s="43" t="str">
        <f>IFERROR(__xludf.DUMMYFUNCTION("IFERROR(
  LET(
    periodos, C$1:Z$1,
    marcas, C579:Z579,
    pos, MAX(
          FILTER(
            COLUMN(marcas)-COLUMN(C579)+1,
            marcas=""X""
          )
        ),
    ultimo, INDEX(periodos, pos),
    XLOOKUP(
      $A579,
      INDI"&amp;"RECT(""'""&amp;ultimo&amp;""'!C:C""),
      INDIRECT(""'""&amp;ultimo&amp;""'!A:A"")
    )
  ),
  """"
)"),"")</f>
        <v/>
      </c>
      <c r="C579" s="41" t="str">
        <f t="shared" ref="C579:J579" si="578">IF(
  COUNTIF(
    INDIRECT("'"&amp;C$1&amp;"'!C:C"),
    $A579
  )&gt;0,
  "X",
  ""
)</f>
        <v/>
      </c>
      <c r="D579" s="41" t="str">
        <f t="shared" si="578"/>
        <v/>
      </c>
      <c r="E579" s="41" t="str">
        <f t="shared" si="578"/>
        <v/>
      </c>
      <c r="F579" s="41" t="str">
        <f t="shared" si="578"/>
        <v/>
      </c>
      <c r="G579" s="41" t="str">
        <f t="shared" si="578"/>
        <v/>
      </c>
      <c r="H579" s="41" t="str">
        <f t="shared" si="578"/>
        <v/>
      </c>
      <c r="I579" s="41" t="str">
        <f t="shared" si="578"/>
        <v/>
      </c>
      <c r="J579" s="41" t="str">
        <f t="shared" si="578"/>
        <v/>
      </c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67.5" customHeight="1">
      <c r="A580" s="39"/>
      <c r="B580" s="43" t="str">
        <f>IFERROR(__xludf.DUMMYFUNCTION("IFERROR(
  LET(
    periodos, C$1:Z$1,
    marcas, C580:Z580,
    pos, MAX(
          FILTER(
            COLUMN(marcas)-COLUMN(C580)+1,
            marcas=""X""
          )
        ),
    ultimo, INDEX(periodos, pos),
    XLOOKUP(
      $A580,
      INDI"&amp;"RECT(""'""&amp;ultimo&amp;""'!C:C""),
      INDIRECT(""'""&amp;ultimo&amp;""'!A:A"")
    )
  ),
  """"
)"),"")</f>
        <v/>
      </c>
      <c r="C580" s="41" t="str">
        <f t="shared" ref="C580:J580" si="579">IF(
  COUNTIF(
    INDIRECT("'"&amp;C$1&amp;"'!C:C"),
    $A580
  )&gt;0,
  "X",
  ""
)</f>
        <v/>
      </c>
      <c r="D580" s="41" t="str">
        <f t="shared" si="579"/>
        <v/>
      </c>
      <c r="E580" s="41" t="str">
        <f t="shared" si="579"/>
        <v/>
      </c>
      <c r="F580" s="41" t="str">
        <f t="shared" si="579"/>
        <v/>
      </c>
      <c r="G580" s="41" t="str">
        <f t="shared" si="579"/>
        <v/>
      </c>
      <c r="H580" s="41" t="str">
        <f t="shared" si="579"/>
        <v/>
      </c>
      <c r="I580" s="41" t="str">
        <f t="shared" si="579"/>
        <v/>
      </c>
      <c r="J580" s="41" t="str">
        <f t="shared" si="579"/>
        <v/>
      </c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67.5" customHeight="1">
      <c r="A581" s="39"/>
      <c r="B581" s="43" t="str">
        <f>IFERROR(__xludf.DUMMYFUNCTION("IFERROR(
  LET(
    periodos, C$1:Z$1,
    marcas, C581:Z581,
    pos, MAX(
          FILTER(
            COLUMN(marcas)-COLUMN(C581)+1,
            marcas=""X""
          )
        ),
    ultimo, INDEX(periodos, pos),
    XLOOKUP(
      $A581,
      INDI"&amp;"RECT(""'""&amp;ultimo&amp;""'!C:C""),
      INDIRECT(""'""&amp;ultimo&amp;""'!A:A"")
    )
  ),
  """"
)"),"")</f>
        <v/>
      </c>
      <c r="C581" s="41" t="str">
        <f t="shared" ref="C581:J581" si="580">IF(
  COUNTIF(
    INDIRECT("'"&amp;C$1&amp;"'!C:C"),
    $A581
  )&gt;0,
  "X",
  ""
)</f>
        <v/>
      </c>
      <c r="D581" s="41" t="str">
        <f t="shared" si="580"/>
        <v/>
      </c>
      <c r="E581" s="41" t="str">
        <f t="shared" si="580"/>
        <v/>
      </c>
      <c r="F581" s="41" t="str">
        <f t="shared" si="580"/>
        <v/>
      </c>
      <c r="G581" s="41" t="str">
        <f t="shared" si="580"/>
        <v/>
      </c>
      <c r="H581" s="41" t="str">
        <f t="shared" si="580"/>
        <v/>
      </c>
      <c r="I581" s="41" t="str">
        <f t="shared" si="580"/>
        <v/>
      </c>
      <c r="J581" s="41" t="str">
        <f t="shared" si="580"/>
        <v/>
      </c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67.5" customHeight="1">
      <c r="A582" s="39"/>
      <c r="B582" s="43" t="str">
        <f>IFERROR(__xludf.DUMMYFUNCTION("IFERROR(
  LET(
    periodos, C$1:Z$1,
    marcas, C582:Z582,
    pos, MAX(
          FILTER(
            COLUMN(marcas)-COLUMN(C582)+1,
            marcas=""X""
          )
        ),
    ultimo, INDEX(periodos, pos),
    XLOOKUP(
      $A582,
      INDI"&amp;"RECT(""'""&amp;ultimo&amp;""'!C:C""),
      INDIRECT(""'""&amp;ultimo&amp;""'!A:A"")
    )
  ),
  """"
)"),"")</f>
        <v/>
      </c>
      <c r="C582" s="41" t="str">
        <f t="shared" ref="C582:J582" si="581">IF(
  COUNTIF(
    INDIRECT("'"&amp;C$1&amp;"'!C:C"),
    $A582
  )&gt;0,
  "X",
  ""
)</f>
        <v/>
      </c>
      <c r="D582" s="41" t="str">
        <f t="shared" si="581"/>
        <v/>
      </c>
      <c r="E582" s="41" t="str">
        <f t="shared" si="581"/>
        <v/>
      </c>
      <c r="F582" s="41" t="str">
        <f t="shared" si="581"/>
        <v/>
      </c>
      <c r="G582" s="41" t="str">
        <f t="shared" si="581"/>
        <v/>
      </c>
      <c r="H582" s="41" t="str">
        <f t="shared" si="581"/>
        <v/>
      </c>
      <c r="I582" s="41" t="str">
        <f t="shared" si="581"/>
        <v/>
      </c>
      <c r="J582" s="41" t="str">
        <f t="shared" si="581"/>
        <v/>
      </c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67.5" customHeight="1">
      <c r="A583" s="39"/>
      <c r="B583" s="43" t="str">
        <f>IFERROR(__xludf.DUMMYFUNCTION("IFERROR(
  LET(
    periodos, C$1:Z$1,
    marcas, C583:Z583,
    pos, MAX(
          FILTER(
            COLUMN(marcas)-COLUMN(C583)+1,
            marcas=""X""
          )
        ),
    ultimo, INDEX(periodos, pos),
    XLOOKUP(
      $A583,
      INDI"&amp;"RECT(""'""&amp;ultimo&amp;""'!C:C""),
      INDIRECT(""'""&amp;ultimo&amp;""'!A:A"")
    )
  ),
  """"
)"),"")</f>
        <v/>
      </c>
      <c r="C583" s="41" t="str">
        <f t="shared" ref="C583:J583" si="582">IF(
  COUNTIF(
    INDIRECT("'"&amp;C$1&amp;"'!C:C"),
    $A583
  )&gt;0,
  "X",
  ""
)</f>
        <v/>
      </c>
      <c r="D583" s="41" t="str">
        <f t="shared" si="582"/>
        <v/>
      </c>
      <c r="E583" s="41" t="str">
        <f t="shared" si="582"/>
        <v/>
      </c>
      <c r="F583" s="41" t="str">
        <f t="shared" si="582"/>
        <v/>
      </c>
      <c r="G583" s="41" t="str">
        <f t="shared" si="582"/>
        <v/>
      </c>
      <c r="H583" s="41" t="str">
        <f t="shared" si="582"/>
        <v/>
      </c>
      <c r="I583" s="41" t="str">
        <f t="shared" si="582"/>
        <v/>
      </c>
      <c r="J583" s="41" t="str">
        <f t="shared" si="582"/>
        <v/>
      </c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67.5" customHeight="1">
      <c r="A584" s="39"/>
      <c r="B584" s="43" t="str">
        <f>IFERROR(__xludf.DUMMYFUNCTION("IFERROR(
  LET(
    periodos, C$1:Z$1,
    marcas, C584:Z584,
    pos, MAX(
          FILTER(
            COLUMN(marcas)-COLUMN(C584)+1,
            marcas=""X""
          )
        ),
    ultimo, INDEX(periodos, pos),
    XLOOKUP(
      $A584,
      INDI"&amp;"RECT(""'""&amp;ultimo&amp;""'!C:C""),
      INDIRECT(""'""&amp;ultimo&amp;""'!A:A"")
    )
  ),
  """"
)"),"")</f>
        <v/>
      </c>
      <c r="C584" s="41" t="str">
        <f t="shared" ref="C584:J584" si="583">IF(
  COUNTIF(
    INDIRECT("'"&amp;C$1&amp;"'!C:C"),
    $A584
  )&gt;0,
  "X",
  ""
)</f>
        <v/>
      </c>
      <c r="D584" s="41" t="str">
        <f t="shared" si="583"/>
        <v/>
      </c>
      <c r="E584" s="41" t="str">
        <f t="shared" si="583"/>
        <v/>
      </c>
      <c r="F584" s="41" t="str">
        <f t="shared" si="583"/>
        <v/>
      </c>
      <c r="G584" s="41" t="str">
        <f t="shared" si="583"/>
        <v/>
      </c>
      <c r="H584" s="41" t="str">
        <f t="shared" si="583"/>
        <v/>
      </c>
      <c r="I584" s="41" t="str">
        <f t="shared" si="583"/>
        <v/>
      </c>
      <c r="J584" s="41" t="str">
        <f t="shared" si="583"/>
        <v/>
      </c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67.5" customHeight="1">
      <c r="A585" s="39"/>
      <c r="B585" s="43" t="str">
        <f>IFERROR(__xludf.DUMMYFUNCTION("IFERROR(
  LET(
    periodos, C$1:Z$1,
    marcas, C585:Z585,
    pos, MAX(
          FILTER(
            COLUMN(marcas)-COLUMN(C585)+1,
            marcas=""X""
          )
        ),
    ultimo, INDEX(periodos, pos),
    XLOOKUP(
      $A585,
      INDI"&amp;"RECT(""'""&amp;ultimo&amp;""'!C:C""),
      INDIRECT(""'""&amp;ultimo&amp;""'!A:A"")
    )
  ),
  """"
)"),"")</f>
        <v/>
      </c>
      <c r="C585" s="41" t="str">
        <f t="shared" ref="C585:J585" si="584">IF(
  COUNTIF(
    INDIRECT("'"&amp;C$1&amp;"'!C:C"),
    $A585
  )&gt;0,
  "X",
  ""
)</f>
        <v/>
      </c>
      <c r="D585" s="41" t="str">
        <f t="shared" si="584"/>
        <v/>
      </c>
      <c r="E585" s="41" t="str">
        <f t="shared" si="584"/>
        <v/>
      </c>
      <c r="F585" s="41" t="str">
        <f t="shared" si="584"/>
        <v/>
      </c>
      <c r="G585" s="41" t="str">
        <f t="shared" si="584"/>
        <v/>
      </c>
      <c r="H585" s="41" t="str">
        <f t="shared" si="584"/>
        <v/>
      </c>
      <c r="I585" s="41" t="str">
        <f t="shared" si="584"/>
        <v/>
      </c>
      <c r="J585" s="41" t="str">
        <f t="shared" si="584"/>
        <v/>
      </c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67.5" customHeight="1">
      <c r="A586" s="39"/>
      <c r="B586" s="43" t="str">
        <f>IFERROR(__xludf.DUMMYFUNCTION("IFERROR(
  LET(
    periodos, C$1:Z$1,
    marcas, C586:Z586,
    pos, MAX(
          FILTER(
            COLUMN(marcas)-COLUMN(C586)+1,
            marcas=""X""
          )
        ),
    ultimo, INDEX(periodos, pos),
    XLOOKUP(
      $A586,
      INDI"&amp;"RECT(""'""&amp;ultimo&amp;""'!C:C""),
      INDIRECT(""'""&amp;ultimo&amp;""'!A:A"")
    )
  ),
  """"
)"),"")</f>
        <v/>
      </c>
      <c r="C586" s="41" t="str">
        <f t="shared" ref="C586:J586" si="585">IF(
  COUNTIF(
    INDIRECT("'"&amp;C$1&amp;"'!C:C"),
    $A586
  )&gt;0,
  "X",
  ""
)</f>
        <v/>
      </c>
      <c r="D586" s="41" t="str">
        <f t="shared" si="585"/>
        <v/>
      </c>
      <c r="E586" s="41" t="str">
        <f t="shared" si="585"/>
        <v/>
      </c>
      <c r="F586" s="41" t="str">
        <f t="shared" si="585"/>
        <v/>
      </c>
      <c r="G586" s="41" t="str">
        <f t="shared" si="585"/>
        <v/>
      </c>
      <c r="H586" s="41" t="str">
        <f t="shared" si="585"/>
        <v/>
      </c>
      <c r="I586" s="41" t="str">
        <f t="shared" si="585"/>
        <v/>
      </c>
      <c r="J586" s="41" t="str">
        <f t="shared" si="585"/>
        <v/>
      </c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67.5" customHeight="1">
      <c r="A587" s="39"/>
      <c r="B587" s="43" t="str">
        <f>IFERROR(__xludf.DUMMYFUNCTION("IFERROR(
  LET(
    periodos, C$1:Z$1,
    marcas, C587:Z587,
    pos, MAX(
          FILTER(
            COLUMN(marcas)-COLUMN(C587)+1,
            marcas=""X""
          )
        ),
    ultimo, INDEX(periodos, pos),
    XLOOKUP(
      $A587,
      INDI"&amp;"RECT(""'""&amp;ultimo&amp;""'!C:C""),
      INDIRECT(""'""&amp;ultimo&amp;""'!A:A"")
    )
  ),
  """"
)"),"")</f>
        <v/>
      </c>
      <c r="C587" s="41" t="str">
        <f t="shared" ref="C587:J587" si="586">IF(
  COUNTIF(
    INDIRECT("'"&amp;C$1&amp;"'!C:C"),
    $A587
  )&gt;0,
  "X",
  ""
)</f>
        <v/>
      </c>
      <c r="D587" s="41" t="str">
        <f t="shared" si="586"/>
        <v/>
      </c>
      <c r="E587" s="41" t="str">
        <f t="shared" si="586"/>
        <v/>
      </c>
      <c r="F587" s="41" t="str">
        <f t="shared" si="586"/>
        <v/>
      </c>
      <c r="G587" s="41" t="str">
        <f t="shared" si="586"/>
        <v/>
      </c>
      <c r="H587" s="41" t="str">
        <f t="shared" si="586"/>
        <v/>
      </c>
      <c r="I587" s="41" t="str">
        <f t="shared" si="586"/>
        <v/>
      </c>
      <c r="J587" s="41" t="str">
        <f t="shared" si="586"/>
        <v/>
      </c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67.5" customHeight="1">
      <c r="A588" s="39"/>
      <c r="B588" s="43" t="str">
        <f>IFERROR(__xludf.DUMMYFUNCTION("IFERROR(
  LET(
    periodos, C$1:Z$1,
    marcas, C588:Z588,
    pos, MAX(
          FILTER(
            COLUMN(marcas)-COLUMN(C588)+1,
            marcas=""X""
          )
        ),
    ultimo, INDEX(periodos, pos),
    XLOOKUP(
      $A588,
      INDI"&amp;"RECT(""'""&amp;ultimo&amp;""'!C:C""),
      INDIRECT(""'""&amp;ultimo&amp;""'!A:A"")
    )
  ),
  """"
)"),"")</f>
        <v/>
      </c>
      <c r="C588" s="41" t="str">
        <f t="shared" ref="C588:J588" si="587">IF(
  COUNTIF(
    INDIRECT("'"&amp;C$1&amp;"'!C:C"),
    $A588
  )&gt;0,
  "X",
  ""
)</f>
        <v/>
      </c>
      <c r="D588" s="41" t="str">
        <f t="shared" si="587"/>
        <v/>
      </c>
      <c r="E588" s="41" t="str">
        <f t="shared" si="587"/>
        <v/>
      </c>
      <c r="F588" s="41" t="str">
        <f t="shared" si="587"/>
        <v/>
      </c>
      <c r="G588" s="41" t="str">
        <f t="shared" si="587"/>
        <v/>
      </c>
      <c r="H588" s="41" t="str">
        <f t="shared" si="587"/>
        <v/>
      </c>
      <c r="I588" s="41" t="str">
        <f t="shared" si="587"/>
        <v/>
      </c>
      <c r="J588" s="41" t="str">
        <f t="shared" si="587"/>
        <v/>
      </c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67.5" customHeight="1">
      <c r="A589" s="39"/>
      <c r="B589" s="43" t="str">
        <f>IFERROR(__xludf.DUMMYFUNCTION("IFERROR(
  LET(
    periodos, C$1:Z$1,
    marcas, C589:Z589,
    pos, MAX(
          FILTER(
            COLUMN(marcas)-COLUMN(C589)+1,
            marcas=""X""
          )
        ),
    ultimo, INDEX(periodos, pos),
    XLOOKUP(
      $A589,
      INDI"&amp;"RECT(""'""&amp;ultimo&amp;""'!C:C""),
      INDIRECT(""'""&amp;ultimo&amp;""'!A:A"")
    )
  ),
  """"
)"),"")</f>
        <v/>
      </c>
      <c r="C589" s="41" t="str">
        <f t="shared" ref="C589:J589" si="588">IF(
  COUNTIF(
    INDIRECT("'"&amp;C$1&amp;"'!C:C"),
    $A589
  )&gt;0,
  "X",
  ""
)</f>
        <v/>
      </c>
      <c r="D589" s="41" t="str">
        <f t="shared" si="588"/>
        <v/>
      </c>
      <c r="E589" s="41" t="str">
        <f t="shared" si="588"/>
        <v/>
      </c>
      <c r="F589" s="41" t="str">
        <f t="shared" si="588"/>
        <v/>
      </c>
      <c r="G589" s="41" t="str">
        <f t="shared" si="588"/>
        <v/>
      </c>
      <c r="H589" s="41" t="str">
        <f t="shared" si="588"/>
        <v/>
      </c>
      <c r="I589" s="41" t="str">
        <f t="shared" si="588"/>
        <v/>
      </c>
      <c r="J589" s="41" t="str">
        <f t="shared" si="588"/>
        <v/>
      </c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67.5" customHeight="1">
      <c r="A590" s="39"/>
      <c r="B590" s="43" t="str">
        <f>IFERROR(__xludf.DUMMYFUNCTION("IFERROR(
  LET(
    periodos, C$1:Z$1,
    marcas, C590:Z590,
    pos, MAX(
          FILTER(
            COLUMN(marcas)-COLUMN(C590)+1,
            marcas=""X""
          )
        ),
    ultimo, INDEX(periodos, pos),
    XLOOKUP(
      $A590,
      INDI"&amp;"RECT(""'""&amp;ultimo&amp;""'!C:C""),
      INDIRECT(""'""&amp;ultimo&amp;""'!A:A"")
    )
  ),
  """"
)"),"")</f>
        <v/>
      </c>
      <c r="C590" s="41" t="str">
        <f t="shared" ref="C590:J590" si="589">IF(
  COUNTIF(
    INDIRECT("'"&amp;C$1&amp;"'!C:C"),
    $A590
  )&gt;0,
  "X",
  ""
)</f>
        <v/>
      </c>
      <c r="D590" s="41" t="str">
        <f t="shared" si="589"/>
        <v/>
      </c>
      <c r="E590" s="41" t="str">
        <f t="shared" si="589"/>
        <v/>
      </c>
      <c r="F590" s="41" t="str">
        <f t="shared" si="589"/>
        <v/>
      </c>
      <c r="G590" s="41" t="str">
        <f t="shared" si="589"/>
        <v/>
      </c>
      <c r="H590" s="41" t="str">
        <f t="shared" si="589"/>
        <v/>
      </c>
      <c r="I590" s="41" t="str">
        <f t="shared" si="589"/>
        <v/>
      </c>
      <c r="J590" s="41" t="str">
        <f t="shared" si="589"/>
        <v/>
      </c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67.5" customHeight="1">
      <c r="A591" s="39"/>
      <c r="B591" s="43" t="str">
        <f>IFERROR(__xludf.DUMMYFUNCTION("IFERROR(
  LET(
    periodos, C$1:Z$1,
    marcas, C591:Z591,
    pos, MAX(
          FILTER(
            COLUMN(marcas)-COLUMN(C591)+1,
            marcas=""X""
          )
        ),
    ultimo, INDEX(periodos, pos),
    XLOOKUP(
      $A591,
      INDI"&amp;"RECT(""'""&amp;ultimo&amp;""'!C:C""),
      INDIRECT(""'""&amp;ultimo&amp;""'!A:A"")
    )
  ),
  """"
)"),"")</f>
        <v/>
      </c>
      <c r="C591" s="41" t="str">
        <f t="shared" ref="C591:J591" si="590">IF(
  COUNTIF(
    INDIRECT("'"&amp;C$1&amp;"'!C:C"),
    $A591
  )&gt;0,
  "X",
  ""
)</f>
        <v/>
      </c>
      <c r="D591" s="41" t="str">
        <f t="shared" si="590"/>
        <v/>
      </c>
      <c r="E591" s="41" t="str">
        <f t="shared" si="590"/>
        <v/>
      </c>
      <c r="F591" s="41" t="str">
        <f t="shared" si="590"/>
        <v/>
      </c>
      <c r="G591" s="41" t="str">
        <f t="shared" si="590"/>
        <v/>
      </c>
      <c r="H591" s="41" t="str">
        <f t="shared" si="590"/>
        <v/>
      </c>
      <c r="I591" s="41" t="str">
        <f t="shared" si="590"/>
        <v/>
      </c>
      <c r="J591" s="41" t="str">
        <f t="shared" si="590"/>
        <v/>
      </c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67.5" customHeight="1">
      <c r="A592" s="39"/>
      <c r="B592" s="43" t="str">
        <f>IFERROR(__xludf.DUMMYFUNCTION("IFERROR(
  LET(
    periodos, C$1:Z$1,
    marcas, C592:Z592,
    pos, MAX(
          FILTER(
            COLUMN(marcas)-COLUMN(C592)+1,
            marcas=""X""
          )
        ),
    ultimo, INDEX(periodos, pos),
    XLOOKUP(
      $A592,
      INDI"&amp;"RECT(""'""&amp;ultimo&amp;""'!C:C""),
      INDIRECT(""'""&amp;ultimo&amp;""'!A:A"")
    )
  ),
  """"
)"),"")</f>
        <v/>
      </c>
      <c r="C592" s="41" t="str">
        <f t="shared" ref="C592:J592" si="591">IF(
  COUNTIF(
    INDIRECT("'"&amp;C$1&amp;"'!C:C"),
    $A592
  )&gt;0,
  "X",
  ""
)</f>
        <v/>
      </c>
      <c r="D592" s="41" t="str">
        <f t="shared" si="591"/>
        <v/>
      </c>
      <c r="E592" s="41" t="str">
        <f t="shared" si="591"/>
        <v/>
      </c>
      <c r="F592" s="41" t="str">
        <f t="shared" si="591"/>
        <v/>
      </c>
      <c r="G592" s="41" t="str">
        <f t="shared" si="591"/>
        <v/>
      </c>
      <c r="H592" s="41" t="str">
        <f t="shared" si="591"/>
        <v/>
      </c>
      <c r="I592" s="41" t="str">
        <f t="shared" si="591"/>
        <v/>
      </c>
      <c r="J592" s="41" t="str">
        <f t="shared" si="591"/>
        <v/>
      </c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67.5" customHeight="1">
      <c r="A593" s="39"/>
      <c r="B593" s="43" t="str">
        <f>IFERROR(__xludf.DUMMYFUNCTION("IFERROR(
  LET(
    periodos, C$1:Z$1,
    marcas, C593:Z593,
    pos, MAX(
          FILTER(
            COLUMN(marcas)-COLUMN(C593)+1,
            marcas=""X""
          )
        ),
    ultimo, INDEX(periodos, pos),
    XLOOKUP(
      $A593,
      INDI"&amp;"RECT(""'""&amp;ultimo&amp;""'!C:C""),
      INDIRECT(""'""&amp;ultimo&amp;""'!A:A"")
    )
  ),
  """"
)"),"")</f>
        <v/>
      </c>
      <c r="C593" s="41" t="str">
        <f t="shared" ref="C593:J593" si="592">IF(
  COUNTIF(
    INDIRECT("'"&amp;C$1&amp;"'!C:C"),
    $A593
  )&gt;0,
  "X",
  ""
)</f>
        <v/>
      </c>
      <c r="D593" s="41" t="str">
        <f t="shared" si="592"/>
        <v/>
      </c>
      <c r="E593" s="41" t="str">
        <f t="shared" si="592"/>
        <v/>
      </c>
      <c r="F593" s="41" t="str">
        <f t="shared" si="592"/>
        <v/>
      </c>
      <c r="G593" s="41" t="str">
        <f t="shared" si="592"/>
        <v/>
      </c>
      <c r="H593" s="41" t="str">
        <f t="shared" si="592"/>
        <v/>
      </c>
      <c r="I593" s="41" t="str">
        <f t="shared" si="592"/>
        <v/>
      </c>
      <c r="J593" s="41" t="str">
        <f t="shared" si="592"/>
        <v/>
      </c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67.5" customHeight="1">
      <c r="A594" s="39"/>
      <c r="B594" s="43" t="str">
        <f>IFERROR(__xludf.DUMMYFUNCTION("IFERROR(
  LET(
    periodos, C$1:Z$1,
    marcas, C594:Z594,
    pos, MAX(
          FILTER(
            COLUMN(marcas)-COLUMN(C594)+1,
            marcas=""X""
          )
        ),
    ultimo, INDEX(periodos, pos),
    XLOOKUP(
      $A594,
      INDI"&amp;"RECT(""'""&amp;ultimo&amp;""'!C:C""),
      INDIRECT(""'""&amp;ultimo&amp;""'!A:A"")
    )
  ),
  """"
)"),"")</f>
        <v/>
      </c>
      <c r="C594" s="41" t="str">
        <f t="shared" ref="C594:J594" si="593">IF(
  COUNTIF(
    INDIRECT("'"&amp;C$1&amp;"'!C:C"),
    $A594
  )&gt;0,
  "X",
  ""
)</f>
        <v/>
      </c>
      <c r="D594" s="41" t="str">
        <f t="shared" si="593"/>
        <v/>
      </c>
      <c r="E594" s="41" t="str">
        <f t="shared" si="593"/>
        <v/>
      </c>
      <c r="F594" s="41" t="str">
        <f t="shared" si="593"/>
        <v/>
      </c>
      <c r="G594" s="41" t="str">
        <f t="shared" si="593"/>
        <v/>
      </c>
      <c r="H594" s="41" t="str">
        <f t="shared" si="593"/>
        <v/>
      </c>
      <c r="I594" s="41" t="str">
        <f t="shared" si="593"/>
        <v/>
      </c>
      <c r="J594" s="41" t="str">
        <f t="shared" si="593"/>
        <v/>
      </c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67.5" customHeight="1">
      <c r="A595" s="39"/>
      <c r="B595" s="43" t="str">
        <f>IFERROR(__xludf.DUMMYFUNCTION("IFERROR(
  LET(
    periodos, C$1:Z$1,
    marcas, C595:Z595,
    pos, MAX(
          FILTER(
            COLUMN(marcas)-COLUMN(C595)+1,
            marcas=""X""
          )
        ),
    ultimo, INDEX(periodos, pos),
    XLOOKUP(
      $A595,
      INDI"&amp;"RECT(""'""&amp;ultimo&amp;""'!C:C""),
      INDIRECT(""'""&amp;ultimo&amp;""'!A:A"")
    )
  ),
  """"
)"),"")</f>
        <v/>
      </c>
      <c r="C595" s="41" t="str">
        <f t="shared" ref="C595:J595" si="594">IF(
  COUNTIF(
    INDIRECT("'"&amp;C$1&amp;"'!C:C"),
    $A595
  )&gt;0,
  "X",
  ""
)</f>
        <v/>
      </c>
      <c r="D595" s="41" t="str">
        <f t="shared" si="594"/>
        <v/>
      </c>
      <c r="E595" s="41" t="str">
        <f t="shared" si="594"/>
        <v/>
      </c>
      <c r="F595" s="41" t="str">
        <f t="shared" si="594"/>
        <v/>
      </c>
      <c r="G595" s="41" t="str">
        <f t="shared" si="594"/>
        <v/>
      </c>
      <c r="H595" s="41" t="str">
        <f t="shared" si="594"/>
        <v/>
      </c>
      <c r="I595" s="41" t="str">
        <f t="shared" si="594"/>
        <v/>
      </c>
      <c r="J595" s="41" t="str">
        <f t="shared" si="594"/>
        <v/>
      </c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67.5" customHeight="1">
      <c r="A596" s="39"/>
      <c r="B596" s="43" t="str">
        <f>IFERROR(__xludf.DUMMYFUNCTION("IFERROR(
  LET(
    periodos, C$1:Z$1,
    marcas, C596:Z596,
    pos, MAX(
          FILTER(
            COLUMN(marcas)-COLUMN(C596)+1,
            marcas=""X""
          )
        ),
    ultimo, INDEX(periodos, pos),
    XLOOKUP(
      $A596,
      INDI"&amp;"RECT(""'""&amp;ultimo&amp;""'!C:C""),
      INDIRECT(""'""&amp;ultimo&amp;""'!A:A"")
    )
  ),
  """"
)"),"")</f>
        <v/>
      </c>
      <c r="C596" s="41" t="str">
        <f t="shared" ref="C596:J596" si="595">IF(
  COUNTIF(
    INDIRECT("'"&amp;C$1&amp;"'!C:C"),
    $A596
  )&gt;0,
  "X",
  ""
)</f>
        <v/>
      </c>
      <c r="D596" s="41" t="str">
        <f t="shared" si="595"/>
        <v/>
      </c>
      <c r="E596" s="41" t="str">
        <f t="shared" si="595"/>
        <v/>
      </c>
      <c r="F596" s="41" t="str">
        <f t="shared" si="595"/>
        <v/>
      </c>
      <c r="G596" s="41" t="str">
        <f t="shared" si="595"/>
        <v/>
      </c>
      <c r="H596" s="41" t="str">
        <f t="shared" si="595"/>
        <v/>
      </c>
      <c r="I596" s="41" t="str">
        <f t="shared" si="595"/>
        <v/>
      </c>
      <c r="J596" s="41" t="str">
        <f t="shared" si="595"/>
        <v/>
      </c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67.5" customHeight="1">
      <c r="A597" s="39"/>
      <c r="B597" s="43" t="str">
        <f>IFERROR(__xludf.DUMMYFUNCTION("IFERROR(
  LET(
    periodos, C$1:Z$1,
    marcas, C597:Z597,
    pos, MAX(
          FILTER(
            COLUMN(marcas)-COLUMN(C597)+1,
            marcas=""X""
          )
        ),
    ultimo, INDEX(periodos, pos),
    XLOOKUP(
      $A597,
      INDI"&amp;"RECT(""'""&amp;ultimo&amp;""'!C:C""),
      INDIRECT(""'""&amp;ultimo&amp;""'!A:A"")
    )
  ),
  """"
)"),"")</f>
        <v/>
      </c>
      <c r="C597" s="41" t="str">
        <f t="shared" ref="C597:J597" si="596">IF(
  COUNTIF(
    INDIRECT("'"&amp;C$1&amp;"'!C:C"),
    $A597
  )&gt;0,
  "X",
  ""
)</f>
        <v/>
      </c>
      <c r="D597" s="41" t="str">
        <f t="shared" si="596"/>
        <v/>
      </c>
      <c r="E597" s="41" t="str">
        <f t="shared" si="596"/>
        <v/>
      </c>
      <c r="F597" s="41" t="str">
        <f t="shared" si="596"/>
        <v/>
      </c>
      <c r="G597" s="41" t="str">
        <f t="shared" si="596"/>
        <v/>
      </c>
      <c r="H597" s="41" t="str">
        <f t="shared" si="596"/>
        <v/>
      </c>
      <c r="I597" s="41" t="str">
        <f t="shared" si="596"/>
        <v/>
      </c>
      <c r="J597" s="41" t="str">
        <f t="shared" si="596"/>
        <v/>
      </c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67.5" customHeight="1">
      <c r="A598" s="39"/>
      <c r="B598" s="43" t="str">
        <f>IFERROR(__xludf.DUMMYFUNCTION("IFERROR(
  LET(
    periodos, C$1:Z$1,
    marcas, C598:Z598,
    pos, MAX(
          FILTER(
            COLUMN(marcas)-COLUMN(C598)+1,
            marcas=""X""
          )
        ),
    ultimo, INDEX(periodos, pos),
    XLOOKUP(
      $A598,
      INDI"&amp;"RECT(""'""&amp;ultimo&amp;""'!C:C""),
      INDIRECT(""'""&amp;ultimo&amp;""'!A:A"")
    )
  ),
  """"
)"),"")</f>
        <v/>
      </c>
      <c r="C598" s="41" t="str">
        <f t="shared" ref="C598:J598" si="597">IF(
  COUNTIF(
    INDIRECT("'"&amp;C$1&amp;"'!C:C"),
    $A598
  )&gt;0,
  "X",
  ""
)</f>
        <v/>
      </c>
      <c r="D598" s="41" t="str">
        <f t="shared" si="597"/>
        <v/>
      </c>
      <c r="E598" s="41" t="str">
        <f t="shared" si="597"/>
        <v/>
      </c>
      <c r="F598" s="41" t="str">
        <f t="shared" si="597"/>
        <v/>
      </c>
      <c r="G598" s="41" t="str">
        <f t="shared" si="597"/>
        <v/>
      </c>
      <c r="H598" s="41" t="str">
        <f t="shared" si="597"/>
        <v/>
      </c>
      <c r="I598" s="41" t="str">
        <f t="shared" si="597"/>
        <v/>
      </c>
      <c r="J598" s="41" t="str">
        <f t="shared" si="597"/>
        <v/>
      </c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67.5" customHeight="1">
      <c r="A599" s="39"/>
      <c r="B599" s="43" t="str">
        <f>IFERROR(__xludf.DUMMYFUNCTION("IFERROR(
  LET(
    periodos, C$1:Z$1,
    marcas, C599:Z599,
    pos, MAX(
          FILTER(
            COLUMN(marcas)-COLUMN(C599)+1,
            marcas=""X""
          )
        ),
    ultimo, INDEX(periodos, pos),
    XLOOKUP(
      $A599,
      INDI"&amp;"RECT(""'""&amp;ultimo&amp;""'!C:C""),
      INDIRECT(""'""&amp;ultimo&amp;""'!A:A"")
    )
  ),
  """"
)"),"")</f>
        <v/>
      </c>
      <c r="C599" s="41" t="str">
        <f t="shared" ref="C599:J599" si="598">IF(
  COUNTIF(
    INDIRECT("'"&amp;C$1&amp;"'!C:C"),
    $A599
  )&gt;0,
  "X",
  ""
)</f>
        <v/>
      </c>
      <c r="D599" s="41" t="str">
        <f t="shared" si="598"/>
        <v/>
      </c>
      <c r="E599" s="41" t="str">
        <f t="shared" si="598"/>
        <v/>
      </c>
      <c r="F599" s="41" t="str">
        <f t="shared" si="598"/>
        <v/>
      </c>
      <c r="G599" s="41" t="str">
        <f t="shared" si="598"/>
        <v/>
      </c>
      <c r="H599" s="41" t="str">
        <f t="shared" si="598"/>
        <v/>
      </c>
      <c r="I599" s="41" t="str">
        <f t="shared" si="598"/>
        <v/>
      </c>
      <c r="J599" s="41" t="str">
        <f t="shared" si="598"/>
        <v/>
      </c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67.5" customHeight="1">
      <c r="A600" s="39"/>
      <c r="B600" s="43" t="str">
        <f>IFERROR(__xludf.DUMMYFUNCTION("IFERROR(
  LET(
    periodos, C$1:Z$1,
    marcas, C600:Z600,
    pos, MAX(
          FILTER(
            COLUMN(marcas)-COLUMN(C600)+1,
            marcas=""X""
          )
        ),
    ultimo, INDEX(periodos, pos),
    XLOOKUP(
      $A600,
      INDI"&amp;"RECT(""'""&amp;ultimo&amp;""'!C:C""),
      INDIRECT(""'""&amp;ultimo&amp;""'!A:A"")
    )
  ),
  """"
)"),"")</f>
        <v/>
      </c>
      <c r="C600" s="41" t="str">
        <f t="shared" ref="C600:J600" si="599">IF(
  COUNTIF(
    INDIRECT("'"&amp;C$1&amp;"'!C:C"),
    $A600
  )&gt;0,
  "X",
  ""
)</f>
        <v/>
      </c>
      <c r="D600" s="41" t="str">
        <f t="shared" si="599"/>
        <v/>
      </c>
      <c r="E600" s="41" t="str">
        <f t="shared" si="599"/>
        <v/>
      </c>
      <c r="F600" s="41" t="str">
        <f t="shared" si="599"/>
        <v/>
      </c>
      <c r="G600" s="41" t="str">
        <f t="shared" si="599"/>
        <v/>
      </c>
      <c r="H600" s="41" t="str">
        <f t="shared" si="599"/>
        <v/>
      </c>
      <c r="I600" s="41" t="str">
        <f t="shared" si="599"/>
        <v/>
      </c>
      <c r="J600" s="41" t="str">
        <f t="shared" si="599"/>
        <v/>
      </c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67.5" customHeight="1">
      <c r="A601" s="39"/>
      <c r="B601" s="43" t="str">
        <f>IFERROR(__xludf.DUMMYFUNCTION("IFERROR(
  LET(
    periodos, C$1:Z$1,
    marcas, C601:Z601,
    pos, MAX(
          FILTER(
            COLUMN(marcas)-COLUMN(C601)+1,
            marcas=""X""
          )
        ),
    ultimo, INDEX(periodos, pos),
    XLOOKUP(
      $A601,
      INDI"&amp;"RECT(""'""&amp;ultimo&amp;""'!C:C""),
      INDIRECT(""'""&amp;ultimo&amp;""'!A:A"")
    )
  ),
  """"
)"),"")</f>
        <v/>
      </c>
      <c r="C601" s="41" t="str">
        <f t="shared" ref="C601:J601" si="600">IF(
  COUNTIF(
    INDIRECT("'"&amp;C$1&amp;"'!C:C"),
    $A601
  )&gt;0,
  "X",
  ""
)</f>
        <v/>
      </c>
      <c r="D601" s="41" t="str">
        <f t="shared" si="600"/>
        <v/>
      </c>
      <c r="E601" s="41" t="str">
        <f t="shared" si="600"/>
        <v/>
      </c>
      <c r="F601" s="41" t="str">
        <f t="shared" si="600"/>
        <v/>
      </c>
      <c r="G601" s="41" t="str">
        <f t="shared" si="600"/>
        <v/>
      </c>
      <c r="H601" s="41" t="str">
        <f t="shared" si="600"/>
        <v/>
      </c>
      <c r="I601" s="41" t="str">
        <f t="shared" si="600"/>
        <v/>
      </c>
      <c r="J601" s="41" t="str">
        <f t="shared" si="600"/>
        <v/>
      </c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67.5" customHeight="1">
      <c r="A602" s="39"/>
      <c r="B602" s="43" t="str">
        <f>IFERROR(__xludf.DUMMYFUNCTION("IFERROR(
  LET(
    periodos, C$1:Z$1,
    marcas, C602:Z602,
    pos, MAX(
          FILTER(
            COLUMN(marcas)-COLUMN(C602)+1,
            marcas=""X""
          )
        ),
    ultimo, INDEX(periodos, pos),
    XLOOKUP(
      $A602,
      INDI"&amp;"RECT(""'""&amp;ultimo&amp;""'!C:C""),
      INDIRECT(""'""&amp;ultimo&amp;""'!A:A"")
    )
  ),
  """"
)"),"")</f>
        <v/>
      </c>
      <c r="C602" s="41" t="str">
        <f t="shared" ref="C602:J602" si="601">IF(
  COUNTIF(
    INDIRECT("'"&amp;C$1&amp;"'!C:C"),
    $A602
  )&gt;0,
  "X",
  ""
)</f>
        <v/>
      </c>
      <c r="D602" s="41" t="str">
        <f t="shared" si="601"/>
        <v/>
      </c>
      <c r="E602" s="41" t="str">
        <f t="shared" si="601"/>
        <v/>
      </c>
      <c r="F602" s="41" t="str">
        <f t="shared" si="601"/>
        <v/>
      </c>
      <c r="G602" s="41" t="str">
        <f t="shared" si="601"/>
        <v/>
      </c>
      <c r="H602" s="41" t="str">
        <f t="shared" si="601"/>
        <v/>
      </c>
      <c r="I602" s="41" t="str">
        <f t="shared" si="601"/>
        <v/>
      </c>
      <c r="J602" s="41" t="str">
        <f t="shared" si="601"/>
        <v/>
      </c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67.5" customHeight="1">
      <c r="A603" s="39"/>
      <c r="B603" s="43" t="str">
        <f>IFERROR(__xludf.DUMMYFUNCTION("IFERROR(
  LET(
    periodos, C$1:Z$1,
    marcas, C603:Z603,
    pos, MAX(
          FILTER(
            COLUMN(marcas)-COLUMN(C603)+1,
            marcas=""X""
          )
        ),
    ultimo, INDEX(periodos, pos),
    XLOOKUP(
      $A603,
      INDI"&amp;"RECT(""'""&amp;ultimo&amp;""'!C:C""),
      INDIRECT(""'""&amp;ultimo&amp;""'!A:A"")
    )
  ),
  """"
)"),"")</f>
        <v/>
      </c>
      <c r="C603" s="41" t="str">
        <f t="shared" ref="C603:J603" si="602">IF(
  COUNTIF(
    INDIRECT("'"&amp;C$1&amp;"'!C:C"),
    $A603
  )&gt;0,
  "X",
  ""
)</f>
        <v/>
      </c>
      <c r="D603" s="41" t="str">
        <f t="shared" si="602"/>
        <v/>
      </c>
      <c r="E603" s="41" t="str">
        <f t="shared" si="602"/>
        <v/>
      </c>
      <c r="F603" s="41" t="str">
        <f t="shared" si="602"/>
        <v/>
      </c>
      <c r="G603" s="41" t="str">
        <f t="shared" si="602"/>
        <v/>
      </c>
      <c r="H603" s="41" t="str">
        <f t="shared" si="602"/>
        <v/>
      </c>
      <c r="I603" s="41" t="str">
        <f t="shared" si="602"/>
        <v/>
      </c>
      <c r="J603" s="41" t="str">
        <f t="shared" si="602"/>
        <v/>
      </c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67.5" customHeight="1">
      <c r="A604" s="39"/>
      <c r="B604" s="43" t="str">
        <f>IFERROR(__xludf.DUMMYFUNCTION("IFERROR(
  LET(
    periodos, C$1:Z$1,
    marcas, C604:Z604,
    pos, MAX(
          FILTER(
            COLUMN(marcas)-COLUMN(C604)+1,
            marcas=""X""
          )
        ),
    ultimo, INDEX(periodos, pos),
    XLOOKUP(
      $A604,
      INDI"&amp;"RECT(""'""&amp;ultimo&amp;""'!C:C""),
      INDIRECT(""'""&amp;ultimo&amp;""'!A:A"")
    )
  ),
  """"
)"),"")</f>
        <v/>
      </c>
      <c r="C604" s="41" t="str">
        <f t="shared" ref="C604:J604" si="603">IF(
  COUNTIF(
    INDIRECT("'"&amp;C$1&amp;"'!C:C"),
    $A604
  )&gt;0,
  "X",
  ""
)</f>
        <v/>
      </c>
      <c r="D604" s="41" t="str">
        <f t="shared" si="603"/>
        <v/>
      </c>
      <c r="E604" s="41" t="str">
        <f t="shared" si="603"/>
        <v/>
      </c>
      <c r="F604" s="41" t="str">
        <f t="shared" si="603"/>
        <v/>
      </c>
      <c r="G604" s="41" t="str">
        <f t="shared" si="603"/>
        <v/>
      </c>
      <c r="H604" s="41" t="str">
        <f t="shared" si="603"/>
        <v/>
      </c>
      <c r="I604" s="41" t="str">
        <f t="shared" si="603"/>
        <v/>
      </c>
      <c r="J604" s="41" t="str">
        <f t="shared" si="603"/>
        <v/>
      </c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67.5" customHeight="1">
      <c r="A605" s="39"/>
      <c r="B605" s="43" t="str">
        <f>IFERROR(__xludf.DUMMYFUNCTION("IFERROR(
  LET(
    periodos, C$1:Z$1,
    marcas, C605:Z605,
    pos, MAX(
          FILTER(
            COLUMN(marcas)-COLUMN(C605)+1,
            marcas=""X""
          )
        ),
    ultimo, INDEX(periodos, pos),
    XLOOKUP(
      $A605,
      INDI"&amp;"RECT(""'""&amp;ultimo&amp;""'!C:C""),
      INDIRECT(""'""&amp;ultimo&amp;""'!A:A"")
    )
  ),
  """"
)"),"")</f>
        <v/>
      </c>
      <c r="C605" s="41" t="str">
        <f t="shared" ref="C605:J605" si="604">IF(
  COUNTIF(
    INDIRECT("'"&amp;C$1&amp;"'!C:C"),
    $A605
  )&gt;0,
  "X",
  ""
)</f>
        <v/>
      </c>
      <c r="D605" s="41" t="str">
        <f t="shared" si="604"/>
        <v/>
      </c>
      <c r="E605" s="41" t="str">
        <f t="shared" si="604"/>
        <v/>
      </c>
      <c r="F605" s="41" t="str">
        <f t="shared" si="604"/>
        <v/>
      </c>
      <c r="G605" s="41" t="str">
        <f t="shared" si="604"/>
        <v/>
      </c>
      <c r="H605" s="41" t="str">
        <f t="shared" si="604"/>
        <v/>
      </c>
      <c r="I605" s="41" t="str">
        <f t="shared" si="604"/>
        <v/>
      </c>
      <c r="J605" s="41" t="str">
        <f t="shared" si="604"/>
        <v/>
      </c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67.5" customHeight="1">
      <c r="A606" s="39"/>
      <c r="B606" s="43" t="str">
        <f>IFERROR(__xludf.DUMMYFUNCTION("IFERROR(
  LET(
    periodos, C$1:Z$1,
    marcas, C606:Z606,
    pos, MAX(
          FILTER(
            COLUMN(marcas)-COLUMN(C606)+1,
            marcas=""X""
          )
        ),
    ultimo, INDEX(periodos, pos),
    XLOOKUP(
      $A606,
      INDI"&amp;"RECT(""'""&amp;ultimo&amp;""'!C:C""),
      INDIRECT(""'""&amp;ultimo&amp;""'!A:A"")
    )
  ),
  """"
)"),"")</f>
        <v/>
      </c>
      <c r="C606" s="41" t="str">
        <f t="shared" ref="C606:J606" si="605">IF(
  COUNTIF(
    INDIRECT("'"&amp;C$1&amp;"'!C:C"),
    $A606
  )&gt;0,
  "X",
  ""
)</f>
        <v/>
      </c>
      <c r="D606" s="41" t="str">
        <f t="shared" si="605"/>
        <v/>
      </c>
      <c r="E606" s="41" t="str">
        <f t="shared" si="605"/>
        <v/>
      </c>
      <c r="F606" s="41" t="str">
        <f t="shared" si="605"/>
        <v/>
      </c>
      <c r="G606" s="41" t="str">
        <f t="shared" si="605"/>
        <v/>
      </c>
      <c r="H606" s="41" t="str">
        <f t="shared" si="605"/>
        <v/>
      </c>
      <c r="I606" s="41" t="str">
        <f t="shared" si="605"/>
        <v/>
      </c>
      <c r="J606" s="41" t="str">
        <f t="shared" si="605"/>
        <v/>
      </c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67.5" customHeight="1">
      <c r="A607" s="39"/>
      <c r="B607" s="43" t="str">
        <f>IFERROR(__xludf.DUMMYFUNCTION("IFERROR(
  LET(
    periodos, C$1:Z$1,
    marcas, C607:Z607,
    pos, MAX(
          FILTER(
            COLUMN(marcas)-COLUMN(C607)+1,
            marcas=""X""
          )
        ),
    ultimo, INDEX(periodos, pos),
    XLOOKUP(
      $A607,
      INDI"&amp;"RECT(""'""&amp;ultimo&amp;""'!C:C""),
      INDIRECT(""'""&amp;ultimo&amp;""'!A:A"")
    )
  ),
  """"
)"),"")</f>
        <v/>
      </c>
      <c r="C607" s="41" t="str">
        <f t="shared" ref="C607:J607" si="606">IF(
  COUNTIF(
    INDIRECT("'"&amp;C$1&amp;"'!C:C"),
    $A607
  )&gt;0,
  "X",
  ""
)</f>
        <v/>
      </c>
      <c r="D607" s="41" t="str">
        <f t="shared" si="606"/>
        <v/>
      </c>
      <c r="E607" s="41" t="str">
        <f t="shared" si="606"/>
        <v/>
      </c>
      <c r="F607" s="41" t="str">
        <f t="shared" si="606"/>
        <v/>
      </c>
      <c r="G607" s="41" t="str">
        <f t="shared" si="606"/>
        <v/>
      </c>
      <c r="H607" s="41" t="str">
        <f t="shared" si="606"/>
        <v/>
      </c>
      <c r="I607" s="41" t="str">
        <f t="shared" si="606"/>
        <v/>
      </c>
      <c r="J607" s="41" t="str">
        <f t="shared" si="606"/>
        <v/>
      </c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67.5" customHeight="1">
      <c r="A608" s="39"/>
      <c r="B608" s="43" t="str">
        <f>IFERROR(__xludf.DUMMYFUNCTION("IFERROR(
  LET(
    periodos, C$1:Z$1,
    marcas, C608:Z608,
    pos, MAX(
          FILTER(
            COLUMN(marcas)-COLUMN(C608)+1,
            marcas=""X""
          )
        ),
    ultimo, INDEX(periodos, pos),
    XLOOKUP(
      $A608,
      INDI"&amp;"RECT(""'""&amp;ultimo&amp;""'!C:C""),
      INDIRECT(""'""&amp;ultimo&amp;""'!A:A"")
    )
  ),
  """"
)"),"")</f>
        <v/>
      </c>
      <c r="C608" s="41" t="str">
        <f t="shared" ref="C608:J608" si="607">IF(
  COUNTIF(
    INDIRECT("'"&amp;C$1&amp;"'!C:C"),
    $A608
  )&gt;0,
  "X",
  ""
)</f>
        <v/>
      </c>
      <c r="D608" s="41" t="str">
        <f t="shared" si="607"/>
        <v/>
      </c>
      <c r="E608" s="41" t="str">
        <f t="shared" si="607"/>
        <v/>
      </c>
      <c r="F608" s="41" t="str">
        <f t="shared" si="607"/>
        <v/>
      </c>
      <c r="G608" s="41" t="str">
        <f t="shared" si="607"/>
        <v/>
      </c>
      <c r="H608" s="41" t="str">
        <f t="shared" si="607"/>
        <v/>
      </c>
      <c r="I608" s="41" t="str">
        <f t="shared" si="607"/>
        <v/>
      </c>
      <c r="J608" s="41" t="str">
        <f t="shared" si="607"/>
        <v/>
      </c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67.5" customHeight="1">
      <c r="A609" s="39"/>
      <c r="B609" s="43" t="str">
        <f>IFERROR(__xludf.DUMMYFUNCTION("IFERROR(
  LET(
    periodos, C$1:Z$1,
    marcas, C609:Z609,
    pos, MAX(
          FILTER(
            COLUMN(marcas)-COLUMN(C609)+1,
            marcas=""X""
          )
        ),
    ultimo, INDEX(periodos, pos),
    XLOOKUP(
      $A609,
      INDI"&amp;"RECT(""'""&amp;ultimo&amp;""'!C:C""),
      INDIRECT(""'""&amp;ultimo&amp;""'!A:A"")
    )
  ),
  """"
)"),"")</f>
        <v/>
      </c>
      <c r="C609" s="41" t="str">
        <f t="shared" ref="C609:J609" si="608">IF(
  COUNTIF(
    INDIRECT("'"&amp;C$1&amp;"'!C:C"),
    $A609
  )&gt;0,
  "X",
  ""
)</f>
        <v/>
      </c>
      <c r="D609" s="41" t="str">
        <f t="shared" si="608"/>
        <v/>
      </c>
      <c r="E609" s="41" t="str">
        <f t="shared" si="608"/>
        <v/>
      </c>
      <c r="F609" s="41" t="str">
        <f t="shared" si="608"/>
        <v/>
      </c>
      <c r="G609" s="41" t="str">
        <f t="shared" si="608"/>
        <v/>
      </c>
      <c r="H609" s="41" t="str">
        <f t="shared" si="608"/>
        <v/>
      </c>
      <c r="I609" s="41" t="str">
        <f t="shared" si="608"/>
        <v/>
      </c>
      <c r="J609" s="41" t="str">
        <f t="shared" si="608"/>
        <v/>
      </c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67.5" customHeight="1">
      <c r="A610" s="39"/>
      <c r="B610" s="43" t="str">
        <f>IFERROR(__xludf.DUMMYFUNCTION("IFERROR(
  LET(
    periodos, C$1:Z$1,
    marcas, C610:Z610,
    pos, MAX(
          FILTER(
            COLUMN(marcas)-COLUMN(C610)+1,
            marcas=""X""
          )
        ),
    ultimo, INDEX(periodos, pos),
    XLOOKUP(
      $A610,
      INDI"&amp;"RECT(""'""&amp;ultimo&amp;""'!C:C""),
      INDIRECT(""'""&amp;ultimo&amp;""'!A:A"")
    )
  ),
  """"
)"),"")</f>
        <v/>
      </c>
      <c r="C610" s="41" t="str">
        <f t="shared" ref="C610:J610" si="609">IF(
  COUNTIF(
    INDIRECT("'"&amp;C$1&amp;"'!C:C"),
    $A610
  )&gt;0,
  "X",
  ""
)</f>
        <v/>
      </c>
      <c r="D610" s="41" t="str">
        <f t="shared" si="609"/>
        <v/>
      </c>
      <c r="E610" s="41" t="str">
        <f t="shared" si="609"/>
        <v/>
      </c>
      <c r="F610" s="41" t="str">
        <f t="shared" si="609"/>
        <v/>
      </c>
      <c r="G610" s="41" t="str">
        <f t="shared" si="609"/>
        <v/>
      </c>
      <c r="H610" s="41" t="str">
        <f t="shared" si="609"/>
        <v/>
      </c>
      <c r="I610" s="41" t="str">
        <f t="shared" si="609"/>
        <v/>
      </c>
      <c r="J610" s="41" t="str">
        <f t="shared" si="609"/>
        <v/>
      </c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67.5" customHeight="1">
      <c r="A611" s="39"/>
      <c r="B611" s="43" t="str">
        <f>IFERROR(__xludf.DUMMYFUNCTION("IFERROR(
  LET(
    periodos, C$1:Z$1,
    marcas, C611:Z611,
    pos, MAX(
          FILTER(
            COLUMN(marcas)-COLUMN(C611)+1,
            marcas=""X""
          )
        ),
    ultimo, INDEX(periodos, pos),
    XLOOKUP(
      $A611,
      INDI"&amp;"RECT(""'""&amp;ultimo&amp;""'!C:C""),
      INDIRECT(""'""&amp;ultimo&amp;""'!A:A"")
    )
  ),
  """"
)"),"")</f>
        <v/>
      </c>
      <c r="C611" s="41" t="str">
        <f t="shared" ref="C611:J611" si="610">IF(
  COUNTIF(
    INDIRECT("'"&amp;C$1&amp;"'!C:C"),
    $A611
  )&gt;0,
  "X",
  ""
)</f>
        <v/>
      </c>
      <c r="D611" s="41" t="str">
        <f t="shared" si="610"/>
        <v/>
      </c>
      <c r="E611" s="41" t="str">
        <f t="shared" si="610"/>
        <v/>
      </c>
      <c r="F611" s="41" t="str">
        <f t="shared" si="610"/>
        <v/>
      </c>
      <c r="G611" s="41" t="str">
        <f t="shared" si="610"/>
        <v/>
      </c>
      <c r="H611" s="41" t="str">
        <f t="shared" si="610"/>
        <v/>
      </c>
      <c r="I611" s="41" t="str">
        <f t="shared" si="610"/>
        <v/>
      </c>
      <c r="J611" s="41" t="str">
        <f t="shared" si="610"/>
        <v/>
      </c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67.5" customHeight="1">
      <c r="A612" s="39"/>
      <c r="B612" s="43" t="str">
        <f>IFERROR(__xludf.DUMMYFUNCTION("IFERROR(
  LET(
    periodos, C$1:Z$1,
    marcas, C612:Z612,
    pos, MAX(
          FILTER(
            COLUMN(marcas)-COLUMN(C612)+1,
            marcas=""X""
          )
        ),
    ultimo, INDEX(periodos, pos),
    XLOOKUP(
      $A612,
      INDI"&amp;"RECT(""'""&amp;ultimo&amp;""'!C:C""),
      INDIRECT(""'""&amp;ultimo&amp;""'!A:A"")
    )
  ),
  """"
)"),"")</f>
        <v/>
      </c>
      <c r="C612" s="41" t="str">
        <f t="shared" ref="C612:J612" si="611">IF(
  COUNTIF(
    INDIRECT("'"&amp;C$1&amp;"'!C:C"),
    $A612
  )&gt;0,
  "X",
  ""
)</f>
        <v/>
      </c>
      <c r="D612" s="41" t="str">
        <f t="shared" si="611"/>
        <v/>
      </c>
      <c r="E612" s="41" t="str">
        <f t="shared" si="611"/>
        <v/>
      </c>
      <c r="F612" s="41" t="str">
        <f t="shared" si="611"/>
        <v/>
      </c>
      <c r="G612" s="41" t="str">
        <f t="shared" si="611"/>
        <v/>
      </c>
      <c r="H612" s="41" t="str">
        <f t="shared" si="611"/>
        <v/>
      </c>
      <c r="I612" s="41" t="str">
        <f t="shared" si="611"/>
        <v/>
      </c>
      <c r="J612" s="41" t="str">
        <f t="shared" si="611"/>
        <v/>
      </c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67.5" customHeight="1">
      <c r="A613" s="39"/>
      <c r="B613" s="43" t="str">
        <f>IFERROR(__xludf.DUMMYFUNCTION("IFERROR(
  LET(
    periodos, C$1:Z$1,
    marcas, C613:Z613,
    pos, MAX(
          FILTER(
            COLUMN(marcas)-COLUMN(C613)+1,
            marcas=""X""
          )
        ),
    ultimo, INDEX(periodos, pos),
    XLOOKUP(
      $A613,
      INDI"&amp;"RECT(""'""&amp;ultimo&amp;""'!C:C""),
      INDIRECT(""'""&amp;ultimo&amp;""'!A:A"")
    )
  ),
  """"
)"),"")</f>
        <v/>
      </c>
      <c r="C613" s="41" t="str">
        <f t="shared" ref="C613:J613" si="612">IF(
  COUNTIF(
    INDIRECT("'"&amp;C$1&amp;"'!C:C"),
    $A613
  )&gt;0,
  "X",
  ""
)</f>
        <v/>
      </c>
      <c r="D613" s="41" t="str">
        <f t="shared" si="612"/>
        <v/>
      </c>
      <c r="E613" s="41" t="str">
        <f t="shared" si="612"/>
        <v/>
      </c>
      <c r="F613" s="41" t="str">
        <f t="shared" si="612"/>
        <v/>
      </c>
      <c r="G613" s="41" t="str">
        <f t="shared" si="612"/>
        <v/>
      </c>
      <c r="H613" s="41" t="str">
        <f t="shared" si="612"/>
        <v/>
      </c>
      <c r="I613" s="41" t="str">
        <f t="shared" si="612"/>
        <v/>
      </c>
      <c r="J613" s="41" t="str">
        <f t="shared" si="612"/>
        <v/>
      </c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67.5" customHeight="1">
      <c r="A614" s="39"/>
      <c r="B614" s="43" t="str">
        <f>IFERROR(__xludf.DUMMYFUNCTION("IFERROR(
  LET(
    periodos, C$1:Z$1,
    marcas, C614:Z614,
    pos, MAX(
          FILTER(
            COLUMN(marcas)-COLUMN(C614)+1,
            marcas=""X""
          )
        ),
    ultimo, INDEX(periodos, pos),
    XLOOKUP(
      $A614,
      INDI"&amp;"RECT(""'""&amp;ultimo&amp;""'!C:C""),
      INDIRECT(""'""&amp;ultimo&amp;""'!A:A"")
    )
  ),
  """"
)"),"")</f>
        <v/>
      </c>
      <c r="C614" s="41" t="str">
        <f t="shared" ref="C614:J614" si="613">IF(
  COUNTIF(
    INDIRECT("'"&amp;C$1&amp;"'!C:C"),
    $A614
  )&gt;0,
  "X",
  ""
)</f>
        <v/>
      </c>
      <c r="D614" s="41" t="str">
        <f t="shared" si="613"/>
        <v/>
      </c>
      <c r="E614" s="41" t="str">
        <f t="shared" si="613"/>
        <v/>
      </c>
      <c r="F614" s="41" t="str">
        <f t="shared" si="613"/>
        <v/>
      </c>
      <c r="G614" s="41" t="str">
        <f t="shared" si="613"/>
        <v/>
      </c>
      <c r="H614" s="41" t="str">
        <f t="shared" si="613"/>
        <v/>
      </c>
      <c r="I614" s="41" t="str">
        <f t="shared" si="613"/>
        <v/>
      </c>
      <c r="J614" s="41" t="str">
        <f t="shared" si="613"/>
        <v/>
      </c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67.5" customHeight="1">
      <c r="A615" s="39"/>
      <c r="B615" s="43" t="str">
        <f>IFERROR(__xludf.DUMMYFUNCTION("IFERROR(
  LET(
    periodos, C$1:Z$1,
    marcas, C615:Z615,
    pos, MAX(
          FILTER(
            COLUMN(marcas)-COLUMN(C615)+1,
            marcas=""X""
          )
        ),
    ultimo, INDEX(periodos, pos),
    XLOOKUP(
      $A615,
      INDI"&amp;"RECT(""'""&amp;ultimo&amp;""'!C:C""),
      INDIRECT(""'""&amp;ultimo&amp;""'!A:A"")
    )
  ),
  """"
)"),"")</f>
        <v/>
      </c>
      <c r="C615" s="41" t="str">
        <f t="shared" ref="C615:J615" si="614">IF(
  COUNTIF(
    INDIRECT("'"&amp;C$1&amp;"'!C:C"),
    $A615
  )&gt;0,
  "X",
  ""
)</f>
        <v/>
      </c>
      <c r="D615" s="41" t="str">
        <f t="shared" si="614"/>
        <v/>
      </c>
      <c r="E615" s="41" t="str">
        <f t="shared" si="614"/>
        <v/>
      </c>
      <c r="F615" s="41" t="str">
        <f t="shared" si="614"/>
        <v/>
      </c>
      <c r="G615" s="41" t="str">
        <f t="shared" si="614"/>
        <v/>
      </c>
      <c r="H615" s="41" t="str">
        <f t="shared" si="614"/>
        <v/>
      </c>
      <c r="I615" s="41" t="str">
        <f t="shared" si="614"/>
        <v/>
      </c>
      <c r="J615" s="41" t="str">
        <f t="shared" si="614"/>
        <v/>
      </c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67.5" customHeight="1">
      <c r="A616" s="39"/>
      <c r="B616" s="43" t="str">
        <f>IFERROR(__xludf.DUMMYFUNCTION("IFERROR(
  LET(
    periodos, C$1:Z$1,
    marcas, C616:Z616,
    pos, MAX(
          FILTER(
            COLUMN(marcas)-COLUMN(C616)+1,
            marcas=""X""
          )
        ),
    ultimo, INDEX(periodos, pos),
    XLOOKUP(
      $A616,
      INDI"&amp;"RECT(""'""&amp;ultimo&amp;""'!C:C""),
      INDIRECT(""'""&amp;ultimo&amp;""'!A:A"")
    )
  ),
  """"
)"),"")</f>
        <v/>
      </c>
      <c r="C616" s="41" t="str">
        <f t="shared" ref="C616:J616" si="615">IF(
  COUNTIF(
    INDIRECT("'"&amp;C$1&amp;"'!C:C"),
    $A616
  )&gt;0,
  "X",
  ""
)</f>
        <v/>
      </c>
      <c r="D616" s="41" t="str">
        <f t="shared" si="615"/>
        <v/>
      </c>
      <c r="E616" s="41" t="str">
        <f t="shared" si="615"/>
        <v/>
      </c>
      <c r="F616" s="41" t="str">
        <f t="shared" si="615"/>
        <v/>
      </c>
      <c r="G616" s="41" t="str">
        <f t="shared" si="615"/>
        <v/>
      </c>
      <c r="H616" s="41" t="str">
        <f t="shared" si="615"/>
        <v/>
      </c>
      <c r="I616" s="41" t="str">
        <f t="shared" si="615"/>
        <v/>
      </c>
      <c r="J616" s="41" t="str">
        <f t="shared" si="615"/>
        <v/>
      </c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67.5" customHeight="1">
      <c r="A617" s="39"/>
      <c r="B617" s="43" t="str">
        <f>IFERROR(__xludf.DUMMYFUNCTION("IFERROR(
  LET(
    periodos, C$1:Z$1,
    marcas, C617:Z617,
    pos, MAX(
          FILTER(
            COLUMN(marcas)-COLUMN(C617)+1,
            marcas=""X""
          )
        ),
    ultimo, INDEX(periodos, pos),
    XLOOKUP(
      $A617,
      INDI"&amp;"RECT(""'""&amp;ultimo&amp;""'!C:C""),
      INDIRECT(""'""&amp;ultimo&amp;""'!A:A"")
    )
  ),
  """"
)"),"")</f>
        <v/>
      </c>
      <c r="C617" s="41" t="str">
        <f t="shared" ref="C617:J617" si="616">IF(
  COUNTIF(
    INDIRECT("'"&amp;C$1&amp;"'!C:C"),
    $A617
  )&gt;0,
  "X",
  ""
)</f>
        <v/>
      </c>
      <c r="D617" s="41" t="str">
        <f t="shared" si="616"/>
        <v/>
      </c>
      <c r="E617" s="41" t="str">
        <f t="shared" si="616"/>
        <v/>
      </c>
      <c r="F617" s="41" t="str">
        <f t="shared" si="616"/>
        <v/>
      </c>
      <c r="G617" s="41" t="str">
        <f t="shared" si="616"/>
        <v/>
      </c>
      <c r="H617" s="41" t="str">
        <f t="shared" si="616"/>
        <v/>
      </c>
      <c r="I617" s="41" t="str">
        <f t="shared" si="616"/>
        <v/>
      </c>
      <c r="J617" s="41" t="str">
        <f t="shared" si="616"/>
        <v/>
      </c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67.5" customHeight="1">
      <c r="A618" s="39"/>
      <c r="B618" s="43" t="str">
        <f>IFERROR(__xludf.DUMMYFUNCTION("IFERROR(
  LET(
    periodos, C$1:Z$1,
    marcas, C618:Z618,
    pos, MAX(
          FILTER(
            COLUMN(marcas)-COLUMN(C618)+1,
            marcas=""X""
          )
        ),
    ultimo, INDEX(periodos, pos),
    XLOOKUP(
      $A618,
      INDI"&amp;"RECT(""'""&amp;ultimo&amp;""'!C:C""),
      INDIRECT(""'""&amp;ultimo&amp;""'!A:A"")
    )
  ),
  """"
)"),"")</f>
        <v/>
      </c>
      <c r="C618" s="41" t="str">
        <f t="shared" ref="C618:J618" si="617">IF(
  COUNTIF(
    INDIRECT("'"&amp;C$1&amp;"'!C:C"),
    $A618
  )&gt;0,
  "X",
  ""
)</f>
        <v/>
      </c>
      <c r="D618" s="41" t="str">
        <f t="shared" si="617"/>
        <v/>
      </c>
      <c r="E618" s="41" t="str">
        <f t="shared" si="617"/>
        <v/>
      </c>
      <c r="F618" s="41" t="str">
        <f t="shared" si="617"/>
        <v/>
      </c>
      <c r="G618" s="41" t="str">
        <f t="shared" si="617"/>
        <v/>
      </c>
      <c r="H618" s="41" t="str">
        <f t="shared" si="617"/>
        <v/>
      </c>
      <c r="I618" s="41" t="str">
        <f t="shared" si="617"/>
        <v/>
      </c>
      <c r="J618" s="41" t="str">
        <f t="shared" si="617"/>
        <v/>
      </c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67.5" customHeight="1">
      <c r="A619" s="39"/>
      <c r="B619" s="43" t="str">
        <f>IFERROR(__xludf.DUMMYFUNCTION("IFERROR(
  LET(
    periodos, C$1:Z$1,
    marcas, C619:Z619,
    pos, MAX(
          FILTER(
            COLUMN(marcas)-COLUMN(C619)+1,
            marcas=""X""
          )
        ),
    ultimo, INDEX(periodos, pos),
    XLOOKUP(
      $A619,
      INDI"&amp;"RECT(""'""&amp;ultimo&amp;""'!C:C""),
      INDIRECT(""'""&amp;ultimo&amp;""'!A:A"")
    )
  ),
  """"
)"),"")</f>
        <v/>
      </c>
      <c r="C619" s="41" t="str">
        <f t="shared" ref="C619:J619" si="618">IF(
  COUNTIF(
    INDIRECT("'"&amp;C$1&amp;"'!C:C"),
    $A619
  )&gt;0,
  "X",
  ""
)</f>
        <v/>
      </c>
      <c r="D619" s="41" t="str">
        <f t="shared" si="618"/>
        <v/>
      </c>
      <c r="E619" s="41" t="str">
        <f t="shared" si="618"/>
        <v/>
      </c>
      <c r="F619" s="41" t="str">
        <f t="shared" si="618"/>
        <v/>
      </c>
      <c r="G619" s="41" t="str">
        <f t="shared" si="618"/>
        <v/>
      </c>
      <c r="H619" s="41" t="str">
        <f t="shared" si="618"/>
        <v/>
      </c>
      <c r="I619" s="41" t="str">
        <f t="shared" si="618"/>
        <v/>
      </c>
      <c r="J619" s="41" t="str">
        <f t="shared" si="618"/>
        <v/>
      </c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67.5" customHeight="1">
      <c r="A620" s="39"/>
      <c r="B620" s="43" t="str">
        <f>IFERROR(__xludf.DUMMYFUNCTION("IFERROR(
  LET(
    periodos, C$1:Z$1,
    marcas, C620:Z620,
    pos, MAX(
          FILTER(
            COLUMN(marcas)-COLUMN(C620)+1,
            marcas=""X""
          )
        ),
    ultimo, INDEX(periodos, pos),
    XLOOKUP(
      $A620,
      INDI"&amp;"RECT(""'""&amp;ultimo&amp;""'!C:C""),
      INDIRECT(""'""&amp;ultimo&amp;""'!A:A"")
    )
  ),
  """"
)"),"")</f>
        <v/>
      </c>
      <c r="C620" s="41" t="str">
        <f t="shared" ref="C620:J620" si="619">IF(
  COUNTIF(
    INDIRECT("'"&amp;C$1&amp;"'!C:C"),
    $A620
  )&gt;0,
  "X",
  ""
)</f>
        <v/>
      </c>
      <c r="D620" s="41" t="str">
        <f t="shared" si="619"/>
        <v/>
      </c>
      <c r="E620" s="41" t="str">
        <f t="shared" si="619"/>
        <v/>
      </c>
      <c r="F620" s="41" t="str">
        <f t="shared" si="619"/>
        <v/>
      </c>
      <c r="G620" s="41" t="str">
        <f t="shared" si="619"/>
        <v/>
      </c>
      <c r="H620" s="41" t="str">
        <f t="shared" si="619"/>
        <v/>
      </c>
      <c r="I620" s="41" t="str">
        <f t="shared" si="619"/>
        <v/>
      </c>
      <c r="J620" s="41" t="str">
        <f t="shared" si="619"/>
        <v/>
      </c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67.5" customHeight="1">
      <c r="A621" s="39"/>
      <c r="B621" s="43" t="str">
        <f>IFERROR(__xludf.DUMMYFUNCTION("IFERROR(
  LET(
    periodos, C$1:Z$1,
    marcas, C621:Z621,
    pos, MAX(
          FILTER(
            COLUMN(marcas)-COLUMN(C621)+1,
            marcas=""X""
          )
        ),
    ultimo, INDEX(periodos, pos),
    XLOOKUP(
      $A621,
      INDI"&amp;"RECT(""'""&amp;ultimo&amp;""'!C:C""),
      INDIRECT(""'""&amp;ultimo&amp;""'!A:A"")
    )
  ),
  """"
)"),"")</f>
        <v/>
      </c>
      <c r="C621" s="41" t="str">
        <f t="shared" ref="C621:J621" si="620">IF(
  COUNTIF(
    INDIRECT("'"&amp;C$1&amp;"'!C:C"),
    $A621
  )&gt;0,
  "X",
  ""
)</f>
        <v/>
      </c>
      <c r="D621" s="41" t="str">
        <f t="shared" si="620"/>
        <v/>
      </c>
      <c r="E621" s="41" t="str">
        <f t="shared" si="620"/>
        <v/>
      </c>
      <c r="F621" s="41" t="str">
        <f t="shared" si="620"/>
        <v/>
      </c>
      <c r="G621" s="41" t="str">
        <f t="shared" si="620"/>
        <v/>
      </c>
      <c r="H621" s="41" t="str">
        <f t="shared" si="620"/>
        <v/>
      </c>
      <c r="I621" s="41" t="str">
        <f t="shared" si="620"/>
        <v/>
      </c>
      <c r="J621" s="41" t="str">
        <f t="shared" si="620"/>
        <v/>
      </c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67.5" customHeight="1">
      <c r="A622" s="39"/>
      <c r="B622" s="43" t="str">
        <f>IFERROR(__xludf.DUMMYFUNCTION("IFERROR(
  LET(
    periodos, C$1:Z$1,
    marcas, C622:Z622,
    pos, MAX(
          FILTER(
            COLUMN(marcas)-COLUMN(C622)+1,
            marcas=""X""
          )
        ),
    ultimo, INDEX(periodos, pos),
    XLOOKUP(
      $A622,
      INDI"&amp;"RECT(""'""&amp;ultimo&amp;""'!C:C""),
      INDIRECT(""'""&amp;ultimo&amp;""'!A:A"")
    )
  ),
  """"
)"),"")</f>
        <v/>
      </c>
      <c r="C622" s="41" t="str">
        <f t="shared" ref="C622:J622" si="621">IF(
  COUNTIF(
    INDIRECT("'"&amp;C$1&amp;"'!C:C"),
    $A622
  )&gt;0,
  "X",
  ""
)</f>
        <v/>
      </c>
      <c r="D622" s="41" t="str">
        <f t="shared" si="621"/>
        <v/>
      </c>
      <c r="E622" s="41" t="str">
        <f t="shared" si="621"/>
        <v/>
      </c>
      <c r="F622" s="41" t="str">
        <f t="shared" si="621"/>
        <v/>
      </c>
      <c r="G622" s="41" t="str">
        <f t="shared" si="621"/>
        <v/>
      </c>
      <c r="H622" s="41" t="str">
        <f t="shared" si="621"/>
        <v/>
      </c>
      <c r="I622" s="41" t="str">
        <f t="shared" si="621"/>
        <v/>
      </c>
      <c r="J622" s="41" t="str">
        <f t="shared" si="621"/>
        <v/>
      </c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67.5" customHeight="1">
      <c r="A623" s="39"/>
      <c r="B623" s="43" t="str">
        <f>IFERROR(__xludf.DUMMYFUNCTION("IFERROR(
  LET(
    periodos, C$1:Z$1,
    marcas, C623:Z623,
    pos, MAX(
          FILTER(
            COLUMN(marcas)-COLUMN(C623)+1,
            marcas=""X""
          )
        ),
    ultimo, INDEX(periodos, pos),
    XLOOKUP(
      $A623,
      INDI"&amp;"RECT(""'""&amp;ultimo&amp;""'!C:C""),
      INDIRECT(""'""&amp;ultimo&amp;""'!A:A"")
    )
  ),
  """"
)"),"")</f>
        <v/>
      </c>
      <c r="C623" s="41" t="str">
        <f t="shared" ref="C623:J623" si="622">IF(
  COUNTIF(
    INDIRECT("'"&amp;C$1&amp;"'!C:C"),
    $A623
  )&gt;0,
  "X",
  ""
)</f>
        <v/>
      </c>
      <c r="D623" s="41" t="str">
        <f t="shared" si="622"/>
        <v/>
      </c>
      <c r="E623" s="41" t="str">
        <f t="shared" si="622"/>
        <v/>
      </c>
      <c r="F623" s="41" t="str">
        <f t="shared" si="622"/>
        <v/>
      </c>
      <c r="G623" s="41" t="str">
        <f t="shared" si="622"/>
        <v/>
      </c>
      <c r="H623" s="41" t="str">
        <f t="shared" si="622"/>
        <v/>
      </c>
      <c r="I623" s="41" t="str">
        <f t="shared" si="622"/>
        <v/>
      </c>
      <c r="J623" s="41" t="str">
        <f t="shared" si="622"/>
        <v/>
      </c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67.5" customHeight="1">
      <c r="A624" s="39"/>
      <c r="B624" s="43" t="str">
        <f>IFERROR(__xludf.DUMMYFUNCTION("IFERROR(
  LET(
    periodos, C$1:Z$1,
    marcas, C624:Z624,
    pos, MAX(
          FILTER(
            COLUMN(marcas)-COLUMN(C624)+1,
            marcas=""X""
          )
        ),
    ultimo, INDEX(periodos, pos),
    XLOOKUP(
      $A624,
      INDI"&amp;"RECT(""'""&amp;ultimo&amp;""'!C:C""),
      INDIRECT(""'""&amp;ultimo&amp;""'!A:A"")
    )
  ),
  """"
)"),"")</f>
        <v/>
      </c>
      <c r="C624" s="41" t="str">
        <f t="shared" ref="C624:J624" si="623">IF(
  COUNTIF(
    INDIRECT("'"&amp;C$1&amp;"'!C:C"),
    $A624
  )&gt;0,
  "X",
  ""
)</f>
        <v/>
      </c>
      <c r="D624" s="41" t="str">
        <f t="shared" si="623"/>
        <v/>
      </c>
      <c r="E624" s="41" t="str">
        <f t="shared" si="623"/>
        <v/>
      </c>
      <c r="F624" s="41" t="str">
        <f t="shared" si="623"/>
        <v/>
      </c>
      <c r="G624" s="41" t="str">
        <f t="shared" si="623"/>
        <v/>
      </c>
      <c r="H624" s="41" t="str">
        <f t="shared" si="623"/>
        <v/>
      </c>
      <c r="I624" s="41" t="str">
        <f t="shared" si="623"/>
        <v/>
      </c>
      <c r="J624" s="41" t="str">
        <f t="shared" si="623"/>
        <v/>
      </c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67.5" customHeight="1">
      <c r="A625" s="39"/>
      <c r="B625" s="43" t="str">
        <f>IFERROR(__xludf.DUMMYFUNCTION("IFERROR(
  LET(
    periodos, C$1:Z$1,
    marcas, C625:Z625,
    pos, MAX(
          FILTER(
            COLUMN(marcas)-COLUMN(C625)+1,
            marcas=""X""
          )
        ),
    ultimo, INDEX(periodos, pos),
    XLOOKUP(
      $A625,
      INDI"&amp;"RECT(""'""&amp;ultimo&amp;""'!C:C""),
      INDIRECT(""'""&amp;ultimo&amp;""'!A:A"")
    )
  ),
  """"
)"),"")</f>
        <v/>
      </c>
      <c r="C625" s="41" t="str">
        <f t="shared" ref="C625:J625" si="624">IF(
  COUNTIF(
    INDIRECT("'"&amp;C$1&amp;"'!C:C"),
    $A625
  )&gt;0,
  "X",
  ""
)</f>
        <v/>
      </c>
      <c r="D625" s="41" t="str">
        <f t="shared" si="624"/>
        <v/>
      </c>
      <c r="E625" s="41" t="str">
        <f t="shared" si="624"/>
        <v/>
      </c>
      <c r="F625" s="41" t="str">
        <f t="shared" si="624"/>
        <v/>
      </c>
      <c r="G625" s="41" t="str">
        <f t="shared" si="624"/>
        <v/>
      </c>
      <c r="H625" s="41" t="str">
        <f t="shared" si="624"/>
        <v/>
      </c>
      <c r="I625" s="41" t="str">
        <f t="shared" si="624"/>
        <v/>
      </c>
      <c r="J625" s="41" t="str">
        <f t="shared" si="624"/>
        <v/>
      </c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67.5" customHeight="1">
      <c r="A626" s="39"/>
      <c r="B626" s="43" t="str">
        <f>IFERROR(__xludf.DUMMYFUNCTION("IFERROR(
  LET(
    periodos, C$1:Z$1,
    marcas, C626:Z626,
    pos, MAX(
          FILTER(
            COLUMN(marcas)-COLUMN(C626)+1,
            marcas=""X""
          )
        ),
    ultimo, INDEX(periodos, pos),
    XLOOKUP(
      $A626,
      INDI"&amp;"RECT(""'""&amp;ultimo&amp;""'!C:C""),
      INDIRECT(""'""&amp;ultimo&amp;""'!A:A"")
    )
  ),
  """"
)"),"")</f>
        <v/>
      </c>
      <c r="C626" s="41" t="str">
        <f t="shared" ref="C626:J626" si="625">IF(
  COUNTIF(
    INDIRECT("'"&amp;C$1&amp;"'!C:C"),
    $A626
  )&gt;0,
  "X",
  ""
)</f>
        <v/>
      </c>
      <c r="D626" s="41" t="str">
        <f t="shared" si="625"/>
        <v/>
      </c>
      <c r="E626" s="41" t="str">
        <f t="shared" si="625"/>
        <v/>
      </c>
      <c r="F626" s="41" t="str">
        <f t="shared" si="625"/>
        <v/>
      </c>
      <c r="G626" s="41" t="str">
        <f t="shared" si="625"/>
        <v/>
      </c>
      <c r="H626" s="41" t="str">
        <f t="shared" si="625"/>
        <v/>
      </c>
      <c r="I626" s="41" t="str">
        <f t="shared" si="625"/>
        <v/>
      </c>
      <c r="J626" s="41" t="str">
        <f t="shared" si="625"/>
        <v/>
      </c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67.5" customHeight="1">
      <c r="A627" s="39"/>
      <c r="B627" s="43" t="str">
        <f>IFERROR(__xludf.DUMMYFUNCTION("IFERROR(
  LET(
    periodos, C$1:Z$1,
    marcas, C627:Z627,
    pos, MAX(
          FILTER(
            COLUMN(marcas)-COLUMN(C627)+1,
            marcas=""X""
          )
        ),
    ultimo, INDEX(periodos, pos),
    XLOOKUP(
      $A627,
      INDI"&amp;"RECT(""'""&amp;ultimo&amp;""'!C:C""),
      INDIRECT(""'""&amp;ultimo&amp;""'!A:A"")
    )
  ),
  """"
)"),"")</f>
        <v/>
      </c>
      <c r="C627" s="41" t="str">
        <f t="shared" ref="C627:J627" si="626">IF(
  COUNTIF(
    INDIRECT("'"&amp;C$1&amp;"'!C:C"),
    $A627
  )&gt;0,
  "X",
  ""
)</f>
        <v/>
      </c>
      <c r="D627" s="41" t="str">
        <f t="shared" si="626"/>
        <v/>
      </c>
      <c r="E627" s="41" t="str">
        <f t="shared" si="626"/>
        <v/>
      </c>
      <c r="F627" s="41" t="str">
        <f t="shared" si="626"/>
        <v/>
      </c>
      <c r="G627" s="41" t="str">
        <f t="shared" si="626"/>
        <v/>
      </c>
      <c r="H627" s="41" t="str">
        <f t="shared" si="626"/>
        <v/>
      </c>
      <c r="I627" s="41" t="str">
        <f t="shared" si="626"/>
        <v/>
      </c>
      <c r="J627" s="41" t="str">
        <f t="shared" si="626"/>
        <v/>
      </c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67.5" customHeight="1">
      <c r="A628" s="39"/>
      <c r="B628" s="43" t="str">
        <f>IFERROR(__xludf.DUMMYFUNCTION("IFERROR(
  LET(
    periodos, C$1:Z$1,
    marcas, C628:Z628,
    pos, MAX(
          FILTER(
            COLUMN(marcas)-COLUMN(C628)+1,
            marcas=""X""
          )
        ),
    ultimo, INDEX(periodos, pos),
    XLOOKUP(
      $A628,
      INDI"&amp;"RECT(""'""&amp;ultimo&amp;""'!C:C""),
      INDIRECT(""'""&amp;ultimo&amp;""'!A:A"")
    )
  ),
  """"
)"),"")</f>
        <v/>
      </c>
      <c r="C628" s="41" t="str">
        <f t="shared" ref="C628:J628" si="627">IF(
  COUNTIF(
    INDIRECT("'"&amp;C$1&amp;"'!C:C"),
    $A628
  )&gt;0,
  "X",
  ""
)</f>
        <v/>
      </c>
      <c r="D628" s="41" t="str">
        <f t="shared" si="627"/>
        <v/>
      </c>
      <c r="E628" s="41" t="str">
        <f t="shared" si="627"/>
        <v/>
      </c>
      <c r="F628" s="41" t="str">
        <f t="shared" si="627"/>
        <v/>
      </c>
      <c r="G628" s="41" t="str">
        <f t="shared" si="627"/>
        <v/>
      </c>
      <c r="H628" s="41" t="str">
        <f t="shared" si="627"/>
        <v/>
      </c>
      <c r="I628" s="41" t="str">
        <f t="shared" si="627"/>
        <v/>
      </c>
      <c r="J628" s="41" t="str">
        <f t="shared" si="627"/>
        <v/>
      </c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67.5" customHeight="1">
      <c r="A629" s="39"/>
      <c r="B629" s="43" t="str">
        <f>IFERROR(__xludf.DUMMYFUNCTION("IFERROR(
  LET(
    periodos, C$1:Z$1,
    marcas, C629:Z629,
    pos, MAX(
          FILTER(
            COLUMN(marcas)-COLUMN(C629)+1,
            marcas=""X""
          )
        ),
    ultimo, INDEX(periodos, pos),
    XLOOKUP(
      $A629,
      INDI"&amp;"RECT(""'""&amp;ultimo&amp;""'!C:C""),
      INDIRECT(""'""&amp;ultimo&amp;""'!A:A"")
    )
  ),
  """"
)"),"")</f>
        <v/>
      </c>
      <c r="C629" s="41" t="str">
        <f t="shared" ref="C629:J629" si="628">IF(
  COUNTIF(
    INDIRECT("'"&amp;C$1&amp;"'!C:C"),
    $A629
  )&gt;0,
  "X",
  ""
)</f>
        <v/>
      </c>
      <c r="D629" s="41" t="str">
        <f t="shared" si="628"/>
        <v/>
      </c>
      <c r="E629" s="41" t="str">
        <f t="shared" si="628"/>
        <v/>
      </c>
      <c r="F629" s="41" t="str">
        <f t="shared" si="628"/>
        <v/>
      </c>
      <c r="G629" s="41" t="str">
        <f t="shared" si="628"/>
        <v/>
      </c>
      <c r="H629" s="41" t="str">
        <f t="shared" si="628"/>
        <v/>
      </c>
      <c r="I629" s="41" t="str">
        <f t="shared" si="628"/>
        <v/>
      </c>
      <c r="J629" s="41" t="str">
        <f t="shared" si="628"/>
        <v/>
      </c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67.5" customHeight="1">
      <c r="A630" s="39"/>
      <c r="B630" s="43" t="str">
        <f>IFERROR(__xludf.DUMMYFUNCTION("IFERROR(
  LET(
    periodos, C$1:Z$1,
    marcas, C630:Z630,
    pos, MAX(
          FILTER(
            COLUMN(marcas)-COLUMN(C630)+1,
            marcas=""X""
          )
        ),
    ultimo, INDEX(periodos, pos),
    XLOOKUP(
      $A630,
      INDI"&amp;"RECT(""'""&amp;ultimo&amp;""'!C:C""),
      INDIRECT(""'""&amp;ultimo&amp;""'!A:A"")
    )
  ),
  """"
)"),"")</f>
        <v/>
      </c>
      <c r="C630" s="41" t="str">
        <f t="shared" ref="C630:J630" si="629">IF(
  COUNTIF(
    INDIRECT("'"&amp;C$1&amp;"'!C:C"),
    $A630
  )&gt;0,
  "X",
  ""
)</f>
        <v/>
      </c>
      <c r="D630" s="41" t="str">
        <f t="shared" si="629"/>
        <v/>
      </c>
      <c r="E630" s="41" t="str">
        <f t="shared" si="629"/>
        <v/>
      </c>
      <c r="F630" s="41" t="str">
        <f t="shared" si="629"/>
        <v/>
      </c>
      <c r="G630" s="41" t="str">
        <f t="shared" si="629"/>
        <v/>
      </c>
      <c r="H630" s="41" t="str">
        <f t="shared" si="629"/>
        <v/>
      </c>
      <c r="I630" s="41" t="str">
        <f t="shared" si="629"/>
        <v/>
      </c>
      <c r="J630" s="41" t="str">
        <f t="shared" si="629"/>
        <v/>
      </c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67.5" customHeight="1">
      <c r="A631" s="39"/>
      <c r="B631" s="43" t="str">
        <f>IFERROR(__xludf.DUMMYFUNCTION("IFERROR(
  LET(
    periodos, C$1:Z$1,
    marcas, C631:Z631,
    pos, MAX(
          FILTER(
            COLUMN(marcas)-COLUMN(C631)+1,
            marcas=""X""
          )
        ),
    ultimo, INDEX(periodos, pos),
    XLOOKUP(
      $A631,
      INDI"&amp;"RECT(""'""&amp;ultimo&amp;""'!C:C""),
      INDIRECT(""'""&amp;ultimo&amp;""'!A:A"")
    )
  ),
  """"
)"),"")</f>
        <v/>
      </c>
      <c r="C631" s="41" t="str">
        <f t="shared" ref="C631:J631" si="630">IF(
  COUNTIF(
    INDIRECT("'"&amp;C$1&amp;"'!C:C"),
    $A631
  )&gt;0,
  "X",
  ""
)</f>
        <v/>
      </c>
      <c r="D631" s="41" t="str">
        <f t="shared" si="630"/>
        <v/>
      </c>
      <c r="E631" s="41" t="str">
        <f t="shared" si="630"/>
        <v/>
      </c>
      <c r="F631" s="41" t="str">
        <f t="shared" si="630"/>
        <v/>
      </c>
      <c r="G631" s="41" t="str">
        <f t="shared" si="630"/>
        <v/>
      </c>
      <c r="H631" s="41" t="str">
        <f t="shared" si="630"/>
        <v/>
      </c>
      <c r="I631" s="41" t="str">
        <f t="shared" si="630"/>
        <v/>
      </c>
      <c r="J631" s="41" t="str">
        <f t="shared" si="630"/>
        <v/>
      </c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67.5" customHeight="1">
      <c r="A632" s="39"/>
      <c r="B632" s="43" t="str">
        <f>IFERROR(__xludf.DUMMYFUNCTION("IFERROR(
  LET(
    periodos, C$1:Z$1,
    marcas, C632:Z632,
    pos, MAX(
          FILTER(
            COLUMN(marcas)-COLUMN(C632)+1,
            marcas=""X""
          )
        ),
    ultimo, INDEX(periodos, pos),
    XLOOKUP(
      $A632,
      INDI"&amp;"RECT(""'""&amp;ultimo&amp;""'!C:C""),
      INDIRECT(""'""&amp;ultimo&amp;""'!A:A"")
    )
  ),
  """"
)"),"")</f>
        <v/>
      </c>
      <c r="C632" s="41" t="str">
        <f t="shared" ref="C632:J632" si="631">IF(
  COUNTIF(
    INDIRECT("'"&amp;C$1&amp;"'!C:C"),
    $A632
  )&gt;0,
  "X",
  ""
)</f>
        <v/>
      </c>
      <c r="D632" s="41" t="str">
        <f t="shared" si="631"/>
        <v/>
      </c>
      <c r="E632" s="41" t="str">
        <f t="shared" si="631"/>
        <v/>
      </c>
      <c r="F632" s="41" t="str">
        <f t="shared" si="631"/>
        <v/>
      </c>
      <c r="G632" s="41" t="str">
        <f t="shared" si="631"/>
        <v/>
      </c>
      <c r="H632" s="41" t="str">
        <f t="shared" si="631"/>
        <v/>
      </c>
      <c r="I632" s="41" t="str">
        <f t="shared" si="631"/>
        <v/>
      </c>
      <c r="J632" s="41" t="str">
        <f t="shared" si="631"/>
        <v/>
      </c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67.5" customHeight="1">
      <c r="A633" s="39"/>
      <c r="B633" s="43" t="str">
        <f>IFERROR(__xludf.DUMMYFUNCTION("IFERROR(
  LET(
    periodos, C$1:Z$1,
    marcas, C633:Z633,
    pos, MAX(
          FILTER(
            COLUMN(marcas)-COLUMN(C633)+1,
            marcas=""X""
          )
        ),
    ultimo, INDEX(periodos, pos),
    XLOOKUP(
      $A633,
      INDI"&amp;"RECT(""'""&amp;ultimo&amp;""'!C:C""),
      INDIRECT(""'""&amp;ultimo&amp;""'!A:A"")
    )
  ),
  """"
)"),"")</f>
        <v/>
      </c>
      <c r="C633" s="41" t="str">
        <f t="shared" ref="C633:J633" si="632">IF(
  COUNTIF(
    INDIRECT("'"&amp;C$1&amp;"'!C:C"),
    $A633
  )&gt;0,
  "X",
  ""
)</f>
        <v/>
      </c>
      <c r="D633" s="41" t="str">
        <f t="shared" si="632"/>
        <v/>
      </c>
      <c r="E633" s="41" t="str">
        <f t="shared" si="632"/>
        <v/>
      </c>
      <c r="F633" s="41" t="str">
        <f t="shared" si="632"/>
        <v/>
      </c>
      <c r="G633" s="41" t="str">
        <f t="shared" si="632"/>
        <v/>
      </c>
      <c r="H633" s="41" t="str">
        <f t="shared" si="632"/>
        <v/>
      </c>
      <c r="I633" s="41" t="str">
        <f t="shared" si="632"/>
        <v/>
      </c>
      <c r="J633" s="41" t="str">
        <f t="shared" si="632"/>
        <v/>
      </c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67.5" customHeight="1">
      <c r="A634" s="39"/>
      <c r="B634" s="43" t="str">
        <f>IFERROR(__xludf.DUMMYFUNCTION("IFERROR(
  LET(
    periodos, C$1:Z$1,
    marcas, C634:Z634,
    pos, MAX(
          FILTER(
            COLUMN(marcas)-COLUMN(C634)+1,
            marcas=""X""
          )
        ),
    ultimo, INDEX(periodos, pos),
    XLOOKUP(
      $A634,
      INDI"&amp;"RECT(""'""&amp;ultimo&amp;""'!C:C""),
      INDIRECT(""'""&amp;ultimo&amp;""'!A:A"")
    )
  ),
  """"
)"),"")</f>
        <v/>
      </c>
      <c r="C634" s="41" t="str">
        <f t="shared" ref="C634:J634" si="633">IF(
  COUNTIF(
    INDIRECT("'"&amp;C$1&amp;"'!C:C"),
    $A634
  )&gt;0,
  "X",
  ""
)</f>
        <v/>
      </c>
      <c r="D634" s="41" t="str">
        <f t="shared" si="633"/>
        <v/>
      </c>
      <c r="E634" s="41" t="str">
        <f t="shared" si="633"/>
        <v/>
      </c>
      <c r="F634" s="41" t="str">
        <f t="shared" si="633"/>
        <v/>
      </c>
      <c r="G634" s="41" t="str">
        <f t="shared" si="633"/>
        <v/>
      </c>
      <c r="H634" s="41" t="str">
        <f t="shared" si="633"/>
        <v/>
      </c>
      <c r="I634" s="41" t="str">
        <f t="shared" si="633"/>
        <v/>
      </c>
      <c r="J634" s="41" t="str">
        <f t="shared" si="633"/>
        <v/>
      </c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67.5" customHeight="1">
      <c r="A635" s="39"/>
      <c r="B635" s="43" t="str">
        <f>IFERROR(__xludf.DUMMYFUNCTION("IFERROR(
  LET(
    periodos, C$1:Z$1,
    marcas, C635:Z635,
    pos, MAX(
          FILTER(
            COLUMN(marcas)-COLUMN(C635)+1,
            marcas=""X""
          )
        ),
    ultimo, INDEX(periodos, pos),
    XLOOKUP(
      $A635,
      INDI"&amp;"RECT(""'""&amp;ultimo&amp;""'!C:C""),
      INDIRECT(""'""&amp;ultimo&amp;""'!A:A"")
    )
  ),
  """"
)"),"")</f>
        <v/>
      </c>
      <c r="C635" s="41" t="str">
        <f t="shared" ref="C635:J635" si="634">IF(
  COUNTIF(
    INDIRECT("'"&amp;C$1&amp;"'!C:C"),
    $A635
  )&gt;0,
  "X",
  ""
)</f>
        <v/>
      </c>
      <c r="D635" s="41" t="str">
        <f t="shared" si="634"/>
        <v/>
      </c>
      <c r="E635" s="41" t="str">
        <f t="shared" si="634"/>
        <v/>
      </c>
      <c r="F635" s="41" t="str">
        <f t="shared" si="634"/>
        <v/>
      </c>
      <c r="G635" s="41" t="str">
        <f t="shared" si="634"/>
        <v/>
      </c>
      <c r="H635" s="41" t="str">
        <f t="shared" si="634"/>
        <v/>
      </c>
      <c r="I635" s="41" t="str">
        <f t="shared" si="634"/>
        <v/>
      </c>
      <c r="J635" s="41" t="str">
        <f t="shared" si="634"/>
        <v/>
      </c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67.5" customHeight="1">
      <c r="A636" s="39"/>
      <c r="B636" s="43" t="str">
        <f>IFERROR(__xludf.DUMMYFUNCTION("IFERROR(
  LET(
    periodos, C$1:Z$1,
    marcas, C636:Z636,
    pos, MAX(
          FILTER(
            COLUMN(marcas)-COLUMN(C636)+1,
            marcas=""X""
          )
        ),
    ultimo, INDEX(periodos, pos),
    XLOOKUP(
      $A636,
      INDI"&amp;"RECT(""'""&amp;ultimo&amp;""'!C:C""),
      INDIRECT(""'""&amp;ultimo&amp;""'!A:A"")
    )
  ),
  """"
)"),"")</f>
        <v/>
      </c>
      <c r="C636" s="41" t="str">
        <f t="shared" ref="C636:J636" si="635">IF(
  COUNTIF(
    INDIRECT("'"&amp;C$1&amp;"'!C:C"),
    $A636
  )&gt;0,
  "X",
  ""
)</f>
        <v/>
      </c>
      <c r="D636" s="41" t="str">
        <f t="shared" si="635"/>
        <v/>
      </c>
      <c r="E636" s="41" t="str">
        <f t="shared" si="635"/>
        <v/>
      </c>
      <c r="F636" s="41" t="str">
        <f t="shared" si="635"/>
        <v/>
      </c>
      <c r="G636" s="41" t="str">
        <f t="shared" si="635"/>
        <v/>
      </c>
      <c r="H636" s="41" t="str">
        <f t="shared" si="635"/>
        <v/>
      </c>
      <c r="I636" s="41" t="str">
        <f t="shared" si="635"/>
        <v/>
      </c>
      <c r="J636" s="41" t="str">
        <f t="shared" si="635"/>
        <v/>
      </c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67.5" customHeight="1">
      <c r="A637" s="39"/>
      <c r="B637" s="43" t="str">
        <f>IFERROR(__xludf.DUMMYFUNCTION("IFERROR(
  LET(
    periodos, C$1:Z$1,
    marcas, C637:Z637,
    pos, MAX(
          FILTER(
            COLUMN(marcas)-COLUMN(C637)+1,
            marcas=""X""
          )
        ),
    ultimo, INDEX(periodos, pos),
    XLOOKUP(
      $A637,
      INDI"&amp;"RECT(""'""&amp;ultimo&amp;""'!C:C""),
      INDIRECT(""'""&amp;ultimo&amp;""'!A:A"")
    )
  ),
  """"
)"),"")</f>
        <v/>
      </c>
      <c r="C637" s="41" t="str">
        <f t="shared" ref="C637:J637" si="636">IF(
  COUNTIF(
    INDIRECT("'"&amp;C$1&amp;"'!C:C"),
    $A637
  )&gt;0,
  "X",
  ""
)</f>
        <v/>
      </c>
      <c r="D637" s="41" t="str">
        <f t="shared" si="636"/>
        <v/>
      </c>
      <c r="E637" s="41" t="str">
        <f t="shared" si="636"/>
        <v/>
      </c>
      <c r="F637" s="41" t="str">
        <f t="shared" si="636"/>
        <v/>
      </c>
      <c r="G637" s="41" t="str">
        <f t="shared" si="636"/>
        <v/>
      </c>
      <c r="H637" s="41" t="str">
        <f t="shared" si="636"/>
        <v/>
      </c>
      <c r="I637" s="41" t="str">
        <f t="shared" si="636"/>
        <v/>
      </c>
      <c r="J637" s="41" t="str">
        <f t="shared" si="636"/>
        <v/>
      </c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67.5" customHeight="1">
      <c r="A638" s="39"/>
      <c r="B638" s="43" t="str">
        <f>IFERROR(__xludf.DUMMYFUNCTION("IFERROR(
  LET(
    periodos, C$1:Z$1,
    marcas, C638:Z638,
    pos, MAX(
          FILTER(
            COLUMN(marcas)-COLUMN(C638)+1,
            marcas=""X""
          )
        ),
    ultimo, INDEX(periodos, pos),
    XLOOKUP(
      $A638,
      INDI"&amp;"RECT(""'""&amp;ultimo&amp;""'!C:C""),
      INDIRECT(""'""&amp;ultimo&amp;""'!A:A"")
    )
  ),
  """"
)"),"")</f>
        <v/>
      </c>
      <c r="C638" s="41" t="str">
        <f t="shared" ref="C638:J638" si="637">IF(
  COUNTIF(
    INDIRECT("'"&amp;C$1&amp;"'!C:C"),
    $A638
  )&gt;0,
  "X",
  ""
)</f>
        <v/>
      </c>
      <c r="D638" s="41" t="str">
        <f t="shared" si="637"/>
        <v/>
      </c>
      <c r="E638" s="41" t="str">
        <f t="shared" si="637"/>
        <v/>
      </c>
      <c r="F638" s="41" t="str">
        <f t="shared" si="637"/>
        <v/>
      </c>
      <c r="G638" s="41" t="str">
        <f t="shared" si="637"/>
        <v/>
      </c>
      <c r="H638" s="41" t="str">
        <f t="shared" si="637"/>
        <v/>
      </c>
      <c r="I638" s="41" t="str">
        <f t="shared" si="637"/>
        <v/>
      </c>
      <c r="J638" s="41" t="str">
        <f t="shared" si="637"/>
        <v/>
      </c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67.5" customHeight="1">
      <c r="A639" s="39"/>
      <c r="B639" s="43" t="str">
        <f>IFERROR(__xludf.DUMMYFUNCTION("IFERROR(
  LET(
    periodos, C$1:Z$1,
    marcas, C639:Z639,
    pos, MAX(
          FILTER(
            COLUMN(marcas)-COLUMN(C639)+1,
            marcas=""X""
          )
        ),
    ultimo, INDEX(periodos, pos),
    XLOOKUP(
      $A639,
      INDI"&amp;"RECT(""'""&amp;ultimo&amp;""'!C:C""),
      INDIRECT(""'""&amp;ultimo&amp;""'!A:A"")
    )
  ),
  """"
)"),"")</f>
        <v/>
      </c>
      <c r="C639" s="41" t="str">
        <f t="shared" ref="C639:J639" si="638">IF(
  COUNTIF(
    INDIRECT("'"&amp;C$1&amp;"'!C:C"),
    $A639
  )&gt;0,
  "X",
  ""
)</f>
        <v/>
      </c>
      <c r="D639" s="41" t="str">
        <f t="shared" si="638"/>
        <v/>
      </c>
      <c r="E639" s="41" t="str">
        <f t="shared" si="638"/>
        <v/>
      </c>
      <c r="F639" s="41" t="str">
        <f t="shared" si="638"/>
        <v/>
      </c>
      <c r="G639" s="41" t="str">
        <f t="shared" si="638"/>
        <v/>
      </c>
      <c r="H639" s="41" t="str">
        <f t="shared" si="638"/>
        <v/>
      </c>
      <c r="I639" s="41" t="str">
        <f t="shared" si="638"/>
        <v/>
      </c>
      <c r="J639" s="41" t="str">
        <f t="shared" si="638"/>
        <v/>
      </c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67.5" customHeight="1">
      <c r="A640" s="39"/>
      <c r="B640" s="43" t="str">
        <f>IFERROR(__xludf.DUMMYFUNCTION("IFERROR(
  LET(
    periodos, C$1:Z$1,
    marcas, C640:Z640,
    pos, MAX(
          FILTER(
            COLUMN(marcas)-COLUMN(C640)+1,
            marcas=""X""
          )
        ),
    ultimo, INDEX(periodos, pos),
    XLOOKUP(
      $A640,
      INDI"&amp;"RECT(""'""&amp;ultimo&amp;""'!C:C""),
      INDIRECT(""'""&amp;ultimo&amp;""'!A:A"")
    )
  ),
  """"
)"),"")</f>
        <v/>
      </c>
      <c r="C640" s="41" t="str">
        <f t="shared" ref="C640:J640" si="639">IF(
  COUNTIF(
    INDIRECT("'"&amp;C$1&amp;"'!C:C"),
    $A640
  )&gt;0,
  "X",
  ""
)</f>
        <v/>
      </c>
      <c r="D640" s="41" t="str">
        <f t="shared" si="639"/>
        <v/>
      </c>
      <c r="E640" s="41" t="str">
        <f t="shared" si="639"/>
        <v/>
      </c>
      <c r="F640" s="41" t="str">
        <f t="shared" si="639"/>
        <v/>
      </c>
      <c r="G640" s="41" t="str">
        <f t="shared" si="639"/>
        <v/>
      </c>
      <c r="H640" s="41" t="str">
        <f t="shared" si="639"/>
        <v/>
      </c>
      <c r="I640" s="41" t="str">
        <f t="shared" si="639"/>
        <v/>
      </c>
      <c r="J640" s="41" t="str">
        <f t="shared" si="639"/>
        <v/>
      </c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67.5" customHeight="1">
      <c r="A641" s="39"/>
      <c r="B641" s="43" t="str">
        <f>IFERROR(__xludf.DUMMYFUNCTION("IFERROR(
  LET(
    periodos, C$1:Z$1,
    marcas, C641:Z641,
    pos, MAX(
          FILTER(
            COLUMN(marcas)-COLUMN(C641)+1,
            marcas=""X""
          )
        ),
    ultimo, INDEX(periodos, pos),
    XLOOKUP(
      $A641,
      INDI"&amp;"RECT(""'""&amp;ultimo&amp;""'!C:C""),
      INDIRECT(""'""&amp;ultimo&amp;""'!A:A"")
    )
  ),
  """"
)"),"")</f>
        <v/>
      </c>
      <c r="C641" s="41" t="str">
        <f t="shared" ref="C641:J641" si="640">IF(
  COUNTIF(
    INDIRECT("'"&amp;C$1&amp;"'!C:C"),
    $A641
  )&gt;0,
  "X",
  ""
)</f>
        <v/>
      </c>
      <c r="D641" s="41" t="str">
        <f t="shared" si="640"/>
        <v/>
      </c>
      <c r="E641" s="41" t="str">
        <f t="shared" si="640"/>
        <v/>
      </c>
      <c r="F641" s="41" t="str">
        <f t="shared" si="640"/>
        <v/>
      </c>
      <c r="G641" s="41" t="str">
        <f t="shared" si="640"/>
        <v/>
      </c>
      <c r="H641" s="41" t="str">
        <f t="shared" si="640"/>
        <v/>
      </c>
      <c r="I641" s="41" t="str">
        <f t="shared" si="640"/>
        <v/>
      </c>
      <c r="J641" s="41" t="str">
        <f t="shared" si="640"/>
        <v/>
      </c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67.5" customHeight="1">
      <c r="A642" s="39"/>
      <c r="B642" s="43" t="str">
        <f>IFERROR(__xludf.DUMMYFUNCTION("IFERROR(
  LET(
    periodos, C$1:Z$1,
    marcas, C642:Z642,
    pos, MAX(
          FILTER(
            COLUMN(marcas)-COLUMN(C642)+1,
            marcas=""X""
          )
        ),
    ultimo, INDEX(periodos, pos),
    XLOOKUP(
      $A642,
      INDI"&amp;"RECT(""'""&amp;ultimo&amp;""'!C:C""),
      INDIRECT(""'""&amp;ultimo&amp;""'!A:A"")
    )
  ),
  """"
)"),"")</f>
        <v/>
      </c>
      <c r="C642" s="41" t="str">
        <f t="shared" ref="C642:J642" si="641">IF(
  COUNTIF(
    INDIRECT("'"&amp;C$1&amp;"'!C:C"),
    $A642
  )&gt;0,
  "X",
  ""
)</f>
        <v/>
      </c>
      <c r="D642" s="41" t="str">
        <f t="shared" si="641"/>
        <v/>
      </c>
      <c r="E642" s="41" t="str">
        <f t="shared" si="641"/>
        <v/>
      </c>
      <c r="F642" s="41" t="str">
        <f t="shared" si="641"/>
        <v/>
      </c>
      <c r="G642" s="41" t="str">
        <f t="shared" si="641"/>
        <v/>
      </c>
      <c r="H642" s="41" t="str">
        <f t="shared" si="641"/>
        <v/>
      </c>
      <c r="I642" s="41" t="str">
        <f t="shared" si="641"/>
        <v/>
      </c>
      <c r="J642" s="41" t="str">
        <f t="shared" si="641"/>
        <v/>
      </c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67.5" customHeight="1">
      <c r="A643" s="39"/>
      <c r="B643" s="43" t="str">
        <f>IFERROR(__xludf.DUMMYFUNCTION("IFERROR(
  LET(
    periodos, C$1:Z$1,
    marcas, C643:Z643,
    pos, MAX(
          FILTER(
            COLUMN(marcas)-COLUMN(C643)+1,
            marcas=""X""
          )
        ),
    ultimo, INDEX(periodos, pos),
    XLOOKUP(
      $A643,
      INDI"&amp;"RECT(""'""&amp;ultimo&amp;""'!C:C""),
      INDIRECT(""'""&amp;ultimo&amp;""'!A:A"")
    )
  ),
  """"
)"),"")</f>
        <v/>
      </c>
      <c r="C643" s="41" t="str">
        <f t="shared" ref="C643:J643" si="642">IF(
  COUNTIF(
    INDIRECT("'"&amp;C$1&amp;"'!C:C"),
    $A643
  )&gt;0,
  "X",
  ""
)</f>
        <v/>
      </c>
      <c r="D643" s="41" t="str">
        <f t="shared" si="642"/>
        <v/>
      </c>
      <c r="E643" s="41" t="str">
        <f t="shared" si="642"/>
        <v/>
      </c>
      <c r="F643" s="41" t="str">
        <f t="shared" si="642"/>
        <v/>
      </c>
      <c r="G643" s="41" t="str">
        <f t="shared" si="642"/>
        <v/>
      </c>
      <c r="H643" s="41" t="str">
        <f t="shared" si="642"/>
        <v/>
      </c>
      <c r="I643" s="41" t="str">
        <f t="shared" si="642"/>
        <v/>
      </c>
      <c r="J643" s="41" t="str">
        <f t="shared" si="642"/>
        <v/>
      </c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67.5" customHeight="1">
      <c r="A644" s="39"/>
      <c r="B644" s="43" t="str">
        <f>IFERROR(__xludf.DUMMYFUNCTION("IFERROR(
  LET(
    periodos, C$1:Z$1,
    marcas, C644:Z644,
    pos, MAX(
          FILTER(
            COLUMN(marcas)-COLUMN(C644)+1,
            marcas=""X""
          )
        ),
    ultimo, INDEX(periodos, pos),
    XLOOKUP(
      $A644,
      INDI"&amp;"RECT(""'""&amp;ultimo&amp;""'!C:C""),
      INDIRECT(""'""&amp;ultimo&amp;""'!A:A"")
    )
  ),
  """"
)"),"")</f>
        <v/>
      </c>
      <c r="C644" s="41" t="str">
        <f t="shared" ref="C644:J644" si="643">IF(
  COUNTIF(
    INDIRECT("'"&amp;C$1&amp;"'!C:C"),
    $A644
  )&gt;0,
  "X",
  ""
)</f>
        <v/>
      </c>
      <c r="D644" s="41" t="str">
        <f t="shared" si="643"/>
        <v/>
      </c>
      <c r="E644" s="41" t="str">
        <f t="shared" si="643"/>
        <v/>
      </c>
      <c r="F644" s="41" t="str">
        <f t="shared" si="643"/>
        <v/>
      </c>
      <c r="G644" s="41" t="str">
        <f t="shared" si="643"/>
        <v/>
      </c>
      <c r="H644" s="41" t="str">
        <f t="shared" si="643"/>
        <v/>
      </c>
      <c r="I644" s="41" t="str">
        <f t="shared" si="643"/>
        <v/>
      </c>
      <c r="J644" s="41" t="str">
        <f t="shared" si="643"/>
        <v/>
      </c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67.5" customHeight="1">
      <c r="A645" s="39"/>
      <c r="B645" s="43" t="str">
        <f>IFERROR(__xludf.DUMMYFUNCTION("IFERROR(
  LET(
    periodos, C$1:Z$1,
    marcas, C645:Z645,
    pos, MAX(
          FILTER(
            COLUMN(marcas)-COLUMN(C645)+1,
            marcas=""X""
          )
        ),
    ultimo, INDEX(periodos, pos),
    XLOOKUP(
      $A645,
      INDI"&amp;"RECT(""'""&amp;ultimo&amp;""'!C:C""),
      INDIRECT(""'""&amp;ultimo&amp;""'!A:A"")
    )
  ),
  """"
)"),"")</f>
        <v/>
      </c>
      <c r="C645" s="41" t="str">
        <f t="shared" ref="C645:J645" si="644">IF(
  COUNTIF(
    INDIRECT("'"&amp;C$1&amp;"'!C:C"),
    $A645
  )&gt;0,
  "X",
  ""
)</f>
        <v/>
      </c>
      <c r="D645" s="41" t="str">
        <f t="shared" si="644"/>
        <v/>
      </c>
      <c r="E645" s="41" t="str">
        <f t="shared" si="644"/>
        <v/>
      </c>
      <c r="F645" s="41" t="str">
        <f t="shared" si="644"/>
        <v/>
      </c>
      <c r="G645" s="41" t="str">
        <f t="shared" si="644"/>
        <v/>
      </c>
      <c r="H645" s="41" t="str">
        <f t="shared" si="644"/>
        <v/>
      </c>
      <c r="I645" s="41" t="str">
        <f t="shared" si="644"/>
        <v/>
      </c>
      <c r="J645" s="41" t="str">
        <f t="shared" si="644"/>
        <v/>
      </c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67.5" customHeight="1">
      <c r="A646" s="39"/>
      <c r="B646" s="43" t="str">
        <f>IFERROR(__xludf.DUMMYFUNCTION("IFERROR(
  LET(
    periodos, C$1:Z$1,
    marcas, C646:Z646,
    pos, MAX(
          FILTER(
            COLUMN(marcas)-COLUMN(C646)+1,
            marcas=""X""
          )
        ),
    ultimo, INDEX(periodos, pos),
    XLOOKUP(
      $A646,
      INDI"&amp;"RECT(""'""&amp;ultimo&amp;""'!C:C""),
      INDIRECT(""'""&amp;ultimo&amp;""'!A:A"")
    )
  ),
  """"
)"),"")</f>
        <v/>
      </c>
      <c r="C646" s="41" t="str">
        <f t="shared" ref="C646:J646" si="645">IF(
  COUNTIF(
    INDIRECT("'"&amp;C$1&amp;"'!C:C"),
    $A646
  )&gt;0,
  "X",
  ""
)</f>
        <v/>
      </c>
      <c r="D646" s="41" t="str">
        <f t="shared" si="645"/>
        <v/>
      </c>
      <c r="E646" s="41" t="str">
        <f t="shared" si="645"/>
        <v/>
      </c>
      <c r="F646" s="41" t="str">
        <f t="shared" si="645"/>
        <v/>
      </c>
      <c r="G646" s="41" t="str">
        <f t="shared" si="645"/>
        <v/>
      </c>
      <c r="H646" s="41" t="str">
        <f t="shared" si="645"/>
        <v/>
      </c>
      <c r="I646" s="41" t="str">
        <f t="shared" si="645"/>
        <v/>
      </c>
      <c r="J646" s="41" t="str">
        <f t="shared" si="645"/>
        <v/>
      </c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67.5" customHeight="1">
      <c r="A647" s="39"/>
      <c r="B647" s="43" t="str">
        <f>IFERROR(__xludf.DUMMYFUNCTION("IFERROR(
  LET(
    periodos, C$1:Z$1,
    marcas, C647:Z647,
    pos, MAX(
          FILTER(
            COLUMN(marcas)-COLUMN(C647)+1,
            marcas=""X""
          )
        ),
    ultimo, INDEX(periodos, pos),
    XLOOKUP(
      $A647,
      INDI"&amp;"RECT(""'""&amp;ultimo&amp;""'!C:C""),
      INDIRECT(""'""&amp;ultimo&amp;""'!A:A"")
    )
  ),
  """"
)"),"")</f>
        <v/>
      </c>
      <c r="C647" s="41" t="str">
        <f t="shared" ref="C647:J647" si="646">IF(
  COUNTIF(
    INDIRECT("'"&amp;C$1&amp;"'!C:C"),
    $A647
  )&gt;0,
  "X",
  ""
)</f>
        <v/>
      </c>
      <c r="D647" s="41" t="str">
        <f t="shared" si="646"/>
        <v/>
      </c>
      <c r="E647" s="41" t="str">
        <f t="shared" si="646"/>
        <v/>
      </c>
      <c r="F647" s="41" t="str">
        <f t="shared" si="646"/>
        <v/>
      </c>
      <c r="G647" s="41" t="str">
        <f t="shared" si="646"/>
        <v/>
      </c>
      <c r="H647" s="41" t="str">
        <f t="shared" si="646"/>
        <v/>
      </c>
      <c r="I647" s="41" t="str">
        <f t="shared" si="646"/>
        <v/>
      </c>
      <c r="J647" s="41" t="str">
        <f t="shared" si="646"/>
        <v/>
      </c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67.5" customHeight="1">
      <c r="A648" s="39"/>
      <c r="B648" s="43" t="str">
        <f>IFERROR(__xludf.DUMMYFUNCTION("IFERROR(
  LET(
    periodos, C$1:Z$1,
    marcas, C648:Z648,
    pos, MAX(
          FILTER(
            COLUMN(marcas)-COLUMN(C648)+1,
            marcas=""X""
          )
        ),
    ultimo, INDEX(periodos, pos),
    XLOOKUP(
      $A648,
      INDI"&amp;"RECT(""'""&amp;ultimo&amp;""'!C:C""),
      INDIRECT(""'""&amp;ultimo&amp;""'!A:A"")
    )
  ),
  """"
)"),"")</f>
        <v/>
      </c>
      <c r="C648" s="41" t="str">
        <f t="shared" ref="C648:J648" si="647">IF(
  COUNTIF(
    INDIRECT("'"&amp;C$1&amp;"'!C:C"),
    $A648
  )&gt;0,
  "X",
  ""
)</f>
        <v/>
      </c>
      <c r="D648" s="41" t="str">
        <f t="shared" si="647"/>
        <v/>
      </c>
      <c r="E648" s="41" t="str">
        <f t="shared" si="647"/>
        <v/>
      </c>
      <c r="F648" s="41" t="str">
        <f t="shared" si="647"/>
        <v/>
      </c>
      <c r="G648" s="41" t="str">
        <f t="shared" si="647"/>
        <v/>
      </c>
      <c r="H648" s="41" t="str">
        <f t="shared" si="647"/>
        <v/>
      </c>
      <c r="I648" s="41" t="str">
        <f t="shared" si="647"/>
        <v/>
      </c>
      <c r="J648" s="41" t="str">
        <f t="shared" si="647"/>
        <v/>
      </c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67.5" customHeight="1">
      <c r="A649" s="39"/>
      <c r="B649" s="43" t="str">
        <f>IFERROR(__xludf.DUMMYFUNCTION("IFERROR(
  LET(
    periodos, C$1:Z$1,
    marcas, C649:Z649,
    pos, MAX(
          FILTER(
            COLUMN(marcas)-COLUMN(C649)+1,
            marcas=""X""
          )
        ),
    ultimo, INDEX(periodos, pos),
    XLOOKUP(
      $A649,
      INDI"&amp;"RECT(""'""&amp;ultimo&amp;""'!C:C""),
      INDIRECT(""'""&amp;ultimo&amp;""'!A:A"")
    )
  ),
  """"
)"),"")</f>
        <v/>
      </c>
      <c r="C649" s="41" t="str">
        <f t="shared" ref="C649:J649" si="648">IF(
  COUNTIF(
    INDIRECT("'"&amp;C$1&amp;"'!C:C"),
    $A649
  )&gt;0,
  "X",
  ""
)</f>
        <v/>
      </c>
      <c r="D649" s="41" t="str">
        <f t="shared" si="648"/>
        <v/>
      </c>
      <c r="E649" s="41" t="str">
        <f t="shared" si="648"/>
        <v/>
      </c>
      <c r="F649" s="41" t="str">
        <f t="shared" si="648"/>
        <v/>
      </c>
      <c r="G649" s="41" t="str">
        <f t="shared" si="648"/>
        <v/>
      </c>
      <c r="H649" s="41" t="str">
        <f t="shared" si="648"/>
        <v/>
      </c>
      <c r="I649" s="41" t="str">
        <f t="shared" si="648"/>
        <v/>
      </c>
      <c r="J649" s="41" t="str">
        <f t="shared" si="648"/>
        <v/>
      </c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67.5" customHeight="1">
      <c r="A650" s="39"/>
      <c r="B650" s="43" t="str">
        <f>IFERROR(__xludf.DUMMYFUNCTION("IFERROR(
  LET(
    periodos, C$1:Z$1,
    marcas, C650:Z650,
    pos, MAX(
          FILTER(
            COLUMN(marcas)-COLUMN(C650)+1,
            marcas=""X""
          )
        ),
    ultimo, INDEX(periodos, pos),
    XLOOKUP(
      $A650,
      INDI"&amp;"RECT(""'""&amp;ultimo&amp;""'!C:C""),
      INDIRECT(""'""&amp;ultimo&amp;""'!A:A"")
    )
  ),
  """"
)"),"")</f>
        <v/>
      </c>
      <c r="C650" s="41" t="str">
        <f t="shared" ref="C650:J650" si="649">IF(
  COUNTIF(
    INDIRECT("'"&amp;C$1&amp;"'!C:C"),
    $A650
  )&gt;0,
  "X",
  ""
)</f>
        <v/>
      </c>
      <c r="D650" s="41" t="str">
        <f t="shared" si="649"/>
        <v/>
      </c>
      <c r="E650" s="41" t="str">
        <f t="shared" si="649"/>
        <v/>
      </c>
      <c r="F650" s="41" t="str">
        <f t="shared" si="649"/>
        <v/>
      </c>
      <c r="G650" s="41" t="str">
        <f t="shared" si="649"/>
        <v/>
      </c>
      <c r="H650" s="41" t="str">
        <f t="shared" si="649"/>
        <v/>
      </c>
      <c r="I650" s="41" t="str">
        <f t="shared" si="649"/>
        <v/>
      </c>
      <c r="J650" s="41" t="str">
        <f t="shared" si="649"/>
        <v/>
      </c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67.5" customHeight="1">
      <c r="A651" s="39"/>
      <c r="B651" s="43" t="str">
        <f>IFERROR(__xludf.DUMMYFUNCTION("IFERROR(
  LET(
    periodos, C$1:Z$1,
    marcas, C651:Z651,
    pos, MAX(
          FILTER(
            COLUMN(marcas)-COLUMN(C651)+1,
            marcas=""X""
          )
        ),
    ultimo, INDEX(periodos, pos),
    XLOOKUP(
      $A651,
      INDI"&amp;"RECT(""'""&amp;ultimo&amp;""'!C:C""),
      INDIRECT(""'""&amp;ultimo&amp;""'!A:A"")
    )
  ),
  """"
)"),"")</f>
        <v/>
      </c>
      <c r="C651" s="41" t="str">
        <f t="shared" ref="C651:J651" si="650">IF(
  COUNTIF(
    INDIRECT("'"&amp;C$1&amp;"'!C:C"),
    $A651
  )&gt;0,
  "X",
  ""
)</f>
        <v/>
      </c>
      <c r="D651" s="41" t="str">
        <f t="shared" si="650"/>
        <v/>
      </c>
      <c r="E651" s="41" t="str">
        <f t="shared" si="650"/>
        <v/>
      </c>
      <c r="F651" s="41" t="str">
        <f t="shared" si="650"/>
        <v/>
      </c>
      <c r="G651" s="41" t="str">
        <f t="shared" si="650"/>
        <v/>
      </c>
      <c r="H651" s="41" t="str">
        <f t="shared" si="650"/>
        <v/>
      </c>
      <c r="I651" s="41" t="str">
        <f t="shared" si="650"/>
        <v/>
      </c>
      <c r="J651" s="41" t="str">
        <f t="shared" si="650"/>
        <v/>
      </c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67.5" customHeight="1">
      <c r="A652" s="39"/>
      <c r="B652" s="43" t="str">
        <f>IFERROR(__xludf.DUMMYFUNCTION("IFERROR(
  LET(
    periodos, C$1:Z$1,
    marcas, C652:Z652,
    pos, MAX(
          FILTER(
            COLUMN(marcas)-COLUMN(C652)+1,
            marcas=""X""
          )
        ),
    ultimo, INDEX(periodos, pos),
    XLOOKUP(
      $A652,
      INDI"&amp;"RECT(""'""&amp;ultimo&amp;""'!C:C""),
      INDIRECT(""'""&amp;ultimo&amp;""'!A:A"")
    )
  ),
  """"
)"),"")</f>
        <v/>
      </c>
      <c r="C652" s="41" t="str">
        <f t="shared" ref="C652:J652" si="651">IF(
  COUNTIF(
    INDIRECT("'"&amp;C$1&amp;"'!C:C"),
    $A652
  )&gt;0,
  "X",
  ""
)</f>
        <v/>
      </c>
      <c r="D652" s="41" t="str">
        <f t="shared" si="651"/>
        <v/>
      </c>
      <c r="E652" s="41" t="str">
        <f t="shared" si="651"/>
        <v/>
      </c>
      <c r="F652" s="41" t="str">
        <f t="shared" si="651"/>
        <v/>
      </c>
      <c r="G652" s="41" t="str">
        <f t="shared" si="651"/>
        <v/>
      </c>
      <c r="H652" s="41" t="str">
        <f t="shared" si="651"/>
        <v/>
      </c>
      <c r="I652" s="41" t="str">
        <f t="shared" si="651"/>
        <v/>
      </c>
      <c r="J652" s="41" t="str">
        <f t="shared" si="651"/>
        <v/>
      </c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67.5" customHeight="1">
      <c r="A653" s="39"/>
      <c r="B653" s="43" t="str">
        <f>IFERROR(__xludf.DUMMYFUNCTION("IFERROR(
  LET(
    periodos, C$1:Z$1,
    marcas, C653:Z653,
    pos, MAX(
          FILTER(
            COLUMN(marcas)-COLUMN(C653)+1,
            marcas=""X""
          )
        ),
    ultimo, INDEX(periodos, pos),
    XLOOKUP(
      $A653,
      INDI"&amp;"RECT(""'""&amp;ultimo&amp;""'!C:C""),
      INDIRECT(""'""&amp;ultimo&amp;""'!A:A"")
    )
  ),
  """"
)"),"")</f>
        <v/>
      </c>
      <c r="C653" s="41" t="str">
        <f t="shared" ref="C653:J653" si="652">IF(
  COUNTIF(
    INDIRECT("'"&amp;C$1&amp;"'!C:C"),
    $A653
  )&gt;0,
  "X",
  ""
)</f>
        <v/>
      </c>
      <c r="D653" s="41" t="str">
        <f t="shared" si="652"/>
        <v/>
      </c>
      <c r="E653" s="41" t="str">
        <f t="shared" si="652"/>
        <v/>
      </c>
      <c r="F653" s="41" t="str">
        <f t="shared" si="652"/>
        <v/>
      </c>
      <c r="G653" s="41" t="str">
        <f t="shared" si="652"/>
        <v/>
      </c>
      <c r="H653" s="41" t="str">
        <f t="shared" si="652"/>
        <v/>
      </c>
      <c r="I653" s="41" t="str">
        <f t="shared" si="652"/>
        <v/>
      </c>
      <c r="J653" s="41" t="str">
        <f t="shared" si="652"/>
        <v/>
      </c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67.5" customHeight="1">
      <c r="A654" s="39"/>
      <c r="B654" s="43" t="str">
        <f>IFERROR(__xludf.DUMMYFUNCTION("IFERROR(
  LET(
    periodos, C$1:Z$1,
    marcas, C654:Z654,
    pos, MAX(
          FILTER(
            COLUMN(marcas)-COLUMN(C654)+1,
            marcas=""X""
          )
        ),
    ultimo, INDEX(periodos, pos),
    XLOOKUP(
      $A654,
      INDI"&amp;"RECT(""'""&amp;ultimo&amp;""'!C:C""),
      INDIRECT(""'""&amp;ultimo&amp;""'!A:A"")
    )
  ),
  """"
)"),"")</f>
        <v/>
      </c>
      <c r="C654" s="41" t="str">
        <f t="shared" ref="C654:J654" si="653">IF(
  COUNTIF(
    INDIRECT("'"&amp;C$1&amp;"'!C:C"),
    $A654
  )&gt;0,
  "X",
  ""
)</f>
        <v/>
      </c>
      <c r="D654" s="41" t="str">
        <f t="shared" si="653"/>
        <v/>
      </c>
      <c r="E654" s="41" t="str">
        <f t="shared" si="653"/>
        <v/>
      </c>
      <c r="F654" s="41" t="str">
        <f t="shared" si="653"/>
        <v/>
      </c>
      <c r="G654" s="41" t="str">
        <f t="shared" si="653"/>
        <v/>
      </c>
      <c r="H654" s="41" t="str">
        <f t="shared" si="653"/>
        <v/>
      </c>
      <c r="I654" s="41" t="str">
        <f t="shared" si="653"/>
        <v/>
      </c>
      <c r="J654" s="41" t="str">
        <f t="shared" si="653"/>
        <v/>
      </c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67.5" customHeight="1">
      <c r="A655" s="39"/>
      <c r="B655" s="43" t="str">
        <f>IFERROR(__xludf.DUMMYFUNCTION("IFERROR(
  LET(
    periodos, C$1:Z$1,
    marcas, C655:Z655,
    pos, MAX(
          FILTER(
            COLUMN(marcas)-COLUMN(C655)+1,
            marcas=""X""
          )
        ),
    ultimo, INDEX(periodos, pos),
    XLOOKUP(
      $A655,
      INDI"&amp;"RECT(""'""&amp;ultimo&amp;""'!C:C""),
      INDIRECT(""'""&amp;ultimo&amp;""'!A:A"")
    )
  ),
  """"
)"),"")</f>
        <v/>
      </c>
      <c r="C655" s="41" t="str">
        <f t="shared" ref="C655:J655" si="654">IF(
  COUNTIF(
    INDIRECT("'"&amp;C$1&amp;"'!C:C"),
    $A655
  )&gt;0,
  "X",
  ""
)</f>
        <v/>
      </c>
      <c r="D655" s="41" t="str">
        <f t="shared" si="654"/>
        <v/>
      </c>
      <c r="E655" s="41" t="str">
        <f t="shared" si="654"/>
        <v/>
      </c>
      <c r="F655" s="41" t="str">
        <f t="shared" si="654"/>
        <v/>
      </c>
      <c r="G655" s="41" t="str">
        <f t="shared" si="654"/>
        <v/>
      </c>
      <c r="H655" s="41" t="str">
        <f t="shared" si="654"/>
        <v/>
      </c>
      <c r="I655" s="41" t="str">
        <f t="shared" si="654"/>
        <v/>
      </c>
      <c r="J655" s="41" t="str">
        <f t="shared" si="654"/>
        <v/>
      </c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67.5" customHeight="1">
      <c r="A656" s="39"/>
      <c r="B656" s="43" t="str">
        <f>IFERROR(__xludf.DUMMYFUNCTION("IFERROR(
  LET(
    periodos, C$1:Z$1,
    marcas, C656:Z656,
    pos, MAX(
          FILTER(
            COLUMN(marcas)-COLUMN(C656)+1,
            marcas=""X""
          )
        ),
    ultimo, INDEX(periodos, pos),
    XLOOKUP(
      $A656,
      INDI"&amp;"RECT(""'""&amp;ultimo&amp;""'!C:C""),
      INDIRECT(""'""&amp;ultimo&amp;""'!A:A"")
    )
  ),
  """"
)"),"")</f>
        <v/>
      </c>
      <c r="C656" s="41" t="str">
        <f t="shared" ref="C656:J656" si="655">IF(
  COUNTIF(
    INDIRECT("'"&amp;C$1&amp;"'!C:C"),
    $A656
  )&gt;0,
  "X",
  ""
)</f>
        <v/>
      </c>
      <c r="D656" s="41" t="str">
        <f t="shared" si="655"/>
        <v/>
      </c>
      <c r="E656" s="41" t="str">
        <f t="shared" si="655"/>
        <v/>
      </c>
      <c r="F656" s="41" t="str">
        <f t="shared" si="655"/>
        <v/>
      </c>
      <c r="G656" s="41" t="str">
        <f t="shared" si="655"/>
        <v/>
      </c>
      <c r="H656" s="41" t="str">
        <f t="shared" si="655"/>
        <v/>
      </c>
      <c r="I656" s="41" t="str">
        <f t="shared" si="655"/>
        <v/>
      </c>
      <c r="J656" s="41" t="str">
        <f t="shared" si="655"/>
        <v/>
      </c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67.5" customHeight="1">
      <c r="A657" s="39"/>
      <c r="B657" s="43" t="str">
        <f>IFERROR(__xludf.DUMMYFUNCTION("IFERROR(
  LET(
    periodos, C$1:Z$1,
    marcas, C657:Z657,
    pos, MAX(
          FILTER(
            COLUMN(marcas)-COLUMN(C657)+1,
            marcas=""X""
          )
        ),
    ultimo, INDEX(periodos, pos),
    XLOOKUP(
      $A657,
      INDI"&amp;"RECT(""'""&amp;ultimo&amp;""'!C:C""),
      INDIRECT(""'""&amp;ultimo&amp;""'!A:A"")
    )
  ),
  """"
)"),"")</f>
        <v/>
      </c>
      <c r="C657" s="41" t="str">
        <f t="shared" ref="C657:J657" si="656">IF(
  COUNTIF(
    INDIRECT("'"&amp;C$1&amp;"'!C:C"),
    $A657
  )&gt;0,
  "X",
  ""
)</f>
        <v/>
      </c>
      <c r="D657" s="41" t="str">
        <f t="shared" si="656"/>
        <v/>
      </c>
      <c r="E657" s="41" t="str">
        <f t="shared" si="656"/>
        <v/>
      </c>
      <c r="F657" s="41" t="str">
        <f t="shared" si="656"/>
        <v/>
      </c>
      <c r="G657" s="41" t="str">
        <f t="shared" si="656"/>
        <v/>
      </c>
      <c r="H657" s="41" t="str">
        <f t="shared" si="656"/>
        <v/>
      </c>
      <c r="I657" s="41" t="str">
        <f t="shared" si="656"/>
        <v/>
      </c>
      <c r="J657" s="41" t="str">
        <f t="shared" si="656"/>
        <v/>
      </c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67.5" customHeight="1">
      <c r="A658" s="39"/>
      <c r="B658" s="43" t="str">
        <f>IFERROR(__xludf.DUMMYFUNCTION("IFERROR(
  LET(
    periodos, C$1:Z$1,
    marcas, C658:Z658,
    pos, MAX(
          FILTER(
            COLUMN(marcas)-COLUMN(C658)+1,
            marcas=""X""
          )
        ),
    ultimo, INDEX(periodos, pos),
    XLOOKUP(
      $A658,
      INDI"&amp;"RECT(""'""&amp;ultimo&amp;""'!C:C""),
      INDIRECT(""'""&amp;ultimo&amp;""'!A:A"")
    )
  ),
  """"
)"),"")</f>
        <v/>
      </c>
      <c r="C658" s="41" t="str">
        <f t="shared" ref="C658:J658" si="657">IF(
  COUNTIF(
    INDIRECT("'"&amp;C$1&amp;"'!C:C"),
    $A658
  )&gt;0,
  "X",
  ""
)</f>
        <v/>
      </c>
      <c r="D658" s="41" t="str">
        <f t="shared" si="657"/>
        <v/>
      </c>
      <c r="E658" s="41" t="str">
        <f t="shared" si="657"/>
        <v/>
      </c>
      <c r="F658" s="41" t="str">
        <f t="shared" si="657"/>
        <v/>
      </c>
      <c r="G658" s="41" t="str">
        <f t="shared" si="657"/>
        <v/>
      </c>
      <c r="H658" s="41" t="str">
        <f t="shared" si="657"/>
        <v/>
      </c>
      <c r="I658" s="41" t="str">
        <f t="shared" si="657"/>
        <v/>
      </c>
      <c r="J658" s="41" t="str">
        <f t="shared" si="657"/>
        <v/>
      </c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67.5" customHeight="1">
      <c r="A659" s="39"/>
      <c r="B659" s="43" t="str">
        <f>IFERROR(__xludf.DUMMYFUNCTION("IFERROR(
  LET(
    periodos, C$1:Z$1,
    marcas, C659:Z659,
    pos, MAX(
          FILTER(
            COLUMN(marcas)-COLUMN(C659)+1,
            marcas=""X""
          )
        ),
    ultimo, INDEX(periodos, pos),
    XLOOKUP(
      $A659,
      INDI"&amp;"RECT(""'""&amp;ultimo&amp;""'!C:C""),
      INDIRECT(""'""&amp;ultimo&amp;""'!A:A"")
    )
  ),
  """"
)"),"")</f>
        <v/>
      </c>
      <c r="C659" s="41" t="str">
        <f t="shared" ref="C659:J659" si="658">IF(
  COUNTIF(
    INDIRECT("'"&amp;C$1&amp;"'!C:C"),
    $A659
  )&gt;0,
  "X",
  ""
)</f>
        <v/>
      </c>
      <c r="D659" s="41" t="str">
        <f t="shared" si="658"/>
        <v/>
      </c>
      <c r="E659" s="41" t="str">
        <f t="shared" si="658"/>
        <v/>
      </c>
      <c r="F659" s="41" t="str">
        <f t="shared" si="658"/>
        <v/>
      </c>
      <c r="G659" s="41" t="str">
        <f t="shared" si="658"/>
        <v/>
      </c>
      <c r="H659" s="41" t="str">
        <f t="shared" si="658"/>
        <v/>
      </c>
      <c r="I659" s="41" t="str">
        <f t="shared" si="658"/>
        <v/>
      </c>
      <c r="J659" s="41" t="str">
        <f t="shared" si="658"/>
        <v/>
      </c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67.5" customHeight="1">
      <c r="A660" s="39"/>
      <c r="B660" s="43" t="str">
        <f>IFERROR(__xludf.DUMMYFUNCTION("IFERROR(
  LET(
    periodos, C$1:Z$1,
    marcas, C660:Z660,
    pos, MAX(
          FILTER(
            COLUMN(marcas)-COLUMN(C660)+1,
            marcas=""X""
          )
        ),
    ultimo, INDEX(periodos, pos),
    XLOOKUP(
      $A660,
      INDI"&amp;"RECT(""'""&amp;ultimo&amp;""'!C:C""),
      INDIRECT(""'""&amp;ultimo&amp;""'!A:A"")
    )
  ),
  """"
)"),"")</f>
        <v/>
      </c>
      <c r="C660" s="41" t="str">
        <f t="shared" ref="C660:J660" si="659">IF(
  COUNTIF(
    INDIRECT("'"&amp;C$1&amp;"'!C:C"),
    $A660
  )&gt;0,
  "X",
  ""
)</f>
        <v/>
      </c>
      <c r="D660" s="41" t="str">
        <f t="shared" si="659"/>
        <v/>
      </c>
      <c r="E660" s="41" t="str">
        <f t="shared" si="659"/>
        <v/>
      </c>
      <c r="F660" s="41" t="str">
        <f t="shared" si="659"/>
        <v/>
      </c>
      <c r="G660" s="41" t="str">
        <f t="shared" si="659"/>
        <v/>
      </c>
      <c r="H660" s="41" t="str">
        <f t="shared" si="659"/>
        <v/>
      </c>
      <c r="I660" s="41" t="str">
        <f t="shared" si="659"/>
        <v/>
      </c>
      <c r="J660" s="41" t="str">
        <f t="shared" si="659"/>
        <v/>
      </c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67.5" customHeight="1">
      <c r="A661" s="39"/>
      <c r="B661" s="43" t="str">
        <f>IFERROR(__xludf.DUMMYFUNCTION("IFERROR(
  LET(
    periodos, C$1:Z$1,
    marcas, C661:Z661,
    pos, MAX(
          FILTER(
            COLUMN(marcas)-COLUMN(C661)+1,
            marcas=""X""
          )
        ),
    ultimo, INDEX(periodos, pos),
    XLOOKUP(
      $A661,
      INDI"&amp;"RECT(""'""&amp;ultimo&amp;""'!C:C""),
      INDIRECT(""'""&amp;ultimo&amp;""'!A:A"")
    )
  ),
  """"
)"),"")</f>
        <v/>
      </c>
      <c r="C661" s="41" t="str">
        <f t="shared" ref="C661:J661" si="660">IF(
  COUNTIF(
    INDIRECT("'"&amp;C$1&amp;"'!C:C"),
    $A661
  )&gt;0,
  "X",
  ""
)</f>
        <v/>
      </c>
      <c r="D661" s="41" t="str">
        <f t="shared" si="660"/>
        <v/>
      </c>
      <c r="E661" s="41" t="str">
        <f t="shared" si="660"/>
        <v/>
      </c>
      <c r="F661" s="41" t="str">
        <f t="shared" si="660"/>
        <v/>
      </c>
      <c r="G661" s="41" t="str">
        <f t="shared" si="660"/>
        <v/>
      </c>
      <c r="H661" s="41" t="str">
        <f t="shared" si="660"/>
        <v/>
      </c>
      <c r="I661" s="41" t="str">
        <f t="shared" si="660"/>
        <v/>
      </c>
      <c r="J661" s="41" t="str">
        <f t="shared" si="660"/>
        <v/>
      </c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67.5" customHeight="1">
      <c r="A662" s="39"/>
      <c r="B662" s="43" t="str">
        <f>IFERROR(__xludf.DUMMYFUNCTION("IFERROR(
  LET(
    periodos, C$1:Z$1,
    marcas, C662:Z662,
    pos, MAX(
          FILTER(
            COLUMN(marcas)-COLUMN(C662)+1,
            marcas=""X""
          )
        ),
    ultimo, INDEX(periodos, pos),
    XLOOKUP(
      $A662,
      INDI"&amp;"RECT(""'""&amp;ultimo&amp;""'!C:C""),
      INDIRECT(""'""&amp;ultimo&amp;""'!A:A"")
    )
  ),
  """"
)"),"")</f>
        <v/>
      </c>
      <c r="C662" s="41" t="str">
        <f t="shared" ref="C662:J662" si="661">IF(
  COUNTIF(
    INDIRECT("'"&amp;C$1&amp;"'!C:C"),
    $A662
  )&gt;0,
  "X",
  ""
)</f>
        <v/>
      </c>
      <c r="D662" s="41" t="str">
        <f t="shared" si="661"/>
        <v/>
      </c>
      <c r="E662" s="41" t="str">
        <f t="shared" si="661"/>
        <v/>
      </c>
      <c r="F662" s="41" t="str">
        <f t="shared" si="661"/>
        <v/>
      </c>
      <c r="G662" s="41" t="str">
        <f t="shared" si="661"/>
        <v/>
      </c>
      <c r="H662" s="41" t="str">
        <f t="shared" si="661"/>
        <v/>
      </c>
      <c r="I662" s="41" t="str">
        <f t="shared" si="661"/>
        <v/>
      </c>
      <c r="J662" s="41" t="str">
        <f t="shared" si="661"/>
        <v/>
      </c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67.5" customHeight="1">
      <c r="A663" s="39"/>
      <c r="B663" s="43" t="str">
        <f>IFERROR(__xludf.DUMMYFUNCTION("IFERROR(
  LET(
    periodos, C$1:Z$1,
    marcas, C663:Z663,
    pos, MAX(
          FILTER(
            COLUMN(marcas)-COLUMN(C663)+1,
            marcas=""X""
          )
        ),
    ultimo, INDEX(periodos, pos),
    XLOOKUP(
      $A663,
      INDI"&amp;"RECT(""'""&amp;ultimo&amp;""'!C:C""),
      INDIRECT(""'""&amp;ultimo&amp;""'!A:A"")
    )
  ),
  """"
)"),"")</f>
        <v/>
      </c>
      <c r="C663" s="41" t="str">
        <f t="shared" ref="C663:J663" si="662">IF(
  COUNTIF(
    INDIRECT("'"&amp;C$1&amp;"'!C:C"),
    $A663
  )&gt;0,
  "X",
  ""
)</f>
        <v/>
      </c>
      <c r="D663" s="41" t="str">
        <f t="shared" si="662"/>
        <v/>
      </c>
      <c r="E663" s="41" t="str">
        <f t="shared" si="662"/>
        <v/>
      </c>
      <c r="F663" s="41" t="str">
        <f t="shared" si="662"/>
        <v/>
      </c>
      <c r="G663" s="41" t="str">
        <f t="shared" si="662"/>
        <v/>
      </c>
      <c r="H663" s="41" t="str">
        <f t="shared" si="662"/>
        <v/>
      </c>
      <c r="I663" s="41" t="str">
        <f t="shared" si="662"/>
        <v/>
      </c>
      <c r="J663" s="41" t="str">
        <f t="shared" si="662"/>
        <v/>
      </c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67.5" customHeight="1">
      <c r="A664" s="39"/>
      <c r="B664" s="43" t="str">
        <f>IFERROR(__xludf.DUMMYFUNCTION("IFERROR(
  LET(
    periodos, C$1:Z$1,
    marcas, C664:Z664,
    pos, MAX(
          FILTER(
            COLUMN(marcas)-COLUMN(C664)+1,
            marcas=""X""
          )
        ),
    ultimo, INDEX(periodos, pos),
    XLOOKUP(
      $A664,
      INDI"&amp;"RECT(""'""&amp;ultimo&amp;""'!C:C""),
      INDIRECT(""'""&amp;ultimo&amp;""'!A:A"")
    )
  ),
  """"
)"),"")</f>
        <v/>
      </c>
      <c r="C664" s="41" t="str">
        <f t="shared" ref="C664:J664" si="663">IF(
  COUNTIF(
    INDIRECT("'"&amp;C$1&amp;"'!C:C"),
    $A664
  )&gt;0,
  "X",
  ""
)</f>
        <v/>
      </c>
      <c r="D664" s="41" t="str">
        <f t="shared" si="663"/>
        <v/>
      </c>
      <c r="E664" s="41" t="str">
        <f t="shared" si="663"/>
        <v/>
      </c>
      <c r="F664" s="41" t="str">
        <f t="shared" si="663"/>
        <v/>
      </c>
      <c r="G664" s="41" t="str">
        <f t="shared" si="663"/>
        <v/>
      </c>
      <c r="H664" s="41" t="str">
        <f t="shared" si="663"/>
        <v/>
      </c>
      <c r="I664" s="41" t="str">
        <f t="shared" si="663"/>
        <v/>
      </c>
      <c r="J664" s="41" t="str">
        <f t="shared" si="663"/>
        <v/>
      </c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67.5" customHeight="1">
      <c r="A665" s="39"/>
      <c r="B665" s="43" t="str">
        <f>IFERROR(__xludf.DUMMYFUNCTION("IFERROR(
  LET(
    periodos, C$1:Z$1,
    marcas, C665:Z665,
    pos, MAX(
          FILTER(
            COLUMN(marcas)-COLUMN(C665)+1,
            marcas=""X""
          )
        ),
    ultimo, INDEX(periodos, pos),
    XLOOKUP(
      $A665,
      INDI"&amp;"RECT(""'""&amp;ultimo&amp;""'!C:C""),
      INDIRECT(""'""&amp;ultimo&amp;""'!A:A"")
    )
  ),
  """"
)"),"")</f>
        <v/>
      </c>
      <c r="C665" s="41" t="str">
        <f t="shared" ref="C665:J665" si="664">IF(
  COUNTIF(
    INDIRECT("'"&amp;C$1&amp;"'!C:C"),
    $A665
  )&gt;0,
  "X",
  ""
)</f>
        <v/>
      </c>
      <c r="D665" s="41" t="str">
        <f t="shared" si="664"/>
        <v/>
      </c>
      <c r="E665" s="41" t="str">
        <f t="shared" si="664"/>
        <v/>
      </c>
      <c r="F665" s="41" t="str">
        <f t="shared" si="664"/>
        <v/>
      </c>
      <c r="G665" s="41" t="str">
        <f t="shared" si="664"/>
        <v/>
      </c>
      <c r="H665" s="41" t="str">
        <f t="shared" si="664"/>
        <v/>
      </c>
      <c r="I665" s="41" t="str">
        <f t="shared" si="664"/>
        <v/>
      </c>
      <c r="J665" s="41" t="str">
        <f t="shared" si="664"/>
        <v/>
      </c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67.5" customHeight="1">
      <c r="A666" s="39"/>
      <c r="B666" s="43" t="str">
        <f>IFERROR(__xludf.DUMMYFUNCTION("IFERROR(
  LET(
    periodos, C$1:Z$1,
    marcas, C666:Z666,
    pos, MAX(
          FILTER(
            COLUMN(marcas)-COLUMN(C666)+1,
            marcas=""X""
          )
        ),
    ultimo, INDEX(periodos, pos),
    XLOOKUP(
      $A666,
      INDI"&amp;"RECT(""'""&amp;ultimo&amp;""'!C:C""),
      INDIRECT(""'""&amp;ultimo&amp;""'!A:A"")
    )
  ),
  """"
)"),"")</f>
        <v/>
      </c>
      <c r="C666" s="41" t="str">
        <f t="shared" ref="C666:J666" si="665">IF(
  COUNTIF(
    INDIRECT("'"&amp;C$1&amp;"'!C:C"),
    $A666
  )&gt;0,
  "X",
  ""
)</f>
        <v/>
      </c>
      <c r="D666" s="41" t="str">
        <f t="shared" si="665"/>
        <v/>
      </c>
      <c r="E666" s="41" t="str">
        <f t="shared" si="665"/>
        <v/>
      </c>
      <c r="F666" s="41" t="str">
        <f t="shared" si="665"/>
        <v/>
      </c>
      <c r="G666" s="41" t="str">
        <f t="shared" si="665"/>
        <v/>
      </c>
      <c r="H666" s="41" t="str">
        <f t="shared" si="665"/>
        <v/>
      </c>
      <c r="I666" s="41" t="str">
        <f t="shared" si="665"/>
        <v/>
      </c>
      <c r="J666" s="41" t="str">
        <f t="shared" si="665"/>
        <v/>
      </c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67.5" customHeight="1">
      <c r="A667" s="39"/>
      <c r="B667" s="43" t="str">
        <f>IFERROR(__xludf.DUMMYFUNCTION("IFERROR(
  LET(
    periodos, C$1:Z$1,
    marcas, C667:Z667,
    pos, MAX(
          FILTER(
            COLUMN(marcas)-COLUMN(C667)+1,
            marcas=""X""
          )
        ),
    ultimo, INDEX(periodos, pos),
    XLOOKUP(
      $A667,
      INDI"&amp;"RECT(""'""&amp;ultimo&amp;""'!C:C""),
      INDIRECT(""'""&amp;ultimo&amp;""'!A:A"")
    )
  ),
  """"
)"),"")</f>
        <v/>
      </c>
      <c r="C667" s="41" t="str">
        <f t="shared" ref="C667:J667" si="666">IF(
  COUNTIF(
    INDIRECT("'"&amp;C$1&amp;"'!C:C"),
    $A667
  )&gt;0,
  "X",
  ""
)</f>
        <v/>
      </c>
      <c r="D667" s="41" t="str">
        <f t="shared" si="666"/>
        <v/>
      </c>
      <c r="E667" s="41" t="str">
        <f t="shared" si="666"/>
        <v/>
      </c>
      <c r="F667" s="41" t="str">
        <f t="shared" si="666"/>
        <v/>
      </c>
      <c r="G667" s="41" t="str">
        <f t="shared" si="666"/>
        <v/>
      </c>
      <c r="H667" s="41" t="str">
        <f t="shared" si="666"/>
        <v/>
      </c>
      <c r="I667" s="41" t="str">
        <f t="shared" si="666"/>
        <v/>
      </c>
      <c r="J667" s="41" t="str">
        <f t="shared" si="666"/>
        <v/>
      </c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67.5" customHeight="1">
      <c r="A668" s="39"/>
      <c r="B668" s="43" t="str">
        <f>IFERROR(__xludf.DUMMYFUNCTION("IFERROR(
  LET(
    periodos, C$1:Z$1,
    marcas, C668:Z668,
    pos, MAX(
          FILTER(
            COLUMN(marcas)-COLUMN(C668)+1,
            marcas=""X""
          )
        ),
    ultimo, INDEX(periodos, pos),
    XLOOKUP(
      $A668,
      INDI"&amp;"RECT(""'""&amp;ultimo&amp;""'!C:C""),
      INDIRECT(""'""&amp;ultimo&amp;""'!A:A"")
    )
  ),
  """"
)"),"")</f>
        <v/>
      </c>
      <c r="C668" s="41" t="str">
        <f t="shared" ref="C668:J668" si="667">IF(
  COUNTIF(
    INDIRECT("'"&amp;C$1&amp;"'!C:C"),
    $A668
  )&gt;0,
  "X",
  ""
)</f>
        <v/>
      </c>
      <c r="D668" s="41" t="str">
        <f t="shared" si="667"/>
        <v/>
      </c>
      <c r="E668" s="41" t="str">
        <f t="shared" si="667"/>
        <v/>
      </c>
      <c r="F668" s="41" t="str">
        <f t="shared" si="667"/>
        <v/>
      </c>
      <c r="G668" s="41" t="str">
        <f t="shared" si="667"/>
        <v/>
      </c>
      <c r="H668" s="41" t="str">
        <f t="shared" si="667"/>
        <v/>
      </c>
      <c r="I668" s="41" t="str">
        <f t="shared" si="667"/>
        <v/>
      </c>
      <c r="J668" s="41" t="str">
        <f t="shared" si="667"/>
        <v/>
      </c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67.5" customHeight="1">
      <c r="A669" s="39"/>
      <c r="B669" s="43" t="str">
        <f>IFERROR(__xludf.DUMMYFUNCTION("IFERROR(
  LET(
    periodos, C$1:Z$1,
    marcas, C669:Z669,
    pos, MAX(
          FILTER(
            COLUMN(marcas)-COLUMN(C669)+1,
            marcas=""X""
          )
        ),
    ultimo, INDEX(periodos, pos),
    XLOOKUP(
      $A669,
      INDI"&amp;"RECT(""'""&amp;ultimo&amp;""'!C:C""),
      INDIRECT(""'""&amp;ultimo&amp;""'!A:A"")
    )
  ),
  """"
)"),"")</f>
        <v/>
      </c>
      <c r="C669" s="41" t="str">
        <f t="shared" ref="C669:J669" si="668">IF(
  COUNTIF(
    INDIRECT("'"&amp;C$1&amp;"'!C:C"),
    $A669
  )&gt;0,
  "X",
  ""
)</f>
        <v/>
      </c>
      <c r="D669" s="41" t="str">
        <f t="shared" si="668"/>
        <v/>
      </c>
      <c r="E669" s="41" t="str">
        <f t="shared" si="668"/>
        <v/>
      </c>
      <c r="F669" s="41" t="str">
        <f t="shared" si="668"/>
        <v/>
      </c>
      <c r="G669" s="41" t="str">
        <f t="shared" si="668"/>
        <v/>
      </c>
      <c r="H669" s="41" t="str">
        <f t="shared" si="668"/>
        <v/>
      </c>
      <c r="I669" s="41" t="str">
        <f t="shared" si="668"/>
        <v/>
      </c>
      <c r="J669" s="41" t="str">
        <f t="shared" si="668"/>
        <v/>
      </c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67.5" customHeight="1">
      <c r="A670" s="39"/>
      <c r="B670" s="43" t="str">
        <f>IFERROR(__xludf.DUMMYFUNCTION("IFERROR(
  LET(
    periodos, C$1:Z$1,
    marcas, C670:Z670,
    pos, MAX(
          FILTER(
            COLUMN(marcas)-COLUMN(C670)+1,
            marcas=""X""
          )
        ),
    ultimo, INDEX(periodos, pos),
    XLOOKUP(
      $A670,
      INDI"&amp;"RECT(""'""&amp;ultimo&amp;""'!C:C""),
      INDIRECT(""'""&amp;ultimo&amp;""'!A:A"")
    )
  ),
  """"
)"),"")</f>
        <v/>
      </c>
      <c r="C670" s="41" t="str">
        <f t="shared" ref="C670:J670" si="669">IF(
  COUNTIF(
    INDIRECT("'"&amp;C$1&amp;"'!C:C"),
    $A670
  )&gt;0,
  "X",
  ""
)</f>
        <v/>
      </c>
      <c r="D670" s="41" t="str">
        <f t="shared" si="669"/>
        <v/>
      </c>
      <c r="E670" s="41" t="str">
        <f t="shared" si="669"/>
        <v/>
      </c>
      <c r="F670" s="41" t="str">
        <f t="shared" si="669"/>
        <v/>
      </c>
      <c r="G670" s="41" t="str">
        <f t="shared" si="669"/>
        <v/>
      </c>
      <c r="H670" s="41" t="str">
        <f t="shared" si="669"/>
        <v/>
      </c>
      <c r="I670" s="41" t="str">
        <f t="shared" si="669"/>
        <v/>
      </c>
      <c r="J670" s="41" t="str">
        <f t="shared" si="669"/>
        <v/>
      </c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67.5" customHeight="1">
      <c r="A671" s="39"/>
      <c r="B671" s="43" t="str">
        <f>IFERROR(__xludf.DUMMYFUNCTION("IFERROR(
  LET(
    periodos, C$1:Z$1,
    marcas, C671:Z671,
    pos, MAX(
          FILTER(
            COLUMN(marcas)-COLUMN(C671)+1,
            marcas=""X""
          )
        ),
    ultimo, INDEX(periodos, pos),
    XLOOKUP(
      $A671,
      INDI"&amp;"RECT(""'""&amp;ultimo&amp;""'!C:C""),
      INDIRECT(""'""&amp;ultimo&amp;""'!A:A"")
    )
  ),
  """"
)"),"")</f>
        <v/>
      </c>
      <c r="C671" s="41" t="str">
        <f t="shared" ref="C671:J671" si="670">IF(
  COUNTIF(
    INDIRECT("'"&amp;C$1&amp;"'!C:C"),
    $A671
  )&gt;0,
  "X",
  ""
)</f>
        <v/>
      </c>
      <c r="D671" s="41" t="str">
        <f t="shared" si="670"/>
        <v/>
      </c>
      <c r="E671" s="41" t="str">
        <f t="shared" si="670"/>
        <v/>
      </c>
      <c r="F671" s="41" t="str">
        <f t="shared" si="670"/>
        <v/>
      </c>
      <c r="G671" s="41" t="str">
        <f t="shared" si="670"/>
        <v/>
      </c>
      <c r="H671" s="41" t="str">
        <f t="shared" si="670"/>
        <v/>
      </c>
      <c r="I671" s="41" t="str">
        <f t="shared" si="670"/>
        <v/>
      </c>
      <c r="J671" s="41" t="str">
        <f t="shared" si="670"/>
        <v/>
      </c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67.5" customHeight="1">
      <c r="A672" s="39"/>
      <c r="B672" s="43" t="str">
        <f>IFERROR(__xludf.DUMMYFUNCTION("IFERROR(
  LET(
    periodos, C$1:Z$1,
    marcas, C672:Z672,
    pos, MAX(
          FILTER(
            COLUMN(marcas)-COLUMN(C672)+1,
            marcas=""X""
          )
        ),
    ultimo, INDEX(periodos, pos),
    XLOOKUP(
      $A672,
      INDI"&amp;"RECT(""'""&amp;ultimo&amp;""'!C:C""),
      INDIRECT(""'""&amp;ultimo&amp;""'!A:A"")
    )
  ),
  """"
)"),"")</f>
        <v/>
      </c>
      <c r="C672" s="41" t="str">
        <f t="shared" ref="C672:J672" si="671">IF(
  COUNTIF(
    INDIRECT("'"&amp;C$1&amp;"'!C:C"),
    $A672
  )&gt;0,
  "X",
  ""
)</f>
        <v/>
      </c>
      <c r="D672" s="41" t="str">
        <f t="shared" si="671"/>
        <v/>
      </c>
      <c r="E672" s="41" t="str">
        <f t="shared" si="671"/>
        <v/>
      </c>
      <c r="F672" s="41" t="str">
        <f t="shared" si="671"/>
        <v/>
      </c>
      <c r="G672" s="41" t="str">
        <f t="shared" si="671"/>
        <v/>
      </c>
      <c r="H672" s="41" t="str">
        <f t="shared" si="671"/>
        <v/>
      </c>
      <c r="I672" s="41" t="str">
        <f t="shared" si="671"/>
        <v/>
      </c>
      <c r="J672" s="41" t="str">
        <f t="shared" si="671"/>
        <v/>
      </c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67.5" customHeight="1">
      <c r="A673" s="39"/>
      <c r="B673" s="43" t="str">
        <f>IFERROR(__xludf.DUMMYFUNCTION("IFERROR(
  LET(
    periodos, C$1:Z$1,
    marcas, C673:Z673,
    pos, MAX(
          FILTER(
            COLUMN(marcas)-COLUMN(C673)+1,
            marcas=""X""
          )
        ),
    ultimo, INDEX(periodos, pos),
    XLOOKUP(
      $A673,
      INDI"&amp;"RECT(""'""&amp;ultimo&amp;""'!C:C""),
      INDIRECT(""'""&amp;ultimo&amp;""'!A:A"")
    )
  ),
  """"
)"),"")</f>
        <v/>
      </c>
      <c r="C673" s="41" t="str">
        <f t="shared" ref="C673:J673" si="672">IF(
  COUNTIF(
    INDIRECT("'"&amp;C$1&amp;"'!C:C"),
    $A673
  )&gt;0,
  "X",
  ""
)</f>
        <v/>
      </c>
      <c r="D673" s="41" t="str">
        <f t="shared" si="672"/>
        <v/>
      </c>
      <c r="E673" s="41" t="str">
        <f t="shared" si="672"/>
        <v/>
      </c>
      <c r="F673" s="41" t="str">
        <f t="shared" si="672"/>
        <v/>
      </c>
      <c r="G673" s="41" t="str">
        <f t="shared" si="672"/>
        <v/>
      </c>
      <c r="H673" s="41" t="str">
        <f t="shared" si="672"/>
        <v/>
      </c>
      <c r="I673" s="41" t="str">
        <f t="shared" si="672"/>
        <v/>
      </c>
      <c r="J673" s="41" t="str">
        <f t="shared" si="672"/>
        <v/>
      </c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67.5" customHeight="1">
      <c r="A674" s="39"/>
      <c r="B674" s="43" t="str">
        <f>IFERROR(__xludf.DUMMYFUNCTION("IFERROR(
  LET(
    periodos, C$1:Z$1,
    marcas, C674:Z674,
    pos, MAX(
          FILTER(
            COLUMN(marcas)-COLUMN(C674)+1,
            marcas=""X""
          )
        ),
    ultimo, INDEX(periodos, pos),
    XLOOKUP(
      $A674,
      INDI"&amp;"RECT(""'""&amp;ultimo&amp;""'!C:C""),
      INDIRECT(""'""&amp;ultimo&amp;""'!A:A"")
    )
  ),
  """"
)"),"")</f>
        <v/>
      </c>
      <c r="C674" s="41" t="str">
        <f t="shared" ref="C674:J674" si="673">IF(
  COUNTIF(
    INDIRECT("'"&amp;C$1&amp;"'!C:C"),
    $A674
  )&gt;0,
  "X",
  ""
)</f>
        <v/>
      </c>
      <c r="D674" s="41" t="str">
        <f t="shared" si="673"/>
        <v/>
      </c>
      <c r="E674" s="41" t="str">
        <f t="shared" si="673"/>
        <v/>
      </c>
      <c r="F674" s="41" t="str">
        <f t="shared" si="673"/>
        <v/>
      </c>
      <c r="G674" s="41" t="str">
        <f t="shared" si="673"/>
        <v/>
      </c>
      <c r="H674" s="41" t="str">
        <f t="shared" si="673"/>
        <v/>
      </c>
      <c r="I674" s="41" t="str">
        <f t="shared" si="673"/>
        <v/>
      </c>
      <c r="J674" s="41" t="str">
        <f t="shared" si="673"/>
        <v/>
      </c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67.5" customHeight="1">
      <c r="A675" s="39"/>
      <c r="B675" s="43" t="str">
        <f>IFERROR(__xludf.DUMMYFUNCTION("IFERROR(
  LET(
    periodos, C$1:Z$1,
    marcas, C675:Z675,
    pos, MAX(
          FILTER(
            COLUMN(marcas)-COLUMN(C675)+1,
            marcas=""X""
          )
        ),
    ultimo, INDEX(periodos, pos),
    XLOOKUP(
      $A675,
      INDI"&amp;"RECT(""'""&amp;ultimo&amp;""'!C:C""),
      INDIRECT(""'""&amp;ultimo&amp;""'!A:A"")
    )
  ),
  """"
)"),"")</f>
        <v/>
      </c>
      <c r="C675" s="41" t="str">
        <f t="shared" ref="C675:J675" si="674">IF(
  COUNTIF(
    INDIRECT("'"&amp;C$1&amp;"'!C:C"),
    $A675
  )&gt;0,
  "X",
  ""
)</f>
        <v/>
      </c>
      <c r="D675" s="41" t="str">
        <f t="shared" si="674"/>
        <v/>
      </c>
      <c r="E675" s="41" t="str">
        <f t="shared" si="674"/>
        <v/>
      </c>
      <c r="F675" s="41" t="str">
        <f t="shared" si="674"/>
        <v/>
      </c>
      <c r="G675" s="41" t="str">
        <f t="shared" si="674"/>
        <v/>
      </c>
      <c r="H675" s="41" t="str">
        <f t="shared" si="674"/>
        <v/>
      </c>
      <c r="I675" s="41" t="str">
        <f t="shared" si="674"/>
        <v/>
      </c>
      <c r="J675" s="41" t="str">
        <f t="shared" si="674"/>
        <v/>
      </c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67.5" customHeight="1">
      <c r="A676" s="39"/>
      <c r="B676" s="43" t="str">
        <f>IFERROR(__xludf.DUMMYFUNCTION("IFERROR(
  LET(
    periodos, C$1:Z$1,
    marcas, C676:Z676,
    pos, MAX(
          FILTER(
            COLUMN(marcas)-COLUMN(C676)+1,
            marcas=""X""
          )
        ),
    ultimo, INDEX(periodos, pos),
    XLOOKUP(
      $A676,
      INDI"&amp;"RECT(""'""&amp;ultimo&amp;""'!C:C""),
      INDIRECT(""'""&amp;ultimo&amp;""'!A:A"")
    )
  ),
  """"
)"),"")</f>
        <v/>
      </c>
      <c r="C676" s="41" t="str">
        <f t="shared" ref="C676:J676" si="675">IF(
  COUNTIF(
    INDIRECT("'"&amp;C$1&amp;"'!C:C"),
    $A676
  )&gt;0,
  "X",
  ""
)</f>
        <v/>
      </c>
      <c r="D676" s="41" t="str">
        <f t="shared" si="675"/>
        <v/>
      </c>
      <c r="E676" s="41" t="str">
        <f t="shared" si="675"/>
        <v/>
      </c>
      <c r="F676" s="41" t="str">
        <f t="shared" si="675"/>
        <v/>
      </c>
      <c r="G676" s="41" t="str">
        <f t="shared" si="675"/>
        <v/>
      </c>
      <c r="H676" s="41" t="str">
        <f t="shared" si="675"/>
        <v/>
      </c>
      <c r="I676" s="41" t="str">
        <f t="shared" si="675"/>
        <v/>
      </c>
      <c r="J676" s="41" t="str">
        <f t="shared" si="675"/>
        <v/>
      </c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67.5" customHeight="1">
      <c r="A677" s="39"/>
      <c r="B677" s="43" t="str">
        <f>IFERROR(__xludf.DUMMYFUNCTION("IFERROR(
  LET(
    periodos, C$1:Z$1,
    marcas, C677:Z677,
    pos, MAX(
          FILTER(
            COLUMN(marcas)-COLUMN(C677)+1,
            marcas=""X""
          )
        ),
    ultimo, INDEX(periodos, pos),
    XLOOKUP(
      $A677,
      INDI"&amp;"RECT(""'""&amp;ultimo&amp;""'!C:C""),
      INDIRECT(""'""&amp;ultimo&amp;""'!A:A"")
    )
  ),
  """"
)"),"")</f>
        <v/>
      </c>
      <c r="C677" s="41" t="str">
        <f t="shared" ref="C677:J677" si="676">IF(
  COUNTIF(
    INDIRECT("'"&amp;C$1&amp;"'!C:C"),
    $A677
  )&gt;0,
  "X",
  ""
)</f>
        <v/>
      </c>
      <c r="D677" s="41" t="str">
        <f t="shared" si="676"/>
        <v/>
      </c>
      <c r="E677" s="41" t="str">
        <f t="shared" si="676"/>
        <v/>
      </c>
      <c r="F677" s="41" t="str">
        <f t="shared" si="676"/>
        <v/>
      </c>
      <c r="G677" s="41" t="str">
        <f t="shared" si="676"/>
        <v/>
      </c>
      <c r="H677" s="41" t="str">
        <f t="shared" si="676"/>
        <v/>
      </c>
      <c r="I677" s="41" t="str">
        <f t="shared" si="676"/>
        <v/>
      </c>
      <c r="J677" s="41" t="str">
        <f t="shared" si="676"/>
        <v/>
      </c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67.5" customHeight="1">
      <c r="A678" s="39"/>
      <c r="B678" s="43" t="str">
        <f>IFERROR(__xludf.DUMMYFUNCTION("IFERROR(
  LET(
    periodos, C$1:Z$1,
    marcas, C678:Z678,
    pos, MAX(
          FILTER(
            COLUMN(marcas)-COLUMN(C678)+1,
            marcas=""X""
          )
        ),
    ultimo, INDEX(periodos, pos),
    XLOOKUP(
      $A678,
      INDI"&amp;"RECT(""'""&amp;ultimo&amp;""'!C:C""),
      INDIRECT(""'""&amp;ultimo&amp;""'!A:A"")
    )
  ),
  """"
)"),"")</f>
        <v/>
      </c>
      <c r="C678" s="41" t="str">
        <f t="shared" ref="C678:J678" si="677">IF(
  COUNTIF(
    INDIRECT("'"&amp;C$1&amp;"'!C:C"),
    $A678
  )&gt;0,
  "X",
  ""
)</f>
        <v/>
      </c>
      <c r="D678" s="41" t="str">
        <f t="shared" si="677"/>
        <v/>
      </c>
      <c r="E678" s="41" t="str">
        <f t="shared" si="677"/>
        <v/>
      </c>
      <c r="F678" s="41" t="str">
        <f t="shared" si="677"/>
        <v/>
      </c>
      <c r="G678" s="41" t="str">
        <f t="shared" si="677"/>
        <v/>
      </c>
      <c r="H678" s="41" t="str">
        <f t="shared" si="677"/>
        <v/>
      </c>
      <c r="I678" s="41" t="str">
        <f t="shared" si="677"/>
        <v/>
      </c>
      <c r="J678" s="41" t="str">
        <f t="shared" si="677"/>
        <v/>
      </c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67.5" customHeight="1">
      <c r="A679" s="39"/>
      <c r="B679" s="43" t="str">
        <f>IFERROR(__xludf.DUMMYFUNCTION("IFERROR(
  LET(
    periodos, C$1:Z$1,
    marcas, C679:Z679,
    pos, MAX(
          FILTER(
            COLUMN(marcas)-COLUMN(C679)+1,
            marcas=""X""
          )
        ),
    ultimo, INDEX(periodos, pos),
    XLOOKUP(
      $A679,
      INDI"&amp;"RECT(""'""&amp;ultimo&amp;""'!C:C""),
      INDIRECT(""'""&amp;ultimo&amp;""'!A:A"")
    )
  ),
  """"
)"),"")</f>
        <v/>
      </c>
      <c r="C679" s="41" t="str">
        <f t="shared" ref="C679:J679" si="678">IF(
  COUNTIF(
    INDIRECT("'"&amp;C$1&amp;"'!C:C"),
    $A679
  )&gt;0,
  "X",
  ""
)</f>
        <v/>
      </c>
      <c r="D679" s="41" t="str">
        <f t="shared" si="678"/>
        <v/>
      </c>
      <c r="E679" s="41" t="str">
        <f t="shared" si="678"/>
        <v/>
      </c>
      <c r="F679" s="41" t="str">
        <f t="shared" si="678"/>
        <v/>
      </c>
      <c r="G679" s="41" t="str">
        <f t="shared" si="678"/>
        <v/>
      </c>
      <c r="H679" s="41" t="str">
        <f t="shared" si="678"/>
        <v/>
      </c>
      <c r="I679" s="41" t="str">
        <f t="shared" si="678"/>
        <v/>
      </c>
      <c r="J679" s="41" t="str">
        <f t="shared" si="678"/>
        <v/>
      </c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67.5" customHeight="1">
      <c r="A680" s="39"/>
      <c r="B680" s="43" t="str">
        <f>IFERROR(__xludf.DUMMYFUNCTION("IFERROR(
  LET(
    periodos, C$1:Z$1,
    marcas, C680:Z680,
    pos, MAX(
          FILTER(
            COLUMN(marcas)-COLUMN(C680)+1,
            marcas=""X""
          )
        ),
    ultimo, INDEX(periodos, pos),
    XLOOKUP(
      $A680,
      INDI"&amp;"RECT(""'""&amp;ultimo&amp;""'!C:C""),
      INDIRECT(""'""&amp;ultimo&amp;""'!A:A"")
    )
  ),
  """"
)"),"")</f>
        <v/>
      </c>
      <c r="C680" s="41" t="str">
        <f t="shared" ref="C680:J680" si="679">IF(
  COUNTIF(
    INDIRECT("'"&amp;C$1&amp;"'!C:C"),
    $A680
  )&gt;0,
  "X",
  ""
)</f>
        <v/>
      </c>
      <c r="D680" s="41" t="str">
        <f t="shared" si="679"/>
        <v/>
      </c>
      <c r="E680" s="41" t="str">
        <f t="shared" si="679"/>
        <v/>
      </c>
      <c r="F680" s="41" t="str">
        <f t="shared" si="679"/>
        <v/>
      </c>
      <c r="G680" s="41" t="str">
        <f t="shared" si="679"/>
        <v/>
      </c>
      <c r="H680" s="41" t="str">
        <f t="shared" si="679"/>
        <v/>
      </c>
      <c r="I680" s="41" t="str">
        <f t="shared" si="679"/>
        <v/>
      </c>
      <c r="J680" s="41" t="str">
        <f t="shared" si="679"/>
        <v/>
      </c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67.5" customHeight="1">
      <c r="A681" s="39"/>
      <c r="B681" s="43" t="str">
        <f>IFERROR(__xludf.DUMMYFUNCTION("IFERROR(
  LET(
    periodos, C$1:Z$1,
    marcas, C681:Z681,
    pos, MAX(
          FILTER(
            COLUMN(marcas)-COLUMN(C681)+1,
            marcas=""X""
          )
        ),
    ultimo, INDEX(periodos, pos),
    XLOOKUP(
      $A681,
      INDI"&amp;"RECT(""'""&amp;ultimo&amp;""'!C:C""),
      INDIRECT(""'""&amp;ultimo&amp;""'!A:A"")
    )
  ),
  """"
)"),"")</f>
        <v/>
      </c>
      <c r="C681" s="41" t="str">
        <f t="shared" ref="C681:J681" si="680">IF(
  COUNTIF(
    INDIRECT("'"&amp;C$1&amp;"'!C:C"),
    $A681
  )&gt;0,
  "X",
  ""
)</f>
        <v/>
      </c>
      <c r="D681" s="41" t="str">
        <f t="shared" si="680"/>
        <v/>
      </c>
      <c r="E681" s="41" t="str">
        <f t="shared" si="680"/>
        <v/>
      </c>
      <c r="F681" s="41" t="str">
        <f t="shared" si="680"/>
        <v/>
      </c>
      <c r="G681" s="41" t="str">
        <f t="shared" si="680"/>
        <v/>
      </c>
      <c r="H681" s="41" t="str">
        <f t="shared" si="680"/>
        <v/>
      </c>
      <c r="I681" s="41" t="str">
        <f t="shared" si="680"/>
        <v/>
      </c>
      <c r="J681" s="41" t="str">
        <f t="shared" si="680"/>
        <v/>
      </c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67.5" customHeight="1">
      <c r="A682" s="39"/>
      <c r="B682" s="43" t="str">
        <f>IFERROR(__xludf.DUMMYFUNCTION("IFERROR(
  LET(
    periodos, C$1:Z$1,
    marcas, C682:Z682,
    pos, MAX(
          FILTER(
            COLUMN(marcas)-COLUMN(C682)+1,
            marcas=""X""
          )
        ),
    ultimo, INDEX(periodos, pos),
    XLOOKUP(
      $A682,
      INDI"&amp;"RECT(""'""&amp;ultimo&amp;""'!C:C""),
      INDIRECT(""'""&amp;ultimo&amp;""'!A:A"")
    )
  ),
  """"
)"),"")</f>
        <v/>
      </c>
      <c r="C682" s="41" t="str">
        <f t="shared" ref="C682:J682" si="681">IF(
  COUNTIF(
    INDIRECT("'"&amp;C$1&amp;"'!C:C"),
    $A682
  )&gt;0,
  "X",
  ""
)</f>
        <v/>
      </c>
      <c r="D682" s="41" t="str">
        <f t="shared" si="681"/>
        <v/>
      </c>
      <c r="E682" s="41" t="str">
        <f t="shared" si="681"/>
        <v/>
      </c>
      <c r="F682" s="41" t="str">
        <f t="shared" si="681"/>
        <v/>
      </c>
      <c r="G682" s="41" t="str">
        <f t="shared" si="681"/>
        <v/>
      </c>
      <c r="H682" s="41" t="str">
        <f t="shared" si="681"/>
        <v/>
      </c>
      <c r="I682" s="41" t="str">
        <f t="shared" si="681"/>
        <v/>
      </c>
      <c r="J682" s="41" t="str">
        <f t="shared" si="681"/>
        <v/>
      </c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67.5" customHeight="1">
      <c r="A683" s="39"/>
      <c r="B683" s="43" t="str">
        <f>IFERROR(__xludf.DUMMYFUNCTION("IFERROR(
  LET(
    periodos, C$1:Z$1,
    marcas, C683:Z683,
    pos, MAX(
          FILTER(
            COLUMN(marcas)-COLUMN(C683)+1,
            marcas=""X""
          )
        ),
    ultimo, INDEX(periodos, pos),
    XLOOKUP(
      $A683,
      INDI"&amp;"RECT(""'""&amp;ultimo&amp;""'!C:C""),
      INDIRECT(""'""&amp;ultimo&amp;""'!A:A"")
    )
  ),
  """"
)"),"")</f>
        <v/>
      </c>
      <c r="C683" s="41" t="str">
        <f t="shared" ref="C683:J683" si="682">IF(
  COUNTIF(
    INDIRECT("'"&amp;C$1&amp;"'!C:C"),
    $A683
  )&gt;0,
  "X",
  ""
)</f>
        <v/>
      </c>
      <c r="D683" s="41" t="str">
        <f t="shared" si="682"/>
        <v/>
      </c>
      <c r="E683" s="41" t="str">
        <f t="shared" si="682"/>
        <v/>
      </c>
      <c r="F683" s="41" t="str">
        <f t="shared" si="682"/>
        <v/>
      </c>
      <c r="G683" s="41" t="str">
        <f t="shared" si="682"/>
        <v/>
      </c>
      <c r="H683" s="41" t="str">
        <f t="shared" si="682"/>
        <v/>
      </c>
      <c r="I683" s="41" t="str">
        <f t="shared" si="682"/>
        <v/>
      </c>
      <c r="J683" s="41" t="str">
        <f t="shared" si="682"/>
        <v/>
      </c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67.5" customHeight="1">
      <c r="A684" s="39"/>
      <c r="B684" s="43" t="str">
        <f>IFERROR(__xludf.DUMMYFUNCTION("IFERROR(
  LET(
    periodos, C$1:Z$1,
    marcas, C684:Z684,
    pos, MAX(
          FILTER(
            COLUMN(marcas)-COLUMN(C684)+1,
            marcas=""X""
          )
        ),
    ultimo, INDEX(periodos, pos),
    XLOOKUP(
      $A684,
      INDI"&amp;"RECT(""'""&amp;ultimo&amp;""'!C:C""),
      INDIRECT(""'""&amp;ultimo&amp;""'!A:A"")
    )
  ),
  """"
)"),"")</f>
        <v/>
      </c>
      <c r="C684" s="41" t="str">
        <f t="shared" ref="C684:J684" si="683">IF(
  COUNTIF(
    INDIRECT("'"&amp;C$1&amp;"'!C:C"),
    $A684
  )&gt;0,
  "X",
  ""
)</f>
        <v/>
      </c>
      <c r="D684" s="41" t="str">
        <f t="shared" si="683"/>
        <v/>
      </c>
      <c r="E684" s="41" t="str">
        <f t="shared" si="683"/>
        <v/>
      </c>
      <c r="F684" s="41" t="str">
        <f t="shared" si="683"/>
        <v/>
      </c>
      <c r="G684" s="41" t="str">
        <f t="shared" si="683"/>
        <v/>
      </c>
      <c r="H684" s="41" t="str">
        <f t="shared" si="683"/>
        <v/>
      </c>
      <c r="I684" s="41" t="str">
        <f t="shared" si="683"/>
        <v/>
      </c>
      <c r="J684" s="41" t="str">
        <f t="shared" si="683"/>
        <v/>
      </c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67.5" customHeight="1">
      <c r="A685" s="39"/>
      <c r="B685" s="43" t="str">
        <f>IFERROR(__xludf.DUMMYFUNCTION("IFERROR(
  LET(
    periodos, C$1:Z$1,
    marcas, C685:Z685,
    pos, MAX(
          FILTER(
            COLUMN(marcas)-COLUMN(C685)+1,
            marcas=""X""
          )
        ),
    ultimo, INDEX(periodos, pos),
    XLOOKUP(
      $A685,
      INDI"&amp;"RECT(""'""&amp;ultimo&amp;""'!C:C""),
      INDIRECT(""'""&amp;ultimo&amp;""'!A:A"")
    )
  ),
  """"
)"),"")</f>
        <v/>
      </c>
      <c r="C685" s="41" t="str">
        <f t="shared" ref="C685:J685" si="684">IF(
  COUNTIF(
    INDIRECT("'"&amp;C$1&amp;"'!C:C"),
    $A685
  )&gt;0,
  "X",
  ""
)</f>
        <v/>
      </c>
      <c r="D685" s="41" t="str">
        <f t="shared" si="684"/>
        <v/>
      </c>
      <c r="E685" s="41" t="str">
        <f t="shared" si="684"/>
        <v/>
      </c>
      <c r="F685" s="41" t="str">
        <f t="shared" si="684"/>
        <v/>
      </c>
      <c r="G685" s="41" t="str">
        <f t="shared" si="684"/>
        <v/>
      </c>
      <c r="H685" s="41" t="str">
        <f t="shared" si="684"/>
        <v/>
      </c>
      <c r="I685" s="41" t="str">
        <f t="shared" si="684"/>
        <v/>
      </c>
      <c r="J685" s="41" t="str">
        <f t="shared" si="684"/>
        <v/>
      </c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67.5" customHeight="1">
      <c r="A686" s="39"/>
      <c r="B686" s="43" t="str">
        <f>IFERROR(__xludf.DUMMYFUNCTION("IFERROR(
  LET(
    periodos, C$1:Z$1,
    marcas, C686:Z686,
    pos, MAX(
          FILTER(
            COLUMN(marcas)-COLUMN(C686)+1,
            marcas=""X""
          )
        ),
    ultimo, INDEX(periodos, pos),
    XLOOKUP(
      $A686,
      INDI"&amp;"RECT(""'""&amp;ultimo&amp;""'!C:C""),
      INDIRECT(""'""&amp;ultimo&amp;""'!A:A"")
    )
  ),
  """"
)"),"")</f>
        <v/>
      </c>
      <c r="C686" s="41" t="str">
        <f t="shared" ref="C686:J686" si="685">IF(
  COUNTIF(
    INDIRECT("'"&amp;C$1&amp;"'!C:C"),
    $A686
  )&gt;0,
  "X",
  ""
)</f>
        <v/>
      </c>
      <c r="D686" s="41" t="str">
        <f t="shared" si="685"/>
        <v/>
      </c>
      <c r="E686" s="41" t="str">
        <f t="shared" si="685"/>
        <v/>
      </c>
      <c r="F686" s="41" t="str">
        <f t="shared" si="685"/>
        <v/>
      </c>
      <c r="G686" s="41" t="str">
        <f t="shared" si="685"/>
        <v/>
      </c>
      <c r="H686" s="41" t="str">
        <f t="shared" si="685"/>
        <v/>
      </c>
      <c r="I686" s="41" t="str">
        <f t="shared" si="685"/>
        <v/>
      </c>
      <c r="J686" s="41" t="str">
        <f t="shared" si="685"/>
        <v/>
      </c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67.5" customHeight="1">
      <c r="A687" s="39"/>
      <c r="B687" s="43" t="str">
        <f>IFERROR(__xludf.DUMMYFUNCTION("IFERROR(
  LET(
    periodos, C$1:Z$1,
    marcas, C687:Z687,
    pos, MAX(
          FILTER(
            COLUMN(marcas)-COLUMN(C687)+1,
            marcas=""X""
          )
        ),
    ultimo, INDEX(periodos, pos),
    XLOOKUP(
      $A687,
      INDI"&amp;"RECT(""'""&amp;ultimo&amp;""'!C:C""),
      INDIRECT(""'""&amp;ultimo&amp;""'!A:A"")
    )
  ),
  """"
)"),"")</f>
        <v/>
      </c>
      <c r="C687" s="41" t="str">
        <f t="shared" ref="C687:J687" si="686">IF(
  COUNTIF(
    INDIRECT("'"&amp;C$1&amp;"'!C:C"),
    $A687
  )&gt;0,
  "X",
  ""
)</f>
        <v/>
      </c>
      <c r="D687" s="41" t="str">
        <f t="shared" si="686"/>
        <v/>
      </c>
      <c r="E687" s="41" t="str">
        <f t="shared" si="686"/>
        <v/>
      </c>
      <c r="F687" s="41" t="str">
        <f t="shared" si="686"/>
        <v/>
      </c>
      <c r="G687" s="41" t="str">
        <f t="shared" si="686"/>
        <v/>
      </c>
      <c r="H687" s="41" t="str">
        <f t="shared" si="686"/>
        <v/>
      </c>
      <c r="I687" s="41" t="str">
        <f t="shared" si="686"/>
        <v/>
      </c>
      <c r="J687" s="41" t="str">
        <f t="shared" si="686"/>
        <v/>
      </c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67.5" customHeight="1">
      <c r="A688" s="39"/>
      <c r="B688" s="43" t="str">
        <f>IFERROR(__xludf.DUMMYFUNCTION("IFERROR(
  LET(
    periodos, C$1:Z$1,
    marcas, C688:Z688,
    pos, MAX(
          FILTER(
            COLUMN(marcas)-COLUMN(C688)+1,
            marcas=""X""
          )
        ),
    ultimo, INDEX(periodos, pos),
    XLOOKUP(
      $A688,
      INDI"&amp;"RECT(""'""&amp;ultimo&amp;""'!C:C""),
      INDIRECT(""'""&amp;ultimo&amp;""'!A:A"")
    )
  ),
  """"
)"),"")</f>
        <v/>
      </c>
      <c r="C688" s="41" t="str">
        <f t="shared" ref="C688:J688" si="687">IF(
  COUNTIF(
    INDIRECT("'"&amp;C$1&amp;"'!C:C"),
    $A688
  )&gt;0,
  "X",
  ""
)</f>
        <v/>
      </c>
      <c r="D688" s="41" t="str">
        <f t="shared" si="687"/>
        <v/>
      </c>
      <c r="E688" s="41" t="str">
        <f t="shared" si="687"/>
        <v/>
      </c>
      <c r="F688" s="41" t="str">
        <f t="shared" si="687"/>
        <v/>
      </c>
      <c r="G688" s="41" t="str">
        <f t="shared" si="687"/>
        <v/>
      </c>
      <c r="H688" s="41" t="str">
        <f t="shared" si="687"/>
        <v/>
      </c>
      <c r="I688" s="41" t="str">
        <f t="shared" si="687"/>
        <v/>
      </c>
      <c r="J688" s="41" t="str">
        <f t="shared" si="687"/>
        <v/>
      </c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67.5" customHeight="1">
      <c r="A689" s="39"/>
      <c r="B689" s="43" t="str">
        <f>IFERROR(__xludf.DUMMYFUNCTION("IFERROR(
  LET(
    periodos, C$1:Z$1,
    marcas, C689:Z689,
    pos, MAX(
          FILTER(
            COLUMN(marcas)-COLUMN(C689)+1,
            marcas=""X""
          )
        ),
    ultimo, INDEX(periodos, pos),
    XLOOKUP(
      $A689,
      INDI"&amp;"RECT(""'""&amp;ultimo&amp;""'!C:C""),
      INDIRECT(""'""&amp;ultimo&amp;""'!A:A"")
    )
  ),
  """"
)"),"")</f>
        <v/>
      </c>
      <c r="C689" s="41" t="str">
        <f t="shared" ref="C689:J689" si="688">IF(
  COUNTIF(
    INDIRECT("'"&amp;C$1&amp;"'!C:C"),
    $A689
  )&gt;0,
  "X",
  ""
)</f>
        <v/>
      </c>
      <c r="D689" s="41" t="str">
        <f t="shared" si="688"/>
        <v/>
      </c>
      <c r="E689" s="41" t="str">
        <f t="shared" si="688"/>
        <v/>
      </c>
      <c r="F689" s="41" t="str">
        <f t="shared" si="688"/>
        <v/>
      </c>
      <c r="G689" s="41" t="str">
        <f t="shared" si="688"/>
        <v/>
      </c>
      <c r="H689" s="41" t="str">
        <f t="shared" si="688"/>
        <v/>
      </c>
      <c r="I689" s="41" t="str">
        <f t="shared" si="688"/>
        <v/>
      </c>
      <c r="J689" s="41" t="str">
        <f t="shared" si="688"/>
        <v/>
      </c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67.5" customHeight="1">
      <c r="A690" s="39"/>
      <c r="B690" s="43" t="str">
        <f>IFERROR(__xludf.DUMMYFUNCTION("IFERROR(
  LET(
    periodos, C$1:Z$1,
    marcas, C690:Z690,
    pos, MAX(
          FILTER(
            COLUMN(marcas)-COLUMN(C690)+1,
            marcas=""X""
          )
        ),
    ultimo, INDEX(periodos, pos),
    XLOOKUP(
      $A690,
      INDI"&amp;"RECT(""'""&amp;ultimo&amp;""'!C:C""),
      INDIRECT(""'""&amp;ultimo&amp;""'!A:A"")
    )
  ),
  """"
)"),"")</f>
        <v/>
      </c>
      <c r="C690" s="41" t="str">
        <f t="shared" ref="C690:J690" si="689">IF(
  COUNTIF(
    INDIRECT("'"&amp;C$1&amp;"'!C:C"),
    $A690
  )&gt;0,
  "X",
  ""
)</f>
        <v/>
      </c>
      <c r="D690" s="41" t="str">
        <f t="shared" si="689"/>
        <v/>
      </c>
      <c r="E690" s="41" t="str">
        <f t="shared" si="689"/>
        <v/>
      </c>
      <c r="F690" s="41" t="str">
        <f t="shared" si="689"/>
        <v/>
      </c>
      <c r="G690" s="41" t="str">
        <f t="shared" si="689"/>
        <v/>
      </c>
      <c r="H690" s="41" t="str">
        <f t="shared" si="689"/>
        <v/>
      </c>
      <c r="I690" s="41" t="str">
        <f t="shared" si="689"/>
        <v/>
      </c>
      <c r="J690" s="41" t="str">
        <f t="shared" si="689"/>
        <v/>
      </c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67.5" customHeight="1">
      <c r="A691" s="39"/>
      <c r="B691" s="43" t="str">
        <f>IFERROR(__xludf.DUMMYFUNCTION("IFERROR(
  LET(
    periodos, C$1:Z$1,
    marcas, C691:Z691,
    pos, MAX(
          FILTER(
            COLUMN(marcas)-COLUMN(C691)+1,
            marcas=""X""
          )
        ),
    ultimo, INDEX(periodos, pos),
    XLOOKUP(
      $A691,
      INDI"&amp;"RECT(""'""&amp;ultimo&amp;""'!C:C""),
      INDIRECT(""'""&amp;ultimo&amp;""'!A:A"")
    )
  ),
  """"
)"),"")</f>
        <v/>
      </c>
      <c r="C691" s="41" t="str">
        <f t="shared" ref="C691:J691" si="690">IF(
  COUNTIF(
    INDIRECT("'"&amp;C$1&amp;"'!C:C"),
    $A691
  )&gt;0,
  "X",
  ""
)</f>
        <v/>
      </c>
      <c r="D691" s="41" t="str">
        <f t="shared" si="690"/>
        <v/>
      </c>
      <c r="E691" s="41" t="str">
        <f t="shared" si="690"/>
        <v/>
      </c>
      <c r="F691" s="41" t="str">
        <f t="shared" si="690"/>
        <v/>
      </c>
      <c r="G691" s="41" t="str">
        <f t="shared" si="690"/>
        <v/>
      </c>
      <c r="H691" s="41" t="str">
        <f t="shared" si="690"/>
        <v/>
      </c>
      <c r="I691" s="41" t="str">
        <f t="shared" si="690"/>
        <v/>
      </c>
      <c r="J691" s="41" t="str">
        <f t="shared" si="690"/>
        <v/>
      </c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67.5" customHeight="1">
      <c r="A692" s="39"/>
      <c r="B692" s="43" t="str">
        <f>IFERROR(__xludf.DUMMYFUNCTION("IFERROR(
  LET(
    periodos, C$1:Z$1,
    marcas, C692:Z692,
    pos, MAX(
          FILTER(
            COLUMN(marcas)-COLUMN(C692)+1,
            marcas=""X""
          )
        ),
    ultimo, INDEX(periodos, pos),
    XLOOKUP(
      $A692,
      INDI"&amp;"RECT(""'""&amp;ultimo&amp;""'!C:C""),
      INDIRECT(""'""&amp;ultimo&amp;""'!A:A"")
    )
  ),
  """"
)"),"")</f>
        <v/>
      </c>
      <c r="C692" s="41" t="str">
        <f t="shared" ref="C692:J692" si="691">IF(
  COUNTIF(
    INDIRECT("'"&amp;C$1&amp;"'!C:C"),
    $A692
  )&gt;0,
  "X",
  ""
)</f>
        <v/>
      </c>
      <c r="D692" s="41" t="str">
        <f t="shared" si="691"/>
        <v/>
      </c>
      <c r="E692" s="41" t="str">
        <f t="shared" si="691"/>
        <v/>
      </c>
      <c r="F692" s="41" t="str">
        <f t="shared" si="691"/>
        <v/>
      </c>
      <c r="G692" s="41" t="str">
        <f t="shared" si="691"/>
        <v/>
      </c>
      <c r="H692" s="41" t="str">
        <f t="shared" si="691"/>
        <v/>
      </c>
      <c r="I692" s="41" t="str">
        <f t="shared" si="691"/>
        <v/>
      </c>
      <c r="J692" s="41" t="str">
        <f t="shared" si="691"/>
        <v/>
      </c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67.5" customHeight="1">
      <c r="A693" s="39"/>
      <c r="B693" s="43" t="str">
        <f>IFERROR(__xludf.DUMMYFUNCTION("IFERROR(
  LET(
    periodos, C$1:Z$1,
    marcas, C693:Z693,
    pos, MAX(
          FILTER(
            COLUMN(marcas)-COLUMN(C693)+1,
            marcas=""X""
          )
        ),
    ultimo, INDEX(periodos, pos),
    XLOOKUP(
      $A693,
      INDI"&amp;"RECT(""'""&amp;ultimo&amp;""'!C:C""),
      INDIRECT(""'""&amp;ultimo&amp;""'!A:A"")
    )
  ),
  """"
)"),"")</f>
        <v/>
      </c>
      <c r="C693" s="41" t="str">
        <f t="shared" ref="C693:J693" si="692">IF(
  COUNTIF(
    INDIRECT("'"&amp;C$1&amp;"'!C:C"),
    $A693
  )&gt;0,
  "X",
  ""
)</f>
        <v/>
      </c>
      <c r="D693" s="41" t="str">
        <f t="shared" si="692"/>
        <v/>
      </c>
      <c r="E693" s="41" t="str">
        <f t="shared" si="692"/>
        <v/>
      </c>
      <c r="F693" s="41" t="str">
        <f t="shared" si="692"/>
        <v/>
      </c>
      <c r="G693" s="41" t="str">
        <f t="shared" si="692"/>
        <v/>
      </c>
      <c r="H693" s="41" t="str">
        <f t="shared" si="692"/>
        <v/>
      </c>
      <c r="I693" s="41" t="str">
        <f t="shared" si="692"/>
        <v/>
      </c>
      <c r="J693" s="41" t="str">
        <f t="shared" si="692"/>
        <v/>
      </c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67.5" customHeight="1">
      <c r="A694" s="39"/>
      <c r="B694" s="43" t="str">
        <f>IFERROR(__xludf.DUMMYFUNCTION("IFERROR(
  LET(
    periodos, C$1:Z$1,
    marcas, C694:Z694,
    pos, MAX(
          FILTER(
            COLUMN(marcas)-COLUMN(C694)+1,
            marcas=""X""
          )
        ),
    ultimo, INDEX(periodos, pos),
    XLOOKUP(
      $A694,
      INDI"&amp;"RECT(""'""&amp;ultimo&amp;""'!C:C""),
      INDIRECT(""'""&amp;ultimo&amp;""'!A:A"")
    )
  ),
  """"
)"),"")</f>
        <v/>
      </c>
      <c r="C694" s="41" t="str">
        <f t="shared" ref="C694:J694" si="693">IF(
  COUNTIF(
    INDIRECT("'"&amp;C$1&amp;"'!C:C"),
    $A694
  )&gt;0,
  "X",
  ""
)</f>
        <v/>
      </c>
      <c r="D694" s="41" t="str">
        <f t="shared" si="693"/>
        <v/>
      </c>
      <c r="E694" s="41" t="str">
        <f t="shared" si="693"/>
        <v/>
      </c>
      <c r="F694" s="41" t="str">
        <f t="shared" si="693"/>
        <v/>
      </c>
      <c r="G694" s="41" t="str">
        <f t="shared" si="693"/>
        <v/>
      </c>
      <c r="H694" s="41" t="str">
        <f t="shared" si="693"/>
        <v/>
      </c>
      <c r="I694" s="41" t="str">
        <f t="shared" si="693"/>
        <v/>
      </c>
      <c r="J694" s="41" t="str">
        <f t="shared" si="693"/>
        <v/>
      </c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67.5" customHeight="1">
      <c r="A695" s="39"/>
      <c r="B695" s="43" t="str">
        <f>IFERROR(__xludf.DUMMYFUNCTION("IFERROR(
  LET(
    periodos, C$1:Z$1,
    marcas, C695:Z695,
    pos, MAX(
          FILTER(
            COLUMN(marcas)-COLUMN(C695)+1,
            marcas=""X""
          )
        ),
    ultimo, INDEX(periodos, pos),
    XLOOKUP(
      $A695,
      INDI"&amp;"RECT(""'""&amp;ultimo&amp;""'!C:C""),
      INDIRECT(""'""&amp;ultimo&amp;""'!A:A"")
    )
  ),
  """"
)"),"")</f>
        <v/>
      </c>
      <c r="C695" s="41" t="str">
        <f t="shared" ref="C695:J695" si="694">IF(
  COUNTIF(
    INDIRECT("'"&amp;C$1&amp;"'!C:C"),
    $A695
  )&gt;0,
  "X",
  ""
)</f>
        <v/>
      </c>
      <c r="D695" s="41" t="str">
        <f t="shared" si="694"/>
        <v/>
      </c>
      <c r="E695" s="41" t="str">
        <f t="shared" si="694"/>
        <v/>
      </c>
      <c r="F695" s="41" t="str">
        <f t="shared" si="694"/>
        <v/>
      </c>
      <c r="G695" s="41" t="str">
        <f t="shared" si="694"/>
        <v/>
      </c>
      <c r="H695" s="41" t="str">
        <f t="shared" si="694"/>
        <v/>
      </c>
      <c r="I695" s="41" t="str">
        <f t="shared" si="694"/>
        <v/>
      </c>
      <c r="J695" s="41" t="str">
        <f t="shared" si="694"/>
        <v/>
      </c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67.5" customHeight="1">
      <c r="A696" s="39"/>
      <c r="B696" s="43" t="str">
        <f>IFERROR(__xludf.DUMMYFUNCTION("IFERROR(
  LET(
    periodos, C$1:Z$1,
    marcas, C696:Z696,
    pos, MAX(
          FILTER(
            COLUMN(marcas)-COLUMN(C696)+1,
            marcas=""X""
          )
        ),
    ultimo, INDEX(periodos, pos),
    XLOOKUP(
      $A696,
      INDI"&amp;"RECT(""'""&amp;ultimo&amp;""'!C:C""),
      INDIRECT(""'""&amp;ultimo&amp;""'!A:A"")
    )
  ),
  """"
)"),"")</f>
        <v/>
      </c>
      <c r="C696" s="41" t="str">
        <f t="shared" ref="C696:J696" si="695">IF(
  COUNTIF(
    INDIRECT("'"&amp;C$1&amp;"'!C:C"),
    $A696
  )&gt;0,
  "X",
  ""
)</f>
        <v/>
      </c>
      <c r="D696" s="41" t="str">
        <f t="shared" si="695"/>
        <v/>
      </c>
      <c r="E696" s="41" t="str">
        <f t="shared" si="695"/>
        <v/>
      </c>
      <c r="F696" s="41" t="str">
        <f t="shared" si="695"/>
        <v/>
      </c>
      <c r="G696" s="41" t="str">
        <f t="shared" si="695"/>
        <v/>
      </c>
      <c r="H696" s="41" t="str">
        <f t="shared" si="695"/>
        <v/>
      </c>
      <c r="I696" s="41" t="str">
        <f t="shared" si="695"/>
        <v/>
      </c>
      <c r="J696" s="41" t="str">
        <f t="shared" si="695"/>
        <v/>
      </c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67.5" customHeight="1">
      <c r="A697" s="39"/>
      <c r="B697" s="43" t="str">
        <f>IFERROR(__xludf.DUMMYFUNCTION("IFERROR(
  LET(
    periodos, C$1:Z$1,
    marcas, C697:Z697,
    pos, MAX(
          FILTER(
            COLUMN(marcas)-COLUMN(C697)+1,
            marcas=""X""
          )
        ),
    ultimo, INDEX(periodos, pos),
    XLOOKUP(
      $A697,
      INDI"&amp;"RECT(""'""&amp;ultimo&amp;""'!C:C""),
      INDIRECT(""'""&amp;ultimo&amp;""'!A:A"")
    )
  ),
  """"
)"),"")</f>
        <v/>
      </c>
      <c r="C697" s="41" t="str">
        <f t="shared" ref="C697:J697" si="696">IF(
  COUNTIF(
    INDIRECT("'"&amp;C$1&amp;"'!C:C"),
    $A697
  )&gt;0,
  "X",
  ""
)</f>
        <v/>
      </c>
      <c r="D697" s="41" t="str">
        <f t="shared" si="696"/>
        <v/>
      </c>
      <c r="E697" s="41" t="str">
        <f t="shared" si="696"/>
        <v/>
      </c>
      <c r="F697" s="41" t="str">
        <f t="shared" si="696"/>
        <v/>
      </c>
      <c r="G697" s="41" t="str">
        <f t="shared" si="696"/>
        <v/>
      </c>
      <c r="H697" s="41" t="str">
        <f t="shared" si="696"/>
        <v/>
      </c>
      <c r="I697" s="41" t="str">
        <f t="shared" si="696"/>
        <v/>
      </c>
      <c r="J697" s="41" t="str">
        <f t="shared" si="696"/>
        <v/>
      </c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67.5" customHeight="1">
      <c r="A698" s="39"/>
      <c r="B698" s="43" t="str">
        <f>IFERROR(__xludf.DUMMYFUNCTION("IFERROR(
  LET(
    periodos, C$1:Z$1,
    marcas, C698:Z698,
    pos, MAX(
          FILTER(
            COLUMN(marcas)-COLUMN(C698)+1,
            marcas=""X""
          )
        ),
    ultimo, INDEX(periodos, pos),
    XLOOKUP(
      $A698,
      INDI"&amp;"RECT(""'""&amp;ultimo&amp;""'!C:C""),
      INDIRECT(""'""&amp;ultimo&amp;""'!A:A"")
    )
  ),
  """"
)"),"")</f>
        <v/>
      </c>
      <c r="C698" s="41" t="str">
        <f t="shared" ref="C698:J698" si="697">IF(
  COUNTIF(
    INDIRECT("'"&amp;C$1&amp;"'!C:C"),
    $A698
  )&gt;0,
  "X",
  ""
)</f>
        <v/>
      </c>
      <c r="D698" s="41" t="str">
        <f t="shared" si="697"/>
        <v/>
      </c>
      <c r="E698" s="41" t="str">
        <f t="shared" si="697"/>
        <v/>
      </c>
      <c r="F698" s="41" t="str">
        <f t="shared" si="697"/>
        <v/>
      </c>
      <c r="G698" s="41" t="str">
        <f t="shared" si="697"/>
        <v/>
      </c>
      <c r="H698" s="41" t="str">
        <f t="shared" si="697"/>
        <v/>
      </c>
      <c r="I698" s="41" t="str">
        <f t="shared" si="697"/>
        <v/>
      </c>
      <c r="J698" s="41" t="str">
        <f t="shared" si="697"/>
        <v/>
      </c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67.5" customHeight="1">
      <c r="A699" s="39"/>
      <c r="B699" s="43" t="str">
        <f>IFERROR(__xludf.DUMMYFUNCTION("IFERROR(
  LET(
    periodos, C$1:Z$1,
    marcas, C699:Z699,
    pos, MAX(
          FILTER(
            COLUMN(marcas)-COLUMN(C699)+1,
            marcas=""X""
          )
        ),
    ultimo, INDEX(periodos, pos),
    XLOOKUP(
      $A699,
      INDI"&amp;"RECT(""'""&amp;ultimo&amp;""'!C:C""),
      INDIRECT(""'""&amp;ultimo&amp;""'!A:A"")
    )
  ),
  """"
)"),"")</f>
        <v/>
      </c>
      <c r="C699" s="41" t="str">
        <f t="shared" ref="C699:J699" si="698">IF(
  COUNTIF(
    INDIRECT("'"&amp;C$1&amp;"'!C:C"),
    $A699
  )&gt;0,
  "X",
  ""
)</f>
        <v/>
      </c>
      <c r="D699" s="41" t="str">
        <f t="shared" si="698"/>
        <v/>
      </c>
      <c r="E699" s="41" t="str">
        <f t="shared" si="698"/>
        <v/>
      </c>
      <c r="F699" s="41" t="str">
        <f t="shared" si="698"/>
        <v/>
      </c>
      <c r="G699" s="41" t="str">
        <f t="shared" si="698"/>
        <v/>
      </c>
      <c r="H699" s="41" t="str">
        <f t="shared" si="698"/>
        <v/>
      </c>
      <c r="I699" s="41" t="str">
        <f t="shared" si="698"/>
        <v/>
      </c>
      <c r="J699" s="41" t="str">
        <f t="shared" si="698"/>
        <v/>
      </c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67.5" customHeight="1">
      <c r="A700" s="39"/>
      <c r="B700" s="43" t="str">
        <f>IFERROR(__xludf.DUMMYFUNCTION("IFERROR(
  LET(
    periodos, C$1:Z$1,
    marcas, C700:Z700,
    pos, MAX(
          FILTER(
            COLUMN(marcas)-COLUMN(C700)+1,
            marcas=""X""
          )
        ),
    ultimo, INDEX(periodos, pos),
    XLOOKUP(
      $A700,
      INDI"&amp;"RECT(""'""&amp;ultimo&amp;""'!C:C""),
      INDIRECT(""'""&amp;ultimo&amp;""'!A:A"")
    )
  ),
  """"
)"),"")</f>
        <v/>
      </c>
      <c r="C700" s="41" t="str">
        <f t="shared" ref="C700:J700" si="699">IF(
  COUNTIF(
    INDIRECT("'"&amp;C$1&amp;"'!C:C"),
    $A700
  )&gt;0,
  "X",
  ""
)</f>
        <v/>
      </c>
      <c r="D700" s="41" t="str">
        <f t="shared" si="699"/>
        <v/>
      </c>
      <c r="E700" s="41" t="str">
        <f t="shared" si="699"/>
        <v/>
      </c>
      <c r="F700" s="41" t="str">
        <f t="shared" si="699"/>
        <v/>
      </c>
      <c r="G700" s="41" t="str">
        <f t="shared" si="699"/>
        <v/>
      </c>
      <c r="H700" s="41" t="str">
        <f t="shared" si="699"/>
        <v/>
      </c>
      <c r="I700" s="41" t="str">
        <f t="shared" si="699"/>
        <v/>
      </c>
      <c r="J700" s="41" t="str">
        <f t="shared" si="699"/>
        <v/>
      </c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67.5" customHeight="1">
      <c r="A701" s="39"/>
      <c r="B701" s="43" t="str">
        <f>IFERROR(__xludf.DUMMYFUNCTION("IFERROR(
  LET(
    periodos, C$1:Z$1,
    marcas, C701:Z701,
    pos, MAX(
          FILTER(
            COLUMN(marcas)-COLUMN(C701)+1,
            marcas=""X""
          )
        ),
    ultimo, INDEX(periodos, pos),
    XLOOKUP(
      $A701,
      INDI"&amp;"RECT(""'""&amp;ultimo&amp;""'!C:C""),
      INDIRECT(""'""&amp;ultimo&amp;""'!A:A"")
    )
  ),
  """"
)"),"")</f>
        <v/>
      </c>
      <c r="C701" s="41" t="str">
        <f t="shared" ref="C701:J701" si="700">IF(
  COUNTIF(
    INDIRECT("'"&amp;C$1&amp;"'!C:C"),
    $A701
  )&gt;0,
  "X",
  ""
)</f>
        <v/>
      </c>
      <c r="D701" s="41" t="str">
        <f t="shared" si="700"/>
        <v/>
      </c>
      <c r="E701" s="41" t="str">
        <f t="shared" si="700"/>
        <v/>
      </c>
      <c r="F701" s="41" t="str">
        <f t="shared" si="700"/>
        <v/>
      </c>
      <c r="G701" s="41" t="str">
        <f t="shared" si="700"/>
        <v/>
      </c>
      <c r="H701" s="41" t="str">
        <f t="shared" si="700"/>
        <v/>
      </c>
      <c r="I701" s="41" t="str">
        <f t="shared" si="700"/>
        <v/>
      </c>
      <c r="J701" s="41" t="str">
        <f t="shared" si="700"/>
        <v/>
      </c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67.5" customHeight="1">
      <c r="A702" s="39"/>
      <c r="B702" s="43" t="str">
        <f>IFERROR(__xludf.DUMMYFUNCTION("IFERROR(
  LET(
    periodos, C$1:Z$1,
    marcas, C702:Z702,
    pos, MAX(
          FILTER(
            COLUMN(marcas)-COLUMN(C702)+1,
            marcas=""X""
          )
        ),
    ultimo, INDEX(periodos, pos),
    XLOOKUP(
      $A702,
      INDI"&amp;"RECT(""'""&amp;ultimo&amp;""'!C:C""),
      INDIRECT(""'""&amp;ultimo&amp;""'!A:A"")
    )
  ),
  """"
)"),"")</f>
        <v/>
      </c>
      <c r="C702" s="41" t="str">
        <f t="shared" ref="C702:J702" si="701">IF(
  COUNTIF(
    INDIRECT("'"&amp;C$1&amp;"'!C:C"),
    $A702
  )&gt;0,
  "X",
  ""
)</f>
        <v/>
      </c>
      <c r="D702" s="41" t="str">
        <f t="shared" si="701"/>
        <v/>
      </c>
      <c r="E702" s="41" t="str">
        <f t="shared" si="701"/>
        <v/>
      </c>
      <c r="F702" s="41" t="str">
        <f t="shared" si="701"/>
        <v/>
      </c>
      <c r="G702" s="41" t="str">
        <f t="shared" si="701"/>
        <v/>
      </c>
      <c r="H702" s="41" t="str">
        <f t="shared" si="701"/>
        <v/>
      </c>
      <c r="I702" s="41" t="str">
        <f t="shared" si="701"/>
        <v/>
      </c>
      <c r="J702" s="41" t="str">
        <f t="shared" si="701"/>
        <v/>
      </c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67.5" customHeight="1">
      <c r="A703" s="39"/>
      <c r="B703" s="43" t="str">
        <f>IFERROR(__xludf.DUMMYFUNCTION("IFERROR(
  LET(
    periodos, C$1:Z$1,
    marcas, C703:Z703,
    pos, MAX(
          FILTER(
            COLUMN(marcas)-COLUMN(C703)+1,
            marcas=""X""
          )
        ),
    ultimo, INDEX(periodos, pos),
    XLOOKUP(
      $A703,
      INDI"&amp;"RECT(""'""&amp;ultimo&amp;""'!C:C""),
      INDIRECT(""'""&amp;ultimo&amp;""'!A:A"")
    )
  ),
  """"
)"),"")</f>
        <v/>
      </c>
      <c r="C703" s="41" t="str">
        <f t="shared" ref="C703:J703" si="702">IF(
  COUNTIF(
    INDIRECT("'"&amp;C$1&amp;"'!C:C"),
    $A703
  )&gt;0,
  "X",
  ""
)</f>
        <v/>
      </c>
      <c r="D703" s="41" t="str">
        <f t="shared" si="702"/>
        <v/>
      </c>
      <c r="E703" s="41" t="str">
        <f t="shared" si="702"/>
        <v/>
      </c>
      <c r="F703" s="41" t="str">
        <f t="shared" si="702"/>
        <v/>
      </c>
      <c r="G703" s="41" t="str">
        <f t="shared" si="702"/>
        <v/>
      </c>
      <c r="H703" s="41" t="str">
        <f t="shared" si="702"/>
        <v/>
      </c>
      <c r="I703" s="41" t="str">
        <f t="shared" si="702"/>
        <v/>
      </c>
      <c r="J703" s="41" t="str">
        <f t="shared" si="702"/>
        <v/>
      </c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67.5" customHeight="1">
      <c r="A704" s="39"/>
      <c r="B704" s="43" t="str">
        <f>IFERROR(__xludf.DUMMYFUNCTION("IFERROR(
  LET(
    periodos, C$1:Z$1,
    marcas, C704:Z704,
    pos, MAX(
          FILTER(
            COLUMN(marcas)-COLUMN(C704)+1,
            marcas=""X""
          )
        ),
    ultimo, INDEX(periodos, pos),
    XLOOKUP(
      $A704,
      INDI"&amp;"RECT(""'""&amp;ultimo&amp;""'!C:C""),
      INDIRECT(""'""&amp;ultimo&amp;""'!A:A"")
    )
  ),
  """"
)"),"")</f>
        <v/>
      </c>
      <c r="C704" s="41" t="str">
        <f t="shared" ref="C704:J704" si="703">IF(
  COUNTIF(
    INDIRECT("'"&amp;C$1&amp;"'!C:C"),
    $A704
  )&gt;0,
  "X",
  ""
)</f>
        <v/>
      </c>
      <c r="D704" s="41" t="str">
        <f t="shared" si="703"/>
        <v/>
      </c>
      <c r="E704" s="41" t="str">
        <f t="shared" si="703"/>
        <v/>
      </c>
      <c r="F704" s="41" t="str">
        <f t="shared" si="703"/>
        <v/>
      </c>
      <c r="G704" s="41" t="str">
        <f t="shared" si="703"/>
        <v/>
      </c>
      <c r="H704" s="41" t="str">
        <f t="shared" si="703"/>
        <v/>
      </c>
      <c r="I704" s="41" t="str">
        <f t="shared" si="703"/>
        <v/>
      </c>
      <c r="J704" s="41" t="str">
        <f t="shared" si="703"/>
        <v/>
      </c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67.5" customHeight="1">
      <c r="A705" s="39"/>
      <c r="B705" s="43" t="str">
        <f>IFERROR(__xludf.DUMMYFUNCTION("IFERROR(
  LET(
    periodos, C$1:Z$1,
    marcas, C705:Z705,
    pos, MAX(
          FILTER(
            COLUMN(marcas)-COLUMN(C705)+1,
            marcas=""X""
          )
        ),
    ultimo, INDEX(periodos, pos),
    XLOOKUP(
      $A705,
      INDI"&amp;"RECT(""'""&amp;ultimo&amp;""'!C:C""),
      INDIRECT(""'""&amp;ultimo&amp;""'!A:A"")
    )
  ),
  """"
)"),"")</f>
        <v/>
      </c>
      <c r="C705" s="41" t="str">
        <f t="shared" ref="C705:J705" si="704">IF(
  COUNTIF(
    INDIRECT("'"&amp;C$1&amp;"'!C:C"),
    $A705
  )&gt;0,
  "X",
  ""
)</f>
        <v/>
      </c>
      <c r="D705" s="41" t="str">
        <f t="shared" si="704"/>
        <v/>
      </c>
      <c r="E705" s="41" t="str">
        <f t="shared" si="704"/>
        <v/>
      </c>
      <c r="F705" s="41" t="str">
        <f t="shared" si="704"/>
        <v/>
      </c>
      <c r="G705" s="41" t="str">
        <f t="shared" si="704"/>
        <v/>
      </c>
      <c r="H705" s="41" t="str">
        <f t="shared" si="704"/>
        <v/>
      </c>
      <c r="I705" s="41" t="str">
        <f t="shared" si="704"/>
        <v/>
      </c>
      <c r="J705" s="41" t="str">
        <f t="shared" si="704"/>
        <v/>
      </c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67.5" customHeight="1">
      <c r="A706" s="39"/>
      <c r="B706" s="43" t="str">
        <f>IFERROR(__xludf.DUMMYFUNCTION("IFERROR(
  LET(
    periodos, C$1:Z$1,
    marcas, C706:Z706,
    pos, MAX(
          FILTER(
            COLUMN(marcas)-COLUMN(C706)+1,
            marcas=""X""
          )
        ),
    ultimo, INDEX(periodos, pos),
    XLOOKUP(
      $A706,
      INDI"&amp;"RECT(""'""&amp;ultimo&amp;""'!C:C""),
      INDIRECT(""'""&amp;ultimo&amp;""'!A:A"")
    )
  ),
  """"
)"),"")</f>
        <v/>
      </c>
      <c r="C706" s="41" t="str">
        <f t="shared" ref="C706:J706" si="705">IF(
  COUNTIF(
    INDIRECT("'"&amp;C$1&amp;"'!C:C"),
    $A706
  )&gt;0,
  "X",
  ""
)</f>
        <v/>
      </c>
      <c r="D706" s="41" t="str">
        <f t="shared" si="705"/>
        <v/>
      </c>
      <c r="E706" s="41" t="str">
        <f t="shared" si="705"/>
        <v/>
      </c>
      <c r="F706" s="41" t="str">
        <f t="shared" si="705"/>
        <v/>
      </c>
      <c r="G706" s="41" t="str">
        <f t="shared" si="705"/>
        <v/>
      </c>
      <c r="H706" s="41" t="str">
        <f t="shared" si="705"/>
        <v/>
      </c>
      <c r="I706" s="41" t="str">
        <f t="shared" si="705"/>
        <v/>
      </c>
      <c r="J706" s="41" t="str">
        <f t="shared" si="705"/>
        <v/>
      </c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67.5" customHeight="1">
      <c r="A707" s="39"/>
      <c r="B707" s="43" t="str">
        <f>IFERROR(__xludf.DUMMYFUNCTION("IFERROR(
  LET(
    periodos, C$1:Z$1,
    marcas, C707:Z707,
    pos, MAX(
          FILTER(
            COLUMN(marcas)-COLUMN(C707)+1,
            marcas=""X""
          )
        ),
    ultimo, INDEX(periodos, pos),
    XLOOKUP(
      $A707,
      INDI"&amp;"RECT(""'""&amp;ultimo&amp;""'!C:C""),
      INDIRECT(""'""&amp;ultimo&amp;""'!A:A"")
    )
  ),
  """"
)"),"")</f>
        <v/>
      </c>
      <c r="C707" s="41" t="str">
        <f t="shared" ref="C707:J707" si="706">IF(
  COUNTIF(
    INDIRECT("'"&amp;C$1&amp;"'!C:C"),
    $A707
  )&gt;0,
  "X",
  ""
)</f>
        <v/>
      </c>
      <c r="D707" s="41" t="str">
        <f t="shared" si="706"/>
        <v/>
      </c>
      <c r="E707" s="41" t="str">
        <f t="shared" si="706"/>
        <v/>
      </c>
      <c r="F707" s="41" t="str">
        <f t="shared" si="706"/>
        <v/>
      </c>
      <c r="G707" s="41" t="str">
        <f t="shared" si="706"/>
        <v/>
      </c>
      <c r="H707" s="41" t="str">
        <f t="shared" si="706"/>
        <v/>
      </c>
      <c r="I707" s="41" t="str">
        <f t="shared" si="706"/>
        <v/>
      </c>
      <c r="J707" s="41" t="str">
        <f t="shared" si="706"/>
        <v/>
      </c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67.5" customHeight="1">
      <c r="A708" s="39"/>
      <c r="B708" s="43" t="str">
        <f>IFERROR(__xludf.DUMMYFUNCTION("IFERROR(
  LET(
    periodos, C$1:Z$1,
    marcas, C708:Z708,
    pos, MAX(
          FILTER(
            COLUMN(marcas)-COLUMN(C708)+1,
            marcas=""X""
          )
        ),
    ultimo, INDEX(periodos, pos),
    XLOOKUP(
      $A708,
      INDI"&amp;"RECT(""'""&amp;ultimo&amp;""'!C:C""),
      INDIRECT(""'""&amp;ultimo&amp;""'!A:A"")
    )
  ),
  """"
)"),"")</f>
        <v/>
      </c>
      <c r="C708" s="41" t="str">
        <f t="shared" ref="C708:J708" si="707">IF(
  COUNTIF(
    INDIRECT("'"&amp;C$1&amp;"'!C:C"),
    $A708
  )&gt;0,
  "X",
  ""
)</f>
        <v/>
      </c>
      <c r="D708" s="41" t="str">
        <f t="shared" si="707"/>
        <v/>
      </c>
      <c r="E708" s="41" t="str">
        <f t="shared" si="707"/>
        <v/>
      </c>
      <c r="F708" s="41" t="str">
        <f t="shared" si="707"/>
        <v/>
      </c>
      <c r="G708" s="41" t="str">
        <f t="shared" si="707"/>
        <v/>
      </c>
      <c r="H708" s="41" t="str">
        <f t="shared" si="707"/>
        <v/>
      </c>
      <c r="I708" s="41" t="str">
        <f t="shared" si="707"/>
        <v/>
      </c>
      <c r="J708" s="41" t="str">
        <f t="shared" si="707"/>
        <v/>
      </c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67.5" customHeight="1">
      <c r="A709" s="39"/>
      <c r="B709" s="43" t="str">
        <f>IFERROR(__xludf.DUMMYFUNCTION("IFERROR(
  LET(
    periodos, C$1:Z$1,
    marcas, C709:Z709,
    pos, MAX(
          FILTER(
            COLUMN(marcas)-COLUMN(C709)+1,
            marcas=""X""
          )
        ),
    ultimo, INDEX(periodos, pos),
    XLOOKUP(
      $A709,
      INDI"&amp;"RECT(""'""&amp;ultimo&amp;""'!C:C""),
      INDIRECT(""'""&amp;ultimo&amp;""'!A:A"")
    )
  ),
  """"
)"),"")</f>
        <v/>
      </c>
      <c r="C709" s="41" t="str">
        <f t="shared" ref="C709:J709" si="708">IF(
  COUNTIF(
    INDIRECT("'"&amp;C$1&amp;"'!C:C"),
    $A709
  )&gt;0,
  "X",
  ""
)</f>
        <v/>
      </c>
      <c r="D709" s="41" t="str">
        <f t="shared" si="708"/>
        <v/>
      </c>
      <c r="E709" s="41" t="str">
        <f t="shared" si="708"/>
        <v/>
      </c>
      <c r="F709" s="41" t="str">
        <f t="shared" si="708"/>
        <v/>
      </c>
      <c r="G709" s="41" t="str">
        <f t="shared" si="708"/>
        <v/>
      </c>
      <c r="H709" s="41" t="str">
        <f t="shared" si="708"/>
        <v/>
      </c>
      <c r="I709" s="41" t="str">
        <f t="shared" si="708"/>
        <v/>
      </c>
      <c r="J709" s="41" t="str">
        <f t="shared" si="708"/>
        <v/>
      </c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67.5" customHeight="1">
      <c r="A710" s="39"/>
      <c r="B710" s="43" t="str">
        <f>IFERROR(__xludf.DUMMYFUNCTION("IFERROR(
  LET(
    periodos, C$1:Z$1,
    marcas, C710:Z710,
    pos, MAX(
          FILTER(
            COLUMN(marcas)-COLUMN(C710)+1,
            marcas=""X""
          )
        ),
    ultimo, INDEX(periodos, pos),
    XLOOKUP(
      $A710,
      INDI"&amp;"RECT(""'""&amp;ultimo&amp;""'!C:C""),
      INDIRECT(""'""&amp;ultimo&amp;""'!A:A"")
    )
  ),
  """"
)"),"")</f>
        <v/>
      </c>
      <c r="C710" s="41" t="str">
        <f t="shared" ref="C710:J710" si="709">IF(
  COUNTIF(
    INDIRECT("'"&amp;C$1&amp;"'!C:C"),
    $A710
  )&gt;0,
  "X",
  ""
)</f>
        <v/>
      </c>
      <c r="D710" s="41" t="str">
        <f t="shared" si="709"/>
        <v/>
      </c>
      <c r="E710" s="41" t="str">
        <f t="shared" si="709"/>
        <v/>
      </c>
      <c r="F710" s="41" t="str">
        <f t="shared" si="709"/>
        <v/>
      </c>
      <c r="G710" s="41" t="str">
        <f t="shared" si="709"/>
        <v/>
      </c>
      <c r="H710" s="41" t="str">
        <f t="shared" si="709"/>
        <v/>
      </c>
      <c r="I710" s="41" t="str">
        <f t="shared" si="709"/>
        <v/>
      </c>
      <c r="J710" s="41" t="str">
        <f t="shared" si="709"/>
        <v/>
      </c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67.5" customHeight="1">
      <c r="A711" s="39"/>
      <c r="B711" s="43" t="str">
        <f>IFERROR(__xludf.DUMMYFUNCTION("IFERROR(
  LET(
    periodos, C$1:Z$1,
    marcas, C711:Z711,
    pos, MAX(
          FILTER(
            COLUMN(marcas)-COLUMN(C711)+1,
            marcas=""X""
          )
        ),
    ultimo, INDEX(periodos, pos),
    XLOOKUP(
      $A711,
      INDI"&amp;"RECT(""'""&amp;ultimo&amp;""'!C:C""),
      INDIRECT(""'""&amp;ultimo&amp;""'!A:A"")
    )
  ),
  """"
)"),"")</f>
        <v/>
      </c>
      <c r="C711" s="41" t="str">
        <f t="shared" ref="C711:J711" si="710">IF(
  COUNTIF(
    INDIRECT("'"&amp;C$1&amp;"'!C:C"),
    $A711
  )&gt;0,
  "X",
  ""
)</f>
        <v/>
      </c>
      <c r="D711" s="41" t="str">
        <f t="shared" si="710"/>
        <v/>
      </c>
      <c r="E711" s="41" t="str">
        <f t="shared" si="710"/>
        <v/>
      </c>
      <c r="F711" s="41" t="str">
        <f t="shared" si="710"/>
        <v/>
      </c>
      <c r="G711" s="41" t="str">
        <f t="shared" si="710"/>
        <v/>
      </c>
      <c r="H711" s="41" t="str">
        <f t="shared" si="710"/>
        <v/>
      </c>
      <c r="I711" s="41" t="str">
        <f t="shared" si="710"/>
        <v/>
      </c>
      <c r="J711" s="41" t="str">
        <f t="shared" si="710"/>
        <v/>
      </c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67.5" customHeight="1">
      <c r="A712" s="39"/>
      <c r="B712" s="43" t="str">
        <f>IFERROR(__xludf.DUMMYFUNCTION("IFERROR(
  LET(
    periodos, C$1:Z$1,
    marcas, C712:Z712,
    pos, MAX(
          FILTER(
            COLUMN(marcas)-COLUMN(C712)+1,
            marcas=""X""
          )
        ),
    ultimo, INDEX(periodos, pos),
    XLOOKUP(
      $A712,
      INDI"&amp;"RECT(""'""&amp;ultimo&amp;""'!C:C""),
      INDIRECT(""'""&amp;ultimo&amp;""'!A:A"")
    )
  ),
  """"
)"),"")</f>
        <v/>
      </c>
      <c r="C712" s="41" t="str">
        <f t="shared" ref="C712:J712" si="711">IF(
  COUNTIF(
    INDIRECT("'"&amp;C$1&amp;"'!C:C"),
    $A712
  )&gt;0,
  "X",
  ""
)</f>
        <v/>
      </c>
      <c r="D712" s="41" t="str">
        <f t="shared" si="711"/>
        <v/>
      </c>
      <c r="E712" s="41" t="str">
        <f t="shared" si="711"/>
        <v/>
      </c>
      <c r="F712" s="41" t="str">
        <f t="shared" si="711"/>
        <v/>
      </c>
      <c r="G712" s="41" t="str">
        <f t="shared" si="711"/>
        <v/>
      </c>
      <c r="H712" s="41" t="str">
        <f t="shared" si="711"/>
        <v/>
      </c>
      <c r="I712" s="41" t="str">
        <f t="shared" si="711"/>
        <v/>
      </c>
      <c r="J712" s="41" t="str">
        <f t="shared" si="711"/>
        <v/>
      </c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67.5" customHeight="1">
      <c r="A713" s="39"/>
      <c r="B713" s="43" t="str">
        <f>IFERROR(__xludf.DUMMYFUNCTION("IFERROR(
  LET(
    periodos, C$1:Z$1,
    marcas, C713:Z713,
    pos, MAX(
          FILTER(
            COLUMN(marcas)-COLUMN(C713)+1,
            marcas=""X""
          )
        ),
    ultimo, INDEX(periodos, pos),
    XLOOKUP(
      $A713,
      INDI"&amp;"RECT(""'""&amp;ultimo&amp;""'!C:C""),
      INDIRECT(""'""&amp;ultimo&amp;""'!A:A"")
    )
  ),
  """"
)"),"")</f>
        <v/>
      </c>
      <c r="C713" s="41" t="str">
        <f t="shared" ref="C713:J713" si="712">IF(
  COUNTIF(
    INDIRECT("'"&amp;C$1&amp;"'!C:C"),
    $A713
  )&gt;0,
  "X",
  ""
)</f>
        <v/>
      </c>
      <c r="D713" s="41" t="str">
        <f t="shared" si="712"/>
        <v/>
      </c>
      <c r="E713" s="41" t="str">
        <f t="shared" si="712"/>
        <v/>
      </c>
      <c r="F713" s="41" t="str">
        <f t="shared" si="712"/>
        <v/>
      </c>
      <c r="G713" s="41" t="str">
        <f t="shared" si="712"/>
        <v/>
      </c>
      <c r="H713" s="41" t="str">
        <f t="shared" si="712"/>
        <v/>
      </c>
      <c r="I713" s="41" t="str">
        <f t="shared" si="712"/>
        <v/>
      </c>
      <c r="J713" s="41" t="str">
        <f t="shared" si="712"/>
        <v/>
      </c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67.5" customHeight="1">
      <c r="A714" s="39"/>
      <c r="B714" s="43" t="str">
        <f>IFERROR(__xludf.DUMMYFUNCTION("IFERROR(
  LET(
    periodos, C$1:Z$1,
    marcas, C714:Z714,
    pos, MAX(
          FILTER(
            COLUMN(marcas)-COLUMN(C714)+1,
            marcas=""X""
          )
        ),
    ultimo, INDEX(periodos, pos),
    XLOOKUP(
      $A714,
      INDI"&amp;"RECT(""'""&amp;ultimo&amp;""'!C:C""),
      INDIRECT(""'""&amp;ultimo&amp;""'!A:A"")
    )
  ),
  """"
)"),"")</f>
        <v/>
      </c>
      <c r="C714" s="41" t="str">
        <f t="shared" ref="C714:J714" si="713">IF(
  COUNTIF(
    INDIRECT("'"&amp;C$1&amp;"'!C:C"),
    $A714
  )&gt;0,
  "X",
  ""
)</f>
        <v/>
      </c>
      <c r="D714" s="41" t="str">
        <f t="shared" si="713"/>
        <v/>
      </c>
      <c r="E714" s="41" t="str">
        <f t="shared" si="713"/>
        <v/>
      </c>
      <c r="F714" s="41" t="str">
        <f t="shared" si="713"/>
        <v/>
      </c>
      <c r="G714" s="41" t="str">
        <f t="shared" si="713"/>
        <v/>
      </c>
      <c r="H714" s="41" t="str">
        <f t="shared" si="713"/>
        <v/>
      </c>
      <c r="I714" s="41" t="str">
        <f t="shared" si="713"/>
        <v/>
      </c>
      <c r="J714" s="41" t="str">
        <f t="shared" si="713"/>
        <v/>
      </c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67.5" customHeight="1">
      <c r="A715" s="39"/>
      <c r="B715" s="43" t="str">
        <f>IFERROR(__xludf.DUMMYFUNCTION("IFERROR(
  LET(
    periodos, C$1:Z$1,
    marcas, C715:Z715,
    pos, MAX(
          FILTER(
            COLUMN(marcas)-COLUMN(C715)+1,
            marcas=""X""
          )
        ),
    ultimo, INDEX(periodos, pos),
    XLOOKUP(
      $A715,
      INDI"&amp;"RECT(""'""&amp;ultimo&amp;""'!C:C""),
      INDIRECT(""'""&amp;ultimo&amp;""'!A:A"")
    )
  ),
  """"
)"),"")</f>
        <v/>
      </c>
      <c r="C715" s="41" t="str">
        <f t="shared" ref="C715:J715" si="714">IF(
  COUNTIF(
    INDIRECT("'"&amp;C$1&amp;"'!C:C"),
    $A715
  )&gt;0,
  "X",
  ""
)</f>
        <v/>
      </c>
      <c r="D715" s="41" t="str">
        <f t="shared" si="714"/>
        <v/>
      </c>
      <c r="E715" s="41" t="str">
        <f t="shared" si="714"/>
        <v/>
      </c>
      <c r="F715" s="41" t="str">
        <f t="shared" si="714"/>
        <v/>
      </c>
      <c r="G715" s="41" t="str">
        <f t="shared" si="714"/>
        <v/>
      </c>
      <c r="H715" s="41" t="str">
        <f t="shared" si="714"/>
        <v/>
      </c>
      <c r="I715" s="41" t="str">
        <f t="shared" si="714"/>
        <v/>
      </c>
      <c r="J715" s="41" t="str">
        <f t="shared" si="714"/>
        <v/>
      </c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67.5" customHeight="1">
      <c r="A716" s="39"/>
      <c r="B716" s="43" t="str">
        <f>IFERROR(__xludf.DUMMYFUNCTION("IFERROR(
  LET(
    periodos, C$1:Z$1,
    marcas, C716:Z716,
    pos, MAX(
          FILTER(
            COLUMN(marcas)-COLUMN(C716)+1,
            marcas=""X""
          )
        ),
    ultimo, INDEX(periodos, pos),
    XLOOKUP(
      $A716,
      INDI"&amp;"RECT(""'""&amp;ultimo&amp;""'!C:C""),
      INDIRECT(""'""&amp;ultimo&amp;""'!A:A"")
    )
  ),
  """"
)"),"")</f>
        <v/>
      </c>
      <c r="C716" s="41" t="str">
        <f t="shared" ref="C716:J716" si="715">IF(
  COUNTIF(
    INDIRECT("'"&amp;C$1&amp;"'!C:C"),
    $A716
  )&gt;0,
  "X",
  ""
)</f>
        <v/>
      </c>
      <c r="D716" s="41" t="str">
        <f t="shared" si="715"/>
        <v/>
      </c>
      <c r="E716" s="41" t="str">
        <f t="shared" si="715"/>
        <v/>
      </c>
      <c r="F716" s="41" t="str">
        <f t="shared" si="715"/>
        <v/>
      </c>
      <c r="G716" s="41" t="str">
        <f t="shared" si="715"/>
        <v/>
      </c>
      <c r="H716" s="41" t="str">
        <f t="shared" si="715"/>
        <v/>
      </c>
      <c r="I716" s="41" t="str">
        <f t="shared" si="715"/>
        <v/>
      </c>
      <c r="J716" s="41" t="str">
        <f t="shared" si="715"/>
        <v/>
      </c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67.5" customHeight="1">
      <c r="A717" s="39"/>
      <c r="B717" s="43" t="str">
        <f>IFERROR(__xludf.DUMMYFUNCTION("IFERROR(
  LET(
    periodos, C$1:Z$1,
    marcas, C717:Z717,
    pos, MAX(
          FILTER(
            COLUMN(marcas)-COLUMN(C717)+1,
            marcas=""X""
          )
        ),
    ultimo, INDEX(periodos, pos),
    XLOOKUP(
      $A717,
      INDI"&amp;"RECT(""'""&amp;ultimo&amp;""'!C:C""),
      INDIRECT(""'""&amp;ultimo&amp;""'!A:A"")
    )
  ),
  """"
)"),"")</f>
        <v/>
      </c>
      <c r="C717" s="41" t="str">
        <f t="shared" ref="C717:J717" si="716">IF(
  COUNTIF(
    INDIRECT("'"&amp;C$1&amp;"'!C:C"),
    $A717
  )&gt;0,
  "X",
  ""
)</f>
        <v/>
      </c>
      <c r="D717" s="41" t="str">
        <f t="shared" si="716"/>
        <v/>
      </c>
      <c r="E717" s="41" t="str">
        <f t="shared" si="716"/>
        <v/>
      </c>
      <c r="F717" s="41" t="str">
        <f t="shared" si="716"/>
        <v/>
      </c>
      <c r="G717" s="41" t="str">
        <f t="shared" si="716"/>
        <v/>
      </c>
      <c r="H717" s="41" t="str">
        <f t="shared" si="716"/>
        <v/>
      </c>
      <c r="I717" s="41" t="str">
        <f t="shared" si="716"/>
        <v/>
      </c>
      <c r="J717" s="41" t="str">
        <f t="shared" si="716"/>
        <v/>
      </c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67.5" customHeight="1">
      <c r="A718" s="39"/>
      <c r="B718" s="43" t="str">
        <f>IFERROR(__xludf.DUMMYFUNCTION("IFERROR(
  LET(
    periodos, C$1:Z$1,
    marcas, C718:Z718,
    pos, MAX(
          FILTER(
            COLUMN(marcas)-COLUMN(C718)+1,
            marcas=""X""
          )
        ),
    ultimo, INDEX(periodos, pos),
    XLOOKUP(
      $A718,
      INDI"&amp;"RECT(""'""&amp;ultimo&amp;""'!C:C""),
      INDIRECT(""'""&amp;ultimo&amp;""'!A:A"")
    )
  ),
  """"
)"),"")</f>
        <v/>
      </c>
      <c r="C718" s="41" t="str">
        <f t="shared" ref="C718:J718" si="717">IF(
  COUNTIF(
    INDIRECT("'"&amp;C$1&amp;"'!C:C"),
    $A718
  )&gt;0,
  "X",
  ""
)</f>
        <v/>
      </c>
      <c r="D718" s="41" t="str">
        <f t="shared" si="717"/>
        <v/>
      </c>
      <c r="E718" s="41" t="str">
        <f t="shared" si="717"/>
        <v/>
      </c>
      <c r="F718" s="41" t="str">
        <f t="shared" si="717"/>
        <v/>
      </c>
      <c r="G718" s="41" t="str">
        <f t="shared" si="717"/>
        <v/>
      </c>
      <c r="H718" s="41" t="str">
        <f t="shared" si="717"/>
        <v/>
      </c>
      <c r="I718" s="41" t="str">
        <f t="shared" si="717"/>
        <v/>
      </c>
      <c r="J718" s="41" t="str">
        <f t="shared" si="717"/>
        <v/>
      </c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67.5" customHeight="1">
      <c r="A719" s="39"/>
      <c r="B719" s="43" t="str">
        <f>IFERROR(__xludf.DUMMYFUNCTION("IFERROR(
  LET(
    periodos, C$1:Z$1,
    marcas, C719:Z719,
    pos, MAX(
          FILTER(
            COLUMN(marcas)-COLUMN(C719)+1,
            marcas=""X""
          )
        ),
    ultimo, INDEX(periodos, pos),
    XLOOKUP(
      $A719,
      INDI"&amp;"RECT(""'""&amp;ultimo&amp;""'!C:C""),
      INDIRECT(""'""&amp;ultimo&amp;""'!A:A"")
    )
  ),
  """"
)"),"")</f>
        <v/>
      </c>
      <c r="C719" s="41" t="str">
        <f t="shared" ref="C719:J719" si="718">IF(
  COUNTIF(
    INDIRECT("'"&amp;C$1&amp;"'!C:C"),
    $A719
  )&gt;0,
  "X",
  ""
)</f>
        <v/>
      </c>
      <c r="D719" s="41" t="str">
        <f t="shared" si="718"/>
        <v/>
      </c>
      <c r="E719" s="41" t="str">
        <f t="shared" si="718"/>
        <v/>
      </c>
      <c r="F719" s="41" t="str">
        <f t="shared" si="718"/>
        <v/>
      </c>
      <c r="G719" s="41" t="str">
        <f t="shared" si="718"/>
        <v/>
      </c>
      <c r="H719" s="41" t="str">
        <f t="shared" si="718"/>
        <v/>
      </c>
      <c r="I719" s="41" t="str">
        <f t="shared" si="718"/>
        <v/>
      </c>
      <c r="J719" s="41" t="str">
        <f t="shared" si="718"/>
        <v/>
      </c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67.5" customHeight="1">
      <c r="A720" s="39"/>
      <c r="B720" s="43" t="str">
        <f>IFERROR(__xludf.DUMMYFUNCTION("IFERROR(
  LET(
    periodos, C$1:Z$1,
    marcas, C720:Z720,
    pos, MAX(
          FILTER(
            COLUMN(marcas)-COLUMN(C720)+1,
            marcas=""X""
          )
        ),
    ultimo, INDEX(periodos, pos),
    XLOOKUP(
      $A720,
      INDI"&amp;"RECT(""'""&amp;ultimo&amp;""'!C:C""),
      INDIRECT(""'""&amp;ultimo&amp;""'!A:A"")
    )
  ),
  """"
)"),"")</f>
        <v/>
      </c>
      <c r="C720" s="41" t="str">
        <f t="shared" ref="C720:J720" si="719">IF(
  COUNTIF(
    INDIRECT("'"&amp;C$1&amp;"'!C:C"),
    $A720
  )&gt;0,
  "X",
  ""
)</f>
        <v/>
      </c>
      <c r="D720" s="41" t="str">
        <f t="shared" si="719"/>
        <v/>
      </c>
      <c r="E720" s="41" t="str">
        <f t="shared" si="719"/>
        <v/>
      </c>
      <c r="F720" s="41" t="str">
        <f t="shared" si="719"/>
        <v/>
      </c>
      <c r="G720" s="41" t="str">
        <f t="shared" si="719"/>
        <v/>
      </c>
      <c r="H720" s="41" t="str">
        <f t="shared" si="719"/>
        <v/>
      </c>
      <c r="I720" s="41" t="str">
        <f t="shared" si="719"/>
        <v/>
      </c>
      <c r="J720" s="41" t="str">
        <f t="shared" si="719"/>
        <v/>
      </c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67.5" customHeight="1">
      <c r="A721" s="39"/>
      <c r="B721" s="43" t="str">
        <f>IFERROR(__xludf.DUMMYFUNCTION("IFERROR(
  LET(
    periodos, C$1:Z$1,
    marcas, C721:Z721,
    pos, MAX(
          FILTER(
            COLUMN(marcas)-COLUMN(C721)+1,
            marcas=""X""
          )
        ),
    ultimo, INDEX(periodos, pos),
    XLOOKUP(
      $A721,
      INDI"&amp;"RECT(""'""&amp;ultimo&amp;""'!C:C""),
      INDIRECT(""'""&amp;ultimo&amp;""'!A:A"")
    )
  ),
  """"
)"),"")</f>
        <v/>
      </c>
      <c r="C721" s="41" t="str">
        <f t="shared" ref="C721:J721" si="720">IF(
  COUNTIF(
    INDIRECT("'"&amp;C$1&amp;"'!C:C"),
    $A721
  )&gt;0,
  "X",
  ""
)</f>
        <v/>
      </c>
      <c r="D721" s="41" t="str">
        <f t="shared" si="720"/>
        <v/>
      </c>
      <c r="E721" s="41" t="str">
        <f t="shared" si="720"/>
        <v/>
      </c>
      <c r="F721" s="41" t="str">
        <f t="shared" si="720"/>
        <v/>
      </c>
      <c r="G721" s="41" t="str">
        <f t="shared" si="720"/>
        <v/>
      </c>
      <c r="H721" s="41" t="str">
        <f t="shared" si="720"/>
        <v/>
      </c>
      <c r="I721" s="41" t="str">
        <f t="shared" si="720"/>
        <v/>
      </c>
      <c r="J721" s="41" t="str">
        <f t="shared" si="720"/>
        <v/>
      </c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67.5" customHeight="1">
      <c r="A722" s="39"/>
      <c r="B722" s="43" t="str">
        <f>IFERROR(__xludf.DUMMYFUNCTION("IFERROR(
  LET(
    periodos, C$1:Z$1,
    marcas, C722:Z722,
    pos, MAX(
          FILTER(
            COLUMN(marcas)-COLUMN(C722)+1,
            marcas=""X""
          )
        ),
    ultimo, INDEX(periodos, pos),
    XLOOKUP(
      $A722,
      INDI"&amp;"RECT(""'""&amp;ultimo&amp;""'!C:C""),
      INDIRECT(""'""&amp;ultimo&amp;""'!A:A"")
    )
  ),
  """"
)"),"")</f>
        <v/>
      </c>
      <c r="C722" s="41" t="str">
        <f t="shared" ref="C722:J722" si="721">IF(
  COUNTIF(
    INDIRECT("'"&amp;C$1&amp;"'!C:C"),
    $A722
  )&gt;0,
  "X",
  ""
)</f>
        <v/>
      </c>
      <c r="D722" s="41" t="str">
        <f t="shared" si="721"/>
        <v/>
      </c>
      <c r="E722" s="41" t="str">
        <f t="shared" si="721"/>
        <v/>
      </c>
      <c r="F722" s="41" t="str">
        <f t="shared" si="721"/>
        <v/>
      </c>
      <c r="G722" s="41" t="str">
        <f t="shared" si="721"/>
        <v/>
      </c>
      <c r="H722" s="41" t="str">
        <f t="shared" si="721"/>
        <v/>
      </c>
      <c r="I722" s="41" t="str">
        <f t="shared" si="721"/>
        <v/>
      </c>
      <c r="J722" s="41" t="str">
        <f t="shared" si="721"/>
        <v/>
      </c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67.5" customHeight="1">
      <c r="A723" s="39"/>
      <c r="B723" s="43" t="str">
        <f>IFERROR(__xludf.DUMMYFUNCTION("IFERROR(
  LET(
    periodos, C$1:Z$1,
    marcas, C723:Z723,
    pos, MAX(
          FILTER(
            COLUMN(marcas)-COLUMN(C723)+1,
            marcas=""X""
          )
        ),
    ultimo, INDEX(periodos, pos),
    XLOOKUP(
      $A723,
      INDI"&amp;"RECT(""'""&amp;ultimo&amp;""'!C:C""),
      INDIRECT(""'""&amp;ultimo&amp;""'!A:A"")
    )
  ),
  """"
)"),"")</f>
        <v/>
      </c>
      <c r="C723" s="41" t="str">
        <f t="shared" ref="C723:J723" si="722">IF(
  COUNTIF(
    INDIRECT("'"&amp;C$1&amp;"'!C:C"),
    $A723
  )&gt;0,
  "X",
  ""
)</f>
        <v/>
      </c>
      <c r="D723" s="41" t="str">
        <f t="shared" si="722"/>
        <v/>
      </c>
      <c r="E723" s="41" t="str">
        <f t="shared" si="722"/>
        <v/>
      </c>
      <c r="F723" s="41" t="str">
        <f t="shared" si="722"/>
        <v/>
      </c>
      <c r="G723" s="41" t="str">
        <f t="shared" si="722"/>
        <v/>
      </c>
      <c r="H723" s="41" t="str">
        <f t="shared" si="722"/>
        <v/>
      </c>
      <c r="I723" s="41" t="str">
        <f t="shared" si="722"/>
        <v/>
      </c>
      <c r="J723" s="41" t="str">
        <f t="shared" si="722"/>
        <v/>
      </c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67.5" customHeight="1">
      <c r="A724" s="39"/>
      <c r="B724" s="43" t="str">
        <f>IFERROR(__xludf.DUMMYFUNCTION("IFERROR(
  LET(
    periodos, C$1:Z$1,
    marcas, C724:Z724,
    pos, MAX(
          FILTER(
            COLUMN(marcas)-COLUMN(C724)+1,
            marcas=""X""
          )
        ),
    ultimo, INDEX(periodos, pos),
    XLOOKUP(
      $A724,
      INDI"&amp;"RECT(""'""&amp;ultimo&amp;""'!C:C""),
      INDIRECT(""'""&amp;ultimo&amp;""'!A:A"")
    )
  ),
  """"
)"),"")</f>
        <v/>
      </c>
      <c r="C724" s="41" t="str">
        <f t="shared" ref="C724:J724" si="723">IF(
  COUNTIF(
    INDIRECT("'"&amp;C$1&amp;"'!C:C"),
    $A724
  )&gt;0,
  "X",
  ""
)</f>
        <v/>
      </c>
      <c r="D724" s="41" t="str">
        <f t="shared" si="723"/>
        <v/>
      </c>
      <c r="E724" s="41" t="str">
        <f t="shared" si="723"/>
        <v/>
      </c>
      <c r="F724" s="41" t="str">
        <f t="shared" si="723"/>
        <v/>
      </c>
      <c r="G724" s="41" t="str">
        <f t="shared" si="723"/>
        <v/>
      </c>
      <c r="H724" s="41" t="str">
        <f t="shared" si="723"/>
        <v/>
      </c>
      <c r="I724" s="41" t="str">
        <f t="shared" si="723"/>
        <v/>
      </c>
      <c r="J724" s="41" t="str">
        <f t="shared" si="723"/>
        <v/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67.5" customHeight="1">
      <c r="A725" s="39"/>
      <c r="B725" s="43" t="str">
        <f>IFERROR(__xludf.DUMMYFUNCTION("IFERROR(
  LET(
    periodos, C$1:Z$1,
    marcas, C725:Z725,
    pos, MAX(
          FILTER(
            COLUMN(marcas)-COLUMN(C725)+1,
            marcas=""X""
          )
        ),
    ultimo, INDEX(periodos, pos),
    XLOOKUP(
      $A725,
      INDI"&amp;"RECT(""'""&amp;ultimo&amp;""'!C:C""),
      INDIRECT(""'""&amp;ultimo&amp;""'!A:A"")
    )
  ),
  """"
)"),"")</f>
        <v/>
      </c>
      <c r="C725" s="41" t="str">
        <f t="shared" ref="C725:J725" si="724">IF(
  COUNTIF(
    INDIRECT("'"&amp;C$1&amp;"'!C:C"),
    $A725
  )&gt;0,
  "X",
  ""
)</f>
        <v/>
      </c>
      <c r="D725" s="41" t="str">
        <f t="shared" si="724"/>
        <v/>
      </c>
      <c r="E725" s="41" t="str">
        <f t="shared" si="724"/>
        <v/>
      </c>
      <c r="F725" s="41" t="str">
        <f t="shared" si="724"/>
        <v/>
      </c>
      <c r="G725" s="41" t="str">
        <f t="shared" si="724"/>
        <v/>
      </c>
      <c r="H725" s="41" t="str">
        <f t="shared" si="724"/>
        <v/>
      </c>
      <c r="I725" s="41" t="str">
        <f t="shared" si="724"/>
        <v/>
      </c>
      <c r="J725" s="41" t="str">
        <f t="shared" si="724"/>
        <v/>
      </c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67.5" customHeight="1">
      <c r="A726" s="39"/>
      <c r="B726" s="43" t="str">
        <f>IFERROR(__xludf.DUMMYFUNCTION("IFERROR(
  LET(
    periodos, C$1:Z$1,
    marcas, C726:Z726,
    pos, MAX(
          FILTER(
            COLUMN(marcas)-COLUMN(C726)+1,
            marcas=""X""
          )
        ),
    ultimo, INDEX(periodos, pos),
    XLOOKUP(
      $A726,
      INDI"&amp;"RECT(""'""&amp;ultimo&amp;""'!C:C""),
      INDIRECT(""'""&amp;ultimo&amp;""'!A:A"")
    )
  ),
  """"
)"),"")</f>
        <v/>
      </c>
      <c r="C726" s="41" t="str">
        <f t="shared" ref="C726:J726" si="725">IF(
  COUNTIF(
    INDIRECT("'"&amp;C$1&amp;"'!C:C"),
    $A726
  )&gt;0,
  "X",
  ""
)</f>
        <v/>
      </c>
      <c r="D726" s="41" t="str">
        <f t="shared" si="725"/>
        <v/>
      </c>
      <c r="E726" s="41" t="str">
        <f t="shared" si="725"/>
        <v/>
      </c>
      <c r="F726" s="41" t="str">
        <f t="shared" si="725"/>
        <v/>
      </c>
      <c r="G726" s="41" t="str">
        <f t="shared" si="725"/>
        <v/>
      </c>
      <c r="H726" s="41" t="str">
        <f t="shared" si="725"/>
        <v/>
      </c>
      <c r="I726" s="41" t="str">
        <f t="shared" si="725"/>
        <v/>
      </c>
      <c r="J726" s="41" t="str">
        <f t="shared" si="725"/>
        <v/>
      </c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67.5" customHeight="1">
      <c r="A727" s="39"/>
      <c r="B727" s="43" t="str">
        <f>IFERROR(__xludf.DUMMYFUNCTION("IFERROR(
  LET(
    periodos, C$1:Z$1,
    marcas, C727:Z727,
    pos, MAX(
          FILTER(
            COLUMN(marcas)-COLUMN(C727)+1,
            marcas=""X""
          )
        ),
    ultimo, INDEX(periodos, pos),
    XLOOKUP(
      $A727,
      INDI"&amp;"RECT(""'""&amp;ultimo&amp;""'!C:C""),
      INDIRECT(""'""&amp;ultimo&amp;""'!A:A"")
    )
  ),
  """"
)"),"")</f>
        <v/>
      </c>
      <c r="C727" s="41" t="str">
        <f t="shared" ref="C727:J727" si="726">IF(
  COUNTIF(
    INDIRECT("'"&amp;C$1&amp;"'!C:C"),
    $A727
  )&gt;0,
  "X",
  ""
)</f>
        <v/>
      </c>
      <c r="D727" s="41" t="str">
        <f t="shared" si="726"/>
        <v/>
      </c>
      <c r="E727" s="41" t="str">
        <f t="shared" si="726"/>
        <v/>
      </c>
      <c r="F727" s="41" t="str">
        <f t="shared" si="726"/>
        <v/>
      </c>
      <c r="G727" s="41" t="str">
        <f t="shared" si="726"/>
        <v/>
      </c>
      <c r="H727" s="41" t="str">
        <f t="shared" si="726"/>
        <v/>
      </c>
      <c r="I727" s="41" t="str">
        <f t="shared" si="726"/>
        <v/>
      </c>
      <c r="J727" s="41" t="str">
        <f t="shared" si="726"/>
        <v/>
      </c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67.5" customHeight="1">
      <c r="A728" s="39"/>
      <c r="B728" s="43" t="str">
        <f>IFERROR(__xludf.DUMMYFUNCTION("IFERROR(
  LET(
    periodos, C$1:Z$1,
    marcas, C728:Z728,
    pos, MAX(
          FILTER(
            COLUMN(marcas)-COLUMN(C728)+1,
            marcas=""X""
          )
        ),
    ultimo, INDEX(periodos, pos),
    XLOOKUP(
      $A728,
      INDI"&amp;"RECT(""'""&amp;ultimo&amp;""'!C:C""),
      INDIRECT(""'""&amp;ultimo&amp;""'!A:A"")
    )
  ),
  """"
)"),"")</f>
        <v/>
      </c>
      <c r="C728" s="41" t="str">
        <f t="shared" ref="C728:J728" si="727">IF(
  COUNTIF(
    INDIRECT("'"&amp;C$1&amp;"'!C:C"),
    $A728
  )&gt;0,
  "X",
  ""
)</f>
        <v/>
      </c>
      <c r="D728" s="41" t="str">
        <f t="shared" si="727"/>
        <v/>
      </c>
      <c r="E728" s="41" t="str">
        <f t="shared" si="727"/>
        <v/>
      </c>
      <c r="F728" s="41" t="str">
        <f t="shared" si="727"/>
        <v/>
      </c>
      <c r="G728" s="41" t="str">
        <f t="shared" si="727"/>
        <v/>
      </c>
      <c r="H728" s="41" t="str">
        <f t="shared" si="727"/>
        <v/>
      </c>
      <c r="I728" s="41" t="str">
        <f t="shared" si="727"/>
        <v/>
      </c>
      <c r="J728" s="41" t="str">
        <f t="shared" si="727"/>
        <v/>
      </c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67.5" customHeight="1">
      <c r="A729" s="39"/>
      <c r="B729" s="43" t="str">
        <f>IFERROR(__xludf.DUMMYFUNCTION("IFERROR(
  LET(
    periodos, C$1:Z$1,
    marcas, C729:Z729,
    pos, MAX(
          FILTER(
            COLUMN(marcas)-COLUMN(C729)+1,
            marcas=""X""
          )
        ),
    ultimo, INDEX(periodos, pos),
    XLOOKUP(
      $A729,
      INDI"&amp;"RECT(""'""&amp;ultimo&amp;""'!C:C""),
      INDIRECT(""'""&amp;ultimo&amp;""'!A:A"")
    )
  ),
  """"
)"),"")</f>
        <v/>
      </c>
      <c r="C729" s="41" t="str">
        <f t="shared" ref="C729:J729" si="728">IF(
  COUNTIF(
    INDIRECT("'"&amp;C$1&amp;"'!C:C"),
    $A729
  )&gt;0,
  "X",
  ""
)</f>
        <v/>
      </c>
      <c r="D729" s="41" t="str">
        <f t="shared" si="728"/>
        <v/>
      </c>
      <c r="E729" s="41" t="str">
        <f t="shared" si="728"/>
        <v/>
      </c>
      <c r="F729" s="41" t="str">
        <f t="shared" si="728"/>
        <v/>
      </c>
      <c r="G729" s="41" t="str">
        <f t="shared" si="728"/>
        <v/>
      </c>
      <c r="H729" s="41" t="str">
        <f t="shared" si="728"/>
        <v/>
      </c>
      <c r="I729" s="41" t="str">
        <f t="shared" si="728"/>
        <v/>
      </c>
      <c r="J729" s="41" t="str">
        <f t="shared" si="728"/>
        <v/>
      </c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67.5" customHeight="1">
      <c r="A730" s="39"/>
      <c r="B730" s="43" t="str">
        <f>IFERROR(__xludf.DUMMYFUNCTION("IFERROR(
  LET(
    periodos, C$1:Z$1,
    marcas, C730:Z730,
    pos, MAX(
          FILTER(
            COLUMN(marcas)-COLUMN(C730)+1,
            marcas=""X""
          )
        ),
    ultimo, INDEX(periodos, pos),
    XLOOKUP(
      $A730,
      INDI"&amp;"RECT(""'""&amp;ultimo&amp;""'!C:C""),
      INDIRECT(""'""&amp;ultimo&amp;""'!A:A"")
    )
  ),
  """"
)"),"")</f>
        <v/>
      </c>
      <c r="C730" s="41" t="str">
        <f t="shared" ref="C730:J730" si="729">IF(
  COUNTIF(
    INDIRECT("'"&amp;C$1&amp;"'!C:C"),
    $A730
  )&gt;0,
  "X",
  ""
)</f>
        <v/>
      </c>
      <c r="D730" s="41" t="str">
        <f t="shared" si="729"/>
        <v/>
      </c>
      <c r="E730" s="41" t="str">
        <f t="shared" si="729"/>
        <v/>
      </c>
      <c r="F730" s="41" t="str">
        <f t="shared" si="729"/>
        <v/>
      </c>
      <c r="G730" s="41" t="str">
        <f t="shared" si="729"/>
        <v/>
      </c>
      <c r="H730" s="41" t="str">
        <f t="shared" si="729"/>
        <v/>
      </c>
      <c r="I730" s="41" t="str">
        <f t="shared" si="729"/>
        <v/>
      </c>
      <c r="J730" s="41" t="str">
        <f t="shared" si="729"/>
        <v/>
      </c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67.5" customHeight="1">
      <c r="A731" s="39"/>
      <c r="B731" s="43" t="str">
        <f>IFERROR(__xludf.DUMMYFUNCTION("IFERROR(
  LET(
    periodos, C$1:Z$1,
    marcas, C731:Z731,
    pos, MAX(
          FILTER(
            COLUMN(marcas)-COLUMN(C731)+1,
            marcas=""X""
          )
        ),
    ultimo, INDEX(periodos, pos),
    XLOOKUP(
      $A731,
      INDI"&amp;"RECT(""'""&amp;ultimo&amp;""'!C:C""),
      INDIRECT(""'""&amp;ultimo&amp;""'!A:A"")
    )
  ),
  """"
)"),"")</f>
        <v/>
      </c>
      <c r="C731" s="41" t="str">
        <f t="shared" ref="C731:J731" si="730">IF(
  COUNTIF(
    INDIRECT("'"&amp;C$1&amp;"'!C:C"),
    $A731
  )&gt;0,
  "X",
  ""
)</f>
        <v/>
      </c>
      <c r="D731" s="41" t="str">
        <f t="shared" si="730"/>
        <v/>
      </c>
      <c r="E731" s="41" t="str">
        <f t="shared" si="730"/>
        <v/>
      </c>
      <c r="F731" s="41" t="str">
        <f t="shared" si="730"/>
        <v/>
      </c>
      <c r="G731" s="41" t="str">
        <f t="shared" si="730"/>
        <v/>
      </c>
      <c r="H731" s="41" t="str">
        <f t="shared" si="730"/>
        <v/>
      </c>
      <c r="I731" s="41" t="str">
        <f t="shared" si="730"/>
        <v/>
      </c>
      <c r="J731" s="41" t="str">
        <f t="shared" si="730"/>
        <v/>
      </c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67.5" customHeight="1">
      <c r="A732" s="39"/>
      <c r="B732" s="43" t="str">
        <f>IFERROR(__xludf.DUMMYFUNCTION("IFERROR(
  LET(
    periodos, C$1:Z$1,
    marcas, C732:Z732,
    pos, MAX(
          FILTER(
            COLUMN(marcas)-COLUMN(C732)+1,
            marcas=""X""
          )
        ),
    ultimo, INDEX(periodos, pos),
    XLOOKUP(
      $A732,
      INDI"&amp;"RECT(""'""&amp;ultimo&amp;""'!C:C""),
      INDIRECT(""'""&amp;ultimo&amp;""'!A:A"")
    )
  ),
  """"
)"),"")</f>
        <v/>
      </c>
      <c r="C732" s="41" t="str">
        <f t="shared" ref="C732:J732" si="731">IF(
  COUNTIF(
    INDIRECT("'"&amp;C$1&amp;"'!C:C"),
    $A732
  )&gt;0,
  "X",
  ""
)</f>
        <v/>
      </c>
      <c r="D732" s="41" t="str">
        <f t="shared" si="731"/>
        <v/>
      </c>
      <c r="E732" s="41" t="str">
        <f t="shared" si="731"/>
        <v/>
      </c>
      <c r="F732" s="41" t="str">
        <f t="shared" si="731"/>
        <v/>
      </c>
      <c r="G732" s="41" t="str">
        <f t="shared" si="731"/>
        <v/>
      </c>
      <c r="H732" s="41" t="str">
        <f t="shared" si="731"/>
        <v/>
      </c>
      <c r="I732" s="41" t="str">
        <f t="shared" si="731"/>
        <v/>
      </c>
      <c r="J732" s="41" t="str">
        <f t="shared" si="731"/>
        <v/>
      </c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67.5" customHeight="1">
      <c r="A733" s="39"/>
      <c r="B733" s="43" t="str">
        <f>IFERROR(__xludf.DUMMYFUNCTION("IFERROR(
  LET(
    periodos, C$1:Z$1,
    marcas, C733:Z733,
    pos, MAX(
          FILTER(
            COLUMN(marcas)-COLUMN(C733)+1,
            marcas=""X""
          )
        ),
    ultimo, INDEX(periodos, pos),
    XLOOKUP(
      $A733,
      INDI"&amp;"RECT(""'""&amp;ultimo&amp;""'!C:C""),
      INDIRECT(""'""&amp;ultimo&amp;""'!A:A"")
    )
  ),
  """"
)"),"")</f>
        <v/>
      </c>
      <c r="C733" s="41" t="str">
        <f t="shared" ref="C733:J733" si="732">IF(
  COUNTIF(
    INDIRECT("'"&amp;C$1&amp;"'!C:C"),
    $A733
  )&gt;0,
  "X",
  ""
)</f>
        <v/>
      </c>
      <c r="D733" s="41" t="str">
        <f t="shared" si="732"/>
        <v/>
      </c>
      <c r="E733" s="41" t="str">
        <f t="shared" si="732"/>
        <v/>
      </c>
      <c r="F733" s="41" t="str">
        <f t="shared" si="732"/>
        <v/>
      </c>
      <c r="G733" s="41" t="str">
        <f t="shared" si="732"/>
        <v/>
      </c>
      <c r="H733" s="41" t="str">
        <f t="shared" si="732"/>
        <v/>
      </c>
      <c r="I733" s="41" t="str">
        <f t="shared" si="732"/>
        <v/>
      </c>
      <c r="J733" s="41" t="str">
        <f t="shared" si="732"/>
        <v/>
      </c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67.5" customHeight="1">
      <c r="A734" s="39"/>
      <c r="B734" s="43" t="str">
        <f>IFERROR(__xludf.DUMMYFUNCTION("IFERROR(
  LET(
    periodos, C$1:Z$1,
    marcas, C734:Z734,
    pos, MAX(
          FILTER(
            COLUMN(marcas)-COLUMN(C734)+1,
            marcas=""X""
          )
        ),
    ultimo, INDEX(periodos, pos),
    XLOOKUP(
      $A734,
      INDI"&amp;"RECT(""'""&amp;ultimo&amp;""'!C:C""),
      INDIRECT(""'""&amp;ultimo&amp;""'!A:A"")
    )
  ),
  """"
)"),"")</f>
        <v/>
      </c>
      <c r="C734" s="41" t="str">
        <f t="shared" ref="C734:J734" si="733">IF(
  COUNTIF(
    INDIRECT("'"&amp;C$1&amp;"'!C:C"),
    $A734
  )&gt;0,
  "X",
  ""
)</f>
        <v/>
      </c>
      <c r="D734" s="41" t="str">
        <f t="shared" si="733"/>
        <v/>
      </c>
      <c r="E734" s="41" t="str">
        <f t="shared" si="733"/>
        <v/>
      </c>
      <c r="F734" s="41" t="str">
        <f t="shared" si="733"/>
        <v/>
      </c>
      <c r="G734" s="41" t="str">
        <f t="shared" si="733"/>
        <v/>
      </c>
      <c r="H734" s="41" t="str">
        <f t="shared" si="733"/>
        <v/>
      </c>
      <c r="I734" s="41" t="str">
        <f t="shared" si="733"/>
        <v/>
      </c>
      <c r="J734" s="41" t="str">
        <f t="shared" si="733"/>
        <v/>
      </c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67.5" customHeight="1">
      <c r="A735" s="39"/>
      <c r="B735" s="43" t="str">
        <f>IFERROR(__xludf.DUMMYFUNCTION("IFERROR(
  LET(
    periodos, C$1:Z$1,
    marcas, C735:Z735,
    pos, MAX(
          FILTER(
            COLUMN(marcas)-COLUMN(C735)+1,
            marcas=""X""
          )
        ),
    ultimo, INDEX(periodos, pos),
    XLOOKUP(
      $A735,
      INDI"&amp;"RECT(""'""&amp;ultimo&amp;""'!C:C""),
      INDIRECT(""'""&amp;ultimo&amp;""'!A:A"")
    )
  ),
  """"
)"),"")</f>
        <v/>
      </c>
      <c r="C735" s="41" t="str">
        <f t="shared" ref="C735:J735" si="734">IF(
  COUNTIF(
    INDIRECT("'"&amp;C$1&amp;"'!C:C"),
    $A735
  )&gt;0,
  "X",
  ""
)</f>
        <v/>
      </c>
      <c r="D735" s="41" t="str">
        <f t="shared" si="734"/>
        <v/>
      </c>
      <c r="E735" s="41" t="str">
        <f t="shared" si="734"/>
        <v/>
      </c>
      <c r="F735" s="41" t="str">
        <f t="shared" si="734"/>
        <v/>
      </c>
      <c r="G735" s="41" t="str">
        <f t="shared" si="734"/>
        <v/>
      </c>
      <c r="H735" s="41" t="str">
        <f t="shared" si="734"/>
        <v/>
      </c>
      <c r="I735" s="41" t="str">
        <f t="shared" si="734"/>
        <v/>
      </c>
      <c r="J735" s="41" t="str">
        <f t="shared" si="734"/>
        <v/>
      </c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67.5" customHeight="1">
      <c r="A736" s="39"/>
      <c r="B736" s="43" t="str">
        <f>IFERROR(__xludf.DUMMYFUNCTION("IFERROR(
  LET(
    periodos, C$1:Z$1,
    marcas, C736:Z736,
    pos, MAX(
          FILTER(
            COLUMN(marcas)-COLUMN(C736)+1,
            marcas=""X""
          )
        ),
    ultimo, INDEX(periodos, pos),
    XLOOKUP(
      $A736,
      INDI"&amp;"RECT(""'""&amp;ultimo&amp;""'!C:C""),
      INDIRECT(""'""&amp;ultimo&amp;""'!A:A"")
    )
  ),
  """"
)"),"")</f>
        <v/>
      </c>
      <c r="C736" s="41" t="str">
        <f t="shared" ref="C736:J736" si="735">IF(
  COUNTIF(
    INDIRECT("'"&amp;C$1&amp;"'!C:C"),
    $A736
  )&gt;0,
  "X",
  ""
)</f>
        <v/>
      </c>
      <c r="D736" s="41" t="str">
        <f t="shared" si="735"/>
        <v/>
      </c>
      <c r="E736" s="41" t="str">
        <f t="shared" si="735"/>
        <v/>
      </c>
      <c r="F736" s="41" t="str">
        <f t="shared" si="735"/>
        <v/>
      </c>
      <c r="G736" s="41" t="str">
        <f t="shared" si="735"/>
        <v/>
      </c>
      <c r="H736" s="41" t="str">
        <f t="shared" si="735"/>
        <v/>
      </c>
      <c r="I736" s="41" t="str">
        <f t="shared" si="735"/>
        <v/>
      </c>
      <c r="J736" s="41" t="str">
        <f t="shared" si="735"/>
        <v/>
      </c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67.5" customHeight="1">
      <c r="A737" s="39"/>
      <c r="B737" s="43" t="str">
        <f>IFERROR(__xludf.DUMMYFUNCTION("IFERROR(
  LET(
    periodos, C$1:Z$1,
    marcas, C737:Z737,
    pos, MAX(
          FILTER(
            COLUMN(marcas)-COLUMN(C737)+1,
            marcas=""X""
          )
        ),
    ultimo, INDEX(periodos, pos),
    XLOOKUP(
      $A737,
      INDI"&amp;"RECT(""'""&amp;ultimo&amp;""'!C:C""),
      INDIRECT(""'""&amp;ultimo&amp;""'!A:A"")
    )
  ),
  """"
)"),"")</f>
        <v/>
      </c>
      <c r="C737" s="41" t="str">
        <f t="shared" ref="C737:J737" si="736">IF(
  COUNTIF(
    INDIRECT("'"&amp;C$1&amp;"'!C:C"),
    $A737
  )&gt;0,
  "X",
  ""
)</f>
        <v/>
      </c>
      <c r="D737" s="41" t="str">
        <f t="shared" si="736"/>
        <v/>
      </c>
      <c r="E737" s="41" t="str">
        <f t="shared" si="736"/>
        <v/>
      </c>
      <c r="F737" s="41" t="str">
        <f t="shared" si="736"/>
        <v/>
      </c>
      <c r="G737" s="41" t="str">
        <f t="shared" si="736"/>
        <v/>
      </c>
      <c r="H737" s="41" t="str">
        <f t="shared" si="736"/>
        <v/>
      </c>
      <c r="I737" s="41" t="str">
        <f t="shared" si="736"/>
        <v/>
      </c>
      <c r="J737" s="41" t="str">
        <f t="shared" si="736"/>
        <v/>
      </c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67.5" customHeight="1">
      <c r="A738" s="39"/>
      <c r="B738" s="43" t="str">
        <f>IFERROR(__xludf.DUMMYFUNCTION("IFERROR(
  LET(
    periodos, C$1:Z$1,
    marcas, C738:Z738,
    pos, MAX(
          FILTER(
            COLUMN(marcas)-COLUMN(C738)+1,
            marcas=""X""
          )
        ),
    ultimo, INDEX(periodos, pos),
    XLOOKUP(
      $A738,
      INDI"&amp;"RECT(""'""&amp;ultimo&amp;""'!C:C""),
      INDIRECT(""'""&amp;ultimo&amp;""'!A:A"")
    )
  ),
  """"
)"),"")</f>
        <v/>
      </c>
      <c r="C738" s="41" t="str">
        <f t="shared" ref="C738:J738" si="737">IF(
  COUNTIF(
    INDIRECT("'"&amp;C$1&amp;"'!C:C"),
    $A738
  )&gt;0,
  "X",
  ""
)</f>
        <v/>
      </c>
      <c r="D738" s="41" t="str">
        <f t="shared" si="737"/>
        <v/>
      </c>
      <c r="E738" s="41" t="str">
        <f t="shared" si="737"/>
        <v/>
      </c>
      <c r="F738" s="41" t="str">
        <f t="shared" si="737"/>
        <v/>
      </c>
      <c r="G738" s="41" t="str">
        <f t="shared" si="737"/>
        <v/>
      </c>
      <c r="H738" s="41" t="str">
        <f t="shared" si="737"/>
        <v/>
      </c>
      <c r="I738" s="41" t="str">
        <f t="shared" si="737"/>
        <v/>
      </c>
      <c r="J738" s="41" t="str">
        <f t="shared" si="737"/>
        <v/>
      </c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67.5" customHeight="1">
      <c r="A739" s="39"/>
      <c r="B739" s="43" t="str">
        <f>IFERROR(__xludf.DUMMYFUNCTION("IFERROR(
  LET(
    periodos, C$1:Z$1,
    marcas, C739:Z739,
    pos, MAX(
          FILTER(
            COLUMN(marcas)-COLUMN(C739)+1,
            marcas=""X""
          )
        ),
    ultimo, INDEX(periodos, pos),
    XLOOKUP(
      $A739,
      INDI"&amp;"RECT(""'""&amp;ultimo&amp;""'!C:C""),
      INDIRECT(""'""&amp;ultimo&amp;""'!A:A"")
    )
  ),
  """"
)"),"")</f>
        <v/>
      </c>
      <c r="C739" s="41" t="str">
        <f t="shared" ref="C739:J739" si="738">IF(
  COUNTIF(
    INDIRECT("'"&amp;C$1&amp;"'!C:C"),
    $A739
  )&gt;0,
  "X",
  ""
)</f>
        <v/>
      </c>
      <c r="D739" s="41" t="str">
        <f t="shared" si="738"/>
        <v/>
      </c>
      <c r="E739" s="41" t="str">
        <f t="shared" si="738"/>
        <v/>
      </c>
      <c r="F739" s="41" t="str">
        <f t="shared" si="738"/>
        <v/>
      </c>
      <c r="G739" s="41" t="str">
        <f t="shared" si="738"/>
        <v/>
      </c>
      <c r="H739" s="41" t="str">
        <f t="shared" si="738"/>
        <v/>
      </c>
      <c r="I739" s="41" t="str">
        <f t="shared" si="738"/>
        <v/>
      </c>
      <c r="J739" s="41" t="str">
        <f t="shared" si="738"/>
        <v/>
      </c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67.5" customHeight="1">
      <c r="A740" s="39"/>
      <c r="B740" s="43" t="str">
        <f>IFERROR(__xludf.DUMMYFUNCTION("IFERROR(
  LET(
    periodos, C$1:Z$1,
    marcas, C740:Z740,
    pos, MAX(
          FILTER(
            COLUMN(marcas)-COLUMN(C740)+1,
            marcas=""X""
          )
        ),
    ultimo, INDEX(periodos, pos),
    XLOOKUP(
      $A740,
      INDI"&amp;"RECT(""'""&amp;ultimo&amp;""'!C:C""),
      INDIRECT(""'""&amp;ultimo&amp;""'!A:A"")
    )
  ),
  """"
)"),"")</f>
        <v/>
      </c>
      <c r="C740" s="41" t="str">
        <f t="shared" ref="C740:J740" si="739">IF(
  COUNTIF(
    INDIRECT("'"&amp;C$1&amp;"'!C:C"),
    $A740
  )&gt;0,
  "X",
  ""
)</f>
        <v/>
      </c>
      <c r="D740" s="41" t="str">
        <f t="shared" si="739"/>
        <v/>
      </c>
      <c r="E740" s="41" t="str">
        <f t="shared" si="739"/>
        <v/>
      </c>
      <c r="F740" s="41" t="str">
        <f t="shared" si="739"/>
        <v/>
      </c>
      <c r="G740" s="41" t="str">
        <f t="shared" si="739"/>
        <v/>
      </c>
      <c r="H740" s="41" t="str">
        <f t="shared" si="739"/>
        <v/>
      </c>
      <c r="I740" s="41" t="str">
        <f t="shared" si="739"/>
        <v/>
      </c>
      <c r="J740" s="41" t="str">
        <f t="shared" si="739"/>
        <v/>
      </c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67.5" customHeight="1">
      <c r="A741" s="39"/>
      <c r="B741" s="43" t="str">
        <f>IFERROR(__xludf.DUMMYFUNCTION("IFERROR(
  LET(
    periodos, C$1:Z$1,
    marcas, C741:Z741,
    pos, MAX(
          FILTER(
            COLUMN(marcas)-COLUMN(C741)+1,
            marcas=""X""
          )
        ),
    ultimo, INDEX(periodos, pos),
    XLOOKUP(
      $A741,
      INDI"&amp;"RECT(""'""&amp;ultimo&amp;""'!C:C""),
      INDIRECT(""'""&amp;ultimo&amp;""'!A:A"")
    )
  ),
  """"
)"),"")</f>
        <v/>
      </c>
      <c r="C741" s="41" t="str">
        <f t="shared" ref="C741:J741" si="740">IF(
  COUNTIF(
    INDIRECT("'"&amp;C$1&amp;"'!C:C"),
    $A741
  )&gt;0,
  "X",
  ""
)</f>
        <v/>
      </c>
      <c r="D741" s="41" t="str">
        <f t="shared" si="740"/>
        <v/>
      </c>
      <c r="E741" s="41" t="str">
        <f t="shared" si="740"/>
        <v/>
      </c>
      <c r="F741" s="41" t="str">
        <f t="shared" si="740"/>
        <v/>
      </c>
      <c r="G741" s="41" t="str">
        <f t="shared" si="740"/>
        <v/>
      </c>
      <c r="H741" s="41" t="str">
        <f t="shared" si="740"/>
        <v/>
      </c>
      <c r="I741" s="41" t="str">
        <f t="shared" si="740"/>
        <v/>
      </c>
      <c r="J741" s="41" t="str">
        <f t="shared" si="740"/>
        <v/>
      </c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67.5" customHeight="1">
      <c r="A742" s="39"/>
      <c r="B742" s="43" t="str">
        <f>IFERROR(__xludf.DUMMYFUNCTION("IFERROR(
  LET(
    periodos, C$1:Z$1,
    marcas, C742:Z742,
    pos, MAX(
          FILTER(
            COLUMN(marcas)-COLUMN(C742)+1,
            marcas=""X""
          )
        ),
    ultimo, INDEX(periodos, pos),
    XLOOKUP(
      $A742,
      INDI"&amp;"RECT(""'""&amp;ultimo&amp;""'!C:C""),
      INDIRECT(""'""&amp;ultimo&amp;""'!A:A"")
    )
  ),
  """"
)"),"")</f>
        <v/>
      </c>
      <c r="C742" s="41" t="str">
        <f t="shared" ref="C742:J742" si="741">IF(
  COUNTIF(
    INDIRECT("'"&amp;C$1&amp;"'!C:C"),
    $A742
  )&gt;0,
  "X",
  ""
)</f>
        <v/>
      </c>
      <c r="D742" s="41" t="str">
        <f t="shared" si="741"/>
        <v/>
      </c>
      <c r="E742" s="41" t="str">
        <f t="shared" si="741"/>
        <v/>
      </c>
      <c r="F742" s="41" t="str">
        <f t="shared" si="741"/>
        <v/>
      </c>
      <c r="G742" s="41" t="str">
        <f t="shared" si="741"/>
        <v/>
      </c>
      <c r="H742" s="41" t="str">
        <f t="shared" si="741"/>
        <v/>
      </c>
      <c r="I742" s="41" t="str">
        <f t="shared" si="741"/>
        <v/>
      </c>
      <c r="J742" s="41" t="str">
        <f t="shared" si="741"/>
        <v/>
      </c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67.5" customHeight="1">
      <c r="A743" s="39"/>
      <c r="B743" s="43" t="str">
        <f>IFERROR(__xludf.DUMMYFUNCTION("IFERROR(
  LET(
    periodos, C$1:Z$1,
    marcas, C743:Z743,
    pos, MAX(
          FILTER(
            COLUMN(marcas)-COLUMN(C743)+1,
            marcas=""X""
          )
        ),
    ultimo, INDEX(periodos, pos),
    XLOOKUP(
      $A743,
      INDI"&amp;"RECT(""'""&amp;ultimo&amp;""'!C:C""),
      INDIRECT(""'""&amp;ultimo&amp;""'!A:A"")
    )
  ),
  """"
)"),"")</f>
        <v/>
      </c>
      <c r="C743" s="41" t="str">
        <f t="shared" ref="C743:J743" si="742">IF(
  COUNTIF(
    INDIRECT("'"&amp;C$1&amp;"'!C:C"),
    $A743
  )&gt;0,
  "X",
  ""
)</f>
        <v/>
      </c>
      <c r="D743" s="41" t="str">
        <f t="shared" si="742"/>
        <v/>
      </c>
      <c r="E743" s="41" t="str">
        <f t="shared" si="742"/>
        <v/>
      </c>
      <c r="F743" s="41" t="str">
        <f t="shared" si="742"/>
        <v/>
      </c>
      <c r="G743" s="41" t="str">
        <f t="shared" si="742"/>
        <v/>
      </c>
      <c r="H743" s="41" t="str">
        <f t="shared" si="742"/>
        <v/>
      </c>
      <c r="I743" s="41" t="str">
        <f t="shared" si="742"/>
        <v/>
      </c>
      <c r="J743" s="41" t="str">
        <f t="shared" si="742"/>
        <v/>
      </c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67.5" customHeight="1">
      <c r="A744" s="39"/>
      <c r="B744" s="43" t="str">
        <f>IFERROR(__xludf.DUMMYFUNCTION("IFERROR(
  LET(
    periodos, C$1:Z$1,
    marcas, C744:Z744,
    pos, MAX(
          FILTER(
            COLUMN(marcas)-COLUMN(C744)+1,
            marcas=""X""
          )
        ),
    ultimo, INDEX(periodos, pos),
    XLOOKUP(
      $A744,
      INDI"&amp;"RECT(""'""&amp;ultimo&amp;""'!C:C""),
      INDIRECT(""'""&amp;ultimo&amp;""'!A:A"")
    )
  ),
  """"
)"),"")</f>
        <v/>
      </c>
      <c r="C744" s="41" t="str">
        <f t="shared" ref="C744:J744" si="743">IF(
  COUNTIF(
    INDIRECT("'"&amp;C$1&amp;"'!C:C"),
    $A744
  )&gt;0,
  "X",
  ""
)</f>
        <v/>
      </c>
      <c r="D744" s="41" t="str">
        <f t="shared" si="743"/>
        <v/>
      </c>
      <c r="E744" s="41" t="str">
        <f t="shared" si="743"/>
        <v/>
      </c>
      <c r="F744" s="41" t="str">
        <f t="shared" si="743"/>
        <v/>
      </c>
      <c r="G744" s="41" t="str">
        <f t="shared" si="743"/>
        <v/>
      </c>
      <c r="H744" s="41" t="str">
        <f t="shared" si="743"/>
        <v/>
      </c>
      <c r="I744" s="41" t="str">
        <f t="shared" si="743"/>
        <v/>
      </c>
      <c r="J744" s="41" t="str">
        <f t="shared" si="743"/>
        <v/>
      </c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67.5" customHeight="1">
      <c r="A745" s="39"/>
      <c r="B745" s="43" t="str">
        <f>IFERROR(__xludf.DUMMYFUNCTION("IFERROR(
  LET(
    periodos, C$1:Z$1,
    marcas, C745:Z745,
    pos, MAX(
          FILTER(
            COLUMN(marcas)-COLUMN(C745)+1,
            marcas=""X""
          )
        ),
    ultimo, INDEX(periodos, pos),
    XLOOKUP(
      $A745,
      INDI"&amp;"RECT(""'""&amp;ultimo&amp;""'!C:C""),
      INDIRECT(""'""&amp;ultimo&amp;""'!A:A"")
    )
  ),
  """"
)"),"")</f>
        <v/>
      </c>
      <c r="C745" s="41" t="str">
        <f t="shared" ref="C745:J745" si="744">IF(
  COUNTIF(
    INDIRECT("'"&amp;C$1&amp;"'!C:C"),
    $A745
  )&gt;0,
  "X",
  ""
)</f>
        <v/>
      </c>
      <c r="D745" s="41" t="str">
        <f t="shared" si="744"/>
        <v/>
      </c>
      <c r="E745" s="41" t="str">
        <f t="shared" si="744"/>
        <v/>
      </c>
      <c r="F745" s="41" t="str">
        <f t="shared" si="744"/>
        <v/>
      </c>
      <c r="G745" s="41" t="str">
        <f t="shared" si="744"/>
        <v/>
      </c>
      <c r="H745" s="41" t="str">
        <f t="shared" si="744"/>
        <v/>
      </c>
      <c r="I745" s="41" t="str">
        <f t="shared" si="744"/>
        <v/>
      </c>
      <c r="J745" s="41" t="str">
        <f t="shared" si="744"/>
        <v/>
      </c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67.5" customHeight="1">
      <c r="A746" s="39"/>
      <c r="B746" s="43" t="str">
        <f>IFERROR(__xludf.DUMMYFUNCTION("IFERROR(
  LET(
    periodos, C$1:Z$1,
    marcas, C746:Z746,
    pos, MAX(
          FILTER(
            COLUMN(marcas)-COLUMN(C746)+1,
            marcas=""X""
          )
        ),
    ultimo, INDEX(periodos, pos),
    XLOOKUP(
      $A746,
      INDI"&amp;"RECT(""'""&amp;ultimo&amp;""'!C:C""),
      INDIRECT(""'""&amp;ultimo&amp;""'!A:A"")
    )
  ),
  """"
)"),"")</f>
        <v/>
      </c>
      <c r="C746" s="41" t="str">
        <f t="shared" ref="C746:J746" si="745">IF(
  COUNTIF(
    INDIRECT("'"&amp;C$1&amp;"'!C:C"),
    $A746
  )&gt;0,
  "X",
  ""
)</f>
        <v/>
      </c>
      <c r="D746" s="41" t="str">
        <f t="shared" si="745"/>
        <v/>
      </c>
      <c r="E746" s="41" t="str">
        <f t="shared" si="745"/>
        <v/>
      </c>
      <c r="F746" s="41" t="str">
        <f t="shared" si="745"/>
        <v/>
      </c>
      <c r="G746" s="41" t="str">
        <f t="shared" si="745"/>
        <v/>
      </c>
      <c r="H746" s="41" t="str">
        <f t="shared" si="745"/>
        <v/>
      </c>
      <c r="I746" s="41" t="str">
        <f t="shared" si="745"/>
        <v/>
      </c>
      <c r="J746" s="41" t="str">
        <f t="shared" si="745"/>
        <v/>
      </c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67.5" customHeight="1">
      <c r="A747" s="39"/>
      <c r="B747" s="43" t="str">
        <f>IFERROR(__xludf.DUMMYFUNCTION("IFERROR(
  LET(
    periodos, C$1:Z$1,
    marcas, C747:Z747,
    pos, MAX(
          FILTER(
            COLUMN(marcas)-COLUMN(C747)+1,
            marcas=""X""
          )
        ),
    ultimo, INDEX(periodos, pos),
    XLOOKUP(
      $A747,
      INDI"&amp;"RECT(""'""&amp;ultimo&amp;""'!C:C""),
      INDIRECT(""'""&amp;ultimo&amp;""'!A:A"")
    )
  ),
  """"
)"),"")</f>
        <v/>
      </c>
      <c r="C747" s="41" t="str">
        <f t="shared" ref="C747:J747" si="746">IF(
  COUNTIF(
    INDIRECT("'"&amp;C$1&amp;"'!C:C"),
    $A747
  )&gt;0,
  "X",
  ""
)</f>
        <v/>
      </c>
      <c r="D747" s="41" t="str">
        <f t="shared" si="746"/>
        <v/>
      </c>
      <c r="E747" s="41" t="str">
        <f t="shared" si="746"/>
        <v/>
      </c>
      <c r="F747" s="41" t="str">
        <f t="shared" si="746"/>
        <v/>
      </c>
      <c r="G747" s="41" t="str">
        <f t="shared" si="746"/>
        <v/>
      </c>
      <c r="H747" s="41" t="str">
        <f t="shared" si="746"/>
        <v/>
      </c>
      <c r="I747" s="41" t="str">
        <f t="shared" si="746"/>
        <v/>
      </c>
      <c r="J747" s="41" t="str">
        <f t="shared" si="746"/>
        <v/>
      </c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67.5" customHeight="1">
      <c r="A748" s="39"/>
      <c r="B748" s="43" t="str">
        <f>IFERROR(__xludf.DUMMYFUNCTION("IFERROR(
  LET(
    periodos, C$1:Z$1,
    marcas, C748:Z748,
    pos, MAX(
          FILTER(
            COLUMN(marcas)-COLUMN(C748)+1,
            marcas=""X""
          )
        ),
    ultimo, INDEX(periodos, pos),
    XLOOKUP(
      $A748,
      INDI"&amp;"RECT(""'""&amp;ultimo&amp;""'!C:C""),
      INDIRECT(""'""&amp;ultimo&amp;""'!A:A"")
    )
  ),
  """"
)"),"")</f>
        <v/>
      </c>
      <c r="C748" s="41" t="str">
        <f t="shared" ref="C748:J748" si="747">IF(
  COUNTIF(
    INDIRECT("'"&amp;C$1&amp;"'!C:C"),
    $A748
  )&gt;0,
  "X",
  ""
)</f>
        <v/>
      </c>
      <c r="D748" s="41" t="str">
        <f t="shared" si="747"/>
        <v/>
      </c>
      <c r="E748" s="41" t="str">
        <f t="shared" si="747"/>
        <v/>
      </c>
      <c r="F748" s="41" t="str">
        <f t="shared" si="747"/>
        <v/>
      </c>
      <c r="G748" s="41" t="str">
        <f t="shared" si="747"/>
        <v/>
      </c>
      <c r="H748" s="41" t="str">
        <f t="shared" si="747"/>
        <v/>
      </c>
      <c r="I748" s="41" t="str">
        <f t="shared" si="747"/>
        <v/>
      </c>
      <c r="J748" s="41" t="str">
        <f t="shared" si="747"/>
        <v/>
      </c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67.5" customHeight="1">
      <c r="A749" s="39"/>
      <c r="B749" s="43" t="str">
        <f>IFERROR(__xludf.DUMMYFUNCTION("IFERROR(
  LET(
    periodos, C$1:Z$1,
    marcas, C749:Z749,
    pos, MAX(
          FILTER(
            COLUMN(marcas)-COLUMN(C749)+1,
            marcas=""X""
          )
        ),
    ultimo, INDEX(periodos, pos),
    XLOOKUP(
      $A749,
      INDI"&amp;"RECT(""'""&amp;ultimo&amp;""'!C:C""),
      INDIRECT(""'""&amp;ultimo&amp;""'!A:A"")
    )
  ),
  """"
)"),"")</f>
        <v/>
      </c>
      <c r="C749" s="41" t="str">
        <f t="shared" ref="C749:J749" si="748">IF(
  COUNTIF(
    INDIRECT("'"&amp;C$1&amp;"'!C:C"),
    $A749
  )&gt;0,
  "X",
  ""
)</f>
        <v/>
      </c>
      <c r="D749" s="41" t="str">
        <f t="shared" si="748"/>
        <v/>
      </c>
      <c r="E749" s="41" t="str">
        <f t="shared" si="748"/>
        <v/>
      </c>
      <c r="F749" s="41" t="str">
        <f t="shared" si="748"/>
        <v/>
      </c>
      <c r="G749" s="41" t="str">
        <f t="shared" si="748"/>
        <v/>
      </c>
      <c r="H749" s="41" t="str">
        <f t="shared" si="748"/>
        <v/>
      </c>
      <c r="I749" s="41" t="str">
        <f t="shared" si="748"/>
        <v/>
      </c>
      <c r="J749" s="41" t="str">
        <f t="shared" si="748"/>
        <v/>
      </c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67.5" customHeight="1">
      <c r="A750" s="39"/>
      <c r="B750" s="43" t="str">
        <f>IFERROR(__xludf.DUMMYFUNCTION("IFERROR(
  LET(
    periodos, C$1:Z$1,
    marcas, C750:Z750,
    pos, MAX(
          FILTER(
            COLUMN(marcas)-COLUMN(C750)+1,
            marcas=""X""
          )
        ),
    ultimo, INDEX(periodos, pos),
    XLOOKUP(
      $A750,
      INDI"&amp;"RECT(""'""&amp;ultimo&amp;""'!C:C""),
      INDIRECT(""'""&amp;ultimo&amp;""'!A:A"")
    )
  ),
  """"
)"),"")</f>
        <v/>
      </c>
      <c r="C750" s="41" t="str">
        <f t="shared" ref="C750:J750" si="749">IF(
  COUNTIF(
    INDIRECT("'"&amp;C$1&amp;"'!C:C"),
    $A750
  )&gt;0,
  "X",
  ""
)</f>
        <v/>
      </c>
      <c r="D750" s="41" t="str">
        <f t="shared" si="749"/>
        <v/>
      </c>
      <c r="E750" s="41" t="str">
        <f t="shared" si="749"/>
        <v/>
      </c>
      <c r="F750" s="41" t="str">
        <f t="shared" si="749"/>
        <v/>
      </c>
      <c r="G750" s="41" t="str">
        <f t="shared" si="749"/>
        <v/>
      </c>
      <c r="H750" s="41" t="str">
        <f t="shared" si="749"/>
        <v/>
      </c>
      <c r="I750" s="41" t="str">
        <f t="shared" si="749"/>
        <v/>
      </c>
      <c r="J750" s="41" t="str">
        <f t="shared" si="749"/>
        <v/>
      </c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67.5" customHeight="1">
      <c r="A751" s="39"/>
      <c r="B751" s="43" t="str">
        <f>IFERROR(__xludf.DUMMYFUNCTION("IFERROR(
  LET(
    periodos, C$1:Z$1,
    marcas, C751:Z751,
    pos, MAX(
          FILTER(
            COLUMN(marcas)-COLUMN(C751)+1,
            marcas=""X""
          )
        ),
    ultimo, INDEX(periodos, pos),
    XLOOKUP(
      $A751,
      INDI"&amp;"RECT(""'""&amp;ultimo&amp;""'!C:C""),
      INDIRECT(""'""&amp;ultimo&amp;""'!A:A"")
    )
  ),
  """"
)"),"")</f>
        <v/>
      </c>
      <c r="C751" s="41" t="str">
        <f t="shared" ref="C751:J751" si="750">IF(
  COUNTIF(
    INDIRECT("'"&amp;C$1&amp;"'!C:C"),
    $A751
  )&gt;0,
  "X",
  ""
)</f>
        <v/>
      </c>
      <c r="D751" s="41" t="str">
        <f t="shared" si="750"/>
        <v/>
      </c>
      <c r="E751" s="41" t="str">
        <f t="shared" si="750"/>
        <v/>
      </c>
      <c r="F751" s="41" t="str">
        <f t="shared" si="750"/>
        <v/>
      </c>
      <c r="G751" s="41" t="str">
        <f t="shared" si="750"/>
        <v/>
      </c>
      <c r="H751" s="41" t="str">
        <f t="shared" si="750"/>
        <v/>
      </c>
      <c r="I751" s="41" t="str">
        <f t="shared" si="750"/>
        <v/>
      </c>
      <c r="J751" s="41" t="str">
        <f t="shared" si="750"/>
        <v/>
      </c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67.5" customHeight="1">
      <c r="A752" s="39"/>
      <c r="B752" s="43" t="str">
        <f>IFERROR(__xludf.DUMMYFUNCTION("IFERROR(
  LET(
    periodos, C$1:Z$1,
    marcas, C752:Z752,
    pos, MAX(
          FILTER(
            COLUMN(marcas)-COLUMN(C752)+1,
            marcas=""X""
          )
        ),
    ultimo, INDEX(periodos, pos),
    XLOOKUP(
      $A752,
      INDI"&amp;"RECT(""'""&amp;ultimo&amp;""'!C:C""),
      INDIRECT(""'""&amp;ultimo&amp;""'!A:A"")
    )
  ),
  """"
)"),"")</f>
        <v/>
      </c>
      <c r="C752" s="41" t="str">
        <f t="shared" ref="C752:J752" si="751">IF(
  COUNTIF(
    INDIRECT("'"&amp;C$1&amp;"'!C:C"),
    $A752
  )&gt;0,
  "X",
  ""
)</f>
        <v/>
      </c>
      <c r="D752" s="41" t="str">
        <f t="shared" si="751"/>
        <v/>
      </c>
      <c r="E752" s="41" t="str">
        <f t="shared" si="751"/>
        <v/>
      </c>
      <c r="F752" s="41" t="str">
        <f t="shared" si="751"/>
        <v/>
      </c>
      <c r="G752" s="41" t="str">
        <f t="shared" si="751"/>
        <v/>
      </c>
      <c r="H752" s="41" t="str">
        <f t="shared" si="751"/>
        <v/>
      </c>
      <c r="I752" s="41" t="str">
        <f t="shared" si="751"/>
        <v/>
      </c>
      <c r="J752" s="41" t="str">
        <f t="shared" si="751"/>
        <v/>
      </c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67.5" customHeight="1">
      <c r="A753" s="39"/>
      <c r="B753" s="43" t="str">
        <f>IFERROR(__xludf.DUMMYFUNCTION("IFERROR(
  LET(
    periodos, C$1:Z$1,
    marcas, C753:Z753,
    pos, MAX(
          FILTER(
            COLUMN(marcas)-COLUMN(C753)+1,
            marcas=""X""
          )
        ),
    ultimo, INDEX(periodos, pos),
    XLOOKUP(
      $A753,
      INDI"&amp;"RECT(""'""&amp;ultimo&amp;""'!C:C""),
      INDIRECT(""'""&amp;ultimo&amp;""'!A:A"")
    )
  ),
  """"
)"),"")</f>
        <v/>
      </c>
      <c r="C753" s="41" t="str">
        <f t="shared" ref="C753:J753" si="752">IF(
  COUNTIF(
    INDIRECT("'"&amp;C$1&amp;"'!C:C"),
    $A753
  )&gt;0,
  "X",
  ""
)</f>
        <v/>
      </c>
      <c r="D753" s="41" t="str">
        <f t="shared" si="752"/>
        <v/>
      </c>
      <c r="E753" s="41" t="str">
        <f t="shared" si="752"/>
        <v/>
      </c>
      <c r="F753" s="41" t="str">
        <f t="shared" si="752"/>
        <v/>
      </c>
      <c r="G753" s="41" t="str">
        <f t="shared" si="752"/>
        <v/>
      </c>
      <c r="H753" s="41" t="str">
        <f t="shared" si="752"/>
        <v/>
      </c>
      <c r="I753" s="41" t="str">
        <f t="shared" si="752"/>
        <v/>
      </c>
      <c r="J753" s="41" t="str">
        <f t="shared" si="752"/>
        <v/>
      </c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67.5" customHeight="1">
      <c r="A754" s="39"/>
      <c r="B754" s="43" t="str">
        <f>IFERROR(__xludf.DUMMYFUNCTION("IFERROR(
  LET(
    periodos, C$1:Z$1,
    marcas, C754:Z754,
    pos, MAX(
          FILTER(
            COLUMN(marcas)-COLUMN(C754)+1,
            marcas=""X""
          )
        ),
    ultimo, INDEX(periodos, pos),
    XLOOKUP(
      $A754,
      INDI"&amp;"RECT(""'""&amp;ultimo&amp;""'!C:C""),
      INDIRECT(""'""&amp;ultimo&amp;""'!A:A"")
    )
  ),
  """"
)"),"")</f>
        <v/>
      </c>
      <c r="C754" s="41" t="str">
        <f t="shared" ref="C754:J754" si="753">IF(
  COUNTIF(
    INDIRECT("'"&amp;C$1&amp;"'!C:C"),
    $A754
  )&gt;0,
  "X",
  ""
)</f>
        <v/>
      </c>
      <c r="D754" s="41" t="str">
        <f t="shared" si="753"/>
        <v/>
      </c>
      <c r="E754" s="41" t="str">
        <f t="shared" si="753"/>
        <v/>
      </c>
      <c r="F754" s="41" t="str">
        <f t="shared" si="753"/>
        <v/>
      </c>
      <c r="G754" s="41" t="str">
        <f t="shared" si="753"/>
        <v/>
      </c>
      <c r="H754" s="41" t="str">
        <f t="shared" si="753"/>
        <v/>
      </c>
      <c r="I754" s="41" t="str">
        <f t="shared" si="753"/>
        <v/>
      </c>
      <c r="J754" s="41" t="str">
        <f t="shared" si="753"/>
        <v/>
      </c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67.5" customHeight="1">
      <c r="A755" s="39"/>
      <c r="B755" s="43" t="str">
        <f>IFERROR(__xludf.DUMMYFUNCTION("IFERROR(
  LET(
    periodos, C$1:Z$1,
    marcas, C755:Z755,
    pos, MAX(
          FILTER(
            COLUMN(marcas)-COLUMN(C755)+1,
            marcas=""X""
          )
        ),
    ultimo, INDEX(periodos, pos),
    XLOOKUP(
      $A755,
      INDI"&amp;"RECT(""'""&amp;ultimo&amp;""'!C:C""),
      INDIRECT(""'""&amp;ultimo&amp;""'!A:A"")
    )
  ),
  """"
)"),"")</f>
        <v/>
      </c>
      <c r="C755" s="41" t="str">
        <f t="shared" ref="C755:J755" si="754">IF(
  COUNTIF(
    INDIRECT("'"&amp;C$1&amp;"'!C:C"),
    $A755
  )&gt;0,
  "X",
  ""
)</f>
        <v/>
      </c>
      <c r="D755" s="41" t="str">
        <f t="shared" si="754"/>
        <v/>
      </c>
      <c r="E755" s="41" t="str">
        <f t="shared" si="754"/>
        <v/>
      </c>
      <c r="F755" s="41" t="str">
        <f t="shared" si="754"/>
        <v/>
      </c>
      <c r="G755" s="41" t="str">
        <f t="shared" si="754"/>
        <v/>
      </c>
      <c r="H755" s="41" t="str">
        <f t="shared" si="754"/>
        <v/>
      </c>
      <c r="I755" s="41" t="str">
        <f t="shared" si="754"/>
        <v/>
      </c>
      <c r="J755" s="41" t="str">
        <f t="shared" si="754"/>
        <v/>
      </c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67.5" customHeight="1">
      <c r="A756" s="39"/>
      <c r="B756" s="43" t="str">
        <f>IFERROR(__xludf.DUMMYFUNCTION("IFERROR(
  LET(
    periodos, C$1:Z$1,
    marcas, C756:Z756,
    pos, MAX(
          FILTER(
            COLUMN(marcas)-COLUMN(C756)+1,
            marcas=""X""
          )
        ),
    ultimo, INDEX(periodos, pos),
    XLOOKUP(
      $A756,
      INDI"&amp;"RECT(""'""&amp;ultimo&amp;""'!C:C""),
      INDIRECT(""'""&amp;ultimo&amp;""'!A:A"")
    )
  ),
  """"
)"),"")</f>
        <v/>
      </c>
      <c r="C756" s="41" t="str">
        <f t="shared" ref="C756:J756" si="755">IF(
  COUNTIF(
    INDIRECT("'"&amp;C$1&amp;"'!C:C"),
    $A756
  )&gt;0,
  "X",
  ""
)</f>
        <v/>
      </c>
      <c r="D756" s="41" t="str">
        <f t="shared" si="755"/>
        <v/>
      </c>
      <c r="E756" s="41" t="str">
        <f t="shared" si="755"/>
        <v/>
      </c>
      <c r="F756" s="41" t="str">
        <f t="shared" si="755"/>
        <v/>
      </c>
      <c r="G756" s="41" t="str">
        <f t="shared" si="755"/>
        <v/>
      </c>
      <c r="H756" s="41" t="str">
        <f t="shared" si="755"/>
        <v/>
      </c>
      <c r="I756" s="41" t="str">
        <f t="shared" si="755"/>
        <v/>
      </c>
      <c r="J756" s="41" t="str">
        <f t="shared" si="755"/>
        <v/>
      </c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67.5" customHeight="1">
      <c r="A757" s="39"/>
      <c r="B757" s="43" t="str">
        <f>IFERROR(__xludf.DUMMYFUNCTION("IFERROR(
  LET(
    periodos, C$1:Z$1,
    marcas, C757:Z757,
    pos, MAX(
          FILTER(
            COLUMN(marcas)-COLUMN(C757)+1,
            marcas=""X""
          )
        ),
    ultimo, INDEX(periodos, pos),
    XLOOKUP(
      $A757,
      INDI"&amp;"RECT(""'""&amp;ultimo&amp;""'!C:C""),
      INDIRECT(""'""&amp;ultimo&amp;""'!A:A"")
    )
  ),
  """"
)"),"")</f>
        <v/>
      </c>
      <c r="C757" s="41" t="str">
        <f t="shared" ref="C757:J757" si="756">IF(
  COUNTIF(
    INDIRECT("'"&amp;C$1&amp;"'!C:C"),
    $A757
  )&gt;0,
  "X",
  ""
)</f>
        <v/>
      </c>
      <c r="D757" s="41" t="str">
        <f t="shared" si="756"/>
        <v/>
      </c>
      <c r="E757" s="41" t="str">
        <f t="shared" si="756"/>
        <v/>
      </c>
      <c r="F757" s="41" t="str">
        <f t="shared" si="756"/>
        <v/>
      </c>
      <c r="G757" s="41" t="str">
        <f t="shared" si="756"/>
        <v/>
      </c>
      <c r="H757" s="41" t="str">
        <f t="shared" si="756"/>
        <v/>
      </c>
      <c r="I757" s="41" t="str">
        <f t="shared" si="756"/>
        <v/>
      </c>
      <c r="J757" s="41" t="str">
        <f t="shared" si="756"/>
        <v/>
      </c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67.5" customHeight="1">
      <c r="A758" s="39"/>
      <c r="B758" s="43" t="str">
        <f>IFERROR(__xludf.DUMMYFUNCTION("IFERROR(
  LET(
    periodos, C$1:Z$1,
    marcas, C758:Z758,
    pos, MAX(
          FILTER(
            COLUMN(marcas)-COLUMN(C758)+1,
            marcas=""X""
          )
        ),
    ultimo, INDEX(periodos, pos),
    XLOOKUP(
      $A758,
      INDI"&amp;"RECT(""'""&amp;ultimo&amp;""'!C:C""),
      INDIRECT(""'""&amp;ultimo&amp;""'!A:A"")
    )
  ),
  """"
)"),"")</f>
        <v/>
      </c>
      <c r="C758" s="41" t="str">
        <f t="shared" ref="C758:J758" si="757">IF(
  COUNTIF(
    INDIRECT("'"&amp;C$1&amp;"'!C:C"),
    $A758
  )&gt;0,
  "X",
  ""
)</f>
        <v/>
      </c>
      <c r="D758" s="41" t="str">
        <f t="shared" si="757"/>
        <v/>
      </c>
      <c r="E758" s="41" t="str">
        <f t="shared" si="757"/>
        <v/>
      </c>
      <c r="F758" s="41" t="str">
        <f t="shared" si="757"/>
        <v/>
      </c>
      <c r="G758" s="41" t="str">
        <f t="shared" si="757"/>
        <v/>
      </c>
      <c r="H758" s="41" t="str">
        <f t="shared" si="757"/>
        <v/>
      </c>
      <c r="I758" s="41" t="str">
        <f t="shared" si="757"/>
        <v/>
      </c>
      <c r="J758" s="41" t="str">
        <f t="shared" si="757"/>
        <v/>
      </c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67.5" customHeight="1">
      <c r="A759" s="39"/>
      <c r="B759" s="43" t="str">
        <f>IFERROR(__xludf.DUMMYFUNCTION("IFERROR(
  LET(
    periodos, C$1:Z$1,
    marcas, C759:Z759,
    pos, MAX(
          FILTER(
            COLUMN(marcas)-COLUMN(C759)+1,
            marcas=""X""
          )
        ),
    ultimo, INDEX(periodos, pos),
    XLOOKUP(
      $A759,
      INDI"&amp;"RECT(""'""&amp;ultimo&amp;""'!C:C""),
      INDIRECT(""'""&amp;ultimo&amp;""'!A:A"")
    )
  ),
  """"
)"),"")</f>
        <v/>
      </c>
      <c r="C759" s="41" t="str">
        <f t="shared" ref="C759:J759" si="758">IF(
  COUNTIF(
    INDIRECT("'"&amp;C$1&amp;"'!C:C"),
    $A759
  )&gt;0,
  "X",
  ""
)</f>
        <v/>
      </c>
      <c r="D759" s="41" t="str">
        <f t="shared" si="758"/>
        <v/>
      </c>
      <c r="E759" s="41" t="str">
        <f t="shared" si="758"/>
        <v/>
      </c>
      <c r="F759" s="41" t="str">
        <f t="shared" si="758"/>
        <v/>
      </c>
      <c r="G759" s="41" t="str">
        <f t="shared" si="758"/>
        <v/>
      </c>
      <c r="H759" s="41" t="str">
        <f t="shared" si="758"/>
        <v/>
      </c>
      <c r="I759" s="41" t="str">
        <f t="shared" si="758"/>
        <v/>
      </c>
      <c r="J759" s="41" t="str">
        <f t="shared" si="758"/>
        <v/>
      </c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67.5" customHeight="1">
      <c r="A760" s="39"/>
      <c r="B760" s="43" t="str">
        <f>IFERROR(__xludf.DUMMYFUNCTION("IFERROR(
  LET(
    periodos, C$1:Z$1,
    marcas, C760:Z760,
    pos, MAX(
          FILTER(
            COLUMN(marcas)-COLUMN(C760)+1,
            marcas=""X""
          )
        ),
    ultimo, INDEX(periodos, pos),
    XLOOKUP(
      $A760,
      INDI"&amp;"RECT(""'""&amp;ultimo&amp;""'!C:C""),
      INDIRECT(""'""&amp;ultimo&amp;""'!A:A"")
    )
  ),
  """"
)"),"")</f>
        <v/>
      </c>
      <c r="C760" s="41" t="str">
        <f t="shared" ref="C760:J760" si="759">IF(
  COUNTIF(
    INDIRECT("'"&amp;C$1&amp;"'!C:C"),
    $A760
  )&gt;0,
  "X",
  ""
)</f>
        <v/>
      </c>
      <c r="D760" s="41" t="str">
        <f t="shared" si="759"/>
        <v/>
      </c>
      <c r="E760" s="41" t="str">
        <f t="shared" si="759"/>
        <v/>
      </c>
      <c r="F760" s="41" t="str">
        <f t="shared" si="759"/>
        <v/>
      </c>
      <c r="G760" s="41" t="str">
        <f t="shared" si="759"/>
        <v/>
      </c>
      <c r="H760" s="41" t="str">
        <f t="shared" si="759"/>
        <v/>
      </c>
      <c r="I760" s="41" t="str">
        <f t="shared" si="759"/>
        <v/>
      </c>
      <c r="J760" s="41" t="str">
        <f t="shared" si="759"/>
        <v/>
      </c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67.5" customHeight="1">
      <c r="A761" s="39"/>
      <c r="B761" s="43" t="str">
        <f>IFERROR(__xludf.DUMMYFUNCTION("IFERROR(
  LET(
    periodos, C$1:Z$1,
    marcas, C761:Z761,
    pos, MAX(
          FILTER(
            COLUMN(marcas)-COLUMN(C761)+1,
            marcas=""X""
          )
        ),
    ultimo, INDEX(periodos, pos),
    XLOOKUP(
      $A761,
      INDI"&amp;"RECT(""'""&amp;ultimo&amp;""'!C:C""),
      INDIRECT(""'""&amp;ultimo&amp;""'!A:A"")
    )
  ),
  """"
)"),"")</f>
        <v/>
      </c>
      <c r="C761" s="41" t="str">
        <f t="shared" ref="C761:J761" si="760">IF(
  COUNTIF(
    INDIRECT("'"&amp;C$1&amp;"'!C:C"),
    $A761
  )&gt;0,
  "X",
  ""
)</f>
        <v/>
      </c>
      <c r="D761" s="41" t="str">
        <f t="shared" si="760"/>
        <v/>
      </c>
      <c r="E761" s="41" t="str">
        <f t="shared" si="760"/>
        <v/>
      </c>
      <c r="F761" s="41" t="str">
        <f t="shared" si="760"/>
        <v/>
      </c>
      <c r="G761" s="41" t="str">
        <f t="shared" si="760"/>
        <v/>
      </c>
      <c r="H761" s="41" t="str">
        <f t="shared" si="760"/>
        <v/>
      </c>
      <c r="I761" s="41" t="str">
        <f t="shared" si="760"/>
        <v/>
      </c>
      <c r="J761" s="41" t="str">
        <f t="shared" si="760"/>
        <v/>
      </c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67.5" customHeight="1">
      <c r="A762" s="39"/>
      <c r="B762" s="43" t="str">
        <f>IFERROR(__xludf.DUMMYFUNCTION("IFERROR(
  LET(
    periodos, C$1:Z$1,
    marcas, C762:Z762,
    pos, MAX(
          FILTER(
            COLUMN(marcas)-COLUMN(C762)+1,
            marcas=""X""
          )
        ),
    ultimo, INDEX(periodos, pos),
    XLOOKUP(
      $A762,
      INDI"&amp;"RECT(""'""&amp;ultimo&amp;""'!C:C""),
      INDIRECT(""'""&amp;ultimo&amp;""'!A:A"")
    )
  ),
  """"
)"),"")</f>
        <v/>
      </c>
      <c r="C762" s="41" t="str">
        <f t="shared" ref="C762:J762" si="761">IF(
  COUNTIF(
    INDIRECT("'"&amp;C$1&amp;"'!C:C"),
    $A762
  )&gt;0,
  "X",
  ""
)</f>
        <v/>
      </c>
      <c r="D762" s="41" t="str">
        <f t="shared" si="761"/>
        <v/>
      </c>
      <c r="E762" s="41" t="str">
        <f t="shared" si="761"/>
        <v/>
      </c>
      <c r="F762" s="41" t="str">
        <f t="shared" si="761"/>
        <v/>
      </c>
      <c r="G762" s="41" t="str">
        <f t="shared" si="761"/>
        <v/>
      </c>
      <c r="H762" s="41" t="str">
        <f t="shared" si="761"/>
        <v/>
      </c>
      <c r="I762" s="41" t="str">
        <f t="shared" si="761"/>
        <v/>
      </c>
      <c r="J762" s="41" t="str">
        <f t="shared" si="761"/>
        <v/>
      </c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67.5" customHeight="1">
      <c r="A763" s="39"/>
      <c r="B763" s="43" t="str">
        <f>IFERROR(__xludf.DUMMYFUNCTION("IFERROR(
  LET(
    periodos, C$1:Z$1,
    marcas, C763:Z763,
    pos, MAX(
          FILTER(
            COLUMN(marcas)-COLUMN(C763)+1,
            marcas=""X""
          )
        ),
    ultimo, INDEX(periodos, pos),
    XLOOKUP(
      $A763,
      INDI"&amp;"RECT(""'""&amp;ultimo&amp;""'!C:C""),
      INDIRECT(""'""&amp;ultimo&amp;""'!A:A"")
    )
  ),
  """"
)"),"")</f>
        <v/>
      </c>
      <c r="C763" s="41" t="str">
        <f t="shared" ref="C763:J763" si="762">IF(
  COUNTIF(
    INDIRECT("'"&amp;C$1&amp;"'!C:C"),
    $A763
  )&gt;0,
  "X",
  ""
)</f>
        <v/>
      </c>
      <c r="D763" s="41" t="str">
        <f t="shared" si="762"/>
        <v/>
      </c>
      <c r="E763" s="41" t="str">
        <f t="shared" si="762"/>
        <v/>
      </c>
      <c r="F763" s="41" t="str">
        <f t="shared" si="762"/>
        <v/>
      </c>
      <c r="G763" s="41" t="str">
        <f t="shared" si="762"/>
        <v/>
      </c>
      <c r="H763" s="41" t="str">
        <f t="shared" si="762"/>
        <v/>
      </c>
      <c r="I763" s="41" t="str">
        <f t="shared" si="762"/>
        <v/>
      </c>
      <c r="J763" s="41" t="str">
        <f t="shared" si="762"/>
        <v/>
      </c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67.5" customHeight="1">
      <c r="A764" s="39"/>
      <c r="B764" s="43" t="str">
        <f>IFERROR(__xludf.DUMMYFUNCTION("IFERROR(
  LET(
    periodos, C$1:Z$1,
    marcas, C764:Z764,
    pos, MAX(
          FILTER(
            COLUMN(marcas)-COLUMN(C764)+1,
            marcas=""X""
          )
        ),
    ultimo, INDEX(periodos, pos),
    XLOOKUP(
      $A764,
      INDI"&amp;"RECT(""'""&amp;ultimo&amp;""'!C:C""),
      INDIRECT(""'""&amp;ultimo&amp;""'!A:A"")
    )
  ),
  """"
)"),"")</f>
        <v/>
      </c>
      <c r="C764" s="41" t="str">
        <f t="shared" ref="C764:J764" si="763">IF(
  COUNTIF(
    INDIRECT("'"&amp;C$1&amp;"'!C:C"),
    $A764
  )&gt;0,
  "X",
  ""
)</f>
        <v/>
      </c>
      <c r="D764" s="41" t="str">
        <f t="shared" si="763"/>
        <v/>
      </c>
      <c r="E764" s="41" t="str">
        <f t="shared" si="763"/>
        <v/>
      </c>
      <c r="F764" s="41" t="str">
        <f t="shared" si="763"/>
        <v/>
      </c>
      <c r="G764" s="41" t="str">
        <f t="shared" si="763"/>
        <v/>
      </c>
      <c r="H764" s="41" t="str">
        <f t="shared" si="763"/>
        <v/>
      </c>
      <c r="I764" s="41" t="str">
        <f t="shared" si="763"/>
        <v/>
      </c>
      <c r="J764" s="41" t="str">
        <f t="shared" si="763"/>
        <v/>
      </c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67.5" customHeight="1">
      <c r="A765" s="39"/>
      <c r="B765" s="43" t="str">
        <f>IFERROR(__xludf.DUMMYFUNCTION("IFERROR(
  LET(
    periodos, C$1:Z$1,
    marcas, C765:Z765,
    pos, MAX(
          FILTER(
            COLUMN(marcas)-COLUMN(C765)+1,
            marcas=""X""
          )
        ),
    ultimo, INDEX(periodos, pos),
    XLOOKUP(
      $A765,
      INDI"&amp;"RECT(""'""&amp;ultimo&amp;""'!C:C""),
      INDIRECT(""'""&amp;ultimo&amp;""'!A:A"")
    )
  ),
  """"
)"),"")</f>
        <v/>
      </c>
      <c r="C765" s="41" t="str">
        <f t="shared" ref="C765:J765" si="764">IF(
  COUNTIF(
    INDIRECT("'"&amp;C$1&amp;"'!C:C"),
    $A765
  )&gt;0,
  "X",
  ""
)</f>
        <v/>
      </c>
      <c r="D765" s="41" t="str">
        <f t="shared" si="764"/>
        <v/>
      </c>
      <c r="E765" s="41" t="str">
        <f t="shared" si="764"/>
        <v/>
      </c>
      <c r="F765" s="41" t="str">
        <f t="shared" si="764"/>
        <v/>
      </c>
      <c r="G765" s="41" t="str">
        <f t="shared" si="764"/>
        <v/>
      </c>
      <c r="H765" s="41" t="str">
        <f t="shared" si="764"/>
        <v/>
      </c>
      <c r="I765" s="41" t="str">
        <f t="shared" si="764"/>
        <v/>
      </c>
      <c r="J765" s="41" t="str">
        <f t="shared" si="764"/>
        <v/>
      </c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67.5" customHeight="1">
      <c r="A766" s="39"/>
      <c r="B766" s="43" t="str">
        <f>IFERROR(__xludf.DUMMYFUNCTION("IFERROR(
  LET(
    periodos, C$1:Z$1,
    marcas, C766:Z766,
    pos, MAX(
          FILTER(
            COLUMN(marcas)-COLUMN(C766)+1,
            marcas=""X""
          )
        ),
    ultimo, INDEX(periodos, pos),
    XLOOKUP(
      $A766,
      INDI"&amp;"RECT(""'""&amp;ultimo&amp;""'!C:C""),
      INDIRECT(""'""&amp;ultimo&amp;""'!A:A"")
    )
  ),
  """"
)"),"")</f>
        <v/>
      </c>
      <c r="C766" s="41" t="str">
        <f t="shared" ref="C766:J766" si="765">IF(
  COUNTIF(
    INDIRECT("'"&amp;C$1&amp;"'!C:C"),
    $A766
  )&gt;0,
  "X",
  ""
)</f>
        <v/>
      </c>
      <c r="D766" s="41" t="str">
        <f t="shared" si="765"/>
        <v/>
      </c>
      <c r="E766" s="41" t="str">
        <f t="shared" si="765"/>
        <v/>
      </c>
      <c r="F766" s="41" t="str">
        <f t="shared" si="765"/>
        <v/>
      </c>
      <c r="G766" s="41" t="str">
        <f t="shared" si="765"/>
        <v/>
      </c>
      <c r="H766" s="41" t="str">
        <f t="shared" si="765"/>
        <v/>
      </c>
      <c r="I766" s="41" t="str">
        <f t="shared" si="765"/>
        <v/>
      </c>
      <c r="J766" s="41" t="str">
        <f t="shared" si="765"/>
        <v/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67.5" customHeight="1">
      <c r="A767" s="39"/>
      <c r="B767" s="43" t="str">
        <f>IFERROR(__xludf.DUMMYFUNCTION("IFERROR(
  LET(
    periodos, C$1:Z$1,
    marcas, C767:Z767,
    pos, MAX(
          FILTER(
            COLUMN(marcas)-COLUMN(C767)+1,
            marcas=""X""
          )
        ),
    ultimo, INDEX(periodos, pos),
    XLOOKUP(
      $A767,
      INDI"&amp;"RECT(""'""&amp;ultimo&amp;""'!C:C""),
      INDIRECT(""'""&amp;ultimo&amp;""'!A:A"")
    )
  ),
  """"
)"),"")</f>
        <v/>
      </c>
      <c r="C767" s="41" t="str">
        <f t="shared" ref="C767:J767" si="766">IF(
  COUNTIF(
    INDIRECT("'"&amp;C$1&amp;"'!C:C"),
    $A767
  )&gt;0,
  "X",
  ""
)</f>
        <v/>
      </c>
      <c r="D767" s="41" t="str">
        <f t="shared" si="766"/>
        <v/>
      </c>
      <c r="E767" s="41" t="str">
        <f t="shared" si="766"/>
        <v/>
      </c>
      <c r="F767" s="41" t="str">
        <f t="shared" si="766"/>
        <v/>
      </c>
      <c r="G767" s="41" t="str">
        <f t="shared" si="766"/>
        <v/>
      </c>
      <c r="H767" s="41" t="str">
        <f t="shared" si="766"/>
        <v/>
      </c>
      <c r="I767" s="41" t="str">
        <f t="shared" si="766"/>
        <v/>
      </c>
      <c r="J767" s="41" t="str">
        <f t="shared" si="766"/>
        <v/>
      </c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67.5" customHeight="1">
      <c r="A768" s="39"/>
      <c r="B768" s="43" t="str">
        <f>IFERROR(__xludf.DUMMYFUNCTION("IFERROR(
  LET(
    periodos, C$1:Z$1,
    marcas, C768:Z768,
    pos, MAX(
          FILTER(
            COLUMN(marcas)-COLUMN(C768)+1,
            marcas=""X""
          )
        ),
    ultimo, INDEX(periodos, pos),
    XLOOKUP(
      $A768,
      INDI"&amp;"RECT(""'""&amp;ultimo&amp;""'!C:C""),
      INDIRECT(""'""&amp;ultimo&amp;""'!A:A"")
    )
  ),
  """"
)"),"")</f>
        <v/>
      </c>
      <c r="C768" s="41" t="str">
        <f t="shared" ref="C768:J768" si="767">IF(
  COUNTIF(
    INDIRECT("'"&amp;C$1&amp;"'!C:C"),
    $A768
  )&gt;0,
  "X",
  ""
)</f>
        <v/>
      </c>
      <c r="D768" s="41" t="str">
        <f t="shared" si="767"/>
        <v/>
      </c>
      <c r="E768" s="41" t="str">
        <f t="shared" si="767"/>
        <v/>
      </c>
      <c r="F768" s="41" t="str">
        <f t="shared" si="767"/>
        <v/>
      </c>
      <c r="G768" s="41" t="str">
        <f t="shared" si="767"/>
        <v/>
      </c>
      <c r="H768" s="41" t="str">
        <f t="shared" si="767"/>
        <v/>
      </c>
      <c r="I768" s="41" t="str">
        <f t="shared" si="767"/>
        <v/>
      </c>
      <c r="J768" s="41" t="str">
        <f t="shared" si="767"/>
        <v/>
      </c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67.5" customHeight="1">
      <c r="A769" s="39"/>
      <c r="B769" s="43" t="str">
        <f>IFERROR(__xludf.DUMMYFUNCTION("IFERROR(
  LET(
    periodos, C$1:Z$1,
    marcas, C769:Z769,
    pos, MAX(
          FILTER(
            COLUMN(marcas)-COLUMN(C769)+1,
            marcas=""X""
          )
        ),
    ultimo, INDEX(periodos, pos),
    XLOOKUP(
      $A769,
      INDI"&amp;"RECT(""'""&amp;ultimo&amp;""'!C:C""),
      INDIRECT(""'""&amp;ultimo&amp;""'!A:A"")
    )
  ),
  """"
)"),"")</f>
        <v/>
      </c>
      <c r="C769" s="41" t="str">
        <f t="shared" ref="C769:J769" si="768">IF(
  COUNTIF(
    INDIRECT("'"&amp;C$1&amp;"'!C:C"),
    $A769
  )&gt;0,
  "X",
  ""
)</f>
        <v/>
      </c>
      <c r="D769" s="41" t="str">
        <f t="shared" si="768"/>
        <v/>
      </c>
      <c r="E769" s="41" t="str">
        <f t="shared" si="768"/>
        <v/>
      </c>
      <c r="F769" s="41" t="str">
        <f t="shared" si="768"/>
        <v/>
      </c>
      <c r="G769" s="41" t="str">
        <f t="shared" si="768"/>
        <v/>
      </c>
      <c r="H769" s="41" t="str">
        <f t="shared" si="768"/>
        <v/>
      </c>
      <c r="I769" s="41" t="str">
        <f t="shared" si="768"/>
        <v/>
      </c>
      <c r="J769" s="41" t="str">
        <f t="shared" si="768"/>
        <v/>
      </c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67.5" customHeight="1">
      <c r="A770" s="39"/>
      <c r="B770" s="43" t="str">
        <f>IFERROR(__xludf.DUMMYFUNCTION("IFERROR(
  LET(
    periodos, C$1:Z$1,
    marcas, C770:Z770,
    pos, MAX(
          FILTER(
            COLUMN(marcas)-COLUMN(C770)+1,
            marcas=""X""
          )
        ),
    ultimo, INDEX(periodos, pos),
    XLOOKUP(
      $A770,
      INDI"&amp;"RECT(""'""&amp;ultimo&amp;""'!C:C""),
      INDIRECT(""'""&amp;ultimo&amp;""'!A:A"")
    )
  ),
  """"
)"),"")</f>
        <v/>
      </c>
      <c r="C770" s="41" t="str">
        <f t="shared" ref="C770:J770" si="769">IF(
  COUNTIF(
    INDIRECT("'"&amp;C$1&amp;"'!C:C"),
    $A770
  )&gt;0,
  "X",
  ""
)</f>
        <v/>
      </c>
      <c r="D770" s="41" t="str">
        <f t="shared" si="769"/>
        <v/>
      </c>
      <c r="E770" s="41" t="str">
        <f t="shared" si="769"/>
        <v/>
      </c>
      <c r="F770" s="41" t="str">
        <f t="shared" si="769"/>
        <v/>
      </c>
      <c r="G770" s="41" t="str">
        <f t="shared" si="769"/>
        <v/>
      </c>
      <c r="H770" s="41" t="str">
        <f t="shared" si="769"/>
        <v/>
      </c>
      <c r="I770" s="41" t="str">
        <f t="shared" si="769"/>
        <v/>
      </c>
      <c r="J770" s="41" t="str">
        <f t="shared" si="769"/>
        <v/>
      </c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67.5" customHeight="1">
      <c r="A771" s="39"/>
      <c r="B771" s="43" t="str">
        <f>IFERROR(__xludf.DUMMYFUNCTION("IFERROR(
  LET(
    periodos, C$1:Z$1,
    marcas, C771:Z771,
    pos, MAX(
          FILTER(
            COLUMN(marcas)-COLUMN(C771)+1,
            marcas=""X""
          )
        ),
    ultimo, INDEX(periodos, pos),
    XLOOKUP(
      $A771,
      INDI"&amp;"RECT(""'""&amp;ultimo&amp;""'!C:C""),
      INDIRECT(""'""&amp;ultimo&amp;""'!A:A"")
    )
  ),
  """"
)"),"")</f>
        <v/>
      </c>
      <c r="C771" s="41" t="str">
        <f t="shared" ref="C771:J771" si="770">IF(
  COUNTIF(
    INDIRECT("'"&amp;C$1&amp;"'!C:C"),
    $A771
  )&gt;0,
  "X",
  ""
)</f>
        <v/>
      </c>
      <c r="D771" s="41" t="str">
        <f t="shared" si="770"/>
        <v/>
      </c>
      <c r="E771" s="41" t="str">
        <f t="shared" si="770"/>
        <v/>
      </c>
      <c r="F771" s="41" t="str">
        <f t="shared" si="770"/>
        <v/>
      </c>
      <c r="G771" s="41" t="str">
        <f t="shared" si="770"/>
        <v/>
      </c>
      <c r="H771" s="41" t="str">
        <f t="shared" si="770"/>
        <v/>
      </c>
      <c r="I771" s="41" t="str">
        <f t="shared" si="770"/>
        <v/>
      </c>
      <c r="J771" s="41" t="str">
        <f t="shared" si="770"/>
        <v/>
      </c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67.5" customHeight="1">
      <c r="A772" s="39"/>
      <c r="B772" s="43" t="str">
        <f>IFERROR(__xludf.DUMMYFUNCTION("IFERROR(
  LET(
    periodos, C$1:Z$1,
    marcas, C772:Z772,
    pos, MAX(
          FILTER(
            COLUMN(marcas)-COLUMN(C772)+1,
            marcas=""X""
          )
        ),
    ultimo, INDEX(periodos, pos),
    XLOOKUP(
      $A772,
      INDI"&amp;"RECT(""'""&amp;ultimo&amp;""'!C:C""),
      INDIRECT(""'""&amp;ultimo&amp;""'!A:A"")
    )
  ),
  """"
)"),"")</f>
        <v/>
      </c>
      <c r="C772" s="41" t="str">
        <f t="shared" ref="C772:J772" si="771">IF(
  COUNTIF(
    INDIRECT("'"&amp;C$1&amp;"'!C:C"),
    $A772
  )&gt;0,
  "X",
  ""
)</f>
        <v/>
      </c>
      <c r="D772" s="41" t="str">
        <f t="shared" si="771"/>
        <v/>
      </c>
      <c r="E772" s="41" t="str">
        <f t="shared" si="771"/>
        <v/>
      </c>
      <c r="F772" s="41" t="str">
        <f t="shared" si="771"/>
        <v/>
      </c>
      <c r="G772" s="41" t="str">
        <f t="shared" si="771"/>
        <v/>
      </c>
      <c r="H772" s="41" t="str">
        <f t="shared" si="771"/>
        <v/>
      </c>
      <c r="I772" s="41" t="str">
        <f t="shared" si="771"/>
        <v/>
      </c>
      <c r="J772" s="41" t="str">
        <f t="shared" si="771"/>
        <v/>
      </c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67.5" customHeight="1">
      <c r="A773" s="39"/>
      <c r="B773" s="43" t="str">
        <f>IFERROR(__xludf.DUMMYFUNCTION("IFERROR(
  LET(
    periodos, C$1:Z$1,
    marcas, C773:Z773,
    pos, MAX(
          FILTER(
            COLUMN(marcas)-COLUMN(C773)+1,
            marcas=""X""
          )
        ),
    ultimo, INDEX(periodos, pos),
    XLOOKUP(
      $A773,
      INDI"&amp;"RECT(""'""&amp;ultimo&amp;""'!C:C""),
      INDIRECT(""'""&amp;ultimo&amp;""'!A:A"")
    )
  ),
  """"
)"),"")</f>
        <v/>
      </c>
      <c r="C773" s="41" t="str">
        <f t="shared" ref="C773:J773" si="772">IF(
  COUNTIF(
    INDIRECT("'"&amp;C$1&amp;"'!C:C"),
    $A773
  )&gt;0,
  "X",
  ""
)</f>
        <v/>
      </c>
      <c r="D773" s="41" t="str">
        <f t="shared" si="772"/>
        <v/>
      </c>
      <c r="E773" s="41" t="str">
        <f t="shared" si="772"/>
        <v/>
      </c>
      <c r="F773" s="41" t="str">
        <f t="shared" si="772"/>
        <v/>
      </c>
      <c r="G773" s="41" t="str">
        <f t="shared" si="772"/>
        <v/>
      </c>
      <c r="H773" s="41" t="str">
        <f t="shared" si="772"/>
        <v/>
      </c>
      <c r="I773" s="41" t="str">
        <f t="shared" si="772"/>
        <v/>
      </c>
      <c r="J773" s="41" t="str">
        <f t="shared" si="772"/>
        <v/>
      </c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67.5" customHeight="1">
      <c r="A774" s="39"/>
      <c r="B774" s="43" t="str">
        <f>IFERROR(__xludf.DUMMYFUNCTION("IFERROR(
  LET(
    periodos, C$1:Z$1,
    marcas, C774:Z774,
    pos, MAX(
          FILTER(
            COLUMN(marcas)-COLUMN(C774)+1,
            marcas=""X""
          )
        ),
    ultimo, INDEX(periodos, pos),
    XLOOKUP(
      $A774,
      INDI"&amp;"RECT(""'""&amp;ultimo&amp;""'!C:C""),
      INDIRECT(""'""&amp;ultimo&amp;""'!A:A"")
    )
  ),
  """"
)"),"")</f>
        <v/>
      </c>
      <c r="C774" s="41" t="str">
        <f t="shared" ref="C774:J774" si="773">IF(
  COUNTIF(
    INDIRECT("'"&amp;C$1&amp;"'!C:C"),
    $A774
  )&gt;0,
  "X",
  ""
)</f>
        <v/>
      </c>
      <c r="D774" s="41" t="str">
        <f t="shared" si="773"/>
        <v/>
      </c>
      <c r="E774" s="41" t="str">
        <f t="shared" si="773"/>
        <v/>
      </c>
      <c r="F774" s="41" t="str">
        <f t="shared" si="773"/>
        <v/>
      </c>
      <c r="G774" s="41" t="str">
        <f t="shared" si="773"/>
        <v/>
      </c>
      <c r="H774" s="41" t="str">
        <f t="shared" si="773"/>
        <v/>
      </c>
      <c r="I774" s="41" t="str">
        <f t="shared" si="773"/>
        <v/>
      </c>
      <c r="J774" s="41" t="str">
        <f t="shared" si="773"/>
        <v/>
      </c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67.5" customHeight="1">
      <c r="A775" s="39"/>
      <c r="B775" s="43" t="str">
        <f>IFERROR(__xludf.DUMMYFUNCTION("IFERROR(
  LET(
    periodos, C$1:Z$1,
    marcas, C775:Z775,
    pos, MAX(
          FILTER(
            COLUMN(marcas)-COLUMN(C775)+1,
            marcas=""X""
          )
        ),
    ultimo, INDEX(periodos, pos),
    XLOOKUP(
      $A775,
      INDI"&amp;"RECT(""'""&amp;ultimo&amp;""'!C:C""),
      INDIRECT(""'""&amp;ultimo&amp;""'!A:A"")
    )
  ),
  """"
)"),"")</f>
        <v/>
      </c>
      <c r="C775" s="41" t="str">
        <f t="shared" ref="C775:J775" si="774">IF(
  COUNTIF(
    INDIRECT("'"&amp;C$1&amp;"'!C:C"),
    $A775
  )&gt;0,
  "X",
  ""
)</f>
        <v/>
      </c>
      <c r="D775" s="41" t="str">
        <f t="shared" si="774"/>
        <v/>
      </c>
      <c r="E775" s="41" t="str">
        <f t="shared" si="774"/>
        <v/>
      </c>
      <c r="F775" s="41" t="str">
        <f t="shared" si="774"/>
        <v/>
      </c>
      <c r="G775" s="41" t="str">
        <f t="shared" si="774"/>
        <v/>
      </c>
      <c r="H775" s="41" t="str">
        <f t="shared" si="774"/>
        <v/>
      </c>
      <c r="I775" s="41" t="str">
        <f t="shared" si="774"/>
        <v/>
      </c>
      <c r="J775" s="41" t="str">
        <f t="shared" si="774"/>
        <v/>
      </c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67.5" customHeight="1">
      <c r="A776" s="39"/>
      <c r="B776" s="43" t="str">
        <f>IFERROR(__xludf.DUMMYFUNCTION("IFERROR(
  LET(
    periodos, C$1:Z$1,
    marcas, C776:Z776,
    pos, MAX(
          FILTER(
            COLUMN(marcas)-COLUMN(C776)+1,
            marcas=""X""
          )
        ),
    ultimo, INDEX(periodos, pos),
    XLOOKUP(
      $A776,
      INDI"&amp;"RECT(""'""&amp;ultimo&amp;""'!C:C""),
      INDIRECT(""'""&amp;ultimo&amp;""'!A:A"")
    )
  ),
  """"
)"),"")</f>
        <v/>
      </c>
      <c r="C776" s="41" t="str">
        <f t="shared" ref="C776:J776" si="775">IF(
  COUNTIF(
    INDIRECT("'"&amp;C$1&amp;"'!C:C"),
    $A776
  )&gt;0,
  "X",
  ""
)</f>
        <v/>
      </c>
      <c r="D776" s="41" t="str">
        <f t="shared" si="775"/>
        <v/>
      </c>
      <c r="E776" s="41" t="str">
        <f t="shared" si="775"/>
        <v/>
      </c>
      <c r="F776" s="41" t="str">
        <f t="shared" si="775"/>
        <v/>
      </c>
      <c r="G776" s="41" t="str">
        <f t="shared" si="775"/>
        <v/>
      </c>
      <c r="H776" s="41" t="str">
        <f t="shared" si="775"/>
        <v/>
      </c>
      <c r="I776" s="41" t="str">
        <f t="shared" si="775"/>
        <v/>
      </c>
      <c r="J776" s="41" t="str">
        <f t="shared" si="775"/>
        <v/>
      </c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67.5" customHeight="1">
      <c r="A777" s="39"/>
      <c r="B777" s="43" t="str">
        <f>IFERROR(__xludf.DUMMYFUNCTION("IFERROR(
  LET(
    periodos, C$1:Z$1,
    marcas, C777:Z777,
    pos, MAX(
          FILTER(
            COLUMN(marcas)-COLUMN(C777)+1,
            marcas=""X""
          )
        ),
    ultimo, INDEX(periodos, pos),
    XLOOKUP(
      $A777,
      INDI"&amp;"RECT(""'""&amp;ultimo&amp;""'!C:C""),
      INDIRECT(""'""&amp;ultimo&amp;""'!A:A"")
    )
  ),
  """"
)"),"")</f>
        <v/>
      </c>
      <c r="C777" s="41" t="str">
        <f t="shared" ref="C777:J777" si="776">IF(
  COUNTIF(
    INDIRECT("'"&amp;C$1&amp;"'!C:C"),
    $A777
  )&gt;0,
  "X",
  ""
)</f>
        <v/>
      </c>
      <c r="D777" s="41" t="str">
        <f t="shared" si="776"/>
        <v/>
      </c>
      <c r="E777" s="41" t="str">
        <f t="shared" si="776"/>
        <v/>
      </c>
      <c r="F777" s="41" t="str">
        <f t="shared" si="776"/>
        <v/>
      </c>
      <c r="G777" s="41" t="str">
        <f t="shared" si="776"/>
        <v/>
      </c>
      <c r="H777" s="41" t="str">
        <f t="shared" si="776"/>
        <v/>
      </c>
      <c r="I777" s="41" t="str">
        <f t="shared" si="776"/>
        <v/>
      </c>
      <c r="J777" s="41" t="str">
        <f t="shared" si="776"/>
        <v/>
      </c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67.5" customHeight="1">
      <c r="A778" s="39"/>
      <c r="B778" s="43" t="str">
        <f>IFERROR(__xludf.DUMMYFUNCTION("IFERROR(
  LET(
    periodos, C$1:Z$1,
    marcas, C778:Z778,
    pos, MAX(
          FILTER(
            COLUMN(marcas)-COLUMN(C778)+1,
            marcas=""X""
          )
        ),
    ultimo, INDEX(periodos, pos),
    XLOOKUP(
      $A778,
      INDI"&amp;"RECT(""'""&amp;ultimo&amp;""'!C:C""),
      INDIRECT(""'""&amp;ultimo&amp;""'!A:A"")
    )
  ),
  """"
)"),"")</f>
        <v/>
      </c>
      <c r="C778" s="41" t="str">
        <f t="shared" ref="C778:J778" si="777">IF(
  COUNTIF(
    INDIRECT("'"&amp;C$1&amp;"'!C:C"),
    $A778
  )&gt;0,
  "X",
  ""
)</f>
        <v/>
      </c>
      <c r="D778" s="41" t="str">
        <f t="shared" si="777"/>
        <v/>
      </c>
      <c r="E778" s="41" t="str">
        <f t="shared" si="777"/>
        <v/>
      </c>
      <c r="F778" s="41" t="str">
        <f t="shared" si="777"/>
        <v/>
      </c>
      <c r="G778" s="41" t="str">
        <f t="shared" si="777"/>
        <v/>
      </c>
      <c r="H778" s="41" t="str">
        <f t="shared" si="777"/>
        <v/>
      </c>
      <c r="I778" s="41" t="str">
        <f t="shared" si="777"/>
        <v/>
      </c>
      <c r="J778" s="41" t="str">
        <f t="shared" si="777"/>
        <v/>
      </c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67.5" customHeight="1">
      <c r="A779" s="39"/>
      <c r="B779" s="43" t="str">
        <f>IFERROR(__xludf.DUMMYFUNCTION("IFERROR(
  LET(
    periodos, C$1:Z$1,
    marcas, C779:Z779,
    pos, MAX(
          FILTER(
            COLUMN(marcas)-COLUMN(C779)+1,
            marcas=""X""
          )
        ),
    ultimo, INDEX(periodos, pos),
    XLOOKUP(
      $A779,
      INDI"&amp;"RECT(""'""&amp;ultimo&amp;""'!C:C""),
      INDIRECT(""'""&amp;ultimo&amp;""'!A:A"")
    )
  ),
  """"
)"),"")</f>
        <v/>
      </c>
      <c r="C779" s="41" t="str">
        <f t="shared" ref="C779:J779" si="778">IF(
  COUNTIF(
    INDIRECT("'"&amp;C$1&amp;"'!C:C"),
    $A779
  )&gt;0,
  "X",
  ""
)</f>
        <v/>
      </c>
      <c r="D779" s="41" t="str">
        <f t="shared" si="778"/>
        <v/>
      </c>
      <c r="E779" s="41" t="str">
        <f t="shared" si="778"/>
        <v/>
      </c>
      <c r="F779" s="41" t="str">
        <f t="shared" si="778"/>
        <v/>
      </c>
      <c r="G779" s="41" t="str">
        <f t="shared" si="778"/>
        <v/>
      </c>
      <c r="H779" s="41" t="str">
        <f t="shared" si="778"/>
        <v/>
      </c>
      <c r="I779" s="41" t="str">
        <f t="shared" si="778"/>
        <v/>
      </c>
      <c r="J779" s="41" t="str">
        <f t="shared" si="778"/>
        <v/>
      </c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67.5" customHeight="1">
      <c r="A780" s="39"/>
      <c r="B780" s="43" t="str">
        <f>IFERROR(__xludf.DUMMYFUNCTION("IFERROR(
  LET(
    periodos, C$1:Z$1,
    marcas, C780:Z780,
    pos, MAX(
          FILTER(
            COLUMN(marcas)-COLUMN(C780)+1,
            marcas=""X""
          )
        ),
    ultimo, INDEX(periodos, pos),
    XLOOKUP(
      $A780,
      INDI"&amp;"RECT(""'""&amp;ultimo&amp;""'!C:C""),
      INDIRECT(""'""&amp;ultimo&amp;""'!A:A"")
    )
  ),
  """"
)"),"")</f>
        <v/>
      </c>
      <c r="C780" s="41" t="str">
        <f t="shared" ref="C780:J780" si="779">IF(
  COUNTIF(
    INDIRECT("'"&amp;C$1&amp;"'!C:C"),
    $A780
  )&gt;0,
  "X",
  ""
)</f>
        <v/>
      </c>
      <c r="D780" s="41" t="str">
        <f t="shared" si="779"/>
        <v/>
      </c>
      <c r="E780" s="41" t="str">
        <f t="shared" si="779"/>
        <v/>
      </c>
      <c r="F780" s="41" t="str">
        <f t="shared" si="779"/>
        <v/>
      </c>
      <c r="G780" s="41" t="str">
        <f t="shared" si="779"/>
        <v/>
      </c>
      <c r="H780" s="41" t="str">
        <f t="shared" si="779"/>
        <v/>
      </c>
      <c r="I780" s="41" t="str">
        <f t="shared" si="779"/>
        <v/>
      </c>
      <c r="J780" s="41" t="str">
        <f t="shared" si="779"/>
        <v/>
      </c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67.5" customHeight="1">
      <c r="A781" s="39"/>
      <c r="B781" s="43" t="str">
        <f>IFERROR(__xludf.DUMMYFUNCTION("IFERROR(
  LET(
    periodos, C$1:Z$1,
    marcas, C781:Z781,
    pos, MAX(
          FILTER(
            COLUMN(marcas)-COLUMN(C781)+1,
            marcas=""X""
          )
        ),
    ultimo, INDEX(periodos, pos),
    XLOOKUP(
      $A781,
      INDI"&amp;"RECT(""'""&amp;ultimo&amp;""'!C:C""),
      INDIRECT(""'""&amp;ultimo&amp;""'!A:A"")
    )
  ),
  """"
)"),"")</f>
        <v/>
      </c>
      <c r="C781" s="41" t="str">
        <f t="shared" ref="C781:J781" si="780">IF(
  COUNTIF(
    INDIRECT("'"&amp;C$1&amp;"'!C:C"),
    $A781
  )&gt;0,
  "X",
  ""
)</f>
        <v/>
      </c>
      <c r="D781" s="41" t="str">
        <f t="shared" si="780"/>
        <v/>
      </c>
      <c r="E781" s="41" t="str">
        <f t="shared" si="780"/>
        <v/>
      </c>
      <c r="F781" s="41" t="str">
        <f t="shared" si="780"/>
        <v/>
      </c>
      <c r="G781" s="41" t="str">
        <f t="shared" si="780"/>
        <v/>
      </c>
      <c r="H781" s="41" t="str">
        <f t="shared" si="780"/>
        <v/>
      </c>
      <c r="I781" s="41" t="str">
        <f t="shared" si="780"/>
        <v/>
      </c>
      <c r="J781" s="41" t="str">
        <f t="shared" si="780"/>
        <v/>
      </c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67.5" customHeight="1">
      <c r="A782" s="39"/>
      <c r="B782" s="43" t="str">
        <f>IFERROR(__xludf.DUMMYFUNCTION("IFERROR(
  LET(
    periodos, C$1:Z$1,
    marcas, C782:Z782,
    pos, MAX(
          FILTER(
            COLUMN(marcas)-COLUMN(C782)+1,
            marcas=""X""
          )
        ),
    ultimo, INDEX(periodos, pos),
    XLOOKUP(
      $A782,
      INDI"&amp;"RECT(""'""&amp;ultimo&amp;""'!C:C""),
      INDIRECT(""'""&amp;ultimo&amp;""'!A:A"")
    )
  ),
  """"
)"),"")</f>
        <v/>
      </c>
      <c r="C782" s="41" t="str">
        <f t="shared" ref="C782:J782" si="781">IF(
  COUNTIF(
    INDIRECT("'"&amp;C$1&amp;"'!C:C"),
    $A782
  )&gt;0,
  "X",
  ""
)</f>
        <v/>
      </c>
      <c r="D782" s="41" t="str">
        <f t="shared" si="781"/>
        <v/>
      </c>
      <c r="E782" s="41" t="str">
        <f t="shared" si="781"/>
        <v/>
      </c>
      <c r="F782" s="41" t="str">
        <f t="shared" si="781"/>
        <v/>
      </c>
      <c r="G782" s="41" t="str">
        <f t="shared" si="781"/>
        <v/>
      </c>
      <c r="H782" s="41" t="str">
        <f t="shared" si="781"/>
        <v/>
      </c>
      <c r="I782" s="41" t="str">
        <f t="shared" si="781"/>
        <v/>
      </c>
      <c r="J782" s="41" t="str">
        <f t="shared" si="781"/>
        <v/>
      </c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67.5" customHeight="1">
      <c r="A783" s="39"/>
      <c r="B783" s="43" t="str">
        <f>IFERROR(__xludf.DUMMYFUNCTION("IFERROR(
  LET(
    periodos, C$1:Z$1,
    marcas, C783:Z783,
    pos, MAX(
          FILTER(
            COLUMN(marcas)-COLUMN(C783)+1,
            marcas=""X""
          )
        ),
    ultimo, INDEX(periodos, pos),
    XLOOKUP(
      $A783,
      INDI"&amp;"RECT(""'""&amp;ultimo&amp;""'!C:C""),
      INDIRECT(""'""&amp;ultimo&amp;""'!A:A"")
    )
  ),
  """"
)"),"")</f>
        <v/>
      </c>
      <c r="C783" s="41" t="str">
        <f t="shared" ref="C783:J783" si="782">IF(
  COUNTIF(
    INDIRECT("'"&amp;C$1&amp;"'!C:C"),
    $A783
  )&gt;0,
  "X",
  ""
)</f>
        <v/>
      </c>
      <c r="D783" s="41" t="str">
        <f t="shared" si="782"/>
        <v/>
      </c>
      <c r="E783" s="41" t="str">
        <f t="shared" si="782"/>
        <v/>
      </c>
      <c r="F783" s="41" t="str">
        <f t="shared" si="782"/>
        <v/>
      </c>
      <c r="G783" s="41" t="str">
        <f t="shared" si="782"/>
        <v/>
      </c>
      <c r="H783" s="41" t="str">
        <f t="shared" si="782"/>
        <v/>
      </c>
      <c r="I783" s="41" t="str">
        <f t="shared" si="782"/>
        <v/>
      </c>
      <c r="J783" s="41" t="str">
        <f t="shared" si="782"/>
        <v/>
      </c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67.5" customHeight="1">
      <c r="A784" s="39"/>
      <c r="B784" s="43" t="str">
        <f>IFERROR(__xludf.DUMMYFUNCTION("IFERROR(
  LET(
    periodos, C$1:Z$1,
    marcas, C784:Z784,
    pos, MAX(
          FILTER(
            COLUMN(marcas)-COLUMN(C784)+1,
            marcas=""X""
          )
        ),
    ultimo, INDEX(periodos, pos),
    XLOOKUP(
      $A784,
      INDI"&amp;"RECT(""'""&amp;ultimo&amp;""'!C:C""),
      INDIRECT(""'""&amp;ultimo&amp;""'!A:A"")
    )
  ),
  """"
)"),"")</f>
        <v/>
      </c>
      <c r="C784" s="41" t="str">
        <f t="shared" ref="C784:J784" si="783">IF(
  COUNTIF(
    INDIRECT("'"&amp;C$1&amp;"'!C:C"),
    $A784
  )&gt;0,
  "X",
  ""
)</f>
        <v/>
      </c>
      <c r="D784" s="41" t="str">
        <f t="shared" si="783"/>
        <v/>
      </c>
      <c r="E784" s="41" t="str">
        <f t="shared" si="783"/>
        <v/>
      </c>
      <c r="F784" s="41" t="str">
        <f t="shared" si="783"/>
        <v/>
      </c>
      <c r="G784" s="41" t="str">
        <f t="shared" si="783"/>
        <v/>
      </c>
      <c r="H784" s="41" t="str">
        <f t="shared" si="783"/>
        <v/>
      </c>
      <c r="I784" s="41" t="str">
        <f t="shared" si="783"/>
        <v/>
      </c>
      <c r="J784" s="41" t="str">
        <f t="shared" si="783"/>
        <v/>
      </c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67.5" customHeight="1">
      <c r="A785" s="39"/>
      <c r="B785" s="43" t="str">
        <f>IFERROR(__xludf.DUMMYFUNCTION("IFERROR(
  LET(
    periodos, C$1:Z$1,
    marcas, C785:Z785,
    pos, MAX(
          FILTER(
            COLUMN(marcas)-COLUMN(C785)+1,
            marcas=""X""
          )
        ),
    ultimo, INDEX(periodos, pos),
    XLOOKUP(
      $A785,
      INDI"&amp;"RECT(""'""&amp;ultimo&amp;""'!C:C""),
      INDIRECT(""'""&amp;ultimo&amp;""'!A:A"")
    )
  ),
  """"
)"),"")</f>
        <v/>
      </c>
      <c r="C785" s="41" t="str">
        <f t="shared" ref="C785:J785" si="784">IF(
  COUNTIF(
    INDIRECT("'"&amp;C$1&amp;"'!C:C"),
    $A785
  )&gt;0,
  "X",
  ""
)</f>
        <v/>
      </c>
      <c r="D785" s="41" t="str">
        <f t="shared" si="784"/>
        <v/>
      </c>
      <c r="E785" s="41" t="str">
        <f t="shared" si="784"/>
        <v/>
      </c>
      <c r="F785" s="41" t="str">
        <f t="shared" si="784"/>
        <v/>
      </c>
      <c r="G785" s="41" t="str">
        <f t="shared" si="784"/>
        <v/>
      </c>
      <c r="H785" s="41" t="str">
        <f t="shared" si="784"/>
        <v/>
      </c>
      <c r="I785" s="41" t="str">
        <f t="shared" si="784"/>
        <v/>
      </c>
      <c r="J785" s="41" t="str">
        <f t="shared" si="784"/>
        <v/>
      </c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67.5" customHeight="1">
      <c r="A786" s="39"/>
      <c r="B786" s="43" t="str">
        <f>IFERROR(__xludf.DUMMYFUNCTION("IFERROR(
  LET(
    periodos, C$1:Z$1,
    marcas, C786:Z786,
    pos, MAX(
          FILTER(
            COLUMN(marcas)-COLUMN(C786)+1,
            marcas=""X""
          )
        ),
    ultimo, INDEX(periodos, pos),
    XLOOKUP(
      $A786,
      INDI"&amp;"RECT(""'""&amp;ultimo&amp;""'!C:C""),
      INDIRECT(""'""&amp;ultimo&amp;""'!A:A"")
    )
  ),
  """"
)"),"")</f>
        <v/>
      </c>
      <c r="C786" s="41" t="str">
        <f t="shared" ref="C786:J786" si="785">IF(
  COUNTIF(
    INDIRECT("'"&amp;C$1&amp;"'!C:C"),
    $A786
  )&gt;0,
  "X",
  ""
)</f>
        <v/>
      </c>
      <c r="D786" s="41" t="str">
        <f t="shared" si="785"/>
        <v/>
      </c>
      <c r="E786" s="41" t="str">
        <f t="shared" si="785"/>
        <v/>
      </c>
      <c r="F786" s="41" t="str">
        <f t="shared" si="785"/>
        <v/>
      </c>
      <c r="G786" s="41" t="str">
        <f t="shared" si="785"/>
        <v/>
      </c>
      <c r="H786" s="41" t="str">
        <f t="shared" si="785"/>
        <v/>
      </c>
      <c r="I786" s="41" t="str">
        <f t="shared" si="785"/>
        <v/>
      </c>
      <c r="J786" s="41" t="str">
        <f t="shared" si="785"/>
        <v/>
      </c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67.5" customHeight="1">
      <c r="A787" s="39"/>
      <c r="B787" s="43" t="str">
        <f>IFERROR(__xludf.DUMMYFUNCTION("IFERROR(
  LET(
    periodos, C$1:Z$1,
    marcas, C787:Z787,
    pos, MAX(
          FILTER(
            COLUMN(marcas)-COLUMN(C787)+1,
            marcas=""X""
          )
        ),
    ultimo, INDEX(periodos, pos),
    XLOOKUP(
      $A787,
      INDI"&amp;"RECT(""'""&amp;ultimo&amp;""'!C:C""),
      INDIRECT(""'""&amp;ultimo&amp;""'!A:A"")
    )
  ),
  """"
)"),"")</f>
        <v/>
      </c>
      <c r="C787" s="41" t="str">
        <f t="shared" ref="C787:J787" si="786">IF(
  COUNTIF(
    INDIRECT("'"&amp;C$1&amp;"'!C:C"),
    $A787
  )&gt;0,
  "X",
  ""
)</f>
        <v/>
      </c>
      <c r="D787" s="41" t="str">
        <f t="shared" si="786"/>
        <v/>
      </c>
      <c r="E787" s="41" t="str">
        <f t="shared" si="786"/>
        <v/>
      </c>
      <c r="F787" s="41" t="str">
        <f t="shared" si="786"/>
        <v/>
      </c>
      <c r="G787" s="41" t="str">
        <f t="shared" si="786"/>
        <v/>
      </c>
      <c r="H787" s="41" t="str">
        <f t="shared" si="786"/>
        <v/>
      </c>
      <c r="I787" s="41" t="str">
        <f t="shared" si="786"/>
        <v/>
      </c>
      <c r="J787" s="41" t="str">
        <f t="shared" si="786"/>
        <v/>
      </c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67.5" customHeight="1">
      <c r="A788" s="39"/>
      <c r="B788" s="43" t="str">
        <f>IFERROR(__xludf.DUMMYFUNCTION("IFERROR(
  LET(
    periodos, C$1:Z$1,
    marcas, C788:Z788,
    pos, MAX(
          FILTER(
            COLUMN(marcas)-COLUMN(C788)+1,
            marcas=""X""
          )
        ),
    ultimo, INDEX(periodos, pos),
    XLOOKUP(
      $A788,
      INDI"&amp;"RECT(""'""&amp;ultimo&amp;""'!C:C""),
      INDIRECT(""'""&amp;ultimo&amp;""'!A:A"")
    )
  ),
  """"
)"),"")</f>
        <v/>
      </c>
      <c r="C788" s="41" t="str">
        <f t="shared" ref="C788:J788" si="787">IF(
  COUNTIF(
    INDIRECT("'"&amp;C$1&amp;"'!C:C"),
    $A788
  )&gt;0,
  "X",
  ""
)</f>
        <v/>
      </c>
      <c r="D788" s="41" t="str">
        <f t="shared" si="787"/>
        <v/>
      </c>
      <c r="E788" s="41" t="str">
        <f t="shared" si="787"/>
        <v/>
      </c>
      <c r="F788" s="41" t="str">
        <f t="shared" si="787"/>
        <v/>
      </c>
      <c r="G788" s="41" t="str">
        <f t="shared" si="787"/>
        <v/>
      </c>
      <c r="H788" s="41" t="str">
        <f t="shared" si="787"/>
        <v/>
      </c>
      <c r="I788" s="41" t="str">
        <f t="shared" si="787"/>
        <v/>
      </c>
      <c r="J788" s="41" t="str">
        <f t="shared" si="787"/>
        <v/>
      </c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67.5" customHeight="1">
      <c r="A789" s="39"/>
      <c r="B789" s="43" t="str">
        <f>IFERROR(__xludf.DUMMYFUNCTION("IFERROR(
  LET(
    periodos, C$1:Z$1,
    marcas, C789:Z789,
    pos, MAX(
          FILTER(
            COLUMN(marcas)-COLUMN(C789)+1,
            marcas=""X""
          )
        ),
    ultimo, INDEX(periodos, pos),
    XLOOKUP(
      $A789,
      INDI"&amp;"RECT(""'""&amp;ultimo&amp;""'!C:C""),
      INDIRECT(""'""&amp;ultimo&amp;""'!A:A"")
    )
  ),
  """"
)"),"")</f>
        <v/>
      </c>
      <c r="C789" s="41" t="str">
        <f t="shared" ref="C789:J789" si="788">IF(
  COUNTIF(
    INDIRECT("'"&amp;C$1&amp;"'!C:C"),
    $A789
  )&gt;0,
  "X",
  ""
)</f>
        <v/>
      </c>
      <c r="D789" s="41" t="str">
        <f t="shared" si="788"/>
        <v/>
      </c>
      <c r="E789" s="41" t="str">
        <f t="shared" si="788"/>
        <v/>
      </c>
      <c r="F789" s="41" t="str">
        <f t="shared" si="788"/>
        <v/>
      </c>
      <c r="G789" s="41" t="str">
        <f t="shared" si="788"/>
        <v/>
      </c>
      <c r="H789" s="41" t="str">
        <f t="shared" si="788"/>
        <v/>
      </c>
      <c r="I789" s="41" t="str">
        <f t="shared" si="788"/>
        <v/>
      </c>
      <c r="J789" s="41" t="str">
        <f t="shared" si="788"/>
        <v/>
      </c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67.5" customHeight="1">
      <c r="A790" s="39"/>
      <c r="B790" s="43" t="str">
        <f>IFERROR(__xludf.DUMMYFUNCTION("IFERROR(
  LET(
    periodos, C$1:Z$1,
    marcas, C790:Z790,
    pos, MAX(
          FILTER(
            COLUMN(marcas)-COLUMN(C790)+1,
            marcas=""X""
          )
        ),
    ultimo, INDEX(periodos, pos),
    XLOOKUP(
      $A790,
      INDI"&amp;"RECT(""'""&amp;ultimo&amp;""'!C:C""),
      INDIRECT(""'""&amp;ultimo&amp;""'!A:A"")
    )
  ),
  """"
)"),"")</f>
        <v/>
      </c>
      <c r="C790" s="41" t="str">
        <f t="shared" ref="C790:J790" si="789">IF(
  COUNTIF(
    INDIRECT("'"&amp;C$1&amp;"'!C:C"),
    $A790
  )&gt;0,
  "X",
  ""
)</f>
        <v/>
      </c>
      <c r="D790" s="41" t="str">
        <f t="shared" si="789"/>
        <v/>
      </c>
      <c r="E790" s="41" t="str">
        <f t="shared" si="789"/>
        <v/>
      </c>
      <c r="F790" s="41" t="str">
        <f t="shared" si="789"/>
        <v/>
      </c>
      <c r="G790" s="41" t="str">
        <f t="shared" si="789"/>
        <v/>
      </c>
      <c r="H790" s="41" t="str">
        <f t="shared" si="789"/>
        <v/>
      </c>
      <c r="I790" s="41" t="str">
        <f t="shared" si="789"/>
        <v/>
      </c>
      <c r="J790" s="41" t="str">
        <f t="shared" si="789"/>
        <v/>
      </c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67.5" customHeight="1">
      <c r="A791" s="39"/>
      <c r="B791" s="43" t="str">
        <f>IFERROR(__xludf.DUMMYFUNCTION("IFERROR(
  LET(
    periodos, C$1:Z$1,
    marcas, C791:Z791,
    pos, MAX(
          FILTER(
            COLUMN(marcas)-COLUMN(C791)+1,
            marcas=""X""
          )
        ),
    ultimo, INDEX(periodos, pos),
    XLOOKUP(
      $A791,
      INDI"&amp;"RECT(""'""&amp;ultimo&amp;""'!C:C""),
      INDIRECT(""'""&amp;ultimo&amp;""'!A:A"")
    )
  ),
  """"
)"),"")</f>
        <v/>
      </c>
      <c r="C791" s="41" t="str">
        <f t="shared" ref="C791:J791" si="790">IF(
  COUNTIF(
    INDIRECT("'"&amp;C$1&amp;"'!C:C"),
    $A791
  )&gt;0,
  "X",
  ""
)</f>
        <v/>
      </c>
      <c r="D791" s="41" t="str">
        <f t="shared" si="790"/>
        <v/>
      </c>
      <c r="E791" s="41" t="str">
        <f t="shared" si="790"/>
        <v/>
      </c>
      <c r="F791" s="41" t="str">
        <f t="shared" si="790"/>
        <v/>
      </c>
      <c r="G791" s="41" t="str">
        <f t="shared" si="790"/>
        <v/>
      </c>
      <c r="H791" s="41" t="str">
        <f t="shared" si="790"/>
        <v/>
      </c>
      <c r="I791" s="41" t="str">
        <f t="shared" si="790"/>
        <v/>
      </c>
      <c r="J791" s="41" t="str">
        <f t="shared" si="790"/>
        <v/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67.5" customHeight="1">
      <c r="A792" s="39"/>
      <c r="B792" s="43" t="str">
        <f>IFERROR(__xludf.DUMMYFUNCTION("IFERROR(
  LET(
    periodos, C$1:Z$1,
    marcas, C792:Z792,
    pos, MAX(
          FILTER(
            COLUMN(marcas)-COLUMN(C792)+1,
            marcas=""X""
          )
        ),
    ultimo, INDEX(periodos, pos),
    XLOOKUP(
      $A792,
      INDI"&amp;"RECT(""'""&amp;ultimo&amp;""'!C:C""),
      INDIRECT(""'""&amp;ultimo&amp;""'!A:A"")
    )
  ),
  """"
)"),"")</f>
        <v/>
      </c>
      <c r="C792" s="41" t="str">
        <f t="shared" ref="C792:J792" si="791">IF(
  COUNTIF(
    INDIRECT("'"&amp;C$1&amp;"'!C:C"),
    $A792
  )&gt;0,
  "X",
  ""
)</f>
        <v/>
      </c>
      <c r="D792" s="41" t="str">
        <f t="shared" si="791"/>
        <v/>
      </c>
      <c r="E792" s="41" t="str">
        <f t="shared" si="791"/>
        <v/>
      </c>
      <c r="F792" s="41" t="str">
        <f t="shared" si="791"/>
        <v/>
      </c>
      <c r="G792" s="41" t="str">
        <f t="shared" si="791"/>
        <v/>
      </c>
      <c r="H792" s="41" t="str">
        <f t="shared" si="791"/>
        <v/>
      </c>
      <c r="I792" s="41" t="str">
        <f t="shared" si="791"/>
        <v/>
      </c>
      <c r="J792" s="41" t="str">
        <f t="shared" si="791"/>
        <v/>
      </c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67.5" customHeight="1">
      <c r="A793" s="39"/>
      <c r="B793" s="43" t="str">
        <f>IFERROR(__xludf.DUMMYFUNCTION("IFERROR(
  LET(
    periodos, C$1:Z$1,
    marcas, C793:Z793,
    pos, MAX(
          FILTER(
            COLUMN(marcas)-COLUMN(C793)+1,
            marcas=""X""
          )
        ),
    ultimo, INDEX(periodos, pos),
    XLOOKUP(
      $A793,
      INDI"&amp;"RECT(""'""&amp;ultimo&amp;""'!C:C""),
      INDIRECT(""'""&amp;ultimo&amp;""'!A:A"")
    )
  ),
  """"
)"),"")</f>
        <v/>
      </c>
      <c r="C793" s="41" t="str">
        <f t="shared" ref="C793:J793" si="792">IF(
  COUNTIF(
    INDIRECT("'"&amp;C$1&amp;"'!C:C"),
    $A793
  )&gt;0,
  "X",
  ""
)</f>
        <v/>
      </c>
      <c r="D793" s="41" t="str">
        <f t="shared" si="792"/>
        <v/>
      </c>
      <c r="E793" s="41" t="str">
        <f t="shared" si="792"/>
        <v/>
      </c>
      <c r="F793" s="41" t="str">
        <f t="shared" si="792"/>
        <v/>
      </c>
      <c r="G793" s="41" t="str">
        <f t="shared" si="792"/>
        <v/>
      </c>
      <c r="H793" s="41" t="str">
        <f t="shared" si="792"/>
        <v/>
      </c>
      <c r="I793" s="41" t="str">
        <f t="shared" si="792"/>
        <v/>
      </c>
      <c r="J793" s="41" t="str">
        <f t="shared" si="792"/>
        <v/>
      </c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67.5" customHeight="1">
      <c r="A794" s="39"/>
      <c r="B794" s="43" t="str">
        <f>IFERROR(__xludf.DUMMYFUNCTION("IFERROR(
  LET(
    periodos, C$1:Z$1,
    marcas, C794:Z794,
    pos, MAX(
          FILTER(
            COLUMN(marcas)-COLUMN(C794)+1,
            marcas=""X""
          )
        ),
    ultimo, INDEX(periodos, pos),
    XLOOKUP(
      $A794,
      INDI"&amp;"RECT(""'""&amp;ultimo&amp;""'!C:C""),
      INDIRECT(""'""&amp;ultimo&amp;""'!A:A"")
    )
  ),
  """"
)"),"")</f>
        <v/>
      </c>
      <c r="C794" s="41" t="str">
        <f t="shared" ref="C794:J794" si="793">IF(
  COUNTIF(
    INDIRECT("'"&amp;C$1&amp;"'!C:C"),
    $A794
  )&gt;0,
  "X",
  ""
)</f>
        <v/>
      </c>
      <c r="D794" s="41" t="str">
        <f t="shared" si="793"/>
        <v/>
      </c>
      <c r="E794" s="41" t="str">
        <f t="shared" si="793"/>
        <v/>
      </c>
      <c r="F794" s="41" t="str">
        <f t="shared" si="793"/>
        <v/>
      </c>
      <c r="G794" s="41" t="str">
        <f t="shared" si="793"/>
        <v/>
      </c>
      <c r="H794" s="41" t="str">
        <f t="shared" si="793"/>
        <v/>
      </c>
      <c r="I794" s="41" t="str">
        <f t="shared" si="793"/>
        <v/>
      </c>
      <c r="J794" s="41" t="str">
        <f t="shared" si="793"/>
        <v/>
      </c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67.5" customHeight="1">
      <c r="A795" s="39"/>
      <c r="B795" s="43" t="str">
        <f>IFERROR(__xludf.DUMMYFUNCTION("IFERROR(
  LET(
    periodos, C$1:Z$1,
    marcas, C795:Z795,
    pos, MAX(
          FILTER(
            COLUMN(marcas)-COLUMN(C795)+1,
            marcas=""X""
          )
        ),
    ultimo, INDEX(periodos, pos),
    XLOOKUP(
      $A795,
      INDI"&amp;"RECT(""'""&amp;ultimo&amp;""'!C:C""),
      INDIRECT(""'""&amp;ultimo&amp;""'!A:A"")
    )
  ),
  """"
)"),"")</f>
        <v/>
      </c>
      <c r="C795" s="41" t="str">
        <f t="shared" ref="C795:J795" si="794">IF(
  COUNTIF(
    INDIRECT("'"&amp;C$1&amp;"'!C:C"),
    $A795
  )&gt;0,
  "X",
  ""
)</f>
        <v/>
      </c>
      <c r="D795" s="41" t="str">
        <f t="shared" si="794"/>
        <v/>
      </c>
      <c r="E795" s="41" t="str">
        <f t="shared" si="794"/>
        <v/>
      </c>
      <c r="F795" s="41" t="str">
        <f t="shared" si="794"/>
        <v/>
      </c>
      <c r="G795" s="41" t="str">
        <f t="shared" si="794"/>
        <v/>
      </c>
      <c r="H795" s="41" t="str">
        <f t="shared" si="794"/>
        <v/>
      </c>
      <c r="I795" s="41" t="str">
        <f t="shared" si="794"/>
        <v/>
      </c>
      <c r="J795" s="41" t="str">
        <f t="shared" si="794"/>
        <v/>
      </c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67.5" customHeight="1">
      <c r="A796" s="39"/>
      <c r="B796" s="43" t="str">
        <f>IFERROR(__xludf.DUMMYFUNCTION("IFERROR(
  LET(
    periodos, C$1:Z$1,
    marcas, C796:Z796,
    pos, MAX(
          FILTER(
            COLUMN(marcas)-COLUMN(C796)+1,
            marcas=""X""
          )
        ),
    ultimo, INDEX(periodos, pos),
    XLOOKUP(
      $A796,
      INDI"&amp;"RECT(""'""&amp;ultimo&amp;""'!C:C""),
      INDIRECT(""'""&amp;ultimo&amp;""'!A:A"")
    )
  ),
  """"
)"),"")</f>
        <v/>
      </c>
      <c r="C796" s="41" t="str">
        <f t="shared" ref="C796:J796" si="795">IF(
  COUNTIF(
    INDIRECT("'"&amp;C$1&amp;"'!C:C"),
    $A796
  )&gt;0,
  "X",
  ""
)</f>
        <v/>
      </c>
      <c r="D796" s="41" t="str">
        <f t="shared" si="795"/>
        <v/>
      </c>
      <c r="E796" s="41" t="str">
        <f t="shared" si="795"/>
        <v/>
      </c>
      <c r="F796" s="41" t="str">
        <f t="shared" si="795"/>
        <v/>
      </c>
      <c r="G796" s="41" t="str">
        <f t="shared" si="795"/>
        <v/>
      </c>
      <c r="H796" s="41" t="str">
        <f t="shared" si="795"/>
        <v/>
      </c>
      <c r="I796" s="41" t="str">
        <f t="shared" si="795"/>
        <v/>
      </c>
      <c r="J796" s="41" t="str">
        <f t="shared" si="795"/>
        <v/>
      </c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67.5" customHeight="1">
      <c r="A797" s="39"/>
      <c r="B797" s="43" t="str">
        <f>IFERROR(__xludf.DUMMYFUNCTION("IFERROR(
  LET(
    periodos, C$1:Z$1,
    marcas, C797:Z797,
    pos, MAX(
          FILTER(
            COLUMN(marcas)-COLUMN(C797)+1,
            marcas=""X""
          )
        ),
    ultimo, INDEX(periodos, pos),
    XLOOKUP(
      $A797,
      INDI"&amp;"RECT(""'""&amp;ultimo&amp;""'!C:C""),
      INDIRECT(""'""&amp;ultimo&amp;""'!A:A"")
    )
  ),
  """"
)"),"")</f>
        <v/>
      </c>
      <c r="C797" s="41" t="str">
        <f t="shared" ref="C797:J797" si="796">IF(
  COUNTIF(
    INDIRECT("'"&amp;C$1&amp;"'!C:C"),
    $A797
  )&gt;0,
  "X",
  ""
)</f>
        <v/>
      </c>
      <c r="D797" s="41" t="str">
        <f t="shared" si="796"/>
        <v/>
      </c>
      <c r="E797" s="41" t="str">
        <f t="shared" si="796"/>
        <v/>
      </c>
      <c r="F797" s="41" t="str">
        <f t="shared" si="796"/>
        <v/>
      </c>
      <c r="G797" s="41" t="str">
        <f t="shared" si="796"/>
        <v/>
      </c>
      <c r="H797" s="41" t="str">
        <f t="shared" si="796"/>
        <v/>
      </c>
      <c r="I797" s="41" t="str">
        <f t="shared" si="796"/>
        <v/>
      </c>
      <c r="J797" s="41" t="str">
        <f t="shared" si="796"/>
        <v/>
      </c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67.5" customHeight="1">
      <c r="A798" s="39"/>
      <c r="B798" s="43" t="str">
        <f>IFERROR(__xludf.DUMMYFUNCTION("IFERROR(
  LET(
    periodos, C$1:Z$1,
    marcas, C798:Z798,
    pos, MAX(
          FILTER(
            COLUMN(marcas)-COLUMN(C798)+1,
            marcas=""X""
          )
        ),
    ultimo, INDEX(periodos, pos),
    XLOOKUP(
      $A798,
      INDI"&amp;"RECT(""'""&amp;ultimo&amp;""'!C:C""),
      INDIRECT(""'""&amp;ultimo&amp;""'!A:A"")
    )
  ),
  """"
)"),"")</f>
        <v/>
      </c>
      <c r="C798" s="41" t="str">
        <f t="shared" ref="C798:J798" si="797">IF(
  COUNTIF(
    INDIRECT("'"&amp;C$1&amp;"'!C:C"),
    $A798
  )&gt;0,
  "X",
  ""
)</f>
        <v/>
      </c>
      <c r="D798" s="41" t="str">
        <f t="shared" si="797"/>
        <v/>
      </c>
      <c r="E798" s="41" t="str">
        <f t="shared" si="797"/>
        <v/>
      </c>
      <c r="F798" s="41" t="str">
        <f t="shared" si="797"/>
        <v/>
      </c>
      <c r="G798" s="41" t="str">
        <f t="shared" si="797"/>
        <v/>
      </c>
      <c r="H798" s="41" t="str">
        <f t="shared" si="797"/>
        <v/>
      </c>
      <c r="I798" s="41" t="str">
        <f t="shared" si="797"/>
        <v/>
      </c>
      <c r="J798" s="41" t="str">
        <f t="shared" si="797"/>
        <v/>
      </c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67.5" customHeight="1">
      <c r="A799" s="39"/>
      <c r="B799" s="43" t="str">
        <f>IFERROR(__xludf.DUMMYFUNCTION("IFERROR(
  LET(
    periodos, C$1:Z$1,
    marcas, C799:Z799,
    pos, MAX(
          FILTER(
            COLUMN(marcas)-COLUMN(C799)+1,
            marcas=""X""
          )
        ),
    ultimo, INDEX(periodos, pos),
    XLOOKUP(
      $A799,
      INDI"&amp;"RECT(""'""&amp;ultimo&amp;""'!C:C""),
      INDIRECT(""'""&amp;ultimo&amp;""'!A:A"")
    )
  ),
  """"
)"),"")</f>
        <v/>
      </c>
      <c r="C799" s="41" t="str">
        <f t="shared" ref="C799:J799" si="798">IF(
  COUNTIF(
    INDIRECT("'"&amp;C$1&amp;"'!C:C"),
    $A799
  )&gt;0,
  "X",
  ""
)</f>
        <v/>
      </c>
      <c r="D799" s="41" t="str">
        <f t="shared" si="798"/>
        <v/>
      </c>
      <c r="E799" s="41" t="str">
        <f t="shared" si="798"/>
        <v/>
      </c>
      <c r="F799" s="41" t="str">
        <f t="shared" si="798"/>
        <v/>
      </c>
      <c r="G799" s="41" t="str">
        <f t="shared" si="798"/>
        <v/>
      </c>
      <c r="H799" s="41" t="str">
        <f t="shared" si="798"/>
        <v/>
      </c>
      <c r="I799" s="41" t="str">
        <f t="shared" si="798"/>
        <v/>
      </c>
      <c r="J799" s="41" t="str">
        <f t="shared" si="798"/>
        <v/>
      </c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67.5" customHeight="1">
      <c r="A800" s="39"/>
      <c r="B800" s="43" t="str">
        <f>IFERROR(__xludf.DUMMYFUNCTION("IFERROR(
  LET(
    periodos, C$1:Z$1,
    marcas, C800:Z800,
    pos, MAX(
          FILTER(
            COLUMN(marcas)-COLUMN(C800)+1,
            marcas=""X""
          )
        ),
    ultimo, INDEX(periodos, pos),
    XLOOKUP(
      $A800,
      INDI"&amp;"RECT(""'""&amp;ultimo&amp;""'!C:C""),
      INDIRECT(""'""&amp;ultimo&amp;""'!A:A"")
    )
  ),
  """"
)"),"")</f>
        <v/>
      </c>
      <c r="C800" s="41" t="str">
        <f t="shared" ref="C800:J800" si="799">IF(
  COUNTIF(
    INDIRECT("'"&amp;C$1&amp;"'!C:C"),
    $A800
  )&gt;0,
  "X",
  ""
)</f>
        <v/>
      </c>
      <c r="D800" s="41" t="str">
        <f t="shared" si="799"/>
        <v/>
      </c>
      <c r="E800" s="41" t="str">
        <f t="shared" si="799"/>
        <v/>
      </c>
      <c r="F800" s="41" t="str">
        <f t="shared" si="799"/>
        <v/>
      </c>
      <c r="G800" s="41" t="str">
        <f t="shared" si="799"/>
        <v/>
      </c>
      <c r="H800" s="41" t="str">
        <f t="shared" si="799"/>
        <v/>
      </c>
      <c r="I800" s="41" t="str">
        <f t="shared" si="799"/>
        <v/>
      </c>
      <c r="J800" s="41" t="str">
        <f t="shared" si="799"/>
        <v/>
      </c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67.5" customHeight="1">
      <c r="A801" s="39"/>
      <c r="B801" s="43" t="str">
        <f>IFERROR(__xludf.DUMMYFUNCTION("IFERROR(
  LET(
    periodos, C$1:Z$1,
    marcas, C801:Z801,
    pos, MAX(
          FILTER(
            COLUMN(marcas)-COLUMN(C801)+1,
            marcas=""X""
          )
        ),
    ultimo, INDEX(periodos, pos),
    XLOOKUP(
      $A801,
      INDI"&amp;"RECT(""'""&amp;ultimo&amp;""'!C:C""),
      INDIRECT(""'""&amp;ultimo&amp;""'!A:A"")
    )
  ),
  """"
)"),"")</f>
        <v/>
      </c>
      <c r="C801" s="41" t="str">
        <f t="shared" ref="C801:J801" si="800">IF(
  COUNTIF(
    INDIRECT("'"&amp;C$1&amp;"'!C:C"),
    $A801
  )&gt;0,
  "X",
  ""
)</f>
        <v/>
      </c>
      <c r="D801" s="41" t="str">
        <f t="shared" si="800"/>
        <v/>
      </c>
      <c r="E801" s="41" t="str">
        <f t="shared" si="800"/>
        <v/>
      </c>
      <c r="F801" s="41" t="str">
        <f t="shared" si="800"/>
        <v/>
      </c>
      <c r="G801" s="41" t="str">
        <f t="shared" si="800"/>
        <v/>
      </c>
      <c r="H801" s="41" t="str">
        <f t="shared" si="800"/>
        <v/>
      </c>
      <c r="I801" s="41" t="str">
        <f t="shared" si="800"/>
        <v/>
      </c>
      <c r="J801" s="41" t="str">
        <f t="shared" si="800"/>
        <v/>
      </c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67.5" customHeight="1">
      <c r="A802" s="39"/>
      <c r="B802" s="43" t="str">
        <f>IFERROR(__xludf.DUMMYFUNCTION("IFERROR(
  LET(
    periodos, C$1:Z$1,
    marcas, C802:Z802,
    pos, MAX(
          FILTER(
            COLUMN(marcas)-COLUMN(C802)+1,
            marcas=""X""
          )
        ),
    ultimo, INDEX(periodos, pos),
    XLOOKUP(
      $A802,
      INDI"&amp;"RECT(""'""&amp;ultimo&amp;""'!C:C""),
      INDIRECT(""'""&amp;ultimo&amp;""'!A:A"")
    )
  ),
  """"
)"),"")</f>
        <v/>
      </c>
      <c r="C802" s="41" t="str">
        <f t="shared" ref="C802:J802" si="801">IF(
  COUNTIF(
    INDIRECT("'"&amp;C$1&amp;"'!C:C"),
    $A802
  )&gt;0,
  "X",
  ""
)</f>
        <v/>
      </c>
      <c r="D802" s="41" t="str">
        <f t="shared" si="801"/>
        <v/>
      </c>
      <c r="E802" s="41" t="str">
        <f t="shared" si="801"/>
        <v/>
      </c>
      <c r="F802" s="41" t="str">
        <f t="shared" si="801"/>
        <v/>
      </c>
      <c r="G802" s="41" t="str">
        <f t="shared" si="801"/>
        <v/>
      </c>
      <c r="H802" s="41" t="str">
        <f t="shared" si="801"/>
        <v/>
      </c>
      <c r="I802" s="41" t="str">
        <f t="shared" si="801"/>
        <v/>
      </c>
      <c r="J802" s="41" t="str">
        <f t="shared" si="801"/>
        <v/>
      </c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67.5" customHeight="1">
      <c r="A803" s="39"/>
      <c r="B803" s="43" t="str">
        <f>IFERROR(__xludf.DUMMYFUNCTION("IFERROR(
  LET(
    periodos, C$1:Z$1,
    marcas, C803:Z803,
    pos, MAX(
          FILTER(
            COLUMN(marcas)-COLUMN(C803)+1,
            marcas=""X""
          )
        ),
    ultimo, INDEX(periodos, pos),
    XLOOKUP(
      $A803,
      INDI"&amp;"RECT(""'""&amp;ultimo&amp;""'!C:C""),
      INDIRECT(""'""&amp;ultimo&amp;""'!A:A"")
    )
  ),
  """"
)"),"")</f>
        <v/>
      </c>
      <c r="C803" s="41" t="str">
        <f t="shared" ref="C803:J803" si="802">IF(
  COUNTIF(
    INDIRECT("'"&amp;C$1&amp;"'!C:C"),
    $A803
  )&gt;0,
  "X",
  ""
)</f>
        <v/>
      </c>
      <c r="D803" s="41" t="str">
        <f t="shared" si="802"/>
        <v/>
      </c>
      <c r="E803" s="41" t="str">
        <f t="shared" si="802"/>
        <v/>
      </c>
      <c r="F803" s="41" t="str">
        <f t="shared" si="802"/>
        <v/>
      </c>
      <c r="G803" s="41" t="str">
        <f t="shared" si="802"/>
        <v/>
      </c>
      <c r="H803" s="41" t="str">
        <f t="shared" si="802"/>
        <v/>
      </c>
      <c r="I803" s="41" t="str">
        <f t="shared" si="802"/>
        <v/>
      </c>
      <c r="J803" s="41" t="str">
        <f t="shared" si="802"/>
        <v/>
      </c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67.5" customHeight="1">
      <c r="A804" s="39"/>
      <c r="B804" s="43" t="str">
        <f>IFERROR(__xludf.DUMMYFUNCTION("IFERROR(
  LET(
    periodos, C$1:Z$1,
    marcas, C804:Z804,
    pos, MAX(
          FILTER(
            COLUMN(marcas)-COLUMN(C804)+1,
            marcas=""X""
          )
        ),
    ultimo, INDEX(periodos, pos),
    XLOOKUP(
      $A804,
      INDI"&amp;"RECT(""'""&amp;ultimo&amp;""'!C:C""),
      INDIRECT(""'""&amp;ultimo&amp;""'!A:A"")
    )
  ),
  """"
)"),"")</f>
        <v/>
      </c>
      <c r="C804" s="41" t="str">
        <f t="shared" ref="C804:J804" si="803">IF(
  COUNTIF(
    INDIRECT("'"&amp;C$1&amp;"'!C:C"),
    $A804
  )&gt;0,
  "X",
  ""
)</f>
        <v/>
      </c>
      <c r="D804" s="41" t="str">
        <f t="shared" si="803"/>
        <v/>
      </c>
      <c r="E804" s="41" t="str">
        <f t="shared" si="803"/>
        <v/>
      </c>
      <c r="F804" s="41" t="str">
        <f t="shared" si="803"/>
        <v/>
      </c>
      <c r="G804" s="41" t="str">
        <f t="shared" si="803"/>
        <v/>
      </c>
      <c r="H804" s="41" t="str">
        <f t="shared" si="803"/>
        <v/>
      </c>
      <c r="I804" s="41" t="str">
        <f t="shared" si="803"/>
        <v/>
      </c>
      <c r="J804" s="41" t="str">
        <f t="shared" si="803"/>
        <v/>
      </c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67.5" customHeight="1">
      <c r="A805" s="39"/>
      <c r="B805" s="43" t="str">
        <f>IFERROR(__xludf.DUMMYFUNCTION("IFERROR(
  LET(
    periodos, C$1:Z$1,
    marcas, C805:Z805,
    pos, MAX(
          FILTER(
            COLUMN(marcas)-COLUMN(C805)+1,
            marcas=""X""
          )
        ),
    ultimo, INDEX(periodos, pos),
    XLOOKUP(
      $A805,
      INDI"&amp;"RECT(""'""&amp;ultimo&amp;""'!C:C""),
      INDIRECT(""'""&amp;ultimo&amp;""'!A:A"")
    )
  ),
  """"
)"),"")</f>
        <v/>
      </c>
      <c r="C805" s="41" t="str">
        <f t="shared" ref="C805:J805" si="804">IF(
  COUNTIF(
    INDIRECT("'"&amp;C$1&amp;"'!C:C"),
    $A805
  )&gt;0,
  "X",
  ""
)</f>
        <v/>
      </c>
      <c r="D805" s="41" t="str">
        <f t="shared" si="804"/>
        <v/>
      </c>
      <c r="E805" s="41" t="str">
        <f t="shared" si="804"/>
        <v/>
      </c>
      <c r="F805" s="41" t="str">
        <f t="shared" si="804"/>
        <v/>
      </c>
      <c r="G805" s="41" t="str">
        <f t="shared" si="804"/>
        <v/>
      </c>
      <c r="H805" s="41" t="str">
        <f t="shared" si="804"/>
        <v/>
      </c>
      <c r="I805" s="41" t="str">
        <f t="shared" si="804"/>
        <v/>
      </c>
      <c r="J805" s="41" t="str">
        <f t="shared" si="804"/>
        <v/>
      </c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67.5" customHeight="1">
      <c r="A806" s="39"/>
      <c r="B806" s="43" t="str">
        <f>IFERROR(__xludf.DUMMYFUNCTION("IFERROR(
  LET(
    periodos, C$1:Z$1,
    marcas, C806:Z806,
    pos, MAX(
          FILTER(
            COLUMN(marcas)-COLUMN(C806)+1,
            marcas=""X""
          )
        ),
    ultimo, INDEX(periodos, pos),
    XLOOKUP(
      $A806,
      INDI"&amp;"RECT(""'""&amp;ultimo&amp;""'!C:C""),
      INDIRECT(""'""&amp;ultimo&amp;""'!A:A"")
    )
  ),
  """"
)"),"")</f>
        <v/>
      </c>
      <c r="C806" s="41" t="str">
        <f t="shared" ref="C806:J806" si="805">IF(
  COUNTIF(
    INDIRECT("'"&amp;C$1&amp;"'!C:C"),
    $A806
  )&gt;0,
  "X",
  ""
)</f>
        <v/>
      </c>
      <c r="D806" s="41" t="str">
        <f t="shared" si="805"/>
        <v/>
      </c>
      <c r="E806" s="41" t="str">
        <f t="shared" si="805"/>
        <v/>
      </c>
      <c r="F806" s="41" t="str">
        <f t="shared" si="805"/>
        <v/>
      </c>
      <c r="G806" s="41" t="str">
        <f t="shared" si="805"/>
        <v/>
      </c>
      <c r="H806" s="41" t="str">
        <f t="shared" si="805"/>
        <v/>
      </c>
      <c r="I806" s="41" t="str">
        <f t="shared" si="805"/>
        <v/>
      </c>
      <c r="J806" s="41" t="str">
        <f t="shared" si="805"/>
        <v/>
      </c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67.5" customHeight="1">
      <c r="A807" s="39"/>
      <c r="B807" s="43" t="str">
        <f>IFERROR(__xludf.DUMMYFUNCTION("IFERROR(
  LET(
    periodos, C$1:Z$1,
    marcas, C807:Z807,
    pos, MAX(
          FILTER(
            COLUMN(marcas)-COLUMN(C807)+1,
            marcas=""X""
          )
        ),
    ultimo, INDEX(periodos, pos),
    XLOOKUP(
      $A807,
      INDI"&amp;"RECT(""'""&amp;ultimo&amp;""'!C:C""),
      INDIRECT(""'""&amp;ultimo&amp;""'!A:A"")
    )
  ),
  """"
)"),"")</f>
        <v/>
      </c>
      <c r="C807" s="41" t="str">
        <f t="shared" ref="C807:J807" si="806">IF(
  COUNTIF(
    INDIRECT("'"&amp;C$1&amp;"'!C:C"),
    $A807
  )&gt;0,
  "X",
  ""
)</f>
        <v/>
      </c>
      <c r="D807" s="41" t="str">
        <f t="shared" si="806"/>
        <v/>
      </c>
      <c r="E807" s="41" t="str">
        <f t="shared" si="806"/>
        <v/>
      </c>
      <c r="F807" s="41" t="str">
        <f t="shared" si="806"/>
        <v/>
      </c>
      <c r="G807" s="41" t="str">
        <f t="shared" si="806"/>
        <v/>
      </c>
      <c r="H807" s="41" t="str">
        <f t="shared" si="806"/>
        <v/>
      </c>
      <c r="I807" s="41" t="str">
        <f t="shared" si="806"/>
        <v/>
      </c>
      <c r="J807" s="41" t="str">
        <f t="shared" si="806"/>
        <v/>
      </c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67.5" customHeight="1">
      <c r="A808" s="39"/>
      <c r="B808" s="43" t="str">
        <f>IFERROR(__xludf.DUMMYFUNCTION("IFERROR(
  LET(
    periodos, C$1:Z$1,
    marcas, C808:Z808,
    pos, MAX(
          FILTER(
            COLUMN(marcas)-COLUMN(C808)+1,
            marcas=""X""
          )
        ),
    ultimo, INDEX(periodos, pos),
    XLOOKUP(
      $A808,
      INDI"&amp;"RECT(""'""&amp;ultimo&amp;""'!C:C""),
      INDIRECT(""'""&amp;ultimo&amp;""'!A:A"")
    )
  ),
  """"
)"),"")</f>
        <v/>
      </c>
      <c r="C808" s="41" t="str">
        <f t="shared" ref="C808:J808" si="807">IF(
  COUNTIF(
    INDIRECT("'"&amp;C$1&amp;"'!C:C"),
    $A808
  )&gt;0,
  "X",
  ""
)</f>
        <v/>
      </c>
      <c r="D808" s="41" t="str">
        <f t="shared" si="807"/>
        <v/>
      </c>
      <c r="E808" s="41" t="str">
        <f t="shared" si="807"/>
        <v/>
      </c>
      <c r="F808" s="41" t="str">
        <f t="shared" si="807"/>
        <v/>
      </c>
      <c r="G808" s="41" t="str">
        <f t="shared" si="807"/>
        <v/>
      </c>
      <c r="H808" s="41" t="str">
        <f t="shared" si="807"/>
        <v/>
      </c>
      <c r="I808" s="41" t="str">
        <f t="shared" si="807"/>
        <v/>
      </c>
      <c r="J808" s="41" t="str">
        <f t="shared" si="807"/>
        <v/>
      </c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67.5" customHeight="1">
      <c r="A809" s="39"/>
      <c r="B809" s="43" t="str">
        <f>IFERROR(__xludf.DUMMYFUNCTION("IFERROR(
  LET(
    periodos, C$1:Z$1,
    marcas, C809:Z809,
    pos, MAX(
          FILTER(
            COLUMN(marcas)-COLUMN(C809)+1,
            marcas=""X""
          )
        ),
    ultimo, INDEX(periodos, pos),
    XLOOKUP(
      $A809,
      INDI"&amp;"RECT(""'""&amp;ultimo&amp;""'!C:C""),
      INDIRECT(""'""&amp;ultimo&amp;""'!A:A"")
    )
  ),
  """"
)"),"")</f>
        <v/>
      </c>
      <c r="C809" s="41" t="str">
        <f t="shared" ref="C809:J809" si="808">IF(
  COUNTIF(
    INDIRECT("'"&amp;C$1&amp;"'!C:C"),
    $A809
  )&gt;0,
  "X",
  ""
)</f>
        <v/>
      </c>
      <c r="D809" s="41" t="str">
        <f t="shared" si="808"/>
        <v/>
      </c>
      <c r="E809" s="41" t="str">
        <f t="shared" si="808"/>
        <v/>
      </c>
      <c r="F809" s="41" t="str">
        <f t="shared" si="808"/>
        <v/>
      </c>
      <c r="G809" s="41" t="str">
        <f t="shared" si="808"/>
        <v/>
      </c>
      <c r="H809" s="41" t="str">
        <f t="shared" si="808"/>
        <v/>
      </c>
      <c r="I809" s="41" t="str">
        <f t="shared" si="808"/>
        <v/>
      </c>
      <c r="J809" s="41" t="str">
        <f t="shared" si="808"/>
        <v/>
      </c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67.5" customHeight="1">
      <c r="A810" s="39"/>
      <c r="B810" s="43" t="str">
        <f>IFERROR(__xludf.DUMMYFUNCTION("IFERROR(
  LET(
    periodos, C$1:Z$1,
    marcas, C810:Z810,
    pos, MAX(
          FILTER(
            COLUMN(marcas)-COLUMN(C810)+1,
            marcas=""X""
          )
        ),
    ultimo, INDEX(periodos, pos),
    XLOOKUP(
      $A810,
      INDI"&amp;"RECT(""'""&amp;ultimo&amp;""'!C:C""),
      INDIRECT(""'""&amp;ultimo&amp;""'!A:A"")
    )
  ),
  """"
)"),"")</f>
        <v/>
      </c>
      <c r="C810" s="41" t="str">
        <f t="shared" ref="C810:J810" si="809">IF(
  COUNTIF(
    INDIRECT("'"&amp;C$1&amp;"'!C:C"),
    $A810
  )&gt;0,
  "X",
  ""
)</f>
        <v/>
      </c>
      <c r="D810" s="41" t="str">
        <f t="shared" si="809"/>
        <v/>
      </c>
      <c r="E810" s="41" t="str">
        <f t="shared" si="809"/>
        <v/>
      </c>
      <c r="F810" s="41" t="str">
        <f t="shared" si="809"/>
        <v/>
      </c>
      <c r="G810" s="41" t="str">
        <f t="shared" si="809"/>
        <v/>
      </c>
      <c r="H810" s="41" t="str">
        <f t="shared" si="809"/>
        <v/>
      </c>
      <c r="I810" s="41" t="str">
        <f t="shared" si="809"/>
        <v/>
      </c>
      <c r="J810" s="41" t="str">
        <f t="shared" si="809"/>
        <v/>
      </c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67.5" customHeight="1">
      <c r="A811" s="39"/>
      <c r="B811" s="43" t="str">
        <f>IFERROR(__xludf.DUMMYFUNCTION("IFERROR(
  LET(
    periodos, C$1:Z$1,
    marcas, C811:Z811,
    pos, MAX(
          FILTER(
            COLUMN(marcas)-COLUMN(C811)+1,
            marcas=""X""
          )
        ),
    ultimo, INDEX(periodos, pos),
    XLOOKUP(
      $A811,
      INDI"&amp;"RECT(""'""&amp;ultimo&amp;""'!C:C""),
      INDIRECT(""'""&amp;ultimo&amp;""'!A:A"")
    )
  ),
  """"
)"),"")</f>
        <v/>
      </c>
      <c r="C811" s="41" t="str">
        <f t="shared" ref="C811:J811" si="810">IF(
  COUNTIF(
    INDIRECT("'"&amp;C$1&amp;"'!C:C"),
    $A811
  )&gt;0,
  "X",
  ""
)</f>
        <v/>
      </c>
      <c r="D811" s="41" t="str">
        <f t="shared" si="810"/>
        <v/>
      </c>
      <c r="E811" s="41" t="str">
        <f t="shared" si="810"/>
        <v/>
      </c>
      <c r="F811" s="41" t="str">
        <f t="shared" si="810"/>
        <v/>
      </c>
      <c r="G811" s="41" t="str">
        <f t="shared" si="810"/>
        <v/>
      </c>
      <c r="H811" s="41" t="str">
        <f t="shared" si="810"/>
        <v/>
      </c>
      <c r="I811" s="41" t="str">
        <f t="shared" si="810"/>
        <v/>
      </c>
      <c r="J811" s="41" t="str">
        <f t="shared" si="810"/>
        <v/>
      </c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67.5" customHeight="1">
      <c r="A812" s="39"/>
      <c r="B812" s="43" t="str">
        <f>IFERROR(__xludf.DUMMYFUNCTION("IFERROR(
  LET(
    periodos, C$1:Z$1,
    marcas, C812:Z812,
    pos, MAX(
          FILTER(
            COLUMN(marcas)-COLUMN(C812)+1,
            marcas=""X""
          )
        ),
    ultimo, INDEX(periodos, pos),
    XLOOKUP(
      $A812,
      INDI"&amp;"RECT(""'""&amp;ultimo&amp;""'!C:C""),
      INDIRECT(""'""&amp;ultimo&amp;""'!A:A"")
    )
  ),
  """"
)"),"")</f>
        <v/>
      </c>
      <c r="C812" s="41" t="str">
        <f t="shared" ref="C812:J812" si="811">IF(
  COUNTIF(
    INDIRECT("'"&amp;C$1&amp;"'!C:C"),
    $A812
  )&gt;0,
  "X",
  ""
)</f>
        <v/>
      </c>
      <c r="D812" s="41" t="str">
        <f t="shared" si="811"/>
        <v/>
      </c>
      <c r="E812" s="41" t="str">
        <f t="shared" si="811"/>
        <v/>
      </c>
      <c r="F812" s="41" t="str">
        <f t="shared" si="811"/>
        <v/>
      </c>
      <c r="G812" s="41" t="str">
        <f t="shared" si="811"/>
        <v/>
      </c>
      <c r="H812" s="41" t="str">
        <f t="shared" si="811"/>
        <v/>
      </c>
      <c r="I812" s="41" t="str">
        <f t="shared" si="811"/>
        <v/>
      </c>
      <c r="J812" s="41" t="str">
        <f t="shared" si="811"/>
        <v/>
      </c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67.5" customHeight="1">
      <c r="A813" s="39"/>
      <c r="B813" s="43" t="str">
        <f>IFERROR(__xludf.DUMMYFUNCTION("IFERROR(
  LET(
    periodos, C$1:Z$1,
    marcas, C813:Z813,
    pos, MAX(
          FILTER(
            COLUMN(marcas)-COLUMN(C813)+1,
            marcas=""X""
          )
        ),
    ultimo, INDEX(periodos, pos),
    XLOOKUP(
      $A813,
      INDI"&amp;"RECT(""'""&amp;ultimo&amp;""'!C:C""),
      INDIRECT(""'""&amp;ultimo&amp;""'!A:A"")
    )
  ),
  """"
)"),"")</f>
        <v/>
      </c>
      <c r="C813" s="41" t="str">
        <f t="shared" ref="C813:J813" si="812">IF(
  COUNTIF(
    INDIRECT("'"&amp;C$1&amp;"'!C:C"),
    $A813
  )&gt;0,
  "X",
  ""
)</f>
        <v/>
      </c>
      <c r="D813" s="41" t="str">
        <f t="shared" si="812"/>
        <v/>
      </c>
      <c r="E813" s="41" t="str">
        <f t="shared" si="812"/>
        <v/>
      </c>
      <c r="F813" s="41" t="str">
        <f t="shared" si="812"/>
        <v/>
      </c>
      <c r="G813" s="41" t="str">
        <f t="shared" si="812"/>
        <v/>
      </c>
      <c r="H813" s="41" t="str">
        <f t="shared" si="812"/>
        <v/>
      </c>
      <c r="I813" s="41" t="str">
        <f t="shared" si="812"/>
        <v/>
      </c>
      <c r="J813" s="41" t="str">
        <f t="shared" si="812"/>
        <v/>
      </c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67.5" customHeight="1">
      <c r="A814" s="39"/>
      <c r="B814" s="43" t="str">
        <f>IFERROR(__xludf.DUMMYFUNCTION("IFERROR(
  LET(
    periodos, C$1:Z$1,
    marcas, C814:Z814,
    pos, MAX(
          FILTER(
            COLUMN(marcas)-COLUMN(C814)+1,
            marcas=""X""
          )
        ),
    ultimo, INDEX(periodos, pos),
    XLOOKUP(
      $A814,
      INDI"&amp;"RECT(""'""&amp;ultimo&amp;""'!C:C""),
      INDIRECT(""'""&amp;ultimo&amp;""'!A:A"")
    )
  ),
  """"
)"),"")</f>
        <v/>
      </c>
      <c r="C814" s="41" t="str">
        <f t="shared" ref="C814:J814" si="813">IF(
  COUNTIF(
    INDIRECT("'"&amp;C$1&amp;"'!C:C"),
    $A814
  )&gt;0,
  "X",
  ""
)</f>
        <v/>
      </c>
      <c r="D814" s="41" t="str">
        <f t="shared" si="813"/>
        <v/>
      </c>
      <c r="E814" s="41" t="str">
        <f t="shared" si="813"/>
        <v/>
      </c>
      <c r="F814" s="41" t="str">
        <f t="shared" si="813"/>
        <v/>
      </c>
      <c r="G814" s="41" t="str">
        <f t="shared" si="813"/>
        <v/>
      </c>
      <c r="H814" s="41" t="str">
        <f t="shared" si="813"/>
        <v/>
      </c>
      <c r="I814" s="41" t="str">
        <f t="shared" si="813"/>
        <v/>
      </c>
      <c r="J814" s="41" t="str">
        <f t="shared" si="813"/>
        <v/>
      </c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67.5" customHeight="1">
      <c r="A815" s="39"/>
      <c r="B815" s="43" t="str">
        <f>IFERROR(__xludf.DUMMYFUNCTION("IFERROR(
  LET(
    periodos, C$1:Z$1,
    marcas, C815:Z815,
    pos, MAX(
          FILTER(
            COLUMN(marcas)-COLUMN(C815)+1,
            marcas=""X""
          )
        ),
    ultimo, INDEX(periodos, pos),
    XLOOKUP(
      $A815,
      INDI"&amp;"RECT(""'""&amp;ultimo&amp;""'!C:C""),
      INDIRECT(""'""&amp;ultimo&amp;""'!A:A"")
    )
  ),
  """"
)"),"")</f>
        <v/>
      </c>
      <c r="C815" s="41" t="str">
        <f t="shared" ref="C815:J815" si="814">IF(
  COUNTIF(
    INDIRECT("'"&amp;C$1&amp;"'!C:C"),
    $A815
  )&gt;0,
  "X",
  ""
)</f>
        <v/>
      </c>
      <c r="D815" s="41" t="str">
        <f t="shared" si="814"/>
        <v/>
      </c>
      <c r="E815" s="41" t="str">
        <f t="shared" si="814"/>
        <v/>
      </c>
      <c r="F815" s="41" t="str">
        <f t="shared" si="814"/>
        <v/>
      </c>
      <c r="G815" s="41" t="str">
        <f t="shared" si="814"/>
        <v/>
      </c>
      <c r="H815" s="41" t="str">
        <f t="shared" si="814"/>
        <v/>
      </c>
      <c r="I815" s="41" t="str">
        <f t="shared" si="814"/>
        <v/>
      </c>
      <c r="J815" s="41" t="str">
        <f t="shared" si="814"/>
        <v/>
      </c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67.5" customHeight="1">
      <c r="A816" s="39"/>
      <c r="B816" s="43" t="str">
        <f>IFERROR(__xludf.DUMMYFUNCTION("IFERROR(
  LET(
    periodos, C$1:Z$1,
    marcas, C816:Z816,
    pos, MAX(
          FILTER(
            COLUMN(marcas)-COLUMN(C816)+1,
            marcas=""X""
          )
        ),
    ultimo, INDEX(periodos, pos),
    XLOOKUP(
      $A816,
      INDI"&amp;"RECT(""'""&amp;ultimo&amp;""'!C:C""),
      INDIRECT(""'""&amp;ultimo&amp;""'!A:A"")
    )
  ),
  """"
)"),"")</f>
        <v/>
      </c>
      <c r="C816" s="41" t="str">
        <f t="shared" ref="C816:J816" si="815">IF(
  COUNTIF(
    INDIRECT("'"&amp;C$1&amp;"'!C:C"),
    $A816
  )&gt;0,
  "X",
  ""
)</f>
        <v/>
      </c>
      <c r="D816" s="41" t="str">
        <f t="shared" si="815"/>
        <v/>
      </c>
      <c r="E816" s="41" t="str">
        <f t="shared" si="815"/>
        <v/>
      </c>
      <c r="F816" s="41" t="str">
        <f t="shared" si="815"/>
        <v/>
      </c>
      <c r="G816" s="41" t="str">
        <f t="shared" si="815"/>
        <v/>
      </c>
      <c r="H816" s="41" t="str">
        <f t="shared" si="815"/>
        <v/>
      </c>
      <c r="I816" s="41" t="str">
        <f t="shared" si="815"/>
        <v/>
      </c>
      <c r="J816" s="41" t="str">
        <f t="shared" si="815"/>
        <v/>
      </c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67.5" customHeight="1">
      <c r="A817" s="39"/>
      <c r="B817" s="43" t="str">
        <f>IFERROR(__xludf.DUMMYFUNCTION("IFERROR(
  LET(
    periodos, C$1:Z$1,
    marcas, C817:Z817,
    pos, MAX(
          FILTER(
            COLUMN(marcas)-COLUMN(C817)+1,
            marcas=""X""
          )
        ),
    ultimo, INDEX(periodos, pos),
    XLOOKUP(
      $A817,
      INDI"&amp;"RECT(""'""&amp;ultimo&amp;""'!C:C""),
      INDIRECT(""'""&amp;ultimo&amp;""'!A:A"")
    )
  ),
  """"
)"),"")</f>
        <v/>
      </c>
      <c r="C817" s="41" t="str">
        <f t="shared" ref="C817:J817" si="816">IF(
  COUNTIF(
    INDIRECT("'"&amp;C$1&amp;"'!C:C"),
    $A817
  )&gt;0,
  "X",
  ""
)</f>
        <v/>
      </c>
      <c r="D817" s="41" t="str">
        <f t="shared" si="816"/>
        <v/>
      </c>
      <c r="E817" s="41" t="str">
        <f t="shared" si="816"/>
        <v/>
      </c>
      <c r="F817" s="41" t="str">
        <f t="shared" si="816"/>
        <v/>
      </c>
      <c r="G817" s="41" t="str">
        <f t="shared" si="816"/>
        <v/>
      </c>
      <c r="H817" s="41" t="str">
        <f t="shared" si="816"/>
        <v/>
      </c>
      <c r="I817" s="41" t="str">
        <f t="shared" si="816"/>
        <v/>
      </c>
      <c r="J817" s="41" t="str">
        <f t="shared" si="816"/>
        <v/>
      </c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67.5" customHeight="1">
      <c r="A818" s="39"/>
      <c r="B818" s="43" t="str">
        <f>IFERROR(__xludf.DUMMYFUNCTION("IFERROR(
  LET(
    periodos, C$1:Z$1,
    marcas, C818:Z818,
    pos, MAX(
          FILTER(
            COLUMN(marcas)-COLUMN(C818)+1,
            marcas=""X""
          )
        ),
    ultimo, INDEX(periodos, pos),
    XLOOKUP(
      $A818,
      INDI"&amp;"RECT(""'""&amp;ultimo&amp;""'!C:C""),
      INDIRECT(""'""&amp;ultimo&amp;""'!A:A"")
    )
  ),
  """"
)"),"")</f>
        <v/>
      </c>
      <c r="C818" s="41" t="str">
        <f t="shared" ref="C818:J818" si="817">IF(
  COUNTIF(
    INDIRECT("'"&amp;C$1&amp;"'!C:C"),
    $A818
  )&gt;0,
  "X",
  ""
)</f>
        <v/>
      </c>
      <c r="D818" s="41" t="str">
        <f t="shared" si="817"/>
        <v/>
      </c>
      <c r="E818" s="41" t="str">
        <f t="shared" si="817"/>
        <v/>
      </c>
      <c r="F818" s="41" t="str">
        <f t="shared" si="817"/>
        <v/>
      </c>
      <c r="G818" s="41" t="str">
        <f t="shared" si="817"/>
        <v/>
      </c>
      <c r="H818" s="41" t="str">
        <f t="shared" si="817"/>
        <v/>
      </c>
      <c r="I818" s="41" t="str">
        <f t="shared" si="817"/>
        <v/>
      </c>
      <c r="J818" s="41" t="str">
        <f t="shared" si="817"/>
        <v/>
      </c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67.5" customHeight="1">
      <c r="A819" s="39"/>
      <c r="B819" s="43" t="str">
        <f>IFERROR(__xludf.DUMMYFUNCTION("IFERROR(
  LET(
    periodos, C$1:Z$1,
    marcas, C819:Z819,
    pos, MAX(
          FILTER(
            COLUMN(marcas)-COLUMN(C819)+1,
            marcas=""X""
          )
        ),
    ultimo, INDEX(periodos, pos),
    XLOOKUP(
      $A819,
      INDI"&amp;"RECT(""'""&amp;ultimo&amp;""'!C:C""),
      INDIRECT(""'""&amp;ultimo&amp;""'!A:A"")
    )
  ),
  """"
)"),"")</f>
        <v/>
      </c>
      <c r="C819" s="41" t="str">
        <f t="shared" ref="C819:J819" si="818">IF(
  COUNTIF(
    INDIRECT("'"&amp;C$1&amp;"'!C:C"),
    $A819
  )&gt;0,
  "X",
  ""
)</f>
        <v/>
      </c>
      <c r="D819" s="41" t="str">
        <f t="shared" si="818"/>
        <v/>
      </c>
      <c r="E819" s="41" t="str">
        <f t="shared" si="818"/>
        <v/>
      </c>
      <c r="F819" s="41" t="str">
        <f t="shared" si="818"/>
        <v/>
      </c>
      <c r="G819" s="41" t="str">
        <f t="shared" si="818"/>
        <v/>
      </c>
      <c r="H819" s="41" t="str">
        <f t="shared" si="818"/>
        <v/>
      </c>
      <c r="I819" s="41" t="str">
        <f t="shared" si="818"/>
        <v/>
      </c>
      <c r="J819" s="41" t="str">
        <f t="shared" si="818"/>
        <v/>
      </c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67.5" customHeight="1">
      <c r="A820" s="39"/>
      <c r="B820" s="43" t="str">
        <f>IFERROR(__xludf.DUMMYFUNCTION("IFERROR(
  LET(
    periodos, C$1:Z$1,
    marcas, C820:Z820,
    pos, MAX(
          FILTER(
            COLUMN(marcas)-COLUMN(C820)+1,
            marcas=""X""
          )
        ),
    ultimo, INDEX(periodos, pos),
    XLOOKUP(
      $A820,
      INDI"&amp;"RECT(""'""&amp;ultimo&amp;""'!C:C""),
      INDIRECT(""'""&amp;ultimo&amp;""'!A:A"")
    )
  ),
  """"
)"),"")</f>
        <v/>
      </c>
      <c r="C820" s="41" t="str">
        <f t="shared" ref="C820:J820" si="819">IF(
  COUNTIF(
    INDIRECT("'"&amp;C$1&amp;"'!C:C"),
    $A820
  )&gt;0,
  "X",
  ""
)</f>
        <v/>
      </c>
      <c r="D820" s="41" t="str">
        <f t="shared" si="819"/>
        <v/>
      </c>
      <c r="E820" s="41" t="str">
        <f t="shared" si="819"/>
        <v/>
      </c>
      <c r="F820" s="41" t="str">
        <f t="shared" si="819"/>
        <v/>
      </c>
      <c r="G820" s="41" t="str">
        <f t="shared" si="819"/>
        <v/>
      </c>
      <c r="H820" s="41" t="str">
        <f t="shared" si="819"/>
        <v/>
      </c>
      <c r="I820" s="41" t="str">
        <f t="shared" si="819"/>
        <v/>
      </c>
      <c r="J820" s="41" t="str">
        <f t="shared" si="819"/>
        <v/>
      </c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67.5" customHeight="1">
      <c r="A821" s="39"/>
      <c r="B821" s="43" t="str">
        <f>IFERROR(__xludf.DUMMYFUNCTION("IFERROR(
  LET(
    periodos, C$1:Z$1,
    marcas, C821:Z821,
    pos, MAX(
          FILTER(
            COLUMN(marcas)-COLUMN(C821)+1,
            marcas=""X""
          )
        ),
    ultimo, INDEX(periodos, pos),
    XLOOKUP(
      $A821,
      INDI"&amp;"RECT(""'""&amp;ultimo&amp;""'!C:C""),
      INDIRECT(""'""&amp;ultimo&amp;""'!A:A"")
    )
  ),
  """"
)"),"")</f>
        <v/>
      </c>
      <c r="C821" s="41" t="str">
        <f t="shared" ref="C821:J821" si="820">IF(
  COUNTIF(
    INDIRECT("'"&amp;C$1&amp;"'!C:C"),
    $A821
  )&gt;0,
  "X",
  ""
)</f>
        <v/>
      </c>
      <c r="D821" s="41" t="str">
        <f t="shared" si="820"/>
        <v/>
      </c>
      <c r="E821" s="41" t="str">
        <f t="shared" si="820"/>
        <v/>
      </c>
      <c r="F821" s="41" t="str">
        <f t="shared" si="820"/>
        <v/>
      </c>
      <c r="G821" s="41" t="str">
        <f t="shared" si="820"/>
        <v/>
      </c>
      <c r="H821" s="41" t="str">
        <f t="shared" si="820"/>
        <v/>
      </c>
      <c r="I821" s="41" t="str">
        <f t="shared" si="820"/>
        <v/>
      </c>
      <c r="J821" s="41" t="str">
        <f t="shared" si="820"/>
        <v/>
      </c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67.5" customHeight="1">
      <c r="A822" s="39"/>
      <c r="B822" s="43" t="str">
        <f>IFERROR(__xludf.DUMMYFUNCTION("IFERROR(
  LET(
    periodos, C$1:Z$1,
    marcas, C822:Z822,
    pos, MAX(
          FILTER(
            COLUMN(marcas)-COLUMN(C822)+1,
            marcas=""X""
          )
        ),
    ultimo, INDEX(periodos, pos),
    XLOOKUP(
      $A822,
      INDI"&amp;"RECT(""'""&amp;ultimo&amp;""'!C:C""),
      INDIRECT(""'""&amp;ultimo&amp;""'!A:A"")
    )
  ),
  """"
)"),"")</f>
        <v/>
      </c>
      <c r="C822" s="41" t="str">
        <f t="shared" ref="C822:J822" si="821">IF(
  COUNTIF(
    INDIRECT("'"&amp;C$1&amp;"'!C:C"),
    $A822
  )&gt;0,
  "X",
  ""
)</f>
        <v/>
      </c>
      <c r="D822" s="41" t="str">
        <f t="shared" si="821"/>
        <v/>
      </c>
      <c r="E822" s="41" t="str">
        <f t="shared" si="821"/>
        <v/>
      </c>
      <c r="F822" s="41" t="str">
        <f t="shared" si="821"/>
        <v/>
      </c>
      <c r="G822" s="41" t="str">
        <f t="shared" si="821"/>
        <v/>
      </c>
      <c r="H822" s="41" t="str">
        <f t="shared" si="821"/>
        <v/>
      </c>
      <c r="I822" s="41" t="str">
        <f t="shared" si="821"/>
        <v/>
      </c>
      <c r="J822" s="41" t="str">
        <f t="shared" si="821"/>
        <v/>
      </c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67.5" customHeight="1">
      <c r="A823" s="39"/>
      <c r="B823" s="43" t="str">
        <f>IFERROR(__xludf.DUMMYFUNCTION("IFERROR(
  LET(
    periodos, C$1:Z$1,
    marcas, C823:Z823,
    pos, MAX(
          FILTER(
            COLUMN(marcas)-COLUMN(C823)+1,
            marcas=""X""
          )
        ),
    ultimo, INDEX(periodos, pos),
    XLOOKUP(
      $A823,
      INDI"&amp;"RECT(""'""&amp;ultimo&amp;""'!C:C""),
      INDIRECT(""'""&amp;ultimo&amp;""'!A:A"")
    )
  ),
  """"
)"),"")</f>
        <v/>
      </c>
      <c r="C823" s="41" t="str">
        <f t="shared" ref="C823:J823" si="822">IF(
  COUNTIF(
    INDIRECT("'"&amp;C$1&amp;"'!C:C"),
    $A823
  )&gt;0,
  "X",
  ""
)</f>
        <v/>
      </c>
      <c r="D823" s="41" t="str">
        <f t="shared" si="822"/>
        <v/>
      </c>
      <c r="E823" s="41" t="str">
        <f t="shared" si="822"/>
        <v/>
      </c>
      <c r="F823" s="41" t="str">
        <f t="shared" si="822"/>
        <v/>
      </c>
      <c r="G823" s="41" t="str">
        <f t="shared" si="822"/>
        <v/>
      </c>
      <c r="H823" s="41" t="str">
        <f t="shared" si="822"/>
        <v/>
      </c>
      <c r="I823" s="41" t="str">
        <f t="shared" si="822"/>
        <v/>
      </c>
      <c r="J823" s="41" t="str">
        <f t="shared" si="822"/>
        <v/>
      </c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67.5" customHeight="1">
      <c r="A824" s="39"/>
      <c r="B824" s="43" t="str">
        <f>IFERROR(__xludf.DUMMYFUNCTION("IFERROR(
  LET(
    periodos, C$1:Z$1,
    marcas, C824:Z824,
    pos, MAX(
          FILTER(
            COLUMN(marcas)-COLUMN(C824)+1,
            marcas=""X""
          )
        ),
    ultimo, INDEX(periodos, pos),
    XLOOKUP(
      $A824,
      INDI"&amp;"RECT(""'""&amp;ultimo&amp;""'!C:C""),
      INDIRECT(""'""&amp;ultimo&amp;""'!A:A"")
    )
  ),
  """"
)"),"")</f>
        <v/>
      </c>
      <c r="C824" s="41" t="str">
        <f t="shared" ref="C824:J824" si="823">IF(
  COUNTIF(
    INDIRECT("'"&amp;C$1&amp;"'!C:C"),
    $A824
  )&gt;0,
  "X",
  ""
)</f>
        <v/>
      </c>
      <c r="D824" s="41" t="str">
        <f t="shared" si="823"/>
        <v/>
      </c>
      <c r="E824" s="41" t="str">
        <f t="shared" si="823"/>
        <v/>
      </c>
      <c r="F824" s="41" t="str">
        <f t="shared" si="823"/>
        <v/>
      </c>
      <c r="G824" s="41" t="str">
        <f t="shared" si="823"/>
        <v/>
      </c>
      <c r="H824" s="41" t="str">
        <f t="shared" si="823"/>
        <v/>
      </c>
      <c r="I824" s="41" t="str">
        <f t="shared" si="823"/>
        <v/>
      </c>
      <c r="J824" s="41" t="str">
        <f t="shared" si="823"/>
        <v/>
      </c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67.5" customHeight="1">
      <c r="A825" s="39"/>
      <c r="B825" s="43" t="str">
        <f>IFERROR(__xludf.DUMMYFUNCTION("IFERROR(
  LET(
    periodos, C$1:Z$1,
    marcas, C825:Z825,
    pos, MAX(
          FILTER(
            COLUMN(marcas)-COLUMN(C825)+1,
            marcas=""X""
          )
        ),
    ultimo, INDEX(periodos, pos),
    XLOOKUP(
      $A825,
      INDI"&amp;"RECT(""'""&amp;ultimo&amp;""'!C:C""),
      INDIRECT(""'""&amp;ultimo&amp;""'!A:A"")
    )
  ),
  """"
)"),"")</f>
        <v/>
      </c>
      <c r="C825" s="41" t="str">
        <f t="shared" ref="C825:J825" si="824">IF(
  COUNTIF(
    INDIRECT("'"&amp;C$1&amp;"'!C:C"),
    $A825
  )&gt;0,
  "X",
  ""
)</f>
        <v/>
      </c>
      <c r="D825" s="41" t="str">
        <f t="shared" si="824"/>
        <v/>
      </c>
      <c r="E825" s="41" t="str">
        <f t="shared" si="824"/>
        <v/>
      </c>
      <c r="F825" s="41" t="str">
        <f t="shared" si="824"/>
        <v/>
      </c>
      <c r="G825" s="41" t="str">
        <f t="shared" si="824"/>
        <v/>
      </c>
      <c r="H825" s="41" t="str">
        <f t="shared" si="824"/>
        <v/>
      </c>
      <c r="I825" s="41" t="str">
        <f t="shared" si="824"/>
        <v/>
      </c>
      <c r="J825" s="41" t="str">
        <f t="shared" si="824"/>
        <v/>
      </c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67.5" customHeight="1">
      <c r="A826" s="39"/>
      <c r="B826" s="43" t="str">
        <f>IFERROR(__xludf.DUMMYFUNCTION("IFERROR(
  LET(
    periodos, C$1:Z$1,
    marcas, C826:Z826,
    pos, MAX(
          FILTER(
            COLUMN(marcas)-COLUMN(C826)+1,
            marcas=""X""
          )
        ),
    ultimo, INDEX(periodos, pos),
    XLOOKUP(
      $A826,
      INDI"&amp;"RECT(""'""&amp;ultimo&amp;""'!C:C""),
      INDIRECT(""'""&amp;ultimo&amp;""'!A:A"")
    )
  ),
  """"
)"),"")</f>
        <v/>
      </c>
      <c r="C826" s="41" t="str">
        <f t="shared" ref="C826:J826" si="825">IF(
  COUNTIF(
    INDIRECT("'"&amp;C$1&amp;"'!C:C"),
    $A826
  )&gt;0,
  "X",
  ""
)</f>
        <v/>
      </c>
      <c r="D826" s="41" t="str">
        <f t="shared" si="825"/>
        <v/>
      </c>
      <c r="E826" s="41" t="str">
        <f t="shared" si="825"/>
        <v/>
      </c>
      <c r="F826" s="41" t="str">
        <f t="shared" si="825"/>
        <v/>
      </c>
      <c r="G826" s="41" t="str">
        <f t="shared" si="825"/>
        <v/>
      </c>
      <c r="H826" s="41" t="str">
        <f t="shared" si="825"/>
        <v/>
      </c>
      <c r="I826" s="41" t="str">
        <f t="shared" si="825"/>
        <v/>
      </c>
      <c r="J826" s="41" t="str">
        <f t="shared" si="825"/>
        <v/>
      </c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67.5" customHeight="1">
      <c r="A827" s="39"/>
      <c r="B827" s="43" t="str">
        <f>IFERROR(__xludf.DUMMYFUNCTION("IFERROR(
  LET(
    periodos, C$1:Z$1,
    marcas, C827:Z827,
    pos, MAX(
          FILTER(
            COLUMN(marcas)-COLUMN(C827)+1,
            marcas=""X""
          )
        ),
    ultimo, INDEX(periodos, pos),
    XLOOKUP(
      $A827,
      INDI"&amp;"RECT(""'""&amp;ultimo&amp;""'!C:C""),
      INDIRECT(""'""&amp;ultimo&amp;""'!A:A"")
    )
  ),
  """"
)"),"")</f>
        <v/>
      </c>
      <c r="C827" s="41" t="str">
        <f t="shared" ref="C827:J827" si="826">IF(
  COUNTIF(
    INDIRECT("'"&amp;C$1&amp;"'!C:C"),
    $A827
  )&gt;0,
  "X",
  ""
)</f>
        <v/>
      </c>
      <c r="D827" s="41" t="str">
        <f t="shared" si="826"/>
        <v/>
      </c>
      <c r="E827" s="41" t="str">
        <f t="shared" si="826"/>
        <v/>
      </c>
      <c r="F827" s="41" t="str">
        <f t="shared" si="826"/>
        <v/>
      </c>
      <c r="G827" s="41" t="str">
        <f t="shared" si="826"/>
        <v/>
      </c>
      <c r="H827" s="41" t="str">
        <f t="shared" si="826"/>
        <v/>
      </c>
      <c r="I827" s="41" t="str">
        <f t="shared" si="826"/>
        <v/>
      </c>
      <c r="J827" s="41" t="str">
        <f t="shared" si="826"/>
        <v/>
      </c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67.5" customHeight="1">
      <c r="A828" s="39"/>
      <c r="B828" s="43" t="str">
        <f>IFERROR(__xludf.DUMMYFUNCTION("IFERROR(
  LET(
    periodos, C$1:Z$1,
    marcas, C828:Z828,
    pos, MAX(
          FILTER(
            COLUMN(marcas)-COLUMN(C828)+1,
            marcas=""X""
          )
        ),
    ultimo, INDEX(periodos, pos),
    XLOOKUP(
      $A828,
      INDI"&amp;"RECT(""'""&amp;ultimo&amp;""'!C:C""),
      INDIRECT(""'""&amp;ultimo&amp;""'!A:A"")
    )
  ),
  """"
)"),"")</f>
        <v/>
      </c>
      <c r="C828" s="41" t="str">
        <f t="shared" ref="C828:J828" si="827">IF(
  COUNTIF(
    INDIRECT("'"&amp;C$1&amp;"'!C:C"),
    $A828
  )&gt;0,
  "X",
  ""
)</f>
        <v/>
      </c>
      <c r="D828" s="41" t="str">
        <f t="shared" si="827"/>
        <v/>
      </c>
      <c r="E828" s="41" t="str">
        <f t="shared" si="827"/>
        <v/>
      </c>
      <c r="F828" s="41" t="str">
        <f t="shared" si="827"/>
        <v/>
      </c>
      <c r="G828" s="41" t="str">
        <f t="shared" si="827"/>
        <v/>
      </c>
      <c r="H828" s="41" t="str">
        <f t="shared" si="827"/>
        <v/>
      </c>
      <c r="I828" s="41" t="str">
        <f t="shared" si="827"/>
        <v/>
      </c>
      <c r="J828" s="41" t="str">
        <f t="shared" si="827"/>
        <v/>
      </c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67.5" customHeight="1">
      <c r="A829" s="39"/>
      <c r="B829" s="43" t="str">
        <f>IFERROR(__xludf.DUMMYFUNCTION("IFERROR(
  LET(
    periodos, C$1:Z$1,
    marcas, C829:Z829,
    pos, MAX(
          FILTER(
            COLUMN(marcas)-COLUMN(C829)+1,
            marcas=""X""
          )
        ),
    ultimo, INDEX(periodos, pos),
    XLOOKUP(
      $A829,
      INDI"&amp;"RECT(""'""&amp;ultimo&amp;""'!C:C""),
      INDIRECT(""'""&amp;ultimo&amp;""'!A:A"")
    )
  ),
  """"
)"),"")</f>
        <v/>
      </c>
      <c r="C829" s="41" t="str">
        <f t="shared" ref="C829:J829" si="828">IF(
  COUNTIF(
    INDIRECT("'"&amp;C$1&amp;"'!C:C"),
    $A829
  )&gt;0,
  "X",
  ""
)</f>
        <v/>
      </c>
      <c r="D829" s="41" t="str">
        <f t="shared" si="828"/>
        <v/>
      </c>
      <c r="E829" s="41" t="str">
        <f t="shared" si="828"/>
        <v/>
      </c>
      <c r="F829" s="41" t="str">
        <f t="shared" si="828"/>
        <v/>
      </c>
      <c r="G829" s="41" t="str">
        <f t="shared" si="828"/>
        <v/>
      </c>
      <c r="H829" s="41" t="str">
        <f t="shared" si="828"/>
        <v/>
      </c>
      <c r="I829" s="41" t="str">
        <f t="shared" si="828"/>
        <v/>
      </c>
      <c r="J829" s="41" t="str">
        <f t="shared" si="828"/>
        <v/>
      </c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67.5" customHeight="1">
      <c r="A830" s="39"/>
      <c r="B830" s="43" t="str">
        <f>IFERROR(__xludf.DUMMYFUNCTION("IFERROR(
  LET(
    periodos, C$1:Z$1,
    marcas, C830:Z830,
    pos, MAX(
          FILTER(
            COLUMN(marcas)-COLUMN(C830)+1,
            marcas=""X""
          )
        ),
    ultimo, INDEX(periodos, pos),
    XLOOKUP(
      $A830,
      INDI"&amp;"RECT(""'""&amp;ultimo&amp;""'!C:C""),
      INDIRECT(""'""&amp;ultimo&amp;""'!A:A"")
    )
  ),
  """"
)"),"")</f>
        <v/>
      </c>
      <c r="C830" s="41" t="str">
        <f t="shared" ref="C830:J830" si="829">IF(
  COUNTIF(
    INDIRECT("'"&amp;C$1&amp;"'!C:C"),
    $A830
  )&gt;0,
  "X",
  ""
)</f>
        <v/>
      </c>
      <c r="D830" s="41" t="str">
        <f t="shared" si="829"/>
        <v/>
      </c>
      <c r="E830" s="41" t="str">
        <f t="shared" si="829"/>
        <v/>
      </c>
      <c r="F830" s="41" t="str">
        <f t="shared" si="829"/>
        <v/>
      </c>
      <c r="G830" s="41" t="str">
        <f t="shared" si="829"/>
        <v/>
      </c>
      <c r="H830" s="41" t="str">
        <f t="shared" si="829"/>
        <v/>
      </c>
      <c r="I830" s="41" t="str">
        <f t="shared" si="829"/>
        <v/>
      </c>
      <c r="J830" s="41" t="str">
        <f t="shared" si="829"/>
        <v/>
      </c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67.5" customHeight="1">
      <c r="A831" s="39"/>
      <c r="B831" s="43" t="str">
        <f>IFERROR(__xludf.DUMMYFUNCTION("IFERROR(
  LET(
    periodos, C$1:Z$1,
    marcas, C831:Z831,
    pos, MAX(
          FILTER(
            COLUMN(marcas)-COLUMN(C831)+1,
            marcas=""X""
          )
        ),
    ultimo, INDEX(periodos, pos),
    XLOOKUP(
      $A831,
      INDI"&amp;"RECT(""'""&amp;ultimo&amp;""'!C:C""),
      INDIRECT(""'""&amp;ultimo&amp;""'!A:A"")
    )
  ),
  """"
)"),"")</f>
        <v/>
      </c>
      <c r="C831" s="41" t="str">
        <f t="shared" ref="C831:J831" si="830">IF(
  COUNTIF(
    INDIRECT("'"&amp;C$1&amp;"'!C:C"),
    $A831
  )&gt;0,
  "X",
  ""
)</f>
        <v/>
      </c>
      <c r="D831" s="41" t="str">
        <f t="shared" si="830"/>
        <v/>
      </c>
      <c r="E831" s="41" t="str">
        <f t="shared" si="830"/>
        <v/>
      </c>
      <c r="F831" s="41" t="str">
        <f t="shared" si="830"/>
        <v/>
      </c>
      <c r="G831" s="41" t="str">
        <f t="shared" si="830"/>
        <v/>
      </c>
      <c r="H831" s="41" t="str">
        <f t="shared" si="830"/>
        <v/>
      </c>
      <c r="I831" s="41" t="str">
        <f t="shared" si="830"/>
        <v/>
      </c>
      <c r="J831" s="41" t="str">
        <f t="shared" si="830"/>
        <v/>
      </c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67.5" customHeight="1">
      <c r="A832" s="39"/>
      <c r="B832" s="43" t="str">
        <f>IFERROR(__xludf.DUMMYFUNCTION("IFERROR(
  LET(
    periodos, C$1:Z$1,
    marcas, C832:Z832,
    pos, MAX(
          FILTER(
            COLUMN(marcas)-COLUMN(C832)+1,
            marcas=""X""
          )
        ),
    ultimo, INDEX(periodos, pos),
    XLOOKUP(
      $A832,
      INDI"&amp;"RECT(""'""&amp;ultimo&amp;""'!C:C""),
      INDIRECT(""'""&amp;ultimo&amp;""'!A:A"")
    )
  ),
  """"
)"),"")</f>
        <v/>
      </c>
      <c r="C832" s="41" t="str">
        <f t="shared" ref="C832:J832" si="831">IF(
  COUNTIF(
    INDIRECT("'"&amp;C$1&amp;"'!C:C"),
    $A832
  )&gt;0,
  "X",
  ""
)</f>
        <v/>
      </c>
      <c r="D832" s="41" t="str">
        <f t="shared" si="831"/>
        <v/>
      </c>
      <c r="E832" s="41" t="str">
        <f t="shared" si="831"/>
        <v/>
      </c>
      <c r="F832" s="41" t="str">
        <f t="shared" si="831"/>
        <v/>
      </c>
      <c r="G832" s="41" t="str">
        <f t="shared" si="831"/>
        <v/>
      </c>
      <c r="H832" s="41" t="str">
        <f t="shared" si="831"/>
        <v/>
      </c>
      <c r="I832" s="41" t="str">
        <f t="shared" si="831"/>
        <v/>
      </c>
      <c r="J832" s="41" t="str">
        <f t="shared" si="831"/>
        <v/>
      </c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67.5" customHeight="1">
      <c r="A833" s="39"/>
      <c r="B833" s="43" t="str">
        <f>IFERROR(__xludf.DUMMYFUNCTION("IFERROR(
  LET(
    periodos, C$1:Z$1,
    marcas, C833:Z833,
    pos, MAX(
          FILTER(
            COLUMN(marcas)-COLUMN(C833)+1,
            marcas=""X""
          )
        ),
    ultimo, INDEX(periodos, pos),
    XLOOKUP(
      $A833,
      INDI"&amp;"RECT(""'""&amp;ultimo&amp;""'!C:C""),
      INDIRECT(""'""&amp;ultimo&amp;""'!A:A"")
    )
  ),
  """"
)"),"")</f>
        <v/>
      </c>
      <c r="C833" s="41" t="str">
        <f t="shared" ref="C833:J833" si="832">IF(
  COUNTIF(
    INDIRECT("'"&amp;C$1&amp;"'!C:C"),
    $A833
  )&gt;0,
  "X",
  ""
)</f>
        <v/>
      </c>
      <c r="D833" s="41" t="str">
        <f t="shared" si="832"/>
        <v/>
      </c>
      <c r="E833" s="41" t="str">
        <f t="shared" si="832"/>
        <v/>
      </c>
      <c r="F833" s="41" t="str">
        <f t="shared" si="832"/>
        <v/>
      </c>
      <c r="G833" s="41" t="str">
        <f t="shared" si="832"/>
        <v/>
      </c>
      <c r="H833" s="41" t="str">
        <f t="shared" si="832"/>
        <v/>
      </c>
      <c r="I833" s="41" t="str">
        <f t="shared" si="832"/>
        <v/>
      </c>
      <c r="J833" s="41" t="str">
        <f t="shared" si="832"/>
        <v/>
      </c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67.5" customHeight="1">
      <c r="A834" s="39"/>
      <c r="B834" s="43" t="str">
        <f>IFERROR(__xludf.DUMMYFUNCTION("IFERROR(
  LET(
    periodos, C$1:Z$1,
    marcas, C834:Z834,
    pos, MAX(
          FILTER(
            COLUMN(marcas)-COLUMN(C834)+1,
            marcas=""X""
          )
        ),
    ultimo, INDEX(periodos, pos),
    XLOOKUP(
      $A834,
      INDI"&amp;"RECT(""'""&amp;ultimo&amp;""'!C:C""),
      INDIRECT(""'""&amp;ultimo&amp;""'!A:A"")
    )
  ),
  """"
)"),"")</f>
        <v/>
      </c>
      <c r="C834" s="41" t="str">
        <f t="shared" ref="C834:J834" si="833">IF(
  COUNTIF(
    INDIRECT("'"&amp;C$1&amp;"'!C:C"),
    $A834
  )&gt;0,
  "X",
  ""
)</f>
        <v/>
      </c>
      <c r="D834" s="41" t="str">
        <f t="shared" si="833"/>
        <v/>
      </c>
      <c r="E834" s="41" t="str">
        <f t="shared" si="833"/>
        <v/>
      </c>
      <c r="F834" s="41" t="str">
        <f t="shared" si="833"/>
        <v/>
      </c>
      <c r="G834" s="41" t="str">
        <f t="shared" si="833"/>
        <v/>
      </c>
      <c r="H834" s="41" t="str">
        <f t="shared" si="833"/>
        <v/>
      </c>
      <c r="I834" s="41" t="str">
        <f t="shared" si="833"/>
        <v/>
      </c>
      <c r="J834" s="41" t="str">
        <f t="shared" si="833"/>
        <v/>
      </c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67.5" customHeight="1">
      <c r="A835" s="39"/>
      <c r="B835" s="43" t="str">
        <f>IFERROR(__xludf.DUMMYFUNCTION("IFERROR(
  LET(
    periodos, C$1:Z$1,
    marcas, C835:Z835,
    pos, MAX(
          FILTER(
            COLUMN(marcas)-COLUMN(C835)+1,
            marcas=""X""
          )
        ),
    ultimo, INDEX(periodos, pos),
    XLOOKUP(
      $A835,
      INDI"&amp;"RECT(""'""&amp;ultimo&amp;""'!C:C""),
      INDIRECT(""'""&amp;ultimo&amp;""'!A:A"")
    )
  ),
  """"
)"),"")</f>
        <v/>
      </c>
      <c r="C835" s="41" t="str">
        <f t="shared" ref="C835:J835" si="834">IF(
  COUNTIF(
    INDIRECT("'"&amp;C$1&amp;"'!C:C"),
    $A835
  )&gt;0,
  "X",
  ""
)</f>
        <v/>
      </c>
      <c r="D835" s="41" t="str">
        <f t="shared" si="834"/>
        <v/>
      </c>
      <c r="E835" s="41" t="str">
        <f t="shared" si="834"/>
        <v/>
      </c>
      <c r="F835" s="41" t="str">
        <f t="shared" si="834"/>
        <v/>
      </c>
      <c r="G835" s="41" t="str">
        <f t="shared" si="834"/>
        <v/>
      </c>
      <c r="H835" s="41" t="str">
        <f t="shared" si="834"/>
        <v/>
      </c>
      <c r="I835" s="41" t="str">
        <f t="shared" si="834"/>
        <v/>
      </c>
      <c r="J835" s="41" t="str">
        <f t="shared" si="834"/>
        <v/>
      </c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67.5" customHeight="1">
      <c r="A836" s="39"/>
      <c r="B836" s="43" t="str">
        <f>IFERROR(__xludf.DUMMYFUNCTION("IFERROR(
  LET(
    periodos, C$1:Z$1,
    marcas, C836:Z836,
    pos, MAX(
          FILTER(
            COLUMN(marcas)-COLUMN(C836)+1,
            marcas=""X""
          )
        ),
    ultimo, INDEX(periodos, pos),
    XLOOKUP(
      $A836,
      INDI"&amp;"RECT(""'""&amp;ultimo&amp;""'!C:C""),
      INDIRECT(""'""&amp;ultimo&amp;""'!A:A"")
    )
  ),
  """"
)"),"")</f>
        <v/>
      </c>
      <c r="C836" s="41" t="str">
        <f t="shared" ref="C836:J836" si="835">IF(
  COUNTIF(
    INDIRECT("'"&amp;C$1&amp;"'!C:C"),
    $A836
  )&gt;0,
  "X",
  ""
)</f>
        <v/>
      </c>
      <c r="D836" s="41" t="str">
        <f t="shared" si="835"/>
        <v/>
      </c>
      <c r="E836" s="41" t="str">
        <f t="shared" si="835"/>
        <v/>
      </c>
      <c r="F836" s="41" t="str">
        <f t="shared" si="835"/>
        <v/>
      </c>
      <c r="G836" s="41" t="str">
        <f t="shared" si="835"/>
        <v/>
      </c>
      <c r="H836" s="41" t="str">
        <f t="shared" si="835"/>
        <v/>
      </c>
      <c r="I836" s="41" t="str">
        <f t="shared" si="835"/>
        <v/>
      </c>
      <c r="J836" s="41" t="str">
        <f t="shared" si="835"/>
        <v/>
      </c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67.5" customHeight="1">
      <c r="A837" s="39"/>
      <c r="B837" s="43" t="str">
        <f>IFERROR(__xludf.DUMMYFUNCTION("IFERROR(
  LET(
    periodos, C$1:Z$1,
    marcas, C837:Z837,
    pos, MAX(
          FILTER(
            COLUMN(marcas)-COLUMN(C837)+1,
            marcas=""X""
          )
        ),
    ultimo, INDEX(periodos, pos),
    XLOOKUP(
      $A837,
      INDI"&amp;"RECT(""'""&amp;ultimo&amp;""'!C:C""),
      INDIRECT(""'""&amp;ultimo&amp;""'!A:A"")
    )
  ),
  """"
)"),"")</f>
        <v/>
      </c>
      <c r="C837" s="41" t="str">
        <f t="shared" ref="C837:J837" si="836">IF(
  COUNTIF(
    INDIRECT("'"&amp;C$1&amp;"'!C:C"),
    $A837
  )&gt;0,
  "X",
  ""
)</f>
        <v/>
      </c>
      <c r="D837" s="41" t="str">
        <f t="shared" si="836"/>
        <v/>
      </c>
      <c r="E837" s="41" t="str">
        <f t="shared" si="836"/>
        <v/>
      </c>
      <c r="F837" s="41" t="str">
        <f t="shared" si="836"/>
        <v/>
      </c>
      <c r="G837" s="41" t="str">
        <f t="shared" si="836"/>
        <v/>
      </c>
      <c r="H837" s="41" t="str">
        <f t="shared" si="836"/>
        <v/>
      </c>
      <c r="I837" s="41" t="str">
        <f t="shared" si="836"/>
        <v/>
      </c>
      <c r="J837" s="41" t="str">
        <f t="shared" si="836"/>
        <v/>
      </c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67.5" customHeight="1">
      <c r="A838" s="39"/>
      <c r="B838" s="43" t="str">
        <f>IFERROR(__xludf.DUMMYFUNCTION("IFERROR(
  LET(
    periodos, C$1:Z$1,
    marcas, C838:Z838,
    pos, MAX(
          FILTER(
            COLUMN(marcas)-COLUMN(C838)+1,
            marcas=""X""
          )
        ),
    ultimo, INDEX(periodos, pos),
    XLOOKUP(
      $A838,
      INDI"&amp;"RECT(""'""&amp;ultimo&amp;""'!C:C""),
      INDIRECT(""'""&amp;ultimo&amp;""'!A:A"")
    )
  ),
  """"
)"),"")</f>
        <v/>
      </c>
      <c r="C838" s="41" t="str">
        <f t="shared" ref="C838:J838" si="837">IF(
  COUNTIF(
    INDIRECT("'"&amp;C$1&amp;"'!C:C"),
    $A838
  )&gt;0,
  "X",
  ""
)</f>
        <v/>
      </c>
      <c r="D838" s="41" t="str">
        <f t="shared" si="837"/>
        <v/>
      </c>
      <c r="E838" s="41" t="str">
        <f t="shared" si="837"/>
        <v/>
      </c>
      <c r="F838" s="41" t="str">
        <f t="shared" si="837"/>
        <v/>
      </c>
      <c r="G838" s="41" t="str">
        <f t="shared" si="837"/>
        <v/>
      </c>
      <c r="H838" s="41" t="str">
        <f t="shared" si="837"/>
        <v/>
      </c>
      <c r="I838" s="41" t="str">
        <f t="shared" si="837"/>
        <v/>
      </c>
      <c r="J838" s="41" t="str">
        <f t="shared" si="837"/>
        <v/>
      </c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67.5" customHeight="1">
      <c r="A839" s="39"/>
      <c r="B839" s="43" t="str">
        <f>IFERROR(__xludf.DUMMYFUNCTION("IFERROR(
  LET(
    periodos, C$1:Z$1,
    marcas, C839:Z839,
    pos, MAX(
          FILTER(
            COLUMN(marcas)-COLUMN(C839)+1,
            marcas=""X""
          )
        ),
    ultimo, INDEX(periodos, pos),
    XLOOKUP(
      $A839,
      INDI"&amp;"RECT(""'""&amp;ultimo&amp;""'!C:C""),
      INDIRECT(""'""&amp;ultimo&amp;""'!A:A"")
    )
  ),
  """"
)"),"")</f>
        <v/>
      </c>
      <c r="C839" s="41" t="str">
        <f t="shared" ref="C839:J839" si="838">IF(
  COUNTIF(
    INDIRECT("'"&amp;C$1&amp;"'!C:C"),
    $A839
  )&gt;0,
  "X",
  ""
)</f>
        <v/>
      </c>
      <c r="D839" s="41" t="str">
        <f t="shared" si="838"/>
        <v/>
      </c>
      <c r="E839" s="41" t="str">
        <f t="shared" si="838"/>
        <v/>
      </c>
      <c r="F839" s="41" t="str">
        <f t="shared" si="838"/>
        <v/>
      </c>
      <c r="G839" s="41" t="str">
        <f t="shared" si="838"/>
        <v/>
      </c>
      <c r="H839" s="41" t="str">
        <f t="shared" si="838"/>
        <v/>
      </c>
      <c r="I839" s="41" t="str">
        <f t="shared" si="838"/>
        <v/>
      </c>
      <c r="J839" s="41" t="str">
        <f t="shared" si="838"/>
        <v/>
      </c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67.5" customHeight="1">
      <c r="A840" s="39"/>
      <c r="B840" s="43" t="str">
        <f>IFERROR(__xludf.DUMMYFUNCTION("IFERROR(
  LET(
    periodos, C$1:Z$1,
    marcas, C840:Z840,
    pos, MAX(
          FILTER(
            COLUMN(marcas)-COLUMN(C840)+1,
            marcas=""X""
          )
        ),
    ultimo, INDEX(periodos, pos),
    XLOOKUP(
      $A840,
      INDI"&amp;"RECT(""'""&amp;ultimo&amp;""'!C:C""),
      INDIRECT(""'""&amp;ultimo&amp;""'!A:A"")
    )
  ),
  """"
)"),"")</f>
        <v/>
      </c>
      <c r="C840" s="41" t="str">
        <f t="shared" ref="C840:J840" si="839">IF(
  COUNTIF(
    INDIRECT("'"&amp;C$1&amp;"'!C:C"),
    $A840
  )&gt;0,
  "X",
  ""
)</f>
        <v/>
      </c>
      <c r="D840" s="41" t="str">
        <f t="shared" si="839"/>
        <v/>
      </c>
      <c r="E840" s="41" t="str">
        <f t="shared" si="839"/>
        <v/>
      </c>
      <c r="F840" s="41" t="str">
        <f t="shared" si="839"/>
        <v/>
      </c>
      <c r="G840" s="41" t="str">
        <f t="shared" si="839"/>
        <v/>
      </c>
      <c r="H840" s="41" t="str">
        <f t="shared" si="839"/>
        <v/>
      </c>
      <c r="I840" s="41" t="str">
        <f t="shared" si="839"/>
        <v/>
      </c>
      <c r="J840" s="41" t="str">
        <f t="shared" si="839"/>
        <v/>
      </c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67.5" customHeight="1">
      <c r="A841" s="39"/>
      <c r="B841" s="43" t="str">
        <f>IFERROR(__xludf.DUMMYFUNCTION("IFERROR(
  LET(
    periodos, C$1:Z$1,
    marcas, C841:Z841,
    pos, MAX(
          FILTER(
            COLUMN(marcas)-COLUMN(C841)+1,
            marcas=""X""
          )
        ),
    ultimo, INDEX(periodos, pos),
    XLOOKUP(
      $A841,
      INDI"&amp;"RECT(""'""&amp;ultimo&amp;""'!C:C""),
      INDIRECT(""'""&amp;ultimo&amp;""'!A:A"")
    )
  ),
  """"
)"),"")</f>
        <v/>
      </c>
      <c r="C841" s="41" t="str">
        <f t="shared" ref="C841:J841" si="840">IF(
  COUNTIF(
    INDIRECT("'"&amp;C$1&amp;"'!C:C"),
    $A841
  )&gt;0,
  "X",
  ""
)</f>
        <v/>
      </c>
      <c r="D841" s="41" t="str">
        <f t="shared" si="840"/>
        <v/>
      </c>
      <c r="E841" s="41" t="str">
        <f t="shared" si="840"/>
        <v/>
      </c>
      <c r="F841" s="41" t="str">
        <f t="shared" si="840"/>
        <v/>
      </c>
      <c r="G841" s="41" t="str">
        <f t="shared" si="840"/>
        <v/>
      </c>
      <c r="H841" s="41" t="str">
        <f t="shared" si="840"/>
        <v/>
      </c>
      <c r="I841" s="41" t="str">
        <f t="shared" si="840"/>
        <v/>
      </c>
      <c r="J841" s="41" t="str">
        <f t="shared" si="840"/>
        <v/>
      </c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67.5" customHeight="1">
      <c r="A842" s="39"/>
      <c r="B842" s="43" t="str">
        <f>IFERROR(__xludf.DUMMYFUNCTION("IFERROR(
  LET(
    periodos, C$1:Z$1,
    marcas, C842:Z842,
    pos, MAX(
          FILTER(
            COLUMN(marcas)-COLUMN(C842)+1,
            marcas=""X""
          )
        ),
    ultimo, INDEX(periodos, pos),
    XLOOKUP(
      $A842,
      INDI"&amp;"RECT(""'""&amp;ultimo&amp;""'!C:C""),
      INDIRECT(""'""&amp;ultimo&amp;""'!A:A"")
    )
  ),
  """"
)"),"")</f>
        <v/>
      </c>
      <c r="C842" s="41" t="str">
        <f t="shared" ref="C842:J842" si="841">IF(
  COUNTIF(
    INDIRECT("'"&amp;C$1&amp;"'!C:C"),
    $A842
  )&gt;0,
  "X",
  ""
)</f>
        <v/>
      </c>
      <c r="D842" s="41" t="str">
        <f t="shared" si="841"/>
        <v/>
      </c>
      <c r="E842" s="41" t="str">
        <f t="shared" si="841"/>
        <v/>
      </c>
      <c r="F842" s="41" t="str">
        <f t="shared" si="841"/>
        <v/>
      </c>
      <c r="G842" s="41" t="str">
        <f t="shared" si="841"/>
        <v/>
      </c>
      <c r="H842" s="41" t="str">
        <f t="shared" si="841"/>
        <v/>
      </c>
      <c r="I842" s="41" t="str">
        <f t="shared" si="841"/>
        <v/>
      </c>
      <c r="J842" s="41" t="str">
        <f t="shared" si="841"/>
        <v/>
      </c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67.5" customHeight="1">
      <c r="A843" s="39"/>
      <c r="B843" s="43" t="str">
        <f>IFERROR(__xludf.DUMMYFUNCTION("IFERROR(
  LET(
    periodos, C$1:Z$1,
    marcas, C843:Z843,
    pos, MAX(
          FILTER(
            COLUMN(marcas)-COLUMN(C843)+1,
            marcas=""X""
          )
        ),
    ultimo, INDEX(periodos, pos),
    XLOOKUP(
      $A843,
      INDI"&amp;"RECT(""'""&amp;ultimo&amp;""'!C:C""),
      INDIRECT(""'""&amp;ultimo&amp;""'!A:A"")
    )
  ),
  """"
)"),"")</f>
        <v/>
      </c>
      <c r="C843" s="41" t="str">
        <f t="shared" ref="C843:J843" si="842">IF(
  COUNTIF(
    INDIRECT("'"&amp;C$1&amp;"'!C:C"),
    $A843
  )&gt;0,
  "X",
  ""
)</f>
        <v/>
      </c>
      <c r="D843" s="41" t="str">
        <f t="shared" si="842"/>
        <v/>
      </c>
      <c r="E843" s="41" t="str">
        <f t="shared" si="842"/>
        <v/>
      </c>
      <c r="F843" s="41" t="str">
        <f t="shared" si="842"/>
        <v/>
      </c>
      <c r="G843" s="41" t="str">
        <f t="shared" si="842"/>
        <v/>
      </c>
      <c r="H843" s="41" t="str">
        <f t="shared" si="842"/>
        <v/>
      </c>
      <c r="I843" s="41" t="str">
        <f t="shared" si="842"/>
        <v/>
      </c>
      <c r="J843" s="41" t="str">
        <f t="shared" si="842"/>
        <v/>
      </c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67.5" customHeight="1">
      <c r="A844" s="39"/>
      <c r="B844" s="43" t="str">
        <f>IFERROR(__xludf.DUMMYFUNCTION("IFERROR(
  LET(
    periodos, C$1:Z$1,
    marcas, C844:Z844,
    pos, MAX(
          FILTER(
            COLUMN(marcas)-COLUMN(C844)+1,
            marcas=""X""
          )
        ),
    ultimo, INDEX(periodos, pos),
    XLOOKUP(
      $A844,
      INDI"&amp;"RECT(""'""&amp;ultimo&amp;""'!C:C""),
      INDIRECT(""'""&amp;ultimo&amp;""'!A:A"")
    )
  ),
  """"
)"),"")</f>
        <v/>
      </c>
      <c r="C844" s="41" t="str">
        <f t="shared" ref="C844:J844" si="843">IF(
  COUNTIF(
    INDIRECT("'"&amp;C$1&amp;"'!C:C"),
    $A844
  )&gt;0,
  "X",
  ""
)</f>
        <v/>
      </c>
      <c r="D844" s="41" t="str">
        <f t="shared" si="843"/>
        <v/>
      </c>
      <c r="E844" s="41" t="str">
        <f t="shared" si="843"/>
        <v/>
      </c>
      <c r="F844" s="41" t="str">
        <f t="shared" si="843"/>
        <v/>
      </c>
      <c r="G844" s="41" t="str">
        <f t="shared" si="843"/>
        <v/>
      </c>
      <c r="H844" s="41" t="str">
        <f t="shared" si="843"/>
        <v/>
      </c>
      <c r="I844" s="41" t="str">
        <f t="shared" si="843"/>
        <v/>
      </c>
      <c r="J844" s="41" t="str">
        <f t="shared" si="843"/>
        <v/>
      </c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67.5" customHeight="1">
      <c r="A845" s="39"/>
      <c r="B845" s="43" t="str">
        <f>IFERROR(__xludf.DUMMYFUNCTION("IFERROR(
  LET(
    periodos, C$1:Z$1,
    marcas, C845:Z845,
    pos, MAX(
          FILTER(
            COLUMN(marcas)-COLUMN(C845)+1,
            marcas=""X""
          )
        ),
    ultimo, INDEX(periodos, pos),
    XLOOKUP(
      $A845,
      INDI"&amp;"RECT(""'""&amp;ultimo&amp;""'!C:C""),
      INDIRECT(""'""&amp;ultimo&amp;""'!A:A"")
    )
  ),
  """"
)"),"")</f>
        <v/>
      </c>
      <c r="C845" s="41" t="str">
        <f t="shared" ref="C845:J845" si="844">IF(
  COUNTIF(
    INDIRECT("'"&amp;C$1&amp;"'!C:C"),
    $A845
  )&gt;0,
  "X",
  ""
)</f>
        <v/>
      </c>
      <c r="D845" s="41" t="str">
        <f t="shared" si="844"/>
        <v/>
      </c>
      <c r="E845" s="41" t="str">
        <f t="shared" si="844"/>
        <v/>
      </c>
      <c r="F845" s="41" t="str">
        <f t="shared" si="844"/>
        <v/>
      </c>
      <c r="G845" s="41" t="str">
        <f t="shared" si="844"/>
        <v/>
      </c>
      <c r="H845" s="41" t="str">
        <f t="shared" si="844"/>
        <v/>
      </c>
      <c r="I845" s="41" t="str">
        <f t="shared" si="844"/>
        <v/>
      </c>
      <c r="J845" s="41" t="str">
        <f t="shared" si="844"/>
        <v/>
      </c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67.5" customHeight="1">
      <c r="A846" s="39"/>
      <c r="B846" s="43" t="str">
        <f>IFERROR(__xludf.DUMMYFUNCTION("IFERROR(
  LET(
    periodos, C$1:Z$1,
    marcas, C846:Z846,
    pos, MAX(
          FILTER(
            COLUMN(marcas)-COLUMN(C846)+1,
            marcas=""X""
          )
        ),
    ultimo, INDEX(periodos, pos),
    XLOOKUP(
      $A846,
      INDI"&amp;"RECT(""'""&amp;ultimo&amp;""'!C:C""),
      INDIRECT(""'""&amp;ultimo&amp;""'!A:A"")
    )
  ),
  """"
)"),"")</f>
        <v/>
      </c>
      <c r="C846" s="41" t="str">
        <f t="shared" ref="C846:J846" si="845">IF(
  COUNTIF(
    INDIRECT("'"&amp;C$1&amp;"'!C:C"),
    $A846
  )&gt;0,
  "X",
  ""
)</f>
        <v/>
      </c>
      <c r="D846" s="41" t="str">
        <f t="shared" si="845"/>
        <v/>
      </c>
      <c r="E846" s="41" t="str">
        <f t="shared" si="845"/>
        <v/>
      </c>
      <c r="F846" s="41" t="str">
        <f t="shared" si="845"/>
        <v/>
      </c>
      <c r="G846" s="41" t="str">
        <f t="shared" si="845"/>
        <v/>
      </c>
      <c r="H846" s="41" t="str">
        <f t="shared" si="845"/>
        <v/>
      </c>
      <c r="I846" s="41" t="str">
        <f t="shared" si="845"/>
        <v/>
      </c>
      <c r="J846" s="41" t="str">
        <f t="shared" si="845"/>
        <v/>
      </c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67.5" customHeight="1">
      <c r="A847" s="39"/>
      <c r="B847" s="43" t="str">
        <f>IFERROR(__xludf.DUMMYFUNCTION("IFERROR(
  LET(
    periodos, C$1:Z$1,
    marcas, C847:Z847,
    pos, MAX(
          FILTER(
            COLUMN(marcas)-COLUMN(C847)+1,
            marcas=""X""
          )
        ),
    ultimo, INDEX(periodos, pos),
    XLOOKUP(
      $A847,
      INDI"&amp;"RECT(""'""&amp;ultimo&amp;""'!C:C""),
      INDIRECT(""'""&amp;ultimo&amp;""'!A:A"")
    )
  ),
  """"
)"),"")</f>
        <v/>
      </c>
      <c r="C847" s="41" t="str">
        <f t="shared" ref="C847:J847" si="846">IF(
  COUNTIF(
    INDIRECT("'"&amp;C$1&amp;"'!C:C"),
    $A847
  )&gt;0,
  "X",
  ""
)</f>
        <v/>
      </c>
      <c r="D847" s="41" t="str">
        <f t="shared" si="846"/>
        <v/>
      </c>
      <c r="E847" s="41" t="str">
        <f t="shared" si="846"/>
        <v/>
      </c>
      <c r="F847" s="41" t="str">
        <f t="shared" si="846"/>
        <v/>
      </c>
      <c r="G847" s="41" t="str">
        <f t="shared" si="846"/>
        <v/>
      </c>
      <c r="H847" s="41" t="str">
        <f t="shared" si="846"/>
        <v/>
      </c>
      <c r="I847" s="41" t="str">
        <f t="shared" si="846"/>
        <v/>
      </c>
      <c r="J847" s="41" t="str">
        <f t="shared" si="846"/>
        <v/>
      </c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67.5" customHeight="1">
      <c r="A848" s="39"/>
      <c r="B848" s="43" t="str">
        <f>IFERROR(__xludf.DUMMYFUNCTION("IFERROR(
  LET(
    periodos, C$1:Z$1,
    marcas, C848:Z848,
    pos, MAX(
          FILTER(
            COLUMN(marcas)-COLUMN(C848)+1,
            marcas=""X""
          )
        ),
    ultimo, INDEX(periodos, pos),
    XLOOKUP(
      $A848,
      INDI"&amp;"RECT(""'""&amp;ultimo&amp;""'!C:C""),
      INDIRECT(""'""&amp;ultimo&amp;""'!A:A"")
    )
  ),
  """"
)"),"")</f>
        <v/>
      </c>
      <c r="C848" s="41" t="str">
        <f t="shared" ref="C848:J848" si="847">IF(
  COUNTIF(
    INDIRECT("'"&amp;C$1&amp;"'!C:C"),
    $A848
  )&gt;0,
  "X",
  ""
)</f>
        <v/>
      </c>
      <c r="D848" s="41" t="str">
        <f t="shared" si="847"/>
        <v/>
      </c>
      <c r="E848" s="41" t="str">
        <f t="shared" si="847"/>
        <v/>
      </c>
      <c r="F848" s="41" t="str">
        <f t="shared" si="847"/>
        <v/>
      </c>
      <c r="G848" s="41" t="str">
        <f t="shared" si="847"/>
        <v/>
      </c>
      <c r="H848" s="41" t="str">
        <f t="shared" si="847"/>
        <v/>
      </c>
      <c r="I848" s="41" t="str">
        <f t="shared" si="847"/>
        <v/>
      </c>
      <c r="J848" s="41" t="str">
        <f t="shared" si="847"/>
        <v/>
      </c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67.5" customHeight="1">
      <c r="A849" s="39"/>
      <c r="B849" s="43" t="str">
        <f>IFERROR(__xludf.DUMMYFUNCTION("IFERROR(
  LET(
    periodos, C$1:Z$1,
    marcas, C849:Z849,
    pos, MAX(
          FILTER(
            COLUMN(marcas)-COLUMN(C849)+1,
            marcas=""X""
          )
        ),
    ultimo, INDEX(periodos, pos),
    XLOOKUP(
      $A849,
      INDI"&amp;"RECT(""'""&amp;ultimo&amp;""'!C:C""),
      INDIRECT(""'""&amp;ultimo&amp;""'!A:A"")
    )
  ),
  """"
)"),"")</f>
        <v/>
      </c>
      <c r="C849" s="41" t="str">
        <f t="shared" ref="C849:J849" si="848">IF(
  COUNTIF(
    INDIRECT("'"&amp;C$1&amp;"'!C:C"),
    $A849
  )&gt;0,
  "X",
  ""
)</f>
        <v/>
      </c>
      <c r="D849" s="41" t="str">
        <f t="shared" si="848"/>
        <v/>
      </c>
      <c r="E849" s="41" t="str">
        <f t="shared" si="848"/>
        <v/>
      </c>
      <c r="F849" s="41" t="str">
        <f t="shared" si="848"/>
        <v/>
      </c>
      <c r="G849" s="41" t="str">
        <f t="shared" si="848"/>
        <v/>
      </c>
      <c r="H849" s="41" t="str">
        <f t="shared" si="848"/>
        <v/>
      </c>
      <c r="I849" s="41" t="str">
        <f t="shared" si="848"/>
        <v/>
      </c>
      <c r="J849" s="41" t="str">
        <f t="shared" si="848"/>
        <v/>
      </c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67.5" customHeight="1">
      <c r="A850" s="39"/>
      <c r="B850" s="43" t="str">
        <f>IFERROR(__xludf.DUMMYFUNCTION("IFERROR(
  LET(
    periodos, C$1:Z$1,
    marcas, C850:Z850,
    pos, MAX(
          FILTER(
            COLUMN(marcas)-COLUMN(C850)+1,
            marcas=""X""
          )
        ),
    ultimo, INDEX(periodos, pos),
    XLOOKUP(
      $A850,
      INDI"&amp;"RECT(""'""&amp;ultimo&amp;""'!C:C""),
      INDIRECT(""'""&amp;ultimo&amp;""'!A:A"")
    )
  ),
  """"
)"),"")</f>
        <v/>
      </c>
      <c r="C850" s="41" t="str">
        <f t="shared" ref="C850:J850" si="849">IF(
  COUNTIF(
    INDIRECT("'"&amp;C$1&amp;"'!C:C"),
    $A850
  )&gt;0,
  "X",
  ""
)</f>
        <v/>
      </c>
      <c r="D850" s="41" t="str">
        <f t="shared" si="849"/>
        <v/>
      </c>
      <c r="E850" s="41" t="str">
        <f t="shared" si="849"/>
        <v/>
      </c>
      <c r="F850" s="41" t="str">
        <f t="shared" si="849"/>
        <v/>
      </c>
      <c r="G850" s="41" t="str">
        <f t="shared" si="849"/>
        <v/>
      </c>
      <c r="H850" s="41" t="str">
        <f t="shared" si="849"/>
        <v/>
      </c>
      <c r="I850" s="41" t="str">
        <f t="shared" si="849"/>
        <v/>
      </c>
      <c r="J850" s="41" t="str">
        <f t="shared" si="849"/>
        <v/>
      </c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67.5" customHeight="1">
      <c r="A851" s="39"/>
      <c r="B851" s="43" t="str">
        <f>IFERROR(__xludf.DUMMYFUNCTION("IFERROR(
  LET(
    periodos, C$1:Z$1,
    marcas, C851:Z851,
    pos, MAX(
          FILTER(
            COLUMN(marcas)-COLUMN(C851)+1,
            marcas=""X""
          )
        ),
    ultimo, INDEX(periodos, pos),
    XLOOKUP(
      $A851,
      INDI"&amp;"RECT(""'""&amp;ultimo&amp;""'!C:C""),
      INDIRECT(""'""&amp;ultimo&amp;""'!A:A"")
    )
  ),
  """"
)"),"")</f>
        <v/>
      </c>
      <c r="C851" s="41" t="str">
        <f t="shared" ref="C851:J851" si="850">IF(
  COUNTIF(
    INDIRECT("'"&amp;C$1&amp;"'!C:C"),
    $A851
  )&gt;0,
  "X",
  ""
)</f>
        <v/>
      </c>
      <c r="D851" s="41" t="str">
        <f t="shared" si="850"/>
        <v/>
      </c>
      <c r="E851" s="41" t="str">
        <f t="shared" si="850"/>
        <v/>
      </c>
      <c r="F851" s="41" t="str">
        <f t="shared" si="850"/>
        <v/>
      </c>
      <c r="G851" s="41" t="str">
        <f t="shared" si="850"/>
        <v/>
      </c>
      <c r="H851" s="41" t="str">
        <f t="shared" si="850"/>
        <v/>
      </c>
      <c r="I851" s="41" t="str">
        <f t="shared" si="850"/>
        <v/>
      </c>
      <c r="J851" s="41" t="str">
        <f t="shared" si="850"/>
        <v/>
      </c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67.5" customHeight="1">
      <c r="A852" s="39"/>
      <c r="B852" s="43" t="str">
        <f>IFERROR(__xludf.DUMMYFUNCTION("IFERROR(
  LET(
    periodos, C$1:Z$1,
    marcas, C852:Z852,
    pos, MAX(
          FILTER(
            COLUMN(marcas)-COLUMN(C852)+1,
            marcas=""X""
          )
        ),
    ultimo, INDEX(periodos, pos),
    XLOOKUP(
      $A852,
      INDI"&amp;"RECT(""'""&amp;ultimo&amp;""'!C:C""),
      INDIRECT(""'""&amp;ultimo&amp;""'!A:A"")
    )
  ),
  """"
)"),"")</f>
        <v/>
      </c>
      <c r="C852" s="41" t="str">
        <f t="shared" ref="C852:J852" si="851">IF(
  COUNTIF(
    INDIRECT("'"&amp;C$1&amp;"'!C:C"),
    $A852
  )&gt;0,
  "X",
  ""
)</f>
        <v/>
      </c>
      <c r="D852" s="41" t="str">
        <f t="shared" si="851"/>
        <v/>
      </c>
      <c r="E852" s="41" t="str">
        <f t="shared" si="851"/>
        <v/>
      </c>
      <c r="F852" s="41" t="str">
        <f t="shared" si="851"/>
        <v/>
      </c>
      <c r="G852" s="41" t="str">
        <f t="shared" si="851"/>
        <v/>
      </c>
      <c r="H852" s="41" t="str">
        <f t="shared" si="851"/>
        <v/>
      </c>
      <c r="I852" s="41" t="str">
        <f t="shared" si="851"/>
        <v/>
      </c>
      <c r="J852" s="41" t="str">
        <f t="shared" si="851"/>
        <v/>
      </c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67.5" customHeight="1">
      <c r="A853" s="39"/>
      <c r="B853" s="43" t="str">
        <f>IFERROR(__xludf.DUMMYFUNCTION("IFERROR(
  LET(
    periodos, C$1:Z$1,
    marcas, C853:Z853,
    pos, MAX(
          FILTER(
            COLUMN(marcas)-COLUMN(C853)+1,
            marcas=""X""
          )
        ),
    ultimo, INDEX(periodos, pos),
    XLOOKUP(
      $A853,
      INDI"&amp;"RECT(""'""&amp;ultimo&amp;""'!C:C""),
      INDIRECT(""'""&amp;ultimo&amp;""'!A:A"")
    )
  ),
  """"
)"),"")</f>
        <v/>
      </c>
      <c r="C853" s="41" t="str">
        <f t="shared" ref="C853:J853" si="852">IF(
  COUNTIF(
    INDIRECT("'"&amp;C$1&amp;"'!C:C"),
    $A853
  )&gt;0,
  "X",
  ""
)</f>
        <v/>
      </c>
      <c r="D853" s="41" t="str">
        <f t="shared" si="852"/>
        <v/>
      </c>
      <c r="E853" s="41" t="str">
        <f t="shared" si="852"/>
        <v/>
      </c>
      <c r="F853" s="41" t="str">
        <f t="shared" si="852"/>
        <v/>
      </c>
      <c r="G853" s="41" t="str">
        <f t="shared" si="852"/>
        <v/>
      </c>
      <c r="H853" s="41" t="str">
        <f t="shared" si="852"/>
        <v/>
      </c>
      <c r="I853" s="41" t="str">
        <f t="shared" si="852"/>
        <v/>
      </c>
      <c r="J853" s="41" t="str">
        <f t="shared" si="852"/>
        <v/>
      </c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67.5" customHeight="1">
      <c r="A854" s="39"/>
      <c r="B854" s="43" t="str">
        <f>IFERROR(__xludf.DUMMYFUNCTION("IFERROR(
  LET(
    periodos, C$1:Z$1,
    marcas, C854:Z854,
    pos, MAX(
          FILTER(
            COLUMN(marcas)-COLUMN(C854)+1,
            marcas=""X""
          )
        ),
    ultimo, INDEX(periodos, pos),
    XLOOKUP(
      $A854,
      INDI"&amp;"RECT(""'""&amp;ultimo&amp;""'!C:C""),
      INDIRECT(""'""&amp;ultimo&amp;""'!A:A"")
    )
  ),
  """"
)"),"")</f>
        <v/>
      </c>
      <c r="C854" s="41" t="str">
        <f t="shared" ref="C854:J854" si="853">IF(
  COUNTIF(
    INDIRECT("'"&amp;C$1&amp;"'!C:C"),
    $A854
  )&gt;0,
  "X",
  ""
)</f>
        <v/>
      </c>
      <c r="D854" s="41" t="str">
        <f t="shared" si="853"/>
        <v/>
      </c>
      <c r="E854" s="41" t="str">
        <f t="shared" si="853"/>
        <v/>
      </c>
      <c r="F854" s="41" t="str">
        <f t="shared" si="853"/>
        <v/>
      </c>
      <c r="G854" s="41" t="str">
        <f t="shared" si="853"/>
        <v/>
      </c>
      <c r="H854" s="41" t="str">
        <f t="shared" si="853"/>
        <v/>
      </c>
      <c r="I854" s="41" t="str">
        <f t="shared" si="853"/>
        <v/>
      </c>
      <c r="J854" s="41" t="str">
        <f t="shared" si="853"/>
        <v/>
      </c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67.5" customHeight="1">
      <c r="A855" s="39"/>
      <c r="B855" s="43" t="str">
        <f>IFERROR(__xludf.DUMMYFUNCTION("IFERROR(
  LET(
    periodos, C$1:Z$1,
    marcas, C855:Z855,
    pos, MAX(
          FILTER(
            COLUMN(marcas)-COLUMN(C855)+1,
            marcas=""X""
          )
        ),
    ultimo, INDEX(periodos, pos),
    XLOOKUP(
      $A855,
      INDI"&amp;"RECT(""'""&amp;ultimo&amp;""'!C:C""),
      INDIRECT(""'""&amp;ultimo&amp;""'!A:A"")
    )
  ),
  """"
)"),"")</f>
        <v/>
      </c>
      <c r="C855" s="41" t="str">
        <f t="shared" ref="C855:J855" si="854">IF(
  COUNTIF(
    INDIRECT("'"&amp;C$1&amp;"'!C:C"),
    $A855
  )&gt;0,
  "X",
  ""
)</f>
        <v/>
      </c>
      <c r="D855" s="41" t="str">
        <f t="shared" si="854"/>
        <v/>
      </c>
      <c r="E855" s="41" t="str">
        <f t="shared" si="854"/>
        <v/>
      </c>
      <c r="F855" s="41" t="str">
        <f t="shared" si="854"/>
        <v/>
      </c>
      <c r="G855" s="41" t="str">
        <f t="shared" si="854"/>
        <v/>
      </c>
      <c r="H855" s="41" t="str">
        <f t="shared" si="854"/>
        <v/>
      </c>
      <c r="I855" s="41" t="str">
        <f t="shared" si="854"/>
        <v/>
      </c>
      <c r="J855" s="41" t="str">
        <f t="shared" si="854"/>
        <v/>
      </c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67.5" customHeight="1">
      <c r="A856" s="39"/>
      <c r="B856" s="43" t="str">
        <f>IFERROR(__xludf.DUMMYFUNCTION("IFERROR(
  LET(
    periodos, C$1:Z$1,
    marcas, C856:Z856,
    pos, MAX(
          FILTER(
            COLUMN(marcas)-COLUMN(C856)+1,
            marcas=""X""
          )
        ),
    ultimo, INDEX(periodos, pos),
    XLOOKUP(
      $A856,
      INDI"&amp;"RECT(""'""&amp;ultimo&amp;""'!C:C""),
      INDIRECT(""'""&amp;ultimo&amp;""'!A:A"")
    )
  ),
  """"
)"),"")</f>
        <v/>
      </c>
      <c r="C856" s="41" t="str">
        <f t="shared" ref="C856:J856" si="855">IF(
  COUNTIF(
    INDIRECT("'"&amp;C$1&amp;"'!C:C"),
    $A856
  )&gt;0,
  "X",
  ""
)</f>
        <v/>
      </c>
      <c r="D856" s="41" t="str">
        <f t="shared" si="855"/>
        <v/>
      </c>
      <c r="E856" s="41" t="str">
        <f t="shared" si="855"/>
        <v/>
      </c>
      <c r="F856" s="41" t="str">
        <f t="shared" si="855"/>
        <v/>
      </c>
      <c r="G856" s="41" t="str">
        <f t="shared" si="855"/>
        <v/>
      </c>
      <c r="H856" s="41" t="str">
        <f t="shared" si="855"/>
        <v/>
      </c>
      <c r="I856" s="41" t="str">
        <f t="shared" si="855"/>
        <v/>
      </c>
      <c r="J856" s="41" t="str">
        <f t="shared" si="855"/>
        <v/>
      </c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67.5" customHeight="1">
      <c r="A857" s="39"/>
      <c r="B857" s="43" t="str">
        <f>IFERROR(__xludf.DUMMYFUNCTION("IFERROR(
  LET(
    periodos, C$1:Z$1,
    marcas, C857:Z857,
    pos, MAX(
          FILTER(
            COLUMN(marcas)-COLUMN(C857)+1,
            marcas=""X""
          )
        ),
    ultimo, INDEX(periodos, pos),
    XLOOKUP(
      $A857,
      INDI"&amp;"RECT(""'""&amp;ultimo&amp;""'!C:C""),
      INDIRECT(""'""&amp;ultimo&amp;""'!A:A"")
    )
  ),
  """"
)"),"")</f>
        <v/>
      </c>
      <c r="C857" s="41" t="str">
        <f t="shared" ref="C857:J857" si="856">IF(
  COUNTIF(
    INDIRECT("'"&amp;C$1&amp;"'!C:C"),
    $A857
  )&gt;0,
  "X",
  ""
)</f>
        <v/>
      </c>
      <c r="D857" s="41" t="str">
        <f t="shared" si="856"/>
        <v/>
      </c>
      <c r="E857" s="41" t="str">
        <f t="shared" si="856"/>
        <v/>
      </c>
      <c r="F857" s="41" t="str">
        <f t="shared" si="856"/>
        <v/>
      </c>
      <c r="G857" s="41" t="str">
        <f t="shared" si="856"/>
        <v/>
      </c>
      <c r="H857" s="41" t="str">
        <f t="shared" si="856"/>
        <v/>
      </c>
      <c r="I857" s="41" t="str">
        <f t="shared" si="856"/>
        <v/>
      </c>
      <c r="J857" s="41" t="str">
        <f t="shared" si="856"/>
        <v/>
      </c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67.5" customHeight="1">
      <c r="A858" s="39"/>
      <c r="B858" s="43" t="str">
        <f>IFERROR(__xludf.DUMMYFUNCTION("IFERROR(
  LET(
    periodos, C$1:Z$1,
    marcas, C858:Z858,
    pos, MAX(
          FILTER(
            COLUMN(marcas)-COLUMN(C858)+1,
            marcas=""X""
          )
        ),
    ultimo, INDEX(periodos, pos),
    XLOOKUP(
      $A858,
      INDI"&amp;"RECT(""'""&amp;ultimo&amp;""'!C:C""),
      INDIRECT(""'""&amp;ultimo&amp;""'!A:A"")
    )
  ),
  """"
)"),"")</f>
        <v/>
      </c>
      <c r="C858" s="41" t="str">
        <f t="shared" ref="C858:J858" si="857">IF(
  COUNTIF(
    INDIRECT("'"&amp;C$1&amp;"'!C:C"),
    $A858
  )&gt;0,
  "X",
  ""
)</f>
        <v/>
      </c>
      <c r="D858" s="41" t="str">
        <f t="shared" si="857"/>
        <v/>
      </c>
      <c r="E858" s="41" t="str">
        <f t="shared" si="857"/>
        <v/>
      </c>
      <c r="F858" s="41" t="str">
        <f t="shared" si="857"/>
        <v/>
      </c>
      <c r="G858" s="41" t="str">
        <f t="shared" si="857"/>
        <v/>
      </c>
      <c r="H858" s="41" t="str">
        <f t="shared" si="857"/>
        <v/>
      </c>
      <c r="I858" s="41" t="str">
        <f t="shared" si="857"/>
        <v/>
      </c>
      <c r="J858" s="41" t="str">
        <f t="shared" si="857"/>
        <v/>
      </c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67.5" customHeight="1">
      <c r="A859" s="39"/>
      <c r="B859" s="43" t="str">
        <f>IFERROR(__xludf.DUMMYFUNCTION("IFERROR(
  LET(
    periodos, C$1:Z$1,
    marcas, C859:Z859,
    pos, MAX(
          FILTER(
            COLUMN(marcas)-COLUMN(C859)+1,
            marcas=""X""
          )
        ),
    ultimo, INDEX(periodos, pos),
    XLOOKUP(
      $A859,
      INDI"&amp;"RECT(""'""&amp;ultimo&amp;""'!C:C""),
      INDIRECT(""'""&amp;ultimo&amp;""'!A:A"")
    )
  ),
  """"
)"),"")</f>
        <v/>
      </c>
      <c r="C859" s="41" t="str">
        <f t="shared" ref="C859:J859" si="858">IF(
  COUNTIF(
    INDIRECT("'"&amp;C$1&amp;"'!C:C"),
    $A859
  )&gt;0,
  "X",
  ""
)</f>
        <v/>
      </c>
      <c r="D859" s="41" t="str">
        <f t="shared" si="858"/>
        <v/>
      </c>
      <c r="E859" s="41" t="str">
        <f t="shared" si="858"/>
        <v/>
      </c>
      <c r="F859" s="41" t="str">
        <f t="shared" si="858"/>
        <v/>
      </c>
      <c r="G859" s="41" t="str">
        <f t="shared" si="858"/>
        <v/>
      </c>
      <c r="H859" s="41" t="str">
        <f t="shared" si="858"/>
        <v/>
      </c>
      <c r="I859" s="41" t="str">
        <f t="shared" si="858"/>
        <v/>
      </c>
      <c r="J859" s="41" t="str">
        <f t="shared" si="858"/>
        <v/>
      </c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67.5" customHeight="1">
      <c r="A860" s="39"/>
      <c r="B860" s="43" t="str">
        <f>IFERROR(__xludf.DUMMYFUNCTION("IFERROR(
  LET(
    periodos, C$1:Z$1,
    marcas, C860:Z860,
    pos, MAX(
          FILTER(
            COLUMN(marcas)-COLUMN(C860)+1,
            marcas=""X""
          )
        ),
    ultimo, INDEX(periodos, pos),
    XLOOKUP(
      $A860,
      INDI"&amp;"RECT(""'""&amp;ultimo&amp;""'!C:C""),
      INDIRECT(""'""&amp;ultimo&amp;""'!A:A"")
    )
  ),
  """"
)"),"")</f>
        <v/>
      </c>
      <c r="C860" s="41" t="str">
        <f t="shared" ref="C860:J860" si="859">IF(
  COUNTIF(
    INDIRECT("'"&amp;C$1&amp;"'!C:C"),
    $A860
  )&gt;0,
  "X",
  ""
)</f>
        <v/>
      </c>
      <c r="D860" s="41" t="str">
        <f t="shared" si="859"/>
        <v/>
      </c>
      <c r="E860" s="41" t="str">
        <f t="shared" si="859"/>
        <v/>
      </c>
      <c r="F860" s="41" t="str">
        <f t="shared" si="859"/>
        <v/>
      </c>
      <c r="G860" s="41" t="str">
        <f t="shared" si="859"/>
        <v/>
      </c>
      <c r="H860" s="41" t="str">
        <f t="shared" si="859"/>
        <v/>
      </c>
      <c r="I860" s="41" t="str">
        <f t="shared" si="859"/>
        <v/>
      </c>
      <c r="J860" s="41" t="str">
        <f t="shared" si="859"/>
        <v/>
      </c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67.5" customHeight="1">
      <c r="A861" s="39"/>
      <c r="B861" s="43" t="str">
        <f>IFERROR(__xludf.DUMMYFUNCTION("IFERROR(
  LET(
    periodos, C$1:Z$1,
    marcas, C861:Z861,
    pos, MAX(
          FILTER(
            COLUMN(marcas)-COLUMN(C861)+1,
            marcas=""X""
          )
        ),
    ultimo, INDEX(periodos, pos),
    XLOOKUP(
      $A861,
      INDI"&amp;"RECT(""'""&amp;ultimo&amp;""'!C:C""),
      INDIRECT(""'""&amp;ultimo&amp;""'!A:A"")
    )
  ),
  """"
)"),"")</f>
        <v/>
      </c>
      <c r="C861" s="41" t="str">
        <f t="shared" ref="C861:J861" si="860">IF(
  COUNTIF(
    INDIRECT("'"&amp;C$1&amp;"'!C:C"),
    $A861
  )&gt;0,
  "X",
  ""
)</f>
        <v/>
      </c>
      <c r="D861" s="41" t="str">
        <f t="shared" si="860"/>
        <v/>
      </c>
      <c r="E861" s="41" t="str">
        <f t="shared" si="860"/>
        <v/>
      </c>
      <c r="F861" s="41" t="str">
        <f t="shared" si="860"/>
        <v/>
      </c>
      <c r="G861" s="41" t="str">
        <f t="shared" si="860"/>
        <v/>
      </c>
      <c r="H861" s="41" t="str">
        <f t="shared" si="860"/>
        <v/>
      </c>
      <c r="I861" s="41" t="str">
        <f t="shared" si="860"/>
        <v/>
      </c>
      <c r="J861" s="41" t="str">
        <f t="shared" si="860"/>
        <v/>
      </c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67.5" customHeight="1">
      <c r="A862" s="39"/>
      <c r="B862" s="43" t="str">
        <f>IFERROR(__xludf.DUMMYFUNCTION("IFERROR(
  LET(
    periodos, C$1:Z$1,
    marcas, C862:Z862,
    pos, MAX(
          FILTER(
            COLUMN(marcas)-COLUMN(C862)+1,
            marcas=""X""
          )
        ),
    ultimo, INDEX(periodos, pos),
    XLOOKUP(
      $A862,
      INDI"&amp;"RECT(""'""&amp;ultimo&amp;""'!C:C""),
      INDIRECT(""'""&amp;ultimo&amp;""'!A:A"")
    )
  ),
  """"
)"),"")</f>
        <v/>
      </c>
      <c r="C862" s="41" t="str">
        <f t="shared" ref="C862:J862" si="861">IF(
  COUNTIF(
    INDIRECT("'"&amp;C$1&amp;"'!C:C"),
    $A862
  )&gt;0,
  "X",
  ""
)</f>
        <v/>
      </c>
      <c r="D862" s="41" t="str">
        <f t="shared" si="861"/>
        <v/>
      </c>
      <c r="E862" s="41" t="str">
        <f t="shared" si="861"/>
        <v/>
      </c>
      <c r="F862" s="41" t="str">
        <f t="shared" si="861"/>
        <v/>
      </c>
      <c r="G862" s="41" t="str">
        <f t="shared" si="861"/>
        <v/>
      </c>
      <c r="H862" s="41" t="str">
        <f t="shared" si="861"/>
        <v/>
      </c>
      <c r="I862" s="41" t="str">
        <f t="shared" si="861"/>
        <v/>
      </c>
      <c r="J862" s="41" t="str">
        <f t="shared" si="861"/>
        <v/>
      </c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67.5" customHeight="1">
      <c r="A863" s="39"/>
      <c r="B863" s="43" t="str">
        <f>IFERROR(__xludf.DUMMYFUNCTION("IFERROR(
  LET(
    periodos, C$1:Z$1,
    marcas, C863:Z863,
    pos, MAX(
          FILTER(
            COLUMN(marcas)-COLUMN(C863)+1,
            marcas=""X""
          )
        ),
    ultimo, INDEX(periodos, pos),
    XLOOKUP(
      $A863,
      INDI"&amp;"RECT(""'""&amp;ultimo&amp;""'!C:C""),
      INDIRECT(""'""&amp;ultimo&amp;""'!A:A"")
    )
  ),
  """"
)"),"")</f>
        <v/>
      </c>
      <c r="C863" s="41" t="str">
        <f t="shared" ref="C863:J863" si="862">IF(
  COUNTIF(
    INDIRECT("'"&amp;C$1&amp;"'!C:C"),
    $A863
  )&gt;0,
  "X",
  ""
)</f>
        <v/>
      </c>
      <c r="D863" s="41" t="str">
        <f t="shared" si="862"/>
        <v/>
      </c>
      <c r="E863" s="41" t="str">
        <f t="shared" si="862"/>
        <v/>
      </c>
      <c r="F863" s="41" t="str">
        <f t="shared" si="862"/>
        <v/>
      </c>
      <c r="G863" s="41" t="str">
        <f t="shared" si="862"/>
        <v/>
      </c>
      <c r="H863" s="41" t="str">
        <f t="shared" si="862"/>
        <v/>
      </c>
      <c r="I863" s="41" t="str">
        <f t="shared" si="862"/>
        <v/>
      </c>
      <c r="J863" s="41" t="str">
        <f t="shared" si="862"/>
        <v/>
      </c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67.5" customHeight="1">
      <c r="A864" s="39"/>
      <c r="B864" s="43" t="str">
        <f>IFERROR(__xludf.DUMMYFUNCTION("IFERROR(
  LET(
    periodos, C$1:Z$1,
    marcas, C864:Z864,
    pos, MAX(
          FILTER(
            COLUMN(marcas)-COLUMN(C864)+1,
            marcas=""X""
          )
        ),
    ultimo, INDEX(periodos, pos),
    XLOOKUP(
      $A864,
      INDI"&amp;"RECT(""'""&amp;ultimo&amp;""'!C:C""),
      INDIRECT(""'""&amp;ultimo&amp;""'!A:A"")
    )
  ),
  """"
)"),"")</f>
        <v/>
      </c>
      <c r="C864" s="41" t="str">
        <f t="shared" ref="C864:J864" si="863">IF(
  COUNTIF(
    INDIRECT("'"&amp;C$1&amp;"'!C:C"),
    $A864
  )&gt;0,
  "X",
  ""
)</f>
        <v/>
      </c>
      <c r="D864" s="41" t="str">
        <f t="shared" si="863"/>
        <v/>
      </c>
      <c r="E864" s="41" t="str">
        <f t="shared" si="863"/>
        <v/>
      </c>
      <c r="F864" s="41" t="str">
        <f t="shared" si="863"/>
        <v/>
      </c>
      <c r="G864" s="41" t="str">
        <f t="shared" si="863"/>
        <v/>
      </c>
      <c r="H864" s="41" t="str">
        <f t="shared" si="863"/>
        <v/>
      </c>
      <c r="I864" s="41" t="str">
        <f t="shared" si="863"/>
        <v/>
      </c>
      <c r="J864" s="41" t="str">
        <f t="shared" si="863"/>
        <v/>
      </c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67.5" customHeight="1">
      <c r="A865" s="39"/>
      <c r="B865" s="43" t="str">
        <f>IFERROR(__xludf.DUMMYFUNCTION("IFERROR(
  LET(
    periodos, C$1:Z$1,
    marcas, C865:Z865,
    pos, MAX(
          FILTER(
            COLUMN(marcas)-COLUMN(C865)+1,
            marcas=""X""
          )
        ),
    ultimo, INDEX(periodos, pos),
    XLOOKUP(
      $A865,
      INDI"&amp;"RECT(""'""&amp;ultimo&amp;""'!C:C""),
      INDIRECT(""'""&amp;ultimo&amp;""'!A:A"")
    )
  ),
  """"
)"),"")</f>
        <v/>
      </c>
      <c r="C865" s="41" t="str">
        <f t="shared" ref="C865:J865" si="864">IF(
  COUNTIF(
    INDIRECT("'"&amp;C$1&amp;"'!C:C"),
    $A865
  )&gt;0,
  "X",
  ""
)</f>
        <v/>
      </c>
      <c r="D865" s="41" t="str">
        <f t="shared" si="864"/>
        <v/>
      </c>
      <c r="E865" s="41" t="str">
        <f t="shared" si="864"/>
        <v/>
      </c>
      <c r="F865" s="41" t="str">
        <f t="shared" si="864"/>
        <v/>
      </c>
      <c r="G865" s="41" t="str">
        <f t="shared" si="864"/>
        <v/>
      </c>
      <c r="H865" s="41" t="str">
        <f t="shared" si="864"/>
        <v/>
      </c>
      <c r="I865" s="41" t="str">
        <f t="shared" si="864"/>
        <v/>
      </c>
      <c r="J865" s="41" t="str">
        <f t="shared" si="864"/>
        <v/>
      </c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67.5" customHeight="1">
      <c r="A866" s="39"/>
      <c r="B866" s="43" t="str">
        <f>IFERROR(__xludf.DUMMYFUNCTION("IFERROR(
  LET(
    periodos, C$1:Z$1,
    marcas, C866:Z866,
    pos, MAX(
          FILTER(
            COLUMN(marcas)-COLUMN(C866)+1,
            marcas=""X""
          )
        ),
    ultimo, INDEX(periodos, pos),
    XLOOKUP(
      $A866,
      INDI"&amp;"RECT(""'""&amp;ultimo&amp;""'!C:C""),
      INDIRECT(""'""&amp;ultimo&amp;""'!A:A"")
    )
  ),
  """"
)"),"")</f>
        <v/>
      </c>
      <c r="C866" s="41" t="str">
        <f t="shared" ref="C866:J866" si="865">IF(
  COUNTIF(
    INDIRECT("'"&amp;C$1&amp;"'!C:C"),
    $A866
  )&gt;0,
  "X",
  ""
)</f>
        <v/>
      </c>
      <c r="D866" s="41" t="str">
        <f t="shared" si="865"/>
        <v/>
      </c>
      <c r="E866" s="41" t="str">
        <f t="shared" si="865"/>
        <v/>
      </c>
      <c r="F866" s="41" t="str">
        <f t="shared" si="865"/>
        <v/>
      </c>
      <c r="G866" s="41" t="str">
        <f t="shared" si="865"/>
        <v/>
      </c>
      <c r="H866" s="41" t="str">
        <f t="shared" si="865"/>
        <v/>
      </c>
      <c r="I866" s="41" t="str">
        <f t="shared" si="865"/>
        <v/>
      </c>
      <c r="J866" s="41" t="str">
        <f t="shared" si="865"/>
        <v/>
      </c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67.5" customHeight="1">
      <c r="A867" s="39"/>
      <c r="B867" s="43" t="str">
        <f>IFERROR(__xludf.DUMMYFUNCTION("IFERROR(
  LET(
    periodos, C$1:Z$1,
    marcas, C867:Z867,
    pos, MAX(
          FILTER(
            COLUMN(marcas)-COLUMN(C867)+1,
            marcas=""X""
          )
        ),
    ultimo, INDEX(periodos, pos),
    XLOOKUP(
      $A867,
      INDI"&amp;"RECT(""'""&amp;ultimo&amp;""'!C:C""),
      INDIRECT(""'""&amp;ultimo&amp;""'!A:A"")
    )
  ),
  """"
)"),"")</f>
        <v/>
      </c>
      <c r="C867" s="41" t="str">
        <f t="shared" ref="C867:J867" si="866">IF(
  COUNTIF(
    INDIRECT("'"&amp;C$1&amp;"'!C:C"),
    $A867
  )&gt;0,
  "X",
  ""
)</f>
        <v/>
      </c>
      <c r="D867" s="41" t="str">
        <f t="shared" si="866"/>
        <v/>
      </c>
      <c r="E867" s="41" t="str">
        <f t="shared" si="866"/>
        <v/>
      </c>
      <c r="F867" s="41" t="str">
        <f t="shared" si="866"/>
        <v/>
      </c>
      <c r="G867" s="41" t="str">
        <f t="shared" si="866"/>
        <v/>
      </c>
      <c r="H867" s="41" t="str">
        <f t="shared" si="866"/>
        <v/>
      </c>
      <c r="I867" s="41" t="str">
        <f t="shared" si="866"/>
        <v/>
      </c>
      <c r="J867" s="41" t="str">
        <f t="shared" si="866"/>
        <v/>
      </c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67.5" customHeight="1">
      <c r="A868" s="39"/>
      <c r="B868" s="43" t="str">
        <f>IFERROR(__xludf.DUMMYFUNCTION("IFERROR(
  LET(
    periodos, C$1:Z$1,
    marcas, C868:Z868,
    pos, MAX(
          FILTER(
            COLUMN(marcas)-COLUMN(C868)+1,
            marcas=""X""
          )
        ),
    ultimo, INDEX(periodos, pos),
    XLOOKUP(
      $A868,
      INDI"&amp;"RECT(""'""&amp;ultimo&amp;""'!C:C""),
      INDIRECT(""'""&amp;ultimo&amp;""'!A:A"")
    )
  ),
  """"
)"),"")</f>
        <v/>
      </c>
      <c r="C868" s="41" t="str">
        <f t="shared" ref="C868:J868" si="867">IF(
  COUNTIF(
    INDIRECT("'"&amp;C$1&amp;"'!C:C"),
    $A868
  )&gt;0,
  "X",
  ""
)</f>
        <v/>
      </c>
      <c r="D868" s="41" t="str">
        <f t="shared" si="867"/>
        <v/>
      </c>
      <c r="E868" s="41" t="str">
        <f t="shared" si="867"/>
        <v/>
      </c>
      <c r="F868" s="41" t="str">
        <f t="shared" si="867"/>
        <v/>
      </c>
      <c r="G868" s="41" t="str">
        <f t="shared" si="867"/>
        <v/>
      </c>
      <c r="H868" s="41" t="str">
        <f t="shared" si="867"/>
        <v/>
      </c>
      <c r="I868" s="41" t="str">
        <f t="shared" si="867"/>
        <v/>
      </c>
      <c r="J868" s="41" t="str">
        <f t="shared" si="867"/>
        <v/>
      </c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67.5" customHeight="1">
      <c r="A869" s="39"/>
      <c r="B869" s="43" t="str">
        <f>IFERROR(__xludf.DUMMYFUNCTION("IFERROR(
  LET(
    periodos, C$1:Z$1,
    marcas, C869:Z869,
    pos, MAX(
          FILTER(
            COLUMN(marcas)-COLUMN(C869)+1,
            marcas=""X""
          )
        ),
    ultimo, INDEX(periodos, pos),
    XLOOKUP(
      $A869,
      INDI"&amp;"RECT(""'""&amp;ultimo&amp;""'!C:C""),
      INDIRECT(""'""&amp;ultimo&amp;""'!A:A"")
    )
  ),
  """"
)"),"")</f>
        <v/>
      </c>
      <c r="C869" s="41" t="str">
        <f t="shared" ref="C869:J869" si="868">IF(
  COUNTIF(
    INDIRECT("'"&amp;C$1&amp;"'!C:C"),
    $A869
  )&gt;0,
  "X",
  ""
)</f>
        <v/>
      </c>
      <c r="D869" s="41" t="str">
        <f t="shared" si="868"/>
        <v/>
      </c>
      <c r="E869" s="41" t="str">
        <f t="shared" si="868"/>
        <v/>
      </c>
      <c r="F869" s="41" t="str">
        <f t="shared" si="868"/>
        <v/>
      </c>
      <c r="G869" s="41" t="str">
        <f t="shared" si="868"/>
        <v/>
      </c>
      <c r="H869" s="41" t="str">
        <f t="shared" si="868"/>
        <v/>
      </c>
      <c r="I869" s="41" t="str">
        <f t="shared" si="868"/>
        <v/>
      </c>
      <c r="J869" s="41" t="str">
        <f t="shared" si="868"/>
        <v/>
      </c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67.5" customHeight="1">
      <c r="A870" s="39"/>
      <c r="B870" s="43" t="str">
        <f>IFERROR(__xludf.DUMMYFUNCTION("IFERROR(
  LET(
    periodos, C$1:Z$1,
    marcas, C870:Z870,
    pos, MAX(
          FILTER(
            COLUMN(marcas)-COLUMN(C870)+1,
            marcas=""X""
          )
        ),
    ultimo, INDEX(periodos, pos),
    XLOOKUP(
      $A870,
      INDI"&amp;"RECT(""'""&amp;ultimo&amp;""'!C:C""),
      INDIRECT(""'""&amp;ultimo&amp;""'!A:A"")
    )
  ),
  """"
)"),"")</f>
        <v/>
      </c>
      <c r="C870" s="41" t="str">
        <f t="shared" ref="C870:J870" si="869">IF(
  COUNTIF(
    INDIRECT("'"&amp;C$1&amp;"'!C:C"),
    $A870
  )&gt;0,
  "X",
  ""
)</f>
        <v/>
      </c>
      <c r="D870" s="41" t="str">
        <f t="shared" si="869"/>
        <v/>
      </c>
      <c r="E870" s="41" t="str">
        <f t="shared" si="869"/>
        <v/>
      </c>
      <c r="F870" s="41" t="str">
        <f t="shared" si="869"/>
        <v/>
      </c>
      <c r="G870" s="41" t="str">
        <f t="shared" si="869"/>
        <v/>
      </c>
      <c r="H870" s="41" t="str">
        <f t="shared" si="869"/>
        <v/>
      </c>
      <c r="I870" s="41" t="str">
        <f t="shared" si="869"/>
        <v/>
      </c>
      <c r="J870" s="41" t="str">
        <f t="shared" si="869"/>
        <v/>
      </c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67.5" customHeight="1">
      <c r="A871" s="39"/>
      <c r="B871" s="43" t="str">
        <f>IFERROR(__xludf.DUMMYFUNCTION("IFERROR(
  LET(
    periodos, C$1:Z$1,
    marcas, C871:Z871,
    pos, MAX(
          FILTER(
            COLUMN(marcas)-COLUMN(C871)+1,
            marcas=""X""
          )
        ),
    ultimo, INDEX(periodos, pos),
    XLOOKUP(
      $A871,
      INDI"&amp;"RECT(""'""&amp;ultimo&amp;""'!C:C""),
      INDIRECT(""'""&amp;ultimo&amp;""'!A:A"")
    )
  ),
  """"
)"),"")</f>
        <v/>
      </c>
      <c r="C871" s="41" t="str">
        <f t="shared" ref="C871:J871" si="870">IF(
  COUNTIF(
    INDIRECT("'"&amp;C$1&amp;"'!C:C"),
    $A871
  )&gt;0,
  "X",
  ""
)</f>
        <v/>
      </c>
      <c r="D871" s="41" t="str">
        <f t="shared" si="870"/>
        <v/>
      </c>
      <c r="E871" s="41" t="str">
        <f t="shared" si="870"/>
        <v/>
      </c>
      <c r="F871" s="41" t="str">
        <f t="shared" si="870"/>
        <v/>
      </c>
      <c r="G871" s="41" t="str">
        <f t="shared" si="870"/>
        <v/>
      </c>
      <c r="H871" s="41" t="str">
        <f t="shared" si="870"/>
        <v/>
      </c>
      <c r="I871" s="41" t="str">
        <f t="shared" si="870"/>
        <v/>
      </c>
      <c r="J871" s="41" t="str">
        <f t="shared" si="870"/>
        <v/>
      </c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67.5" customHeight="1">
      <c r="A872" s="39"/>
      <c r="B872" s="43" t="str">
        <f>IFERROR(__xludf.DUMMYFUNCTION("IFERROR(
  LET(
    periodos, C$1:Z$1,
    marcas, C872:Z872,
    pos, MAX(
          FILTER(
            COLUMN(marcas)-COLUMN(C872)+1,
            marcas=""X""
          )
        ),
    ultimo, INDEX(periodos, pos),
    XLOOKUP(
      $A872,
      INDI"&amp;"RECT(""'""&amp;ultimo&amp;""'!C:C""),
      INDIRECT(""'""&amp;ultimo&amp;""'!A:A"")
    )
  ),
  """"
)"),"")</f>
        <v/>
      </c>
      <c r="C872" s="41" t="str">
        <f t="shared" ref="C872:J872" si="871">IF(
  COUNTIF(
    INDIRECT("'"&amp;C$1&amp;"'!C:C"),
    $A872
  )&gt;0,
  "X",
  ""
)</f>
        <v/>
      </c>
      <c r="D872" s="41" t="str">
        <f t="shared" si="871"/>
        <v/>
      </c>
      <c r="E872" s="41" t="str">
        <f t="shared" si="871"/>
        <v/>
      </c>
      <c r="F872" s="41" t="str">
        <f t="shared" si="871"/>
        <v/>
      </c>
      <c r="G872" s="41" t="str">
        <f t="shared" si="871"/>
        <v/>
      </c>
      <c r="H872" s="41" t="str">
        <f t="shared" si="871"/>
        <v/>
      </c>
      <c r="I872" s="41" t="str">
        <f t="shared" si="871"/>
        <v/>
      </c>
      <c r="J872" s="41" t="str">
        <f t="shared" si="871"/>
        <v/>
      </c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67.5" customHeight="1">
      <c r="A873" s="39"/>
      <c r="B873" s="43" t="str">
        <f>IFERROR(__xludf.DUMMYFUNCTION("IFERROR(
  LET(
    periodos, C$1:Z$1,
    marcas, C873:Z873,
    pos, MAX(
          FILTER(
            COLUMN(marcas)-COLUMN(C873)+1,
            marcas=""X""
          )
        ),
    ultimo, INDEX(periodos, pos),
    XLOOKUP(
      $A873,
      INDI"&amp;"RECT(""'""&amp;ultimo&amp;""'!C:C""),
      INDIRECT(""'""&amp;ultimo&amp;""'!A:A"")
    )
  ),
  """"
)"),"")</f>
        <v/>
      </c>
      <c r="C873" s="41" t="str">
        <f t="shared" ref="C873:J873" si="872">IF(
  COUNTIF(
    INDIRECT("'"&amp;C$1&amp;"'!C:C"),
    $A873
  )&gt;0,
  "X",
  ""
)</f>
        <v/>
      </c>
      <c r="D873" s="41" t="str">
        <f t="shared" si="872"/>
        <v/>
      </c>
      <c r="E873" s="41" t="str">
        <f t="shared" si="872"/>
        <v/>
      </c>
      <c r="F873" s="41" t="str">
        <f t="shared" si="872"/>
        <v/>
      </c>
      <c r="G873" s="41" t="str">
        <f t="shared" si="872"/>
        <v/>
      </c>
      <c r="H873" s="41" t="str">
        <f t="shared" si="872"/>
        <v/>
      </c>
      <c r="I873" s="41" t="str">
        <f t="shared" si="872"/>
        <v/>
      </c>
      <c r="J873" s="41" t="str">
        <f t="shared" si="872"/>
        <v/>
      </c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67.5" customHeight="1">
      <c r="A874" s="39"/>
      <c r="B874" s="43" t="str">
        <f>IFERROR(__xludf.DUMMYFUNCTION("IFERROR(
  LET(
    periodos, C$1:Z$1,
    marcas, C874:Z874,
    pos, MAX(
          FILTER(
            COLUMN(marcas)-COLUMN(C874)+1,
            marcas=""X""
          )
        ),
    ultimo, INDEX(periodos, pos),
    XLOOKUP(
      $A874,
      INDI"&amp;"RECT(""'""&amp;ultimo&amp;""'!C:C""),
      INDIRECT(""'""&amp;ultimo&amp;""'!A:A"")
    )
  ),
  """"
)"),"")</f>
        <v/>
      </c>
      <c r="C874" s="41" t="str">
        <f t="shared" ref="C874:J874" si="873">IF(
  COUNTIF(
    INDIRECT("'"&amp;C$1&amp;"'!C:C"),
    $A874
  )&gt;0,
  "X",
  ""
)</f>
        <v/>
      </c>
      <c r="D874" s="41" t="str">
        <f t="shared" si="873"/>
        <v/>
      </c>
      <c r="E874" s="41" t="str">
        <f t="shared" si="873"/>
        <v/>
      </c>
      <c r="F874" s="41" t="str">
        <f t="shared" si="873"/>
        <v/>
      </c>
      <c r="G874" s="41" t="str">
        <f t="shared" si="873"/>
        <v/>
      </c>
      <c r="H874" s="41" t="str">
        <f t="shared" si="873"/>
        <v/>
      </c>
      <c r="I874" s="41" t="str">
        <f t="shared" si="873"/>
        <v/>
      </c>
      <c r="J874" s="41" t="str">
        <f t="shared" si="873"/>
        <v/>
      </c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67.5" customHeight="1">
      <c r="A875" s="39"/>
      <c r="B875" s="43" t="str">
        <f>IFERROR(__xludf.DUMMYFUNCTION("IFERROR(
  LET(
    periodos, C$1:Z$1,
    marcas, C875:Z875,
    pos, MAX(
          FILTER(
            COLUMN(marcas)-COLUMN(C875)+1,
            marcas=""X""
          )
        ),
    ultimo, INDEX(periodos, pos),
    XLOOKUP(
      $A875,
      INDI"&amp;"RECT(""'""&amp;ultimo&amp;""'!C:C""),
      INDIRECT(""'""&amp;ultimo&amp;""'!A:A"")
    )
  ),
  """"
)"),"")</f>
        <v/>
      </c>
      <c r="C875" s="41" t="str">
        <f t="shared" ref="C875:J875" si="874">IF(
  COUNTIF(
    INDIRECT("'"&amp;C$1&amp;"'!C:C"),
    $A875
  )&gt;0,
  "X",
  ""
)</f>
        <v/>
      </c>
      <c r="D875" s="41" t="str">
        <f t="shared" si="874"/>
        <v/>
      </c>
      <c r="E875" s="41" t="str">
        <f t="shared" si="874"/>
        <v/>
      </c>
      <c r="F875" s="41" t="str">
        <f t="shared" si="874"/>
        <v/>
      </c>
      <c r="G875" s="41" t="str">
        <f t="shared" si="874"/>
        <v/>
      </c>
      <c r="H875" s="41" t="str">
        <f t="shared" si="874"/>
        <v/>
      </c>
      <c r="I875" s="41" t="str">
        <f t="shared" si="874"/>
        <v/>
      </c>
      <c r="J875" s="41" t="str">
        <f t="shared" si="874"/>
        <v/>
      </c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67.5" customHeight="1">
      <c r="A876" s="39"/>
      <c r="B876" s="43" t="str">
        <f>IFERROR(__xludf.DUMMYFUNCTION("IFERROR(
  LET(
    periodos, C$1:Z$1,
    marcas, C876:Z876,
    pos, MAX(
          FILTER(
            COLUMN(marcas)-COLUMN(C876)+1,
            marcas=""X""
          )
        ),
    ultimo, INDEX(periodos, pos),
    XLOOKUP(
      $A876,
      INDI"&amp;"RECT(""'""&amp;ultimo&amp;""'!C:C""),
      INDIRECT(""'""&amp;ultimo&amp;""'!A:A"")
    )
  ),
  """"
)"),"")</f>
        <v/>
      </c>
      <c r="C876" s="41" t="str">
        <f t="shared" ref="C876:J876" si="875">IF(
  COUNTIF(
    INDIRECT("'"&amp;C$1&amp;"'!C:C"),
    $A876
  )&gt;0,
  "X",
  ""
)</f>
        <v/>
      </c>
      <c r="D876" s="41" t="str">
        <f t="shared" si="875"/>
        <v/>
      </c>
      <c r="E876" s="41" t="str">
        <f t="shared" si="875"/>
        <v/>
      </c>
      <c r="F876" s="41" t="str">
        <f t="shared" si="875"/>
        <v/>
      </c>
      <c r="G876" s="41" t="str">
        <f t="shared" si="875"/>
        <v/>
      </c>
      <c r="H876" s="41" t="str">
        <f t="shared" si="875"/>
        <v/>
      </c>
      <c r="I876" s="41" t="str">
        <f t="shared" si="875"/>
        <v/>
      </c>
      <c r="J876" s="41" t="str">
        <f t="shared" si="875"/>
        <v/>
      </c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67.5" customHeight="1">
      <c r="A877" s="39"/>
      <c r="B877" s="43" t="str">
        <f>IFERROR(__xludf.DUMMYFUNCTION("IFERROR(
  LET(
    periodos, C$1:Z$1,
    marcas, C877:Z877,
    pos, MAX(
          FILTER(
            COLUMN(marcas)-COLUMN(C877)+1,
            marcas=""X""
          )
        ),
    ultimo, INDEX(periodos, pos),
    XLOOKUP(
      $A877,
      INDI"&amp;"RECT(""'""&amp;ultimo&amp;""'!C:C""),
      INDIRECT(""'""&amp;ultimo&amp;""'!A:A"")
    )
  ),
  """"
)"),"")</f>
        <v/>
      </c>
      <c r="C877" s="41" t="str">
        <f t="shared" ref="C877:J877" si="876">IF(
  COUNTIF(
    INDIRECT("'"&amp;C$1&amp;"'!C:C"),
    $A877
  )&gt;0,
  "X",
  ""
)</f>
        <v/>
      </c>
      <c r="D877" s="41" t="str">
        <f t="shared" si="876"/>
        <v/>
      </c>
      <c r="E877" s="41" t="str">
        <f t="shared" si="876"/>
        <v/>
      </c>
      <c r="F877" s="41" t="str">
        <f t="shared" si="876"/>
        <v/>
      </c>
      <c r="G877" s="41" t="str">
        <f t="shared" si="876"/>
        <v/>
      </c>
      <c r="H877" s="41" t="str">
        <f t="shared" si="876"/>
        <v/>
      </c>
      <c r="I877" s="41" t="str">
        <f t="shared" si="876"/>
        <v/>
      </c>
      <c r="J877" s="41" t="str">
        <f t="shared" si="876"/>
        <v/>
      </c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67.5" customHeight="1">
      <c r="A878" s="39"/>
      <c r="B878" s="43" t="str">
        <f>IFERROR(__xludf.DUMMYFUNCTION("IFERROR(
  LET(
    periodos, C$1:Z$1,
    marcas, C878:Z878,
    pos, MAX(
          FILTER(
            COLUMN(marcas)-COLUMN(C878)+1,
            marcas=""X""
          )
        ),
    ultimo, INDEX(periodos, pos),
    XLOOKUP(
      $A878,
      INDI"&amp;"RECT(""'""&amp;ultimo&amp;""'!C:C""),
      INDIRECT(""'""&amp;ultimo&amp;""'!A:A"")
    )
  ),
  """"
)"),"")</f>
        <v/>
      </c>
      <c r="C878" s="41" t="str">
        <f t="shared" ref="C878:J878" si="877">IF(
  COUNTIF(
    INDIRECT("'"&amp;C$1&amp;"'!C:C"),
    $A878
  )&gt;0,
  "X",
  ""
)</f>
        <v/>
      </c>
      <c r="D878" s="41" t="str">
        <f t="shared" si="877"/>
        <v/>
      </c>
      <c r="E878" s="41" t="str">
        <f t="shared" si="877"/>
        <v/>
      </c>
      <c r="F878" s="41" t="str">
        <f t="shared" si="877"/>
        <v/>
      </c>
      <c r="G878" s="41" t="str">
        <f t="shared" si="877"/>
        <v/>
      </c>
      <c r="H878" s="41" t="str">
        <f t="shared" si="877"/>
        <v/>
      </c>
      <c r="I878" s="41" t="str">
        <f t="shared" si="877"/>
        <v/>
      </c>
      <c r="J878" s="41" t="str">
        <f t="shared" si="877"/>
        <v/>
      </c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67.5" customHeight="1">
      <c r="A879" s="39"/>
      <c r="B879" s="43" t="str">
        <f>IFERROR(__xludf.DUMMYFUNCTION("IFERROR(
  LET(
    periodos, C$1:Z$1,
    marcas, C879:Z879,
    pos, MAX(
          FILTER(
            COLUMN(marcas)-COLUMN(C879)+1,
            marcas=""X""
          )
        ),
    ultimo, INDEX(periodos, pos),
    XLOOKUP(
      $A879,
      INDI"&amp;"RECT(""'""&amp;ultimo&amp;""'!C:C""),
      INDIRECT(""'""&amp;ultimo&amp;""'!A:A"")
    )
  ),
  """"
)"),"")</f>
        <v/>
      </c>
      <c r="C879" s="41" t="str">
        <f t="shared" ref="C879:J879" si="878">IF(
  COUNTIF(
    INDIRECT("'"&amp;C$1&amp;"'!C:C"),
    $A879
  )&gt;0,
  "X",
  ""
)</f>
        <v/>
      </c>
      <c r="D879" s="41" t="str">
        <f t="shared" si="878"/>
        <v/>
      </c>
      <c r="E879" s="41" t="str">
        <f t="shared" si="878"/>
        <v/>
      </c>
      <c r="F879" s="41" t="str">
        <f t="shared" si="878"/>
        <v/>
      </c>
      <c r="G879" s="41" t="str">
        <f t="shared" si="878"/>
        <v/>
      </c>
      <c r="H879" s="41" t="str">
        <f t="shared" si="878"/>
        <v/>
      </c>
      <c r="I879" s="41" t="str">
        <f t="shared" si="878"/>
        <v/>
      </c>
      <c r="J879" s="41" t="str">
        <f t="shared" si="878"/>
        <v/>
      </c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67.5" customHeight="1">
      <c r="A880" s="39"/>
      <c r="B880" s="43" t="str">
        <f>IFERROR(__xludf.DUMMYFUNCTION("IFERROR(
  LET(
    periodos, C$1:Z$1,
    marcas, C880:Z880,
    pos, MAX(
          FILTER(
            COLUMN(marcas)-COLUMN(C880)+1,
            marcas=""X""
          )
        ),
    ultimo, INDEX(periodos, pos),
    XLOOKUP(
      $A880,
      INDI"&amp;"RECT(""'""&amp;ultimo&amp;""'!C:C""),
      INDIRECT(""'""&amp;ultimo&amp;""'!A:A"")
    )
  ),
  """"
)"),"")</f>
        <v/>
      </c>
      <c r="C880" s="41" t="str">
        <f t="shared" ref="C880:J880" si="879">IF(
  COUNTIF(
    INDIRECT("'"&amp;C$1&amp;"'!C:C"),
    $A880
  )&gt;0,
  "X",
  ""
)</f>
        <v/>
      </c>
      <c r="D880" s="41" t="str">
        <f t="shared" si="879"/>
        <v/>
      </c>
      <c r="E880" s="41" t="str">
        <f t="shared" si="879"/>
        <v/>
      </c>
      <c r="F880" s="41" t="str">
        <f t="shared" si="879"/>
        <v/>
      </c>
      <c r="G880" s="41" t="str">
        <f t="shared" si="879"/>
        <v/>
      </c>
      <c r="H880" s="41" t="str">
        <f t="shared" si="879"/>
        <v/>
      </c>
      <c r="I880" s="41" t="str">
        <f t="shared" si="879"/>
        <v/>
      </c>
      <c r="J880" s="41" t="str">
        <f t="shared" si="879"/>
        <v/>
      </c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67.5" customHeight="1">
      <c r="A881" s="39"/>
      <c r="B881" s="43" t="str">
        <f>IFERROR(__xludf.DUMMYFUNCTION("IFERROR(
  LET(
    periodos, C$1:Z$1,
    marcas, C881:Z881,
    pos, MAX(
          FILTER(
            COLUMN(marcas)-COLUMN(C881)+1,
            marcas=""X""
          )
        ),
    ultimo, INDEX(periodos, pos),
    XLOOKUP(
      $A881,
      INDI"&amp;"RECT(""'""&amp;ultimo&amp;""'!C:C""),
      INDIRECT(""'""&amp;ultimo&amp;""'!A:A"")
    )
  ),
  """"
)"),"")</f>
        <v/>
      </c>
      <c r="C881" s="41" t="str">
        <f t="shared" ref="C881:J881" si="880">IF(
  COUNTIF(
    INDIRECT("'"&amp;C$1&amp;"'!C:C"),
    $A881
  )&gt;0,
  "X",
  ""
)</f>
        <v/>
      </c>
      <c r="D881" s="41" t="str">
        <f t="shared" si="880"/>
        <v/>
      </c>
      <c r="E881" s="41" t="str">
        <f t="shared" si="880"/>
        <v/>
      </c>
      <c r="F881" s="41" t="str">
        <f t="shared" si="880"/>
        <v/>
      </c>
      <c r="G881" s="41" t="str">
        <f t="shared" si="880"/>
        <v/>
      </c>
      <c r="H881" s="41" t="str">
        <f t="shared" si="880"/>
        <v/>
      </c>
      <c r="I881" s="41" t="str">
        <f t="shared" si="880"/>
        <v/>
      </c>
      <c r="J881" s="41" t="str">
        <f t="shared" si="880"/>
        <v/>
      </c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67.5" customHeight="1">
      <c r="A882" s="39"/>
      <c r="B882" s="43" t="str">
        <f>IFERROR(__xludf.DUMMYFUNCTION("IFERROR(
  LET(
    periodos, C$1:Z$1,
    marcas, C882:Z882,
    pos, MAX(
          FILTER(
            COLUMN(marcas)-COLUMN(C882)+1,
            marcas=""X""
          )
        ),
    ultimo, INDEX(periodos, pos),
    XLOOKUP(
      $A882,
      INDI"&amp;"RECT(""'""&amp;ultimo&amp;""'!C:C""),
      INDIRECT(""'""&amp;ultimo&amp;""'!A:A"")
    )
  ),
  """"
)"),"")</f>
        <v/>
      </c>
      <c r="C882" s="41" t="str">
        <f t="shared" ref="C882:J882" si="881">IF(
  COUNTIF(
    INDIRECT("'"&amp;C$1&amp;"'!C:C"),
    $A882
  )&gt;0,
  "X",
  ""
)</f>
        <v/>
      </c>
      <c r="D882" s="41" t="str">
        <f t="shared" si="881"/>
        <v/>
      </c>
      <c r="E882" s="41" t="str">
        <f t="shared" si="881"/>
        <v/>
      </c>
      <c r="F882" s="41" t="str">
        <f t="shared" si="881"/>
        <v/>
      </c>
      <c r="G882" s="41" t="str">
        <f t="shared" si="881"/>
        <v/>
      </c>
      <c r="H882" s="41" t="str">
        <f t="shared" si="881"/>
        <v/>
      </c>
      <c r="I882" s="41" t="str">
        <f t="shared" si="881"/>
        <v/>
      </c>
      <c r="J882" s="41" t="str">
        <f t="shared" si="881"/>
        <v/>
      </c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67.5" customHeight="1">
      <c r="A883" s="39"/>
      <c r="B883" s="43" t="str">
        <f>IFERROR(__xludf.DUMMYFUNCTION("IFERROR(
  LET(
    periodos, C$1:Z$1,
    marcas, C883:Z883,
    pos, MAX(
          FILTER(
            COLUMN(marcas)-COLUMN(C883)+1,
            marcas=""X""
          )
        ),
    ultimo, INDEX(periodos, pos),
    XLOOKUP(
      $A883,
      INDI"&amp;"RECT(""'""&amp;ultimo&amp;""'!C:C""),
      INDIRECT(""'""&amp;ultimo&amp;""'!A:A"")
    )
  ),
  """"
)"),"")</f>
        <v/>
      </c>
      <c r="C883" s="41" t="str">
        <f t="shared" ref="C883:J883" si="882">IF(
  COUNTIF(
    INDIRECT("'"&amp;C$1&amp;"'!C:C"),
    $A883
  )&gt;0,
  "X",
  ""
)</f>
        <v/>
      </c>
      <c r="D883" s="41" t="str">
        <f t="shared" si="882"/>
        <v/>
      </c>
      <c r="E883" s="41" t="str">
        <f t="shared" si="882"/>
        <v/>
      </c>
      <c r="F883" s="41" t="str">
        <f t="shared" si="882"/>
        <v/>
      </c>
      <c r="G883" s="41" t="str">
        <f t="shared" si="882"/>
        <v/>
      </c>
      <c r="H883" s="41" t="str">
        <f t="shared" si="882"/>
        <v/>
      </c>
      <c r="I883" s="41" t="str">
        <f t="shared" si="882"/>
        <v/>
      </c>
      <c r="J883" s="41" t="str">
        <f t="shared" si="882"/>
        <v/>
      </c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67.5" customHeight="1">
      <c r="A884" s="39"/>
      <c r="B884" s="43" t="str">
        <f>IFERROR(__xludf.DUMMYFUNCTION("IFERROR(
  LET(
    periodos, C$1:Z$1,
    marcas, C884:Z884,
    pos, MAX(
          FILTER(
            COLUMN(marcas)-COLUMN(C884)+1,
            marcas=""X""
          )
        ),
    ultimo, INDEX(periodos, pos),
    XLOOKUP(
      $A884,
      INDI"&amp;"RECT(""'""&amp;ultimo&amp;""'!C:C""),
      INDIRECT(""'""&amp;ultimo&amp;""'!A:A"")
    )
  ),
  """"
)"),"")</f>
        <v/>
      </c>
      <c r="C884" s="41" t="str">
        <f t="shared" ref="C884:J884" si="883">IF(
  COUNTIF(
    INDIRECT("'"&amp;C$1&amp;"'!C:C"),
    $A884
  )&gt;0,
  "X",
  ""
)</f>
        <v/>
      </c>
      <c r="D884" s="41" t="str">
        <f t="shared" si="883"/>
        <v/>
      </c>
      <c r="E884" s="41" t="str">
        <f t="shared" si="883"/>
        <v/>
      </c>
      <c r="F884" s="41" t="str">
        <f t="shared" si="883"/>
        <v/>
      </c>
      <c r="G884" s="41" t="str">
        <f t="shared" si="883"/>
        <v/>
      </c>
      <c r="H884" s="41" t="str">
        <f t="shared" si="883"/>
        <v/>
      </c>
      <c r="I884" s="41" t="str">
        <f t="shared" si="883"/>
        <v/>
      </c>
      <c r="J884" s="41" t="str">
        <f t="shared" si="883"/>
        <v/>
      </c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67.5" customHeight="1">
      <c r="A885" s="39"/>
      <c r="B885" s="43" t="str">
        <f>IFERROR(__xludf.DUMMYFUNCTION("IFERROR(
  LET(
    periodos, C$1:Z$1,
    marcas, C885:Z885,
    pos, MAX(
          FILTER(
            COLUMN(marcas)-COLUMN(C885)+1,
            marcas=""X""
          )
        ),
    ultimo, INDEX(periodos, pos),
    XLOOKUP(
      $A885,
      INDI"&amp;"RECT(""'""&amp;ultimo&amp;""'!C:C""),
      INDIRECT(""'""&amp;ultimo&amp;""'!A:A"")
    )
  ),
  """"
)"),"")</f>
        <v/>
      </c>
      <c r="C885" s="41" t="str">
        <f t="shared" ref="C885:J885" si="884">IF(
  COUNTIF(
    INDIRECT("'"&amp;C$1&amp;"'!C:C"),
    $A885
  )&gt;0,
  "X",
  ""
)</f>
        <v/>
      </c>
      <c r="D885" s="41" t="str">
        <f t="shared" si="884"/>
        <v/>
      </c>
      <c r="E885" s="41" t="str">
        <f t="shared" si="884"/>
        <v/>
      </c>
      <c r="F885" s="41" t="str">
        <f t="shared" si="884"/>
        <v/>
      </c>
      <c r="G885" s="41" t="str">
        <f t="shared" si="884"/>
        <v/>
      </c>
      <c r="H885" s="41" t="str">
        <f t="shared" si="884"/>
        <v/>
      </c>
      <c r="I885" s="41" t="str">
        <f t="shared" si="884"/>
        <v/>
      </c>
      <c r="J885" s="41" t="str">
        <f t="shared" si="884"/>
        <v/>
      </c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67.5" customHeight="1">
      <c r="A886" s="39"/>
      <c r="B886" s="43" t="str">
        <f>IFERROR(__xludf.DUMMYFUNCTION("IFERROR(
  LET(
    periodos, C$1:Z$1,
    marcas, C886:Z886,
    pos, MAX(
          FILTER(
            COLUMN(marcas)-COLUMN(C886)+1,
            marcas=""X""
          )
        ),
    ultimo, INDEX(periodos, pos),
    XLOOKUP(
      $A886,
      INDI"&amp;"RECT(""'""&amp;ultimo&amp;""'!C:C""),
      INDIRECT(""'""&amp;ultimo&amp;""'!A:A"")
    )
  ),
  """"
)"),"")</f>
        <v/>
      </c>
      <c r="C886" s="41" t="str">
        <f t="shared" ref="C886:J886" si="885">IF(
  COUNTIF(
    INDIRECT("'"&amp;C$1&amp;"'!C:C"),
    $A886
  )&gt;0,
  "X",
  ""
)</f>
        <v/>
      </c>
      <c r="D886" s="41" t="str">
        <f t="shared" si="885"/>
        <v/>
      </c>
      <c r="E886" s="41" t="str">
        <f t="shared" si="885"/>
        <v/>
      </c>
      <c r="F886" s="41" t="str">
        <f t="shared" si="885"/>
        <v/>
      </c>
      <c r="G886" s="41" t="str">
        <f t="shared" si="885"/>
        <v/>
      </c>
      <c r="H886" s="41" t="str">
        <f t="shared" si="885"/>
        <v/>
      </c>
      <c r="I886" s="41" t="str">
        <f t="shared" si="885"/>
        <v/>
      </c>
      <c r="J886" s="41" t="str">
        <f t="shared" si="885"/>
        <v/>
      </c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67.5" customHeight="1">
      <c r="A887" s="39"/>
      <c r="B887" s="43" t="str">
        <f>IFERROR(__xludf.DUMMYFUNCTION("IFERROR(
  LET(
    periodos, C$1:Z$1,
    marcas, C887:Z887,
    pos, MAX(
          FILTER(
            COLUMN(marcas)-COLUMN(C887)+1,
            marcas=""X""
          )
        ),
    ultimo, INDEX(periodos, pos),
    XLOOKUP(
      $A887,
      INDI"&amp;"RECT(""'""&amp;ultimo&amp;""'!C:C""),
      INDIRECT(""'""&amp;ultimo&amp;""'!A:A"")
    )
  ),
  """"
)"),"")</f>
        <v/>
      </c>
      <c r="C887" s="41" t="str">
        <f t="shared" ref="C887:J887" si="886">IF(
  COUNTIF(
    INDIRECT("'"&amp;C$1&amp;"'!C:C"),
    $A887
  )&gt;0,
  "X",
  ""
)</f>
        <v/>
      </c>
      <c r="D887" s="41" t="str">
        <f t="shared" si="886"/>
        <v/>
      </c>
      <c r="E887" s="41" t="str">
        <f t="shared" si="886"/>
        <v/>
      </c>
      <c r="F887" s="41" t="str">
        <f t="shared" si="886"/>
        <v/>
      </c>
      <c r="G887" s="41" t="str">
        <f t="shared" si="886"/>
        <v/>
      </c>
      <c r="H887" s="41" t="str">
        <f t="shared" si="886"/>
        <v/>
      </c>
      <c r="I887" s="41" t="str">
        <f t="shared" si="886"/>
        <v/>
      </c>
      <c r="J887" s="41" t="str">
        <f t="shared" si="886"/>
        <v/>
      </c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67.5" customHeight="1">
      <c r="A888" s="39"/>
      <c r="B888" s="43" t="str">
        <f>IFERROR(__xludf.DUMMYFUNCTION("IFERROR(
  LET(
    periodos, C$1:Z$1,
    marcas, C888:Z888,
    pos, MAX(
          FILTER(
            COLUMN(marcas)-COLUMN(C888)+1,
            marcas=""X""
          )
        ),
    ultimo, INDEX(periodos, pos),
    XLOOKUP(
      $A888,
      INDI"&amp;"RECT(""'""&amp;ultimo&amp;""'!C:C""),
      INDIRECT(""'""&amp;ultimo&amp;""'!A:A"")
    )
  ),
  """"
)"),"")</f>
        <v/>
      </c>
      <c r="C888" s="41" t="str">
        <f t="shared" ref="C888:J888" si="887">IF(
  COUNTIF(
    INDIRECT("'"&amp;C$1&amp;"'!C:C"),
    $A888
  )&gt;0,
  "X",
  ""
)</f>
        <v/>
      </c>
      <c r="D888" s="41" t="str">
        <f t="shared" si="887"/>
        <v/>
      </c>
      <c r="E888" s="41" t="str">
        <f t="shared" si="887"/>
        <v/>
      </c>
      <c r="F888" s="41" t="str">
        <f t="shared" si="887"/>
        <v/>
      </c>
      <c r="G888" s="41" t="str">
        <f t="shared" si="887"/>
        <v/>
      </c>
      <c r="H888" s="41" t="str">
        <f t="shared" si="887"/>
        <v/>
      </c>
      <c r="I888" s="41" t="str">
        <f t="shared" si="887"/>
        <v/>
      </c>
      <c r="J888" s="41" t="str">
        <f t="shared" si="887"/>
        <v/>
      </c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67.5" customHeight="1">
      <c r="A889" s="39"/>
      <c r="B889" s="43" t="str">
        <f>IFERROR(__xludf.DUMMYFUNCTION("IFERROR(
  LET(
    periodos, C$1:Z$1,
    marcas, C889:Z889,
    pos, MAX(
          FILTER(
            COLUMN(marcas)-COLUMN(C889)+1,
            marcas=""X""
          )
        ),
    ultimo, INDEX(periodos, pos),
    XLOOKUP(
      $A889,
      INDI"&amp;"RECT(""'""&amp;ultimo&amp;""'!C:C""),
      INDIRECT(""'""&amp;ultimo&amp;""'!A:A"")
    )
  ),
  """"
)"),"")</f>
        <v/>
      </c>
      <c r="C889" s="41" t="str">
        <f t="shared" ref="C889:J889" si="888">IF(
  COUNTIF(
    INDIRECT("'"&amp;C$1&amp;"'!C:C"),
    $A889
  )&gt;0,
  "X",
  ""
)</f>
        <v/>
      </c>
      <c r="D889" s="41" t="str">
        <f t="shared" si="888"/>
        <v/>
      </c>
      <c r="E889" s="41" t="str">
        <f t="shared" si="888"/>
        <v/>
      </c>
      <c r="F889" s="41" t="str">
        <f t="shared" si="888"/>
        <v/>
      </c>
      <c r="G889" s="41" t="str">
        <f t="shared" si="888"/>
        <v/>
      </c>
      <c r="H889" s="41" t="str">
        <f t="shared" si="888"/>
        <v/>
      </c>
      <c r="I889" s="41" t="str">
        <f t="shared" si="888"/>
        <v/>
      </c>
      <c r="J889" s="41" t="str">
        <f t="shared" si="888"/>
        <v/>
      </c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67.5" customHeight="1">
      <c r="A890" s="39"/>
      <c r="B890" s="43" t="str">
        <f>IFERROR(__xludf.DUMMYFUNCTION("IFERROR(
  LET(
    periodos, C$1:Z$1,
    marcas, C890:Z890,
    pos, MAX(
          FILTER(
            COLUMN(marcas)-COLUMN(C890)+1,
            marcas=""X""
          )
        ),
    ultimo, INDEX(periodos, pos),
    XLOOKUP(
      $A890,
      INDI"&amp;"RECT(""'""&amp;ultimo&amp;""'!C:C""),
      INDIRECT(""'""&amp;ultimo&amp;""'!A:A"")
    )
  ),
  """"
)"),"")</f>
        <v/>
      </c>
      <c r="C890" s="41" t="str">
        <f t="shared" ref="C890:J890" si="889">IF(
  COUNTIF(
    INDIRECT("'"&amp;C$1&amp;"'!C:C"),
    $A890
  )&gt;0,
  "X",
  ""
)</f>
        <v/>
      </c>
      <c r="D890" s="41" t="str">
        <f t="shared" si="889"/>
        <v/>
      </c>
      <c r="E890" s="41" t="str">
        <f t="shared" si="889"/>
        <v/>
      </c>
      <c r="F890" s="41" t="str">
        <f t="shared" si="889"/>
        <v/>
      </c>
      <c r="G890" s="41" t="str">
        <f t="shared" si="889"/>
        <v/>
      </c>
      <c r="H890" s="41" t="str">
        <f t="shared" si="889"/>
        <v/>
      </c>
      <c r="I890" s="41" t="str">
        <f t="shared" si="889"/>
        <v/>
      </c>
      <c r="J890" s="41" t="str">
        <f t="shared" si="889"/>
        <v/>
      </c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67.5" customHeight="1">
      <c r="A891" s="39"/>
      <c r="B891" s="43" t="str">
        <f>IFERROR(__xludf.DUMMYFUNCTION("IFERROR(
  LET(
    periodos, C$1:Z$1,
    marcas, C891:Z891,
    pos, MAX(
          FILTER(
            COLUMN(marcas)-COLUMN(C891)+1,
            marcas=""X""
          )
        ),
    ultimo, INDEX(periodos, pos),
    XLOOKUP(
      $A891,
      INDI"&amp;"RECT(""'""&amp;ultimo&amp;""'!C:C""),
      INDIRECT(""'""&amp;ultimo&amp;""'!A:A"")
    )
  ),
  """"
)"),"")</f>
        <v/>
      </c>
      <c r="C891" s="41" t="str">
        <f t="shared" ref="C891:J891" si="890">IF(
  COUNTIF(
    INDIRECT("'"&amp;C$1&amp;"'!C:C"),
    $A891
  )&gt;0,
  "X",
  ""
)</f>
        <v/>
      </c>
      <c r="D891" s="41" t="str">
        <f t="shared" si="890"/>
        <v/>
      </c>
      <c r="E891" s="41" t="str">
        <f t="shared" si="890"/>
        <v/>
      </c>
      <c r="F891" s="41" t="str">
        <f t="shared" si="890"/>
        <v/>
      </c>
      <c r="G891" s="41" t="str">
        <f t="shared" si="890"/>
        <v/>
      </c>
      <c r="H891" s="41" t="str">
        <f t="shared" si="890"/>
        <v/>
      </c>
      <c r="I891" s="41" t="str">
        <f t="shared" si="890"/>
        <v/>
      </c>
      <c r="J891" s="41" t="str">
        <f t="shared" si="890"/>
        <v/>
      </c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67.5" customHeight="1">
      <c r="A892" s="39"/>
      <c r="B892" s="43" t="str">
        <f>IFERROR(__xludf.DUMMYFUNCTION("IFERROR(
  LET(
    periodos, C$1:Z$1,
    marcas, C892:Z892,
    pos, MAX(
          FILTER(
            COLUMN(marcas)-COLUMN(C892)+1,
            marcas=""X""
          )
        ),
    ultimo, INDEX(periodos, pos),
    XLOOKUP(
      $A892,
      INDI"&amp;"RECT(""'""&amp;ultimo&amp;""'!C:C""),
      INDIRECT(""'""&amp;ultimo&amp;""'!A:A"")
    )
  ),
  """"
)"),"")</f>
        <v/>
      </c>
      <c r="C892" s="41" t="str">
        <f t="shared" ref="C892:J892" si="891">IF(
  COUNTIF(
    INDIRECT("'"&amp;C$1&amp;"'!C:C"),
    $A892
  )&gt;0,
  "X",
  ""
)</f>
        <v/>
      </c>
      <c r="D892" s="41" t="str">
        <f t="shared" si="891"/>
        <v/>
      </c>
      <c r="E892" s="41" t="str">
        <f t="shared" si="891"/>
        <v/>
      </c>
      <c r="F892" s="41" t="str">
        <f t="shared" si="891"/>
        <v/>
      </c>
      <c r="G892" s="41" t="str">
        <f t="shared" si="891"/>
        <v/>
      </c>
      <c r="H892" s="41" t="str">
        <f t="shared" si="891"/>
        <v/>
      </c>
      <c r="I892" s="41" t="str">
        <f t="shared" si="891"/>
        <v/>
      </c>
      <c r="J892" s="41" t="str">
        <f t="shared" si="891"/>
        <v/>
      </c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67.5" customHeight="1">
      <c r="A893" s="39"/>
      <c r="B893" s="43" t="str">
        <f>IFERROR(__xludf.DUMMYFUNCTION("IFERROR(
  LET(
    periodos, C$1:Z$1,
    marcas, C893:Z893,
    pos, MAX(
          FILTER(
            COLUMN(marcas)-COLUMN(C893)+1,
            marcas=""X""
          )
        ),
    ultimo, INDEX(periodos, pos),
    XLOOKUP(
      $A893,
      INDI"&amp;"RECT(""'""&amp;ultimo&amp;""'!C:C""),
      INDIRECT(""'""&amp;ultimo&amp;""'!A:A"")
    )
  ),
  """"
)"),"")</f>
        <v/>
      </c>
      <c r="C893" s="41" t="str">
        <f t="shared" ref="C893:J893" si="892">IF(
  COUNTIF(
    INDIRECT("'"&amp;C$1&amp;"'!C:C"),
    $A893
  )&gt;0,
  "X",
  ""
)</f>
        <v/>
      </c>
      <c r="D893" s="41" t="str">
        <f t="shared" si="892"/>
        <v/>
      </c>
      <c r="E893" s="41" t="str">
        <f t="shared" si="892"/>
        <v/>
      </c>
      <c r="F893" s="41" t="str">
        <f t="shared" si="892"/>
        <v/>
      </c>
      <c r="G893" s="41" t="str">
        <f t="shared" si="892"/>
        <v/>
      </c>
      <c r="H893" s="41" t="str">
        <f t="shared" si="892"/>
        <v/>
      </c>
      <c r="I893" s="41" t="str">
        <f t="shared" si="892"/>
        <v/>
      </c>
      <c r="J893" s="41" t="str">
        <f t="shared" si="892"/>
        <v/>
      </c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67.5" customHeight="1">
      <c r="A894" s="39"/>
      <c r="B894" s="43" t="str">
        <f>IFERROR(__xludf.DUMMYFUNCTION("IFERROR(
  LET(
    periodos, C$1:Z$1,
    marcas, C894:Z894,
    pos, MAX(
          FILTER(
            COLUMN(marcas)-COLUMN(C894)+1,
            marcas=""X""
          )
        ),
    ultimo, INDEX(periodos, pos),
    XLOOKUP(
      $A894,
      INDI"&amp;"RECT(""'""&amp;ultimo&amp;""'!C:C""),
      INDIRECT(""'""&amp;ultimo&amp;""'!A:A"")
    )
  ),
  """"
)"),"")</f>
        <v/>
      </c>
      <c r="C894" s="41" t="str">
        <f t="shared" ref="C894:J894" si="893">IF(
  COUNTIF(
    INDIRECT("'"&amp;C$1&amp;"'!C:C"),
    $A894
  )&gt;0,
  "X",
  ""
)</f>
        <v/>
      </c>
      <c r="D894" s="41" t="str">
        <f t="shared" si="893"/>
        <v/>
      </c>
      <c r="E894" s="41" t="str">
        <f t="shared" si="893"/>
        <v/>
      </c>
      <c r="F894" s="41" t="str">
        <f t="shared" si="893"/>
        <v/>
      </c>
      <c r="G894" s="41" t="str">
        <f t="shared" si="893"/>
        <v/>
      </c>
      <c r="H894" s="41" t="str">
        <f t="shared" si="893"/>
        <v/>
      </c>
      <c r="I894" s="41" t="str">
        <f t="shared" si="893"/>
        <v/>
      </c>
      <c r="J894" s="41" t="str">
        <f t="shared" si="893"/>
        <v/>
      </c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67.5" customHeight="1">
      <c r="A895" s="39"/>
      <c r="B895" s="43" t="str">
        <f>IFERROR(__xludf.DUMMYFUNCTION("IFERROR(
  LET(
    periodos, C$1:Z$1,
    marcas, C895:Z895,
    pos, MAX(
          FILTER(
            COLUMN(marcas)-COLUMN(C895)+1,
            marcas=""X""
          )
        ),
    ultimo, INDEX(periodos, pos),
    XLOOKUP(
      $A895,
      INDI"&amp;"RECT(""'""&amp;ultimo&amp;""'!C:C""),
      INDIRECT(""'""&amp;ultimo&amp;""'!A:A"")
    )
  ),
  """"
)"),"")</f>
        <v/>
      </c>
      <c r="C895" s="41" t="str">
        <f t="shared" ref="C895:J895" si="894">IF(
  COUNTIF(
    INDIRECT("'"&amp;C$1&amp;"'!C:C"),
    $A895
  )&gt;0,
  "X",
  ""
)</f>
        <v/>
      </c>
      <c r="D895" s="41" t="str">
        <f t="shared" si="894"/>
        <v/>
      </c>
      <c r="E895" s="41" t="str">
        <f t="shared" si="894"/>
        <v/>
      </c>
      <c r="F895" s="41" t="str">
        <f t="shared" si="894"/>
        <v/>
      </c>
      <c r="G895" s="41" t="str">
        <f t="shared" si="894"/>
        <v/>
      </c>
      <c r="H895" s="41" t="str">
        <f t="shared" si="894"/>
        <v/>
      </c>
      <c r="I895" s="41" t="str">
        <f t="shared" si="894"/>
        <v/>
      </c>
      <c r="J895" s="41" t="str">
        <f t="shared" si="894"/>
        <v/>
      </c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67.5" customHeight="1">
      <c r="A896" s="39"/>
      <c r="B896" s="43" t="str">
        <f>IFERROR(__xludf.DUMMYFUNCTION("IFERROR(
  LET(
    periodos, C$1:Z$1,
    marcas, C896:Z896,
    pos, MAX(
          FILTER(
            COLUMN(marcas)-COLUMN(C896)+1,
            marcas=""X""
          )
        ),
    ultimo, INDEX(periodos, pos),
    XLOOKUP(
      $A896,
      INDI"&amp;"RECT(""'""&amp;ultimo&amp;""'!C:C""),
      INDIRECT(""'""&amp;ultimo&amp;""'!A:A"")
    )
  ),
  """"
)"),"")</f>
        <v/>
      </c>
      <c r="C896" s="41" t="str">
        <f t="shared" ref="C896:J896" si="895">IF(
  COUNTIF(
    INDIRECT("'"&amp;C$1&amp;"'!C:C"),
    $A896
  )&gt;0,
  "X",
  ""
)</f>
        <v/>
      </c>
      <c r="D896" s="41" t="str">
        <f t="shared" si="895"/>
        <v/>
      </c>
      <c r="E896" s="41" t="str">
        <f t="shared" si="895"/>
        <v/>
      </c>
      <c r="F896" s="41" t="str">
        <f t="shared" si="895"/>
        <v/>
      </c>
      <c r="G896" s="41" t="str">
        <f t="shared" si="895"/>
        <v/>
      </c>
      <c r="H896" s="41" t="str">
        <f t="shared" si="895"/>
        <v/>
      </c>
      <c r="I896" s="41" t="str">
        <f t="shared" si="895"/>
        <v/>
      </c>
      <c r="J896" s="41" t="str">
        <f t="shared" si="895"/>
        <v/>
      </c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67.5" customHeight="1">
      <c r="A897" s="39"/>
      <c r="B897" s="43" t="str">
        <f>IFERROR(__xludf.DUMMYFUNCTION("IFERROR(
  LET(
    periodos, C$1:Z$1,
    marcas, C897:Z897,
    pos, MAX(
          FILTER(
            COLUMN(marcas)-COLUMN(C897)+1,
            marcas=""X""
          )
        ),
    ultimo, INDEX(periodos, pos),
    XLOOKUP(
      $A897,
      INDI"&amp;"RECT(""'""&amp;ultimo&amp;""'!C:C""),
      INDIRECT(""'""&amp;ultimo&amp;""'!A:A"")
    )
  ),
  """"
)"),"")</f>
        <v/>
      </c>
      <c r="C897" s="41" t="str">
        <f t="shared" ref="C897:J897" si="896">IF(
  COUNTIF(
    INDIRECT("'"&amp;C$1&amp;"'!C:C"),
    $A897
  )&gt;0,
  "X",
  ""
)</f>
        <v/>
      </c>
      <c r="D897" s="41" t="str">
        <f t="shared" si="896"/>
        <v/>
      </c>
      <c r="E897" s="41" t="str">
        <f t="shared" si="896"/>
        <v/>
      </c>
      <c r="F897" s="41" t="str">
        <f t="shared" si="896"/>
        <v/>
      </c>
      <c r="G897" s="41" t="str">
        <f t="shared" si="896"/>
        <v/>
      </c>
      <c r="H897" s="41" t="str">
        <f t="shared" si="896"/>
        <v/>
      </c>
      <c r="I897" s="41" t="str">
        <f t="shared" si="896"/>
        <v/>
      </c>
      <c r="J897" s="41" t="str">
        <f t="shared" si="896"/>
        <v/>
      </c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67.5" customHeight="1">
      <c r="A898" s="39"/>
      <c r="B898" s="43" t="str">
        <f>IFERROR(__xludf.DUMMYFUNCTION("IFERROR(
  LET(
    periodos, C$1:Z$1,
    marcas, C898:Z898,
    pos, MAX(
          FILTER(
            COLUMN(marcas)-COLUMN(C898)+1,
            marcas=""X""
          )
        ),
    ultimo, INDEX(periodos, pos),
    XLOOKUP(
      $A898,
      INDI"&amp;"RECT(""'""&amp;ultimo&amp;""'!C:C""),
      INDIRECT(""'""&amp;ultimo&amp;""'!A:A"")
    )
  ),
  """"
)"),"")</f>
        <v/>
      </c>
      <c r="C898" s="41" t="str">
        <f t="shared" ref="C898:J898" si="897">IF(
  COUNTIF(
    INDIRECT("'"&amp;C$1&amp;"'!C:C"),
    $A898
  )&gt;0,
  "X",
  ""
)</f>
        <v/>
      </c>
      <c r="D898" s="41" t="str">
        <f t="shared" si="897"/>
        <v/>
      </c>
      <c r="E898" s="41" t="str">
        <f t="shared" si="897"/>
        <v/>
      </c>
      <c r="F898" s="41" t="str">
        <f t="shared" si="897"/>
        <v/>
      </c>
      <c r="G898" s="41" t="str">
        <f t="shared" si="897"/>
        <v/>
      </c>
      <c r="H898" s="41" t="str">
        <f t="shared" si="897"/>
        <v/>
      </c>
      <c r="I898" s="41" t="str">
        <f t="shared" si="897"/>
        <v/>
      </c>
      <c r="J898" s="41" t="str">
        <f t="shared" si="897"/>
        <v/>
      </c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67.5" customHeight="1">
      <c r="A899" s="39"/>
      <c r="B899" s="43" t="str">
        <f>IFERROR(__xludf.DUMMYFUNCTION("IFERROR(
  LET(
    periodos, C$1:Z$1,
    marcas, C899:Z899,
    pos, MAX(
          FILTER(
            COLUMN(marcas)-COLUMN(C899)+1,
            marcas=""X""
          )
        ),
    ultimo, INDEX(periodos, pos),
    XLOOKUP(
      $A899,
      INDI"&amp;"RECT(""'""&amp;ultimo&amp;""'!C:C""),
      INDIRECT(""'""&amp;ultimo&amp;""'!A:A"")
    )
  ),
  """"
)"),"")</f>
        <v/>
      </c>
      <c r="C899" s="41" t="str">
        <f t="shared" ref="C899:J899" si="898">IF(
  COUNTIF(
    INDIRECT("'"&amp;C$1&amp;"'!C:C"),
    $A899
  )&gt;0,
  "X",
  ""
)</f>
        <v/>
      </c>
      <c r="D899" s="41" t="str">
        <f t="shared" si="898"/>
        <v/>
      </c>
      <c r="E899" s="41" t="str">
        <f t="shared" si="898"/>
        <v/>
      </c>
      <c r="F899" s="41" t="str">
        <f t="shared" si="898"/>
        <v/>
      </c>
      <c r="G899" s="41" t="str">
        <f t="shared" si="898"/>
        <v/>
      </c>
      <c r="H899" s="41" t="str">
        <f t="shared" si="898"/>
        <v/>
      </c>
      <c r="I899" s="41" t="str">
        <f t="shared" si="898"/>
        <v/>
      </c>
      <c r="J899" s="41" t="str">
        <f t="shared" si="898"/>
        <v/>
      </c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67.5" customHeight="1">
      <c r="A900" s="39"/>
      <c r="B900" s="43" t="str">
        <f>IFERROR(__xludf.DUMMYFUNCTION("IFERROR(
  LET(
    periodos, C$1:Z$1,
    marcas, C900:Z900,
    pos, MAX(
          FILTER(
            COLUMN(marcas)-COLUMN(C900)+1,
            marcas=""X""
          )
        ),
    ultimo, INDEX(periodos, pos),
    XLOOKUP(
      $A900,
      INDI"&amp;"RECT(""'""&amp;ultimo&amp;""'!C:C""),
      INDIRECT(""'""&amp;ultimo&amp;""'!A:A"")
    )
  ),
  """"
)"),"")</f>
        <v/>
      </c>
      <c r="C900" s="41" t="str">
        <f t="shared" ref="C900:J900" si="899">IF(
  COUNTIF(
    INDIRECT("'"&amp;C$1&amp;"'!C:C"),
    $A900
  )&gt;0,
  "X",
  ""
)</f>
        <v/>
      </c>
      <c r="D900" s="41" t="str">
        <f t="shared" si="899"/>
        <v/>
      </c>
      <c r="E900" s="41" t="str">
        <f t="shared" si="899"/>
        <v/>
      </c>
      <c r="F900" s="41" t="str">
        <f t="shared" si="899"/>
        <v/>
      </c>
      <c r="G900" s="41" t="str">
        <f t="shared" si="899"/>
        <v/>
      </c>
      <c r="H900" s="41" t="str">
        <f t="shared" si="899"/>
        <v/>
      </c>
      <c r="I900" s="41" t="str">
        <f t="shared" si="899"/>
        <v/>
      </c>
      <c r="J900" s="41" t="str">
        <f t="shared" si="899"/>
        <v/>
      </c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67.5" customHeight="1">
      <c r="A901" s="39"/>
      <c r="B901" s="43" t="str">
        <f>IFERROR(__xludf.DUMMYFUNCTION("IFERROR(
  LET(
    periodos, C$1:Z$1,
    marcas, C901:Z901,
    pos, MAX(
          FILTER(
            COLUMN(marcas)-COLUMN(C901)+1,
            marcas=""X""
          )
        ),
    ultimo, INDEX(periodos, pos),
    XLOOKUP(
      $A901,
      INDI"&amp;"RECT(""'""&amp;ultimo&amp;""'!C:C""),
      INDIRECT(""'""&amp;ultimo&amp;""'!A:A"")
    )
  ),
  """"
)"),"")</f>
        <v/>
      </c>
      <c r="C901" s="41" t="str">
        <f t="shared" ref="C901:J901" si="900">IF(
  COUNTIF(
    INDIRECT("'"&amp;C$1&amp;"'!C:C"),
    $A901
  )&gt;0,
  "X",
  ""
)</f>
        <v/>
      </c>
      <c r="D901" s="41" t="str">
        <f t="shared" si="900"/>
        <v/>
      </c>
      <c r="E901" s="41" t="str">
        <f t="shared" si="900"/>
        <v/>
      </c>
      <c r="F901" s="41" t="str">
        <f t="shared" si="900"/>
        <v/>
      </c>
      <c r="G901" s="41" t="str">
        <f t="shared" si="900"/>
        <v/>
      </c>
      <c r="H901" s="41" t="str">
        <f t="shared" si="900"/>
        <v/>
      </c>
      <c r="I901" s="41" t="str">
        <f t="shared" si="900"/>
        <v/>
      </c>
      <c r="J901" s="41" t="str">
        <f t="shared" si="900"/>
        <v/>
      </c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67.5" customHeight="1">
      <c r="A902" s="39"/>
      <c r="B902" s="43" t="str">
        <f>IFERROR(__xludf.DUMMYFUNCTION("IFERROR(
  LET(
    periodos, C$1:Z$1,
    marcas, C902:Z902,
    pos, MAX(
          FILTER(
            COLUMN(marcas)-COLUMN(C902)+1,
            marcas=""X""
          )
        ),
    ultimo, INDEX(periodos, pos),
    XLOOKUP(
      $A902,
      INDI"&amp;"RECT(""'""&amp;ultimo&amp;""'!C:C""),
      INDIRECT(""'""&amp;ultimo&amp;""'!A:A"")
    )
  ),
  """"
)"),"")</f>
        <v/>
      </c>
      <c r="C902" s="41" t="str">
        <f t="shared" ref="C902:J902" si="901">IF(
  COUNTIF(
    INDIRECT("'"&amp;C$1&amp;"'!C:C"),
    $A902
  )&gt;0,
  "X",
  ""
)</f>
        <v/>
      </c>
      <c r="D902" s="41" t="str">
        <f t="shared" si="901"/>
        <v/>
      </c>
      <c r="E902" s="41" t="str">
        <f t="shared" si="901"/>
        <v/>
      </c>
      <c r="F902" s="41" t="str">
        <f t="shared" si="901"/>
        <v/>
      </c>
      <c r="G902" s="41" t="str">
        <f t="shared" si="901"/>
        <v/>
      </c>
      <c r="H902" s="41" t="str">
        <f t="shared" si="901"/>
        <v/>
      </c>
      <c r="I902" s="41" t="str">
        <f t="shared" si="901"/>
        <v/>
      </c>
      <c r="J902" s="41" t="str">
        <f t="shared" si="901"/>
        <v/>
      </c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67.5" customHeight="1">
      <c r="A903" s="39"/>
      <c r="B903" s="43" t="str">
        <f>IFERROR(__xludf.DUMMYFUNCTION("IFERROR(
  LET(
    periodos, C$1:Z$1,
    marcas, C903:Z903,
    pos, MAX(
          FILTER(
            COLUMN(marcas)-COLUMN(C903)+1,
            marcas=""X""
          )
        ),
    ultimo, INDEX(periodos, pos),
    XLOOKUP(
      $A903,
      INDI"&amp;"RECT(""'""&amp;ultimo&amp;""'!C:C""),
      INDIRECT(""'""&amp;ultimo&amp;""'!A:A"")
    )
  ),
  """"
)"),"")</f>
        <v/>
      </c>
      <c r="C903" s="41" t="str">
        <f t="shared" ref="C903:J903" si="902">IF(
  COUNTIF(
    INDIRECT("'"&amp;C$1&amp;"'!C:C"),
    $A903
  )&gt;0,
  "X",
  ""
)</f>
        <v/>
      </c>
      <c r="D903" s="41" t="str">
        <f t="shared" si="902"/>
        <v/>
      </c>
      <c r="E903" s="41" t="str">
        <f t="shared" si="902"/>
        <v/>
      </c>
      <c r="F903" s="41" t="str">
        <f t="shared" si="902"/>
        <v/>
      </c>
      <c r="G903" s="41" t="str">
        <f t="shared" si="902"/>
        <v/>
      </c>
      <c r="H903" s="41" t="str">
        <f t="shared" si="902"/>
        <v/>
      </c>
      <c r="I903" s="41" t="str">
        <f t="shared" si="902"/>
        <v/>
      </c>
      <c r="J903" s="41" t="str">
        <f t="shared" si="902"/>
        <v/>
      </c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67.5" customHeight="1">
      <c r="A904" s="39"/>
      <c r="B904" s="43" t="str">
        <f>IFERROR(__xludf.DUMMYFUNCTION("IFERROR(
  LET(
    periodos, C$1:Z$1,
    marcas, C904:Z904,
    pos, MAX(
          FILTER(
            COLUMN(marcas)-COLUMN(C904)+1,
            marcas=""X""
          )
        ),
    ultimo, INDEX(periodos, pos),
    XLOOKUP(
      $A904,
      INDI"&amp;"RECT(""'""&amp;ultimo&amp;""'!C:C""),
      INDIRECT(""'""&amp;ultimo&amp;""'!A:A"")
    )
  ),
  """"
)"),"")</f>
        <v/>
      </c>
      <c r="C904" s="41" t="str">
        <f t="shared" ref="C904:J904" si="903">IF(
  COUNTIF(
    INDIRECT("'"&amp;C$1&amp;"'!C:C"),
    $A904
  )&gt;0,
  "X",
  ""
)</f>
        <v/>
      </c>
      <c r="D904" s="41" t="str">
        <f t="shared" si="903"/>
        <v/>
      </c>
      <c r="E904" s="41" t="str">
        <f t="shared" si="903"/>
        <v/>
      </c>
      <c r="F904" s="41" t="str">
        <f t="shared" si="903"/>
        <v/>
      </c>
      <c r="G904" s="41" t="str">
        <f t="shared" si="903"/>
        <v/>
      </c>
      <c r="H904" s="41" t="str">
        <f t="shared" si="903"/>
        <v/>
      </c>
      <c r="I904" s="41" t="str">
        <f t="shared" si="903"/>
        <v/>
      </c>
      <c r="J904" s="41" t="str">
        <f t="shared" si="903"/>
        <v/>
      </c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67.5" customHeight="1">
      <c r="A905" s="39"/>
      <c r="B905" s="43" t="str">
        <f>IFERROR(__xludf.DUMMYFUNCTION("IFERROR(
  LET(
    periodos, C$1:Z$1,
    marcas, C905:Z905,
    pos, MAX(
          FILTER(
            COLUMN(marcas)-COLUMN(C905)+1,
            marcas=""X""
          )
        ),
    ultimo, INDEX(periodos, pos),
    XLOOKUP(
      $A905,
      INDI"&amp;"RECT(""'""&amp;ultimo&amp;""'!C:C""),
      INDIRECT(""'""&amp;ultimo&amp;""'!A:A"")
    )
  ),
  """"
)"),"")</f>
        <v/>
      </c>
      <c r="C905" s="41" t="str">
        <f t="shared" ref="C905:J905" si="904">IF(
  COUNTIF(
    INDIRECT("'"&amp;C$1&amp;"'!C:C"),
    $A905
  )&gt;0,
  "X",
  ""
)</f>
        <v/>
      </c>
      <c r="D905" s="41" t="str">
        <f t="shared" si="904"/>
        <v/>
      </c>
      <c r="E905" s="41" t="str">
        <f t="shared" si="904"/>
        <v/>
      </c>
      <c r="F905" s="41" t="str">
        <f t="shared" si="904"/>
        <v/>
      </c>
      <c r="G905" s="41" t="str">
        <f t="shared" si="904"/>
        <v/>
      </c>
      <c r="H905" s="41" t="str">
        <f t="shared" si="904"/>
        <v/>
      </c>
      <c r="I905" s="41" t="str">
        <f t="shared" si="904"/>
        <v/>
      </c>
      <c r="J905" s="41" t="str">
        <f t="shared" si="904"/>
        <v/>
      </c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67.5" customHeight="1">
      <c r="A906" s="39"/>
      <c r="B906" s="43" t="str">
        <f>IFERROR(__xludf.DUMMYFUNCTION("IFERROR(
  LET(
    periodos, C$1:Z$1,
    marcas, C906:Z906,
    pos, MAX(
          FILTER(
            COLUMN(marcas)-COLUMN(C906)+1,
            marcas=""X""
          )
        ),
    ultimo, INDEX(periodos, pos),
    XLOOKUP(
      $A906,
      INDI"&amp;"RECT(""'""&amp;ultimo&amp;""'!C:C""),
      INDIRECT(""'""&amp;ultimo&amp;""'!A:A"")
    )
  ),
  """"
)"),"")</f>
        <v/>
      </c>
      <c r="C906" s="41" t="str">
        <f t="shared" ref="C906:J906" si="905">IF(
  COUNTIF(
    INDIRECT("'"&amp;C$1&amp;"'!C:C"),
    $A906
  )&gt;0,
  "X",
  ""
)</f>
        <v/>
      </c>
      <c r="D906" s="41" t="str">
        <f t="shared" si="905"/>
        <v/>
      </c>
      <c r="E906" s="41" t="str">
        <f t="shared" si="905"/>
        <v/>
      </c>
      <c r="F906" s="41" t="str">
        <f t="shared" si="905"/>
        <v/>
      </c>
      <c r="G906" s="41" t="str">
        <f t="shared" si="905"/>
        <v/>
      </c>
      <c r="H906" s="41" t="str">
        <f t="shared" si="905"/>
        <v/>
      </c>
      <c r="I906" s="41" t="str">
        <f t="shared" si="905"/>
        <v/>
      </c>
      <c r="J906" s="41" t="str">
        <f t="shared" si="905"/>
        <v/>
      </c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67.5" customHeight="1">
      <c r="A907" s="39"/>
      <c r="B907" s="43" t="str">
        <f>IFERROR(__xludf.DUMMYFUNCTION("IFERROR(
  LET(
    periodos, C$1:Z$1,
    marcas, C907:Z907,
    pos, MAX(
          FILTER(
            COLUMN(marcas)-COLUMN(C907)+1,
            marcas=""X""
          )
        ),
    ultimo, INDEX(periodos, pos),
    XLOOKUP(
      $A907,
      INDI"&amp;"RECT(""'""&amp;ultimo&amp;""'!C:C""),
      INDIRECT(""'""&amp;ultimo&amp;""'!A:A"")
    )
  ),
  """"
)"),"")</f>
        <v/>
      </c>
      <c r="C907" s="41" t="str">
        <f t="shared" ref="C907:J907" si="906">IF(
  COUNTIF(
    INDIRECT("'"&amp;C$1&amp;"'!C:C"),
    $A907
  )&gt;0,
  "X",
  ""
)</f>
        <v/>
      </c>
      <c r="D907" s="41" t="str">
        <f t="shared" si="906"/>
        <v/>
      </c>
      <c r="E907" s="41" t="str">
        <f t="shared" si="906"/>
        <v/>
      </c>
      <c r="F907" s="41" t="str">
        <f t="shared" si="906"/>
        <v/>
      </c>
      <c r="G907" s="41" t="str">
        <f t="shared" si="906"/>
        <v/>
      </c>
      <c r="H907" s="41" t="str">
        <f t="shared" si="906"/>
        <v/>
      </c>
      <c r="I907" s="41" t="str">
        <f t="shared" si="906"/>
        <v/>
      </c>
      <c r="J907" s="41" t="str">
        <f t="shared" si="906"/>
        <v/>
      </c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67.5" customHeight="1">
      <c r="A908" s="39"/>
      <c r="B908" s="43" t="str">
        <f>IFERROR(__xludf.DUMMYFUNCTION("IFERROR(
  LET(
    periodos, C$1:Z$1,
    marcas, C908:Z908,
    pos, MAX(
          FILTER(
            COLUMN(marcas)-COLUMN(C908)+1,
            marcas=""X""
          )
        ),
    ultimo, INDEX(periodos, pos),
    XLOOKUP(
      $A908,
      INDI"&amp;"RECT(""'""&amp;ultimo&amp;""'!C:C""),
      INDIRECT(""'""&amp;ultimo&amp;""'!A:A"")
    )
  ),
  """"
)"),"")</f>
        <v/>
      </c>
      <c r="C908" s="41" t="str">
        <f t="shared" ref="C908:J908" si="907">IF(
  COUNTIF(
    INDIRECT("'"&amp;C$1&amp;"'!C:C"),
    $A908
  )&gt;0,
  "X",
  ""
)</f>
        <v/>
      </c>
      <c r="D908" s="41" t="str">
        <f t="shared" si="907"/>
        <v/>
      </c>
      <c r="E908" s="41" t="str">
        <f t="shared" si="907"/>
        <v/>
      </c>
      <c r="F908" s="41" t="str">
        <f t="shared" si="907"/>
        <v/>
      </c>
      <c r="G908" s="41" t="str">
        <f t="shared" si="907"/>
        <v/>
      </c>
      <c r="H908" s="41" t="str">
        <f t="shared" si="907"/>
        <v/>
      </c>
      <c r="I908" s="41" t="str">
        <f t="shared" si="907"/>
        <v/>
      </c>
      <c r="J908" s="41" t="str">
        <f t="shared" si="907"/>
        <v/>
      </c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67.5" customHeight="1">
      <c r="A909" s="39"/>
      <c r="B909" s="43" t="str">
        <f>IFERROR(__xludf.DUMMYFUNCTION("IFERROR(
  LET(
    periodos, C$1:Z$1,
    marcas, C909:Z909,
    pos, MAX(
          FILTER(
            COLUMN(marcas)-COLUMN(C909)+1,
            marcas=""X""
          )
        ),
    ultimo, INDEX(periodos, pos),
    XLOOKUP(
      $A909,
      INDI"&amp;"RECT(""'""&amp;ultimo&amp;""'!C:C""),
      INDIRECT(""'""&amp;ultimo&amp;""'!A:A"")
    )
  ),
  """"
)"),"")</f>
        <v/>
      </c>
      <c r="C909" s="41" t="str">
        <f t="shared" ref="C909:J909" si="908">IF(
  COUNTIF(
    INDIRECT("'"&amp;C$1&amp;"'!C:C"),
    $A909
  )&gt;0,
  "X",
  ""
)</f>
        <v/>
      </c>
      <c r="D909" s="41" t="str">
        <f t="shared" si="908"/>
        <v/>
      </c>
      <c r="E909" s="41" t="str">
        <f t="shared" si="908"/>
        <v/>
      </c>
      <c r="F909" s="41" t="str">
        <f t="shared" si="908"/>
        <v/>
      </c>
      <c r="G909" s="41" t="str">
        <f t="shared" si="908"/>
        <v/>
      </c>
      <c r="H909" s="41" t="str">
        <f t="shared" si="908"/>
        <v/>
      </c>
      <c r="I909" s="41" t="str">
        <f t="shared" si="908"/>
        <v/>
      </c>
      <c r="J909" s="41" t="str">
        <f t="shared" si="908"/>
        <v/>
      </c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67.5" customHeight="1">
      <c r="A910" s="39"/>
      <c r="B910" s="43" t="str">
        <f>IFERROR(__xludf.DUMMYFUNCTION("IFERROR(
  LET(
    periodos, C$1:Z$1,
    marcas, C910:Z910,
    pos, MAX(
          FILTER(
            COLUMN(marcas)-COLUMN(C910)+1,
            marcas=""X""
          )
        ),
    ultimo, INDEX(periodos, pos),
    XLOOKUP(
      $A910,
      INDI"&amp;"RECT(""'""&amp;ultimo&amp;""'!C:C""),
      INDIRECT(""'""&amp;ultimo&amp;""'!A:A"")
    )
  ),
  """"
)"),"")</f>
        <v/>
      </c>
      <c r="C910" s="41" t="str">
        <f t="shared" ref="C910:J910" si="909">IF(
  COUNTIF(
    INDIRECT("'"&amp;C$1&amp;"'!C:C"),
    $A910
  )&gt;0,
  "X",
  ""
)</f>
        <v/>
      </c>
      <c r="D910" s="41" t="str">
        <f t="shared" si="909"/>
        <v/>
      </c>
      <c r="E910" s="41" t="str">
        <f t="shared" si="909"/>
        <v/>
      </c>
      <c r="F910" s="41" t="str">
        <f t="shared" si="909"/>
        <v/>
      </c>
      <c r="G910" s="41" t="str">
        <f t="shared" si="909"/>
        <v/>
      </c>
      <c r="H910" s="41" t="str">
        <f t="shared" si="909"/>
        <v/>
      </c>
      <c r="I910" s="41" t="str">
        <f t="shared" si="909"/>
        <v/>
      </c>
      <c r="J910" s="41" t="str">
        <f t="shared" si="909"/>
        <v/>
      </c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67.5" customHeight="1">
      <c r="A911" s="39"/>
      <c r="B911" s="43" t="str">
        <f>IFERROR(__xludf.DUMMYFUNCTION("IFERROR(
  LET(
    periodos, C$1:Z$1,
    marcas, C911:Z911,
    pos, MAX(
          FILTER(
            COLUMN(marcas)-COLUMN(C911)+1,
            marcas=""X""
          )
        ),
    ultimo, INDEX(periodos, pos),
    XLOOKUP(
      $A911,
      INDI"&amp;"RECT(""'""&amp;ultimo&amp;""'!C:C""),
      INDIRECT(""'""&amp;ultimo&amp;""'!A:A"")
    )
  ),
  """"
)"),"")</f>
        <v/>
      </c>
      <c r="C911" s="41" t="str">
        <f t="shared" ref="C911:J911" si="910">IF(
  COUNTIF(
    INDIRECT("'"&amp;C$1&amp;"'!C:C"),
    $A911
  )&gt;0,
  "X",
  ""
)</f>
        <v/>
      </c>
      <c r="D911" s="41" t="str">
        <f t="shared" si="910"/>
        <v/>
      </c>
      <c r="E911" s="41" t="str">
        <f t="shared" si="910"/>
        <v/>
      </c>
      <c r="F911" s="41" t="str">
        <f t="shared" si="910"/>
        <v/>
      </c>
      <c r="G911" s="41" t="str">
        <f t="shared" si="910"/>
        <v/>
      </c>
      <c r="H911" s="41" t="str">
        <f t="shared" si="910"/>
        <v/>
      </c>
      <c r="I911" s="41" t="str">
        <f t="shared" si="910"/>
        <v/>
      </c>
      <c r="J911" s="41" t="str">
        <f t="shared" si="910"/>
        <v/>
      </c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67.5" customHeight="1">
      <c r="A912" s="39"/>
      <c r="B912" s="43" t="str">
        <f>IFERROR(__xludf.DUMMYFUNCTION("IFERROR(
  LET(
    periodos, C$1:Z$1,
    marcas, C912:Z912,
    pos, MAX(
          FILTER(
            COLUMN(marcas)-COLUMN(C912)+1,
            marcas=""X""
          )
        ),
    ultimo, INDEX(periodos, pos),
    XLOOKUP(
      $A912,
      INDI"&amp;"RECT(""'""&amp;ultimo&amp;""'!C:C""),
      INDIRECT(""'""&amp;ultimo&amp;""'!A:A"")
    )
  ),
  """"
)"),"")</f>
        <v/>
      </c>
      <c r="C912" s="41" t="str">
        <f t="shared" ref="C912:J912" si="911">IF(
  COUNTIF(
    INDIRECT("'"&amp;C$1&amp;"'!C:C"),
    $A912
  )&gt;0,
  "X",
  ""
)</f>
        <v/>
      </c>
      <c r="D912" s="41" t="str">
        <f t="shared" si="911"/>
        <v/>
      </c>
      <c r="E912" s="41" t="str">
        <f t="shared" si="911"/>
        <v/>
      </c>
      <c r="F912" s="41" t="str">
        <f t="shared" si="911"/>
        <v/>
      </c>
      <c r="G912" s="41" t="str">
        <f t="shared" si="911"/>
        <v/>
      </c>
      <c r="H912" s="41" t="str">
        <f t="shared" si="911"/>
        <v/>
      </c>
      <c r="I912" s="41" t="str">
        <f t="shared" si="911"/>
        <v/>
      </c>
      <c r="J912" s="41" t="str">
        <f t="shared" si="911"/>
        <v/>
      </c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67.5" customHeight="1">
      <c r="A913" s="39"/>
      <c r="B913" s="43" t="str">
        <f>IFERROR(__xludf.DUMMYFUNCTION("IFERROR(
  LET(
    periodos, C$1:Z$1,
    marcas, C913:Z913,
    pos, MAX(
          FILTER(
            COLUMN(marcas)-COLUMN(C913)+1,
            marcas=""X""
          )
        ),
    ultimo, INDEX(periodos, pos),
    XLOOKUP(
      $A913,
      INDI"&amp;"RECT(""'""&amp;ultimo&amp;""'!C:C""),
      INDIRECT(""'""&amp;ultimo&amp;""'!A:A"")
    )
  ),
  """"
)"),"")</f>
        <v/>
      </c>
      <c r="C913" s="41" t="str">
        <f t="shared" ref="C913:J913" si="912">IF(
  COUNTIF(
    INDIRECT("'"&amp;C$1&amp;"'!C:C"),
    $A913
  )&gt;0,
  "X",
  ""
)</f>
        <v/>
      </c>
      <c r="D913" s="41" t="str">
        <f t="shared" si="912"/>
        <v/>
      </c>
      <c r="E913" s="41" t="str">
        <f t="shared" si="912"/>
        <v/>
      </c>
      <c r="F913" s="41" t="str">
        <f t="shared" si="912"/>
        <v/>
      </c>
      <c r="G913" s="41" t="str">
        <f t="shared" si="912"/>
        <v/>
      </c>
      <c r="H913" s="41" t="str">
        <f t="shared" si="912"/>
        <v/>
      </c>
      <c r="I913" s="41" t="str">
        <f t="shared" si="912"/>
        <v/>
      </c>
      <c r="J913" s="41" t="str">
        <f t="shared" si="912"/>
        <v/>
      </c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67.5" customHeight="1">
      <c r="A914" s="39"/>
      <c r="B914" s="43" t="str">
        <f>IFERROR(__xludf.DUMMYFUNCTION("IFERROR(
  LET(
    periodos, C$1:Z$1,
    marcas, C914:Z914,
    pos, MAX(
          FILTER(
            COLUMN(marcas)-COLUMN(C914)+1,
            marcas=""X""
          )
        ),
    ultimo, INDEX(periodos, pos),
    XLOOKUP(
      $A914,
      INDI"&amp;"RECT(""'""&amp;ultimo&amp;""'!C:C""),
      INDIRECT(""'""&amp;ultimo&amp;""'!A:A"")
    )
  ),
  """"
)"),"")</f>
        <v/>
      </c>
      <c r="C914" s="41" t="str">
        <f t="shared" ref="C914:J914" si="913">IF(
  COUNTIF(
    INDIRECT("'"&amp;C$1&amp;"'!C:C"),
    $A914
  )&gt;0,
  "X",
  ""
)</f>
        <v/>
      </c>
      <c r="D914" s="41" t="str">
        <f t="shared" si="913"/>
        <v/>
      </c>
      <c r="E914" s="41" t="str">
        <f t="shared" si="913"/>
        <v/>
      </c>
      <c r="F914" s="41" t="str">
        <f t="shared" si="913"/>
        <v/>
      </c>
      <c r="G914" s="41" t="str">
        <f t="shared" si="913"/>
        <v/>
      </c>
      <c r="H914" s="41" t="str">
        <f t="shared" si="913"/>
        <v/>
      </c>
      <c r="I914" s="41" t="str">
        <f t="shared" si="913"/>
        <v/>
      </c>
      <c r="J914" s="41" t="str">
        <f t="shared" si="913"/>
        <v/>
      </c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67.5" customHeight="1">
      <c r="A915" s="39"/>
      <c r="B915" s="43" t="str">
        <f>IFERROR(__xludf.DUMMYFUNCTION("IFERROR(
  LET(
    periodos, C$1:Z$1,
    marcas, C915:Z915,
    pos, MAX(
          FILTER(
            COLUMN(marcas)-COLUMN(C915)+1,
            marcas=""X""
          )
        ),
    ultimo, INDEX(periodos, pos),
    XLOOKUP(
      $A915,
      INDI"&amp;"RECT(""'""&amp;ultimo&amp;""'!C:C""),
      INDIRECT(""'""&amp;ultimo&amp;""'!A:A"")
    )
  ),
  """"
)"),"")</f>
        <v/>
      </c>
      <c r="C915" s="41" t="str">
        <f t="shared" ref="C915:J915" si="914">IF(
  COUNTIF(
    INDIRECT("'"&amp;C$1&amp;"'!C:C"),
    $A915
  )&gt;0,
  "X",
  ""
)</f>
        <v/>
      </c>
      <c r="D915" s="41" t="str">
        <f t="shared" si="914"/>
        <v/>
      </c>
      <c r="E915" s="41" t="str">
        <f t="shared" si="914"/>
        <v/>
      </c>
      <c r="F915" s="41" t="str">
        <f t="shared" si="914"/>
        <v/>
      </c>
      <c r="G915" s="41" t="str">
        <f t="shared" si="914"/>
        <v/>
      </c>
      <c r="H915" s="41" t="str">
        <f t="shared" si="914"/>
        <v/>
      </c>
      <c r="I915" s="41" t="str">
        <f t="shared" si="914"/>
        <v/>
      </c>
      <c r="J915" s="41" t="str">
        <f t="shared" si="914"/>
        <v/>
      </c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67.5" customHeight="1">
      <c r="A916" s="39"/>
      <c r="B916" s="43" t="str">
        <f>IFERROR(__xludf.DUMMYFUNCTION("IFERROR(
  LET(
    periodos, C$1:Z$1,
    marcas, C916:Z916,
    pos, MAX(
          FILTER(
            COLUMN(marcas)-COLUMN(C916)+1,
            marcas=""X""
          )
        ),
    ultimo, INDEX(periodos, pos),
    XLOOKUP(
      $A916,
      INDI"&amp;"RECT(""'""&amp;ultimo&amp;""'!C:C""),
      INDIRECT(""'""&amp;ultimo&amp;""'!A:A"")
    )
  ),
  """"
)"),"")</f>
        <v/>
      </c>
      <c r="C916" s="41" t="str">
        <f t="shared" ref="C916:J916" si="915">IF(
  COUNTIF(
    INDIRECT("'"&amp;C$1&amp;"'!C:C"),
    $A916
  )&gt;0,
  "X",
  ""
)</f>
        <v/>
      </c>
      <c r="D916" s="41" t="str">
        <f t="shared" si="915"/>
        <v/>
      </c>
      <c r="E916" s="41" t="str">
        <f t="shared" si="915"/>
        <v/>
      </c>
      <c r="F916" s="41" t="str">
        <f t="shared" si="915"/>
        <v/>
      </c>
      <c r="G916" s="41" t="str">
        <f t="shared" si="915"/>
        <v/>
      </c>
      <c r="H916" s="41" t="str">
        <f t="shared" si="915"/>
        <v/>
      </c>
      <c r="I916" s="41" t="str">
        <f t="shared" si="915"/>
        <v/>
      </c>
      <c r="J916" s="41" t="str">
        <f t="shared" si="915"/>
        <v/>
      </c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67.5" customHeight="1">
      <c r="A917" s="39"/>
      <c r="B917" s="43" t="str">
        <f>IFERROR(__xludf.DUMMYFUNCTION("IFERROR(
  LET(
    periodos, C$1:Z$1,
    marcas, C917:Z917,
    pos, MAX(
          FILTER(
            COLUMN(marcas)-COLUMN(C917)+1,
            marcas=""X""
          )
        ),
    ultimo, INDEX(periodos, pos),
    XLOOKUP(
      $A917,
      INDI"&amp;"RECT(""'""&amp;ultimo&amp;""'!C:C""),
      INDIRECT(""'""&amp;ultimo&amp;""'!A:A"")
    )
  ),
  """"
)"),"")</f>
        <v/>
      </c>
      <c r="C917" s="41" t="str">
        <f t="shared" ref="C917:J917" si="916">IF(
  COUNTIF(
    INDIRECT("'"&amp;C$1&amp;"'!C:C"),
    $A917
  )&gt;0,
  "X",
  ""
)</f>
        <v/>
      </c>
      <c r="D917" s="41" t="str">
        <f t="shared" si="916"/>
        <v/>
      </c>
      <c r="E917" s="41" t="str">
        <f t="shared" si="916"/>
        <v/>
      </c>
      <c r="F917" s="41" t="str">
        <f t="shared" si="916"/>
        <v/>
      </c>
      <c r="G917" s="41" t="str">
        <f t="shared" si="916"/>
        <v/>
      </c>
      <c r="H917" s="41" t="str">
        <f t="shared" si="916"/>
        <v/>
      </c>
      <c r="I917" s="41" t="str">
        <f t="shared" si="916"/>
        <v/>
      </c>
      <c r="J917" s="41" t="str">
        <f t="shared" si="916"/>
        <v/>
      </c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67.5" customHeight="1">
      <c r="A918" s="39"/>
      <c r="B918" s="43" t="str">
        <f>IFERROR(__xludf.DUMMYFUNCTION("IFERROR(
  LET(
    periodos, C$1:Z$1,
    marcas, C918:Z918,
    pos, MAX(
          FILTER(
            COLUMN(marcas)-COLUMN(C918)+1,
            marcas=""X""
          )
        ),
    ultimo, INDEX(periodos, pos),
    XLOOKUP(
      $A918,
      INDI"&amp;"RECT(""'""&amp;ultimo&amp;""'!C:C""),
      INDIRECT(""'""&amp;ultimo&amp;""'!A:A"")
    )
  ),
  """"
)"),"")</f>
        <v/>
      </c>
      <c r="C918" s="41" t="str">
        <f t="shared" ref="C918:J918" si="917">IF(
  COUNTIF(
    INDIRECT("'"&amp;C$1&amp;"'!C:C"),
    $A918
  )&gt;0,
  "X",
  ""
)</f>
        <v/>
      </c>
      <c r="D918" s="41" t="str">
        <f t="shared" si="917"/>
        <v/>
      </c>
      <c r="E918" s="41" t="str">
        <f t="shared" si="917"/>
        <v/>
      </c>
      <c r="F918" s="41" t="str">
        <f t="shared" si="917"/>
        <v/>
      </c>
      <c r="G918" s="41" t="str">
        <f t="shared" si="917"/>
        <v/>
      </c>
      <c r="H918" s="41" t="str">
        <f t="shared" si="917"/>
        <v/>
      </c>
      <c r="I918" s="41" t="str">
        <f t="shared" si="917"/>
        <v/>
      </c>
      <c r="J918" s="41" t="str">
        <f t="shared" si="917"/>
        <v/>
      </c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67.5" customHeight="1">
      <c r="A919" s="39"/>
      <c r="B919" s="43" t="str">
        <f>IFERROR(__xludf.DUMMYFUNCTION("IFERROR(
  LET(
    periodos, C$1:Z$1,
    marcas, C919:Z919,
    pos, MAX(
          FILTER(
            COLUMN(marcas)-COLUMN(C919)+1,
            marcas=""X""
          )
        ),
    ultimo, INDEX(periodos, pos),
    XLOOKUP(
      $A919,
      INDI"&amp;"RECT(""'""&amp;ultimo&amp;""'!C:C""),
      INDIRECT(""'""&amp;ultimo&amp;""'!A:A"")
    )
  ),
  """"
)"),"")</f>
        <v/>
      </c>
      <c r="C919" s="41" t="str">
        <f t="shared" ref="C919:J919" si="918">IF(
  COUNTIF(
    INDIRECT("'"&amp;C$1&amp;"'!C:C"),
    $A919
  )&gt;0,
  "X",
  ""
)</f>
        <v/>
      </c>
      <c r="D919" s="41" t="str">
        <f t="shared" si="918"/>
        <v/>
      </c>
      <c r="E919" s="41" t="str">
        <f t="shared" si="918"/>
        <v/>
      </c>
      <c r="F919" s="41" t="str">
        <f t="shared" si="918"/>
        <v/>
      </c>
      <c r="G919" s="41" t="str">
        <f t="shared" si="918"/>
        <v/>
      </c>
      <c r="H919" s="41" t="str">
        <f t="shared" si="918"/>
        <v/>
      </c>
      <c r="I919" s="41" t="str">
        <f t="shared" si="918"/>
        <v/>
      </c>
      <c r="J919" s="41" t="str">
        <f t="shared" si="918"/>
        <v/>
      </c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67.5" customHeight="1">
      <c r="A920" s="39"/>
      <c r="B920" s="43" t="str">
        <f>IFERROR(__xludf.DUMMYFUNCTION("IFERROR(
  LET(
    periodos, C$1:Z$1,
    marcas, C920:Z920,
    pos, MAX(
          FILTER(
            COLUMN(marcas)-COLUMN(C920)+1,
            marcas=""X""
          )
        ),
    ultimo, INDEX(periodos, pos),
    XLOOKUP(
      $A920,
      INDI"&amp;"RECT(""'""&amp;ultimo&amp;""'!C:C""),
      INDIRECT(""'""&amp;ultimo&amp;""'!A:A"")
    )
  ),
  """"
)"),"")</f>
        <v/>
      </c>
      <c r="C920" s="41" t="str">
        <f t="shared" ref="C920:J920" si="919">IF(
  COUNTIF(
    INDIRECT("'"&amp;C$1&amp;"'!C:C"),
    $A920
  )&gt;0,
  "X",
  ""
)</f>
        <v/>
      </c>
      <c r="D920" s="41" t="str">
        <f t="shared" si="919"/>
        <v/>
      </c>
      <c r="E920" s="41" t="str">
        <f t="shared" si="919"/>
        <v/>
      </c>
      <c r="F920" s="41" t="str">
        <f t="shared" si="919"/>
        <v/>
      </c>
      <c r="G920" s="41" t="str">
        <f t="shared" si="919"/>
        <v/>
      </c>
      <c r="H920" s="41" t="str">
        <f t="shared" si="919"/>
        <v/>
      </c>
      <c r="I920" s="41" t="str">
        <f t="shared" si="919"/>
        <v/>
      </c>
      <c r="J920" s="41" t="str">
        <f t="shared" si="919"/>
        <v/>
      </c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67.5" customHeight="1">
      <c r="A921" s="39"/>
      <c r="B921" s="43" t="str">
        <f>IFERROR(__xludf.DUMMYFUNCTION("IFERROR(
  LET(
    periodos, C$1:Z$1,
    marcas, C921:Z921,
    pos, MAX(
          FILTER(
            COLUMN(marcas)-COLUMN(C921)+1,
            marcas=""X""
          )
        ),
    ultimo, INDEX(periodos, pos),
    XLOOKUP(
      $A921,
      INDI"&amp;"RECT(""'""&amp;ultimo&amp;""'!C:C""),
      INDIRECT(""'""&amp;ultimo&amp;""'!A:A"")
    )
  ),
  """"
)"),"")</f>
        <v/>
      </c>
      <c r="C921" s="41" t="str">
        <f t="shared" ref="C921:J921" si="920">IF(
  COUNTIF(
    INDIRECT("'"&amp;C$1&amp;"'!C:C"),
    $A921
  )&gt;0,
  "X",
  ""
)</f>
        <v/>
      </c>
      <c r="D921" s="41" t="str">
        <f t="shared" si="920"/>
        <v/>
      </c>
      <c r="E921" s="41" t="str">
        <f t="shared" si="920"/>
        <v/>
      </c>
      <c r="F921" s="41" t="str">
        <f t="shared" si="920"/>
        <v/>
      </c>
      <c r="G921" s="41" t="str">
        <f t="shared" si="920"/>
        <v/>
      </c>
      <c r="H921" s="41" t="str">
        <f t="shared" si="920"/>
        <v/>
      </c>
      <c r="I921" s="41" t="str">
        <f t="shared" si="920"/>
        <v/>
      </c>
      <c r="J921" s="41" t="str">
        <f t="shared" si="920"/>
        <v/>
      </c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67.5" customHeight="1">
      <c r="A922" s="39"/>
      <c r="B922" s="43" t="str">
        <f>IFERROR(__xludf.DUMMYFUNCTION("IFERROR(
  LET(
    periodos, C$1:Z$1,
    marcas, C922:Z922,
    pos, MAX(
          FILTER(
            COLUMN(marcas)-COLUMN(C922)+1,
            marcas=""X""
          )
        ),
    ultimo, INDEX(periodos, pos),
    XLOOKUP(
      $A922,
      INDI"&amp;"RECT(""'""&amp;ultimo&amp;""'!C:C""),
      INDIRECT(""'""&amp;ultimo&amp;""'!A:A"")
    )
  ),
  """"
)"),"")</f>
        <v/>
      </c>
      <c r="C922" s="41" t="str">
        <f t="shared" ref="C922:J922" si="921">IF(
  COUNTIF(
    INDIRECT("'"&amp;C$1&amp;"'!C:C"),
    $A922
  )&gt;0,
  "X",
  ""
)</f>
        <v/>
      </c>
      <c r="D922" s="41" t="str">
        <f t="shared" si="921"/>
        <v/>
      </c>
      <c r="E922" s="41" t="str">
        <f t="shared" si="921"/>
        <v/>
      </c>
      <c r="F922" s="41" t="str">
        <f t="shared" si="921"/>
        <v/>
      </c>
      <c r="G922" s="41" t="str">
        <f t="shared" si="921"/>
        <v/>
      </c>
      <c r="H922" s="41" t="str">
        <f t="shared" si="921"/>
        <v/>
      </c>
      <c r="I922" s="41" t="str">
        <f t="shared" si="921"/>
        <v/>
      </c>
      <c r="J922" s="41" t="str">
        <f t="shared" si="921"/>
        <v/>
      </c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67.5" customHeight="1">
      <c r="A923" s="39"/>
      <c r="B923" s="43" t="str">
        <f>IFERROR(__xludf.DUMMYFUNCTION("IFERROR(
  LET(
    periodos, C$1:Z$1,
    marcas, C923:Z923,
    pos, MAX(
          FILTER(
            COLUMN(marcas)-COLUMN(C923)+1,
            marcas=""X""
          )
        ),
    ultimo, INDEX(periodos, pos),
    XLOOKUP(
      $A923,
      INDI"&amp;"RECT(""'""&amp;ultimo&amp;""'!C:C""),
      INDIRECT(""'""&amp;ultimo&amp;""'!A:A"")
    )
  ),
  """"
)"),"")</f>
        <v/>
      </c>
      <c r="C923" s="41" t="str">
        <f t="shared" ref="C923:J923" si="922">IF(
  COUNTIF(
    INDIRECT("'"&amp;C$1&amp;"'!C:C"),
    $A923
  )&gt;0,
  "X",
  ""
)</f>
        <v/>
      </c>
      <c r="D923" s="41" t="str">
        <f t="shared" si="922"/>
        <v/>
      </c>
      <c r="E923" s="41" t="str">
        <f t="shared" si="922"/>
        <v/>
      </c>
      <c r="F923" s="41" t="str">
        <f t="shared" si="922"/>
        <v/>
      </c>
      <c r="G923" s="41" t="str">
        <f t="shared" si="922"/>
        <v/>
      </c>
      <c r="H923" s="41" t="str">
        <f t="shared" si="922"/>
        <v/>
      </c>
      <c r="I923" s="41" t="str">
        <f t="shared" si="922"/>
        <v/>
      </c>
      <c r="J923" s="41" t="str">
        <f t="shared" si="922"/>
        <v/>
      </c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67.5" customHeight="1">
      <c r="A924" s="39"/>
      <c r="B924" s="43" t="str">
        <f>IFERROR(__xludf.DUMMYFUNCTION("IFERROR(
  LET(
    periodos, C$1:Z$1,
    marcas, C924:Z924,
    pos, MAX(
          FILTER(
            COLUMN(marcas)-COLUMN(C924)+1,
            marcas=""X""
          )
        ),
    ultimo, INDEX(periodos, pos),
    XLOOKUP(
      $A924,
      INDI"&amp;"RECT(""'""&amp;ultimo&amp;""'!C:C""),
      INDIRECT(""'""&amp;ultimo&amp;""'!A:A"")
    )
  ),
  """"
)"),"")</f>
        <v/>
      </c>
      <c r="C924" s="41" t="str">
        <f t="shared" ref="C924:J924" si="923">IF(
  COUNTIF(
    INDIRECT("'"&amp;C$1&amp;"'!C:C"),
    $A924
  )&gt;0,
  "X",
  ""
)</f>
        <v/>
      </c>
      <c r="D924" s="41" t="str">
        <f t="shared" si="923"/>
        <v/>
      </c>
      <c r="E924" s="41" t="str">
        <f t="shared" si="923"/>
        <v/>
      </c>
      <c r="F924" s="41" t="str">
        <f t="shared" si="923"/>
        <v/>
      </c>
      <c r="G924" s="41" t="str">
        <f t="shared" si="923"/>
        <v/>
      </c>
      <c r="H924" s="41" t="str">
        <f t="shared" si="923"/>
        <v/>
      </c>
      <c r="I924" s="41" t="str">
        <f t="shared" si="923"/>
        <v/>
      </c>
      <c r="J924" s="41" t="str">
        <f t="shared" si="923"/>
        <v/>
      </c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67.5" customHeight="1">
      <c r="A925" s="39"/>
      <c r="B925" s="43" t="str">
        <f>IFERROR(__xludf.DUMMYFUNCTION("IFERROR(
  LET(
    periodos, C$1:Z$1,
    marcas, C925:Z925,
    pos, MAX(
          FILTER(
            COLUMN(marcas)-COLUMN(C925)+1,
            marcas=""X""
          )
        ),
    ultimo, INDEX(periodos, pos),
    XLOOKUP(
      $A925,
      INDI"&amp;"RECT(""'""&amp;ultimo&amp;""'!C:C""),
      INDIRECT(""'""&amp;ultimo&amp;""'!A:A"")
    )
  ),
  """"
)"),"")</f>
        <v/>
      </c>
      <c r="C925" s="41" t="str">
        <f t="shared" ref="C925:J925" si="924">IF(
  COUNTIF(
    INDIRECT("'"&amp;C$1&amp;"'!C:C"),
    $A925
  )&gt;0,
  "X",
  ""
)</f>
        <v/>
      </c>
      <c r="D925" s="41" t="str">
        <f t="shared" si="924"/>
        <v/>
      </c>
      <c r="E925" s="41" t="str">
        <f t="shared" si="924"/>
        <v/>
      </c>
      <c r="F925" s="41" t="str">
        <f t="shared" si="924"/>
        <v/>
      </c>
      <c r="G925" s="41" t="str">
        <f t="shared" si="924"/>
        <v/>
      </c>
      <c r="H925" s="41" t="str">
        <f t="shared" si="924"/>
        <v/>
      </c>
      <c r="I925" s="41" t="str">
        <f t="shared" si="924"/>
        <v/>
      </c>
      <c r="J925" s="41" t="str">
        <f t="shared" si="924"/>
        <v/>
      </c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67.5" customHeight="1">
      <c r="A926" s="39"/>
      <c r="B926" s="43" t="str">
        <f>IFERROR(__xludf.DUMMYFUNCTION("IFERROR(
  LET(
    periodos, C$1:Z$1,
    marcas, C926:Z926,
    pos, MAX(
          FILTER(
            COLUMN(marcas)-COLUMN(C926)+1,
            marcas=""X""
          )
        ),
    ultimo, INDEX(periodos, pos),
    XLOOKUP(
      $A926,
      INDI"&amp;"RECT(""'""&amp;ultimo&amp;""'!C:C""),
      INDIRECT(""'""&amp;ultimo&amp;""'!A:A"")
    )
  ),
  """"
)"),"")</f>
        <v/>
      </c>
      <c r="C926" s="41" t="str">
        <f t="shared" ref="C926:J926" si="925">IF(
  COUNTIF(
    INDIRECT("'"&amp;C$1&amp;"'!C:C"),
    $A926
  )&gt;0,
  "X",
  ""
)</f>
        <v/>
      </c>
      <c r="D926" s="41" t="str">
        <f t="shared" si="925"/>
        <v/>
      </c>
      <c r="E926" s="41" t="str">
        <f t="shared" si="925"/>
        <v/>
      </c>
      <c r="F926" s="41" t="str">
        <f t="shared" si="925"/>
        <v/>
      </c>
      <c r="G926" s="41" t="str">
        <f t="shared" si="925"/>
        <v/>
      </c>
      <c r="H926" s="41" t="str">
        <f t="shared" si="925"/>
        <v/>
      </c>
      <c r="I926" s="41" t="str">
        <f t="shared" si="925"/>
        <v/>
      </c>
      <c r="J926" s="41" t="str">
        <f t="shared" si="925"/>
        <v/>
      </c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67.5" customHeight="1">
      <c r="A927" s="39"/>
      <c r="B927" s="43" t="str">
        <f>IFERROR(__xludf.DUMMYFUNCTION("IFERROR(
  LET(
    periodos, C$1:Z$1,
    marcas, C927:Z927,
    pos, MAX(
          FILTER(
            COLUMN(marcas)-COLUMN(C927)+1,
            marcas=""X""
          )
        ),
    ultimo, INDEX(periodos, pos),
    XLOOKUP(
      $A927,
      INDI"&amp;"RECT(""'""&amp;ultimo&amp;""'!C:C""),
      INDIRECT(""'""&amp;ultimo&amp;""'!A:A"")
    )
  ),
  """"
)"),"")</f>
        <v/>
      </c>
      <c r="C927" s="41" t="str">
        <f t="shared" ref="C927:J927" si="926">IF(
  COUNTIF(
    INDIRECT("'"&amp;C$1&amp;"'!C:C"),
    $A927
  )&gt;0,
  "X",
  ""
)</f>
        <v/>
      </c>
      <c r="D927" s="41" t="str">
        <f t="shared" si="926"/>
        <v/>
      </c>
      <c r="E927" s="41" t="str">
        <f t="shared" si="926"/>
        <v/>
      </c>
      <c r="F927" s="41" t="str">
        <f t="shared" si="926"/>
        <v/>
      </c>
      <c r="G927" s="41" t="str">
        <f t="shared" si="926"/>
        <v/>
      </c>
      <c r="H927" s="41" t="str">
        <f t="shared" si="926"/>
        <v/>
      </c>
      <c r="I927" s="41" t="str">
        <f t="shared" si="926"/>
        <v/>
      </c>
      <c r="J927" s="41" t="str">
        <f t="shared" si="926"/>
        <v/>
      </c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67.5" customHeight="1">
      <c r="A928" s="39"/>
      <c r="B928" s="43" t="str">
        <f>IFERROR(__xludf.DUMMYFUNCTION("IFERROR(
  LET(
    periodos, C$1:Z$1,
    marcas, C928:Z928,
    pos, MAX(
          FILTER(
            COLUMN(marcas)-COLUMN(C928)+1,
            marcas=""X""
          )
        ),
    ultimo, INDEX(periodos, pos),
    XLOOKUP(
      $A928,
      INDI"&amp;"RECT(""'""&amp;ultimo&amp;""'!C:C""),
      INDIRECT(""'""&amp;ultimo&amp;""'!A:A"")
    )
  ),
  """"
)"),"")</f>
        <v/>
      </c>
      <c r="C928" s="41" t="str">
        <f t="shared" ref="C928:J928" si="927">IF(
  COUNTIF(
    INDIRECT("'"&amp;C$1&amp;"'!C:C"),
    $A928
  )&gt;0,
  "X",
  ""
)</f>
        <v/>
      </c>
      <c r="D928" s="41" t="str">
        <f t="shared" si="927"/>
        <v/>
      </c>
      <c r="E928" s="41" t="str">
        <f t="shared" si="927"/>
        <v/>
      </c>
      <c r="F928" s="41" t="str">
        <f t="shared" si="927"/>
        <v/>
      </c>
      <c r="G928" s="41" t="str">
        <f t="shared" si="927"/>
        <v/>
      </c>
      <c r="H928" s="41" t="str">
        <f t="shared" si="927"/>
        <v/>
      </c>
      <c r="I928" s="41" t="str">
        <f t="shared" si="927"/>
        <v/>
      </c>
      <c r="J928" s="41" t="str">
        <f t="shared" si="927"/>
        <v/>
      </c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67.5" customHeight="1">
      <c r="A929" s="39"/>
      <c r="B929" s="43" t="str">
        <f>IFERROR(__xludf.DUMMYFUNCTION("IFERROR(
  LET(
    periodos, C$1:Z$1,
    marcas, C929:Z929,
    pos, MAX(
          FILTER(
            COLUMN(marcas)-COLUMN(C929)+1,
            marcas=""X""
          )
        ),
    ultimo, INDEX(periodos, pos),
    XLOOKUP(
      $A929,
      INDI"&amp;"RECT(""'""&amp;ultimo&amp;""'!C:C""),
      INDIRECT(""'""&amp;ultimo&amp;""'!A:A"")
    )
  ),
  """"
)"),"")</f>
        <v/>
      </c>
      <c r="C929" s="41" t="str">
        <f t="shared" ref="C929:J929" si="928">IF(
  COUNTIF(
    INDIRECT("'"&amp;C$1&amp;"'!C:C"),
    $A929
  )&gt;0,
  "X",
  ""
)</f>
        <v/>
      </c>
      <c r="D929" s="41" t="str">
        <f t="shared" si="928"/>
        <v/>
      </c>
      <c r="E929" s="41" t="str">
        <f t="shared" si="928"/>
        <v/>
      </c>
      <c r="F929" s="41" t="str">
        <f t="shared" si="928"/>
        <v/>
      </c>
      <c r="G929" s="41" t="str">
        <f t="shared" si="928"/>
        <v/>
      </c>
      <c r="H929" s="41" t="str">
        <f t="shared" si="928"/>
        <v/>
      </c>
      <c r="I929" s="41" t="str">
        <f t="shared" si="928"/>
        <v/>
      </c>
      <c r="J929" s="41" t="str">
        <f t="shared" si="928"/>
        <v/>
      </c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67.5" customHeight="1">
      <c r="A930" s="39"/>
      <c r="B930" s="43" t="str">
        <f>IFERROR(__xludf.DUMMYFUNCTION("IFERROR(
  LET(
    periodos, C$1:Z$1,
    marcas, C930:Z930,
    pos, MAX(
          FILTER(
            COLUMN(marcas)-COLUMN(C930)+1,
            marcas=""X""
          )
        ),
    ultimo, INDEX(periodos, pos),
    XLOOKUP(
      $A930,
      INDI"&amp;"RECT(""'""&amp;ultimo&amp;""'!C:C""),
      INDIRECT(""'""&amp;ultimo&amp;""'!A:A"")
    )
  ),
  """"
)"),"")</f>
        <v/>
      </c>
      <c r="C930" s="41" t="str">
        <f t="shared" ref="C930:J930" si="929">IF(
  COUNTIF(
    INDIRECT("'"&amp;C$1&amp;"'!C:C"),
    $A930
  )&gt;0,
  "X",
  ""
)</f>
        <v/>
      </c>
      <c r="D930" s="41" t="str">
        <f t="shared" si="929"/>
        <v/>
      </c>
      <c r="E930" s="41" t="str">
        <f t="shared" si="929"/>
        <v/>
      </c>
      <c r="F930" s="41" t="str">
        <f t="shared" si="929"/>
        <v/>
      </c>
      <c r="G930" s="41" t="str">
        <f t="shared" si="929"/>
        <v/>
      </c>
      <c r="H930" s="41" t="str">
        <f t="shared" si="929"/>
        <v/>
      </c>
      <c r="I930" s="41" t="str">
        <f t="shared" si="929"/>
        <v/>
      </c>
      <c r="J930" s="41" t="str">
        <f t="shared" si="929"/>
        <v/>
      </c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67.5" customHeight="1">
      <c r="A931" s="39"/>
      <c r="B931" s="43" t="str">
        <f>IFERROR(__xludf.DUMMYFUNCTION("IFERROR(
  LET(
    periodos, C$1:Z$1,
    marcas, C931:Z931,
    pos, MAX(
          FILTER(
            COLUMN(marcas)-COLUMN(C931)+1,
            marcas=""X""
          )
        ),
    ultimo, INDEX(periodos, pos),
    XLOOKUP(
      $A931,
      INDI"&amp;"RECT(""'""&amp;ultimo&amp;""'!C:C""),
      INDIRECT(""'""&amp;ultimo&amp;""'!A:A"")
    )
  ),
  """"
)"),"")</f>
        <v/>
      </c>
      <c r="C931" s="41" t="str">
        <f t="shared" ref="C931:J931" si="930">IF(
  COUNTIF(
    INDIRECT("'"&amp;C$1&amp;"'!C:C"),
    $A931
  )&gt;0,
  "X",
  ""
)</f>
        <v/>
      </c>
      <c r="D931" s="41" t="str">
        <f t="shared" si="930"/>
        <v/>
      </c>
      <c r="E931" s="41" t="str">
        <f t="shared" si="930"/>
        <v/>
      </c>
      <c r="F931" s="41" t="str">
        <f t="shared" si="930"/>
        <v/>
      </c>
      <c r="G931" s="41" t="str">
        <f t="shared" si="930"/>
        <v/>
      </c>
      <c r="H931" s="41" t="str">
        <f t="shared" si="930"/>
        <v/>
      </c>
      <c r="I931" s="41" t="str">
        <f t="shared" si="930"/>
        <v/>
      </c>
      <c r="J931" s="41" t="str">
        <f t="shared" si="930"/>
        <v/>
      </c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67.5" customHeight="1">
      <c r="A932" s="39"/>
      <c r="B932" s="43" t="str">
        <f>IFERROR(__xludf.DUMMYFUNCTION("IFERROR(
  LET(
    periodos, C$1:Z$1,
    marcas, C932:Z932,
    pos, MAX(
          FILTER(
            COLUMN(marcas)-COLUMN(C932)+1,
            marcas=""X""
          )
        ),
    ultimo, INDEX(periodos, pos),
    XLOOKUP(
      $A932,
      INDI"&amp;"RECT(""'""&amp;ultimo&amp;""'!C:C""),
      INDIRECT(""'""&amp;ultimo&amp;""'!A:A"")
    )
  ),
  """"
)"),"")</f>
        <v/>
      </c>
      <c r="C932" s="41" t="str">
        <f t="shared" ref="C932:J932" si="931">IF(
  COUNTIF(
    INDIRECT("'"&amp;C$1&amp;"'!C:C"),
    $A932
  )&gt;0,
  "X",
  ""
)</f>
        <v/>
      </c>
      <c r="D932" s="41" t="str">
        <f t="shared" si="931"/>
        <v/>
      </c>
      <c r="E932" s="41" t="str">
        <f t="shared" si="931"/>
        <v/>
      </c>
      <c r="F932" s="41" t="str">
        <f t="shared" si="931"/>
        <v/>
      </c>
      <c r="G932" s="41" t="str">
        <f t="shared" si="931"/>
        <v/>
      </c>
      <c r="H932" s="41" t="str">
        <f t="shared" si="931"/>
        <v/>
      </c>
      <c r="I932" s="41" t="str">
        <f t="shared" si="931"/>
        <v/>
      </c>
      <c r="J932" s="41" t="str">
        <f t="shared" si="931"/>
        <v/>
      </c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67.5" customHeight="1">
      <c r="A933" s="39"/>
      <c r="B933" s="43" t="str">
        <f>IFERROR(__xludf.DUMMYFUNCTION("IFERROR(
  LET(
    periodos, C$1:Z$1,
    marcas, C933:Z933,
    pos, MAX(
          FILTER(
            COLUMN(marcas)-COLUMN(C933)+1,
            marcas=""X""
          )
        ),
    ultimo, INDEX(periodos, pos),
    XLOOKUP(
      $A933,
      INDI"&amp;"RECT(""'""&amp;ultimo&amp;""'!C:C""),
      INDIRECT(""'""&amp;ultimo&amp;""'!A:A"")
    )
  ),
  """"
)"),"")</f>
        <v/>
      </c>
      <c r="C933" s="41" t="str">
        <f t="shared" ref="C933:J933" si="932">IF(
  COUNTIF(
    INDIRECT("'"&amp;C$1&amp;"'!C:C"),
    $A933
  )&gt;0,
  "X",
  ""
)</f>
        <v/>
      </c>
      <c r="D933" s="41" t="str">
        <f t="shared" si="932"/>
        <v/>
      </c>
      <c r="E933" s="41" t="str">
        <f t="shared" si="932"/>
        <v/>
      </c>
      <c r="F933" s="41" t="str">
        <f t="shared" si="932"/>
        <v/>
      </c>
      <c r="G933" s="41" t="str">
        <f t="shared" si="932"/>
        <v/>
      </c>
      <c r="H933" s="41" t="str">
        <f t="shared" si="932"/>
        <v/>
      </c>
      <c r="I933" s="41" t="str">
        <f t="shared" si="932"/>
        <v/>
      </c>
      <c r="J933" s="41" t="str">
        <f t="shared" si="932"/>
        <v/>
      </c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67.5" customHeight="1">
      <c r="A934" s="39"/>
      <c r="B934" s="43" t="str">
        <f>IFERROR(__xludf.DUMMYFUNCTION("IFERROR(
  LET(
    periodos, C$1:Z$1,
    marcas, C934:Z934,
    pos, MAX(
          FILTER(
            COLUMN(marcas)-COLUMN(C934)+1,
            marcas=""X""
          )
        ),
    ultimo, INDEX(periodos, pos),
    XLOOKUP(
      $A934,
      INDI"&amp;"RECT(""'""&amp;ultimo&amp;""'!C:C""),
      INDIRECT(""'""&amp;ultimo&amp;""'!A:A"")
    )
  ),
  """"
)"),"")</f>
        <v/>
      </c>
      <c r="C934" s="41" t="str">
        <f t="shared" ref="C934:J934" si="933">IF(
  COUNTIF(
    INDIRECT("'"&amp;C$1&amp;"'!C:C"),
    $A934
  )&gt;0,
  "X",
  ""
)</f>
        <v/>
      </c>
      <c r="D934" s="41" t="str">
        <f t="shared" si="933"/>
        <v/>
      </c>
      <c r="E934" s="41" t="str">
        <f t="shared" si="933"/>
        <v/>
      </c>
      <c r="F934" s="41" t="str">
        <f t="shared" si="933"/>
        <v/>
      </c>
      <c r="G934" s="41" t="str">
        <f t="shared" si="933"/>
        <v/>
      </c>
      <c r="H934" s="41" t="str">
        <f t="shared" si="933"/>
        <v/>
      </c>
      <c r="I934" s="41" t="str">
        <f t="shared" si="933"/>
        <v/>
      </c>
      <c r="J934" s="41" t="str">
        <f t="shared" si="933"/>
        <v/>
      </c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67.5" customHeight="1">
      <c r="A935" s="39"/>
      <c r="B935" s="43" t="str">
        <f>IFERROR(__xludf.DUMMYFUNCTION("IFERROR(
  LET(
    periodos, C$1:Z$1,
    marcas, C935:Z935,
    pos, MAX(
          FILTER(
            COLUMN(marcas)-COLUMN(C935)+1,
            marcas=""X""
          )
        ),
    ultimo, INDEX(periodos, pos),
    XLOOKUP(
      $A935,
      INDI"&amp;"RECT(""'""&amp;ultimo&amp;""'!C:C""),
      INDIRECT(""'""&amp;ultimo&amp;""'!A:A"")
    )
  ),
  """"
)"),"")</f>
        <v/>
      </c>
      <c r="C935" s="41" t="str">
        <f t="shared" ref="C935:J935" si="934">IF(
  COUNTIF(
    INDIRECT("'"&amp;C$1&amp;"'!C:C"),
    $A935
  )&gt;0,
  "X",
  ""
)</f>
        <v/>
      </c>
      <c r="D935" s="41" t="str">
        <f t="shared" si="934"/>
        <v/>
      </c>
      <c r="E935" s="41" t="str">
        <f t="shared" si="934"/>
        <v/>
      </c>
      <c r="F935" s="41" t="str">
        <f t="shared" si="934"/>
        <v/>
      </c>
      <c r="G935" s="41" t="str">
        <f t="shared" si="934"/>
        <v/>
      </c>
      <c r="H935" s="41" t="str">
        <f t="shared" si="934"/>
        <v/>
      </c>
      <c r="I935" s="41" t="str">
        <f t="shared" si="934"/>
        <v/>
      </c>
      <c r="J935" s="41" t="str">
        <f t="shared" si="934"/>
        <v/>
      </c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67.5" customHeight="1">
      <c r="A936" s="39"/>
      <c r="B936" s="43" t="str">
        <f>IFERROR(__xludf.DUMMYFUNCTION("IFERROR(
  LET(
    periodos, C$1:Z$1,
    marcas, C936:Z936,
    pos, MAX(
          FILTER(
            COLUMN(marcas)-COLUMN(C936)+1,
            marcas=""X""
          )
        ),
    ultimo, INDEX(periodos, pos),
    XLOOKUP(
      $A936,
      INDI"&amp;"RECT(""'""&amp;ultimo&amp;""'!C:C""),
      INDIRECT(""'""&amp;ultimo&amp;""'!A:A"")
    )
  ),
  """"
)"),"")</f>
        <v/>
      </c>
      <c r="C936" s="41" t="str">
        <f t="shared" ref="C936:J936" si="935">IF(
  COUNTIF(
    INDIRECT("'"&amp;C$1&amp;"'!C:C"),
    $A936
  )&gt;0,
  "X",
  ""
)</f>
        <v/>
      </c>
      <c r="D936" s="41" t="str">
        <f t="shared" si="935"/>
        <v/>
      </c>
      <c r="E936" s="41" t="str">
        <f t="shared" si="935"/>
        <v/>
      </c>
      <c r="F936" s="41" t="str">
        <f t="shared" si="935"/>
        <v/>
      </c>
      <c r="G936" s="41" t="str">
        <f t="shared" si="935"/>
        <v/>
      </c>
      <c r="H936" s="41" t="str">
        <f t="shared" si="935"/>
        <v/>
      </c>
      <c r="I936" s="41" t="str">
        <f t="shared" si="935"/>
        <v/>
      </c>
      <c r="J936" s="41" t="str">
        <f t="shared" si="935"/>
        <v/>
      </c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67.5" customHeight="1">
      <c r="A937" s="39"/>
      <c r="B937" s="43" t="str">
        <f>IFERROR(__xludf.DUMMYFUNCTION("IFERROR(
  LET(
    periodos, C$1:Z$1,
    marcas, C937:Z937,
    pos, MAX(
          FILTER(
            COLUMN(marcas)-COLUMN(C937)+1,
            marcas=""X""
          )
        ),
    ultimo, INDEX(periodos, pos),
    XLOOKUP(
      $A937,
      INDI"&amp;"RECT(""'""&amp;ultimo&amp;""'!C:C""),
      INDIRECT(""'""&amp;ultimo&amp;""'!A:A"")
    )
  ),
  """"
)"),"")</f>
        <v/>
      </c>
      <c r="C937" s="41" t="str">
        <f t="shared" ref="C937:J937" si="936">IF(
  COUNTIF(
    INDIRECT("'"&amp;C$1&amp;"'!C:C"),
    $A937
  )&gt;0,
  "X",
  ""
)</f>
        <v/>
      </c>
      <c r="D937" s="41" t="str">
        <f t="shared" si="936"/>
        <v/>
      </c>
      <c r="E937" s="41" t="str">
        <f t="shared" si="936"/>
        <v/>
      </c>
      <c r="F937" s="41" t="str">
        <f t="shared" si="936"/>
        <v/>
      </c>
      <c r="G937" s="41" t="str">
        <f t="shared" si="936"/>
        <v/>
      </c>
      <c r="H937" s="41" t="str">
        <f t="shared" si="936"/>
        <v/>
      </c>
      <c r="I937" s="41" t="str">
        <f t="shared" si="936"/>
        <v/>
      </c>
      <c r="J937" s="41" t="str">
        <f t="shared" si="936"/>
        <v/>
      </c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67.5" customHeight="1">
      <c r="A938" s="39"/>
      <c r="B938" s="43" t="str">
        <f>IFERROR(__xludf.DUMMYFUNCTION("IFERROR(
  LET(
    periodos, C$1:Z$1,
    marcas, C938:Z938,
    pos, MAX(
          FILTER(
            COLUMN(marcas)-COLUMN(C938)+1,
            marcas=""X""
          )
        ),
    ultimo, INDEX(periodos, pos),
    XLOOKUP(
      $A938,
      INDI"&amp;"RECT(""'""&amp;ultimo&amp;""'!C:C""),
      INDIRECT(""'""&amp;ultimo&amp;""'!A:A"")
    )
  ),
  """"
)"),"")</f>
        <v/>
      </c>
      <c r="C938" s="41" t="str">
        <f t="shared" ref="C938:J938" si="937">IF(
  COUNTIF(
    INDIRECT("'"&amp;C$1&amp;"'!C:C"),
    $A938
  )&gt;0,
  "X",
  ""
)</f>
        <v/>
      </c>
      <c r="D938" s="41" t="str">
        <f t="shared" si="937"/>
        <v/>
      </c>
      <c r="E938" s="41" t="str">
        <f t="shared" si="937"/>
        <v/>
      </c>
      <c r="F938" s="41" t="str">
        <f t="shared" si="937"/>
        <v/>
      </c>
      <c r="G938" s="41" t="str">
        <f t="shared" si="937"/>
        <v/>
      </c>
      <c r="H938" s="41" t="str">
        <f t="shared" si="937"/>
        <v/>
      </c>
      <c r="I938" s="41" t="str">
        <f t="shared" si="937"/>
        <v/>
      </c>
      <c r="J938" s="41" t="str">
        <f t="shared" si="937"/>
        <v/>
      </c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67.5" customHeight="1">
      <c r="A939" s="39"/>
      <c r="B939" s="43" t="str">
        <f>IFERROR(__xludf.DUMMYFUNCTION("IFERROR(
  LET(
    periodos, C$1:Z$1,
    marcas, C939:Z939,
    pos, MAX(
          FILTER(
            COLUMN(marcas)-COLUMN(C939)+1,
            marcas=""X""
          )
        ),
    ultimo, INDEX(periodos, pos),
    XLOOKUP(
      $A939,
      INDI"&amp;"RECT(""'""&amp;ultimo&amp;""'!C:C""),
      INDIRECT(""'""&amp;ultimo&amp;""'!A:A"")
    )
  ),
  """"
)"),"")</f>
        <v/>
      </c>
      <c r="C939" s="41" t="str">
        <f t="shared" ref="C939:J939" si="938">IF(
  COUNTIF(
    INDIRECT("'"&amp;C$1&amp;"'!C:C"),
    $A939
  )&gt;0,
  "X",
  ""
)</f>
        <v/>
      </c>
      <c r="D939" s="41" t="str">
        <f t="shared" si="938"/>
        <v/>
      </c>
      <c r="E939" s="41" t="str">
        <f t="shared" si="938"/>
        <v/>
      </c>
      <c r="F939" s="41" t="str">
        <f t="shared" si="938"/>
        <v/>
      </c>
      <c r="G939" s="41" t="str">
        <f t="shared" si="938"/>
        <v/>
      </c>
      <c r="H939" s="41" t="str">
        <f t="shared" si="938"/>
        <v/>
      </c>
      <c r="I939" s="41" t="str">
        <f t="shared" si="938"/>
        <v/>
      </c>
      <c r="J939" s="41" t="str">
        <f t="shared" si="938"/>
        <v/>
      </c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67.5" customHeight="1">
      <c r="A940" s="39"/>
      <c r="B940" s="43" t="str">
        <f>IFERROR(__xludf.DUMMYFUNCTION("IFERROR(
  LET(
    periodos, C$1:Z$1,
    marcas, C940:Z940,
    pos, MAX(
          FILTER(
            COLUMN(marcas)-COLUMN(C940)+1,
            marcas=""X""
          )
        ),
    ultimo, INDEX(periodos, pos),
    XLOOKUP(
      $A940,
      INDI"&amp;"RECT(""'""&amp;ultimo&amp;""'!C:C""),
      INDIRECT(""'""&amp;ultimo&amp;""'!A:A"")
    )
  ),
  """"
)"),"")</f>
        <v/>
      </c>
      <c r="C940" s="41" t="str">
        <f t="shared" ref="C940:J940" si="939">IF(
  COUNTIF(
    INDIRECT("'"&amp;C$1&amp;"'!C:C"),
    $A940
  )&gt;0,
  "X",
  ""
)</f>
        <v/>
      </c>
      <c r="D940" s="41" t="str">
        <f t="shared" si="939"/>
        <v/>
      </c>
      <c r="E940" s="41" t="str">
        <f t="shared" si="939"/>
        <v/>
      </c>
      <c r="F940" s="41" t="str">
        <f t="shared" si="939"/>
        <v/>
      </c>
      <c r="G940" s="41" t="str">
        <f t="shared" si="939"/>
        <v/>
      </c>
      <c r="H940" s="41" t="str">
        <f t="shared" si="939"/>
        <v/>
      </c>
      <c r="I940" s="41" t="str">
        <f t="shared" si="939"/>
        <v/>
      </c>
      <c r="J940" s="41" t="str">
        <f t="shared" si="939"/>
        <v/>
      </c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67.5" customHeight="1">
      <c r="A941" s="39"/>
      <c r="B941" s="43" t="str">
        <f>IFERROR(__xludf.DUMMYFUNCTION("IFERROR(
  LET(
    periodos, C$1:Z$1,
    marcas, C941:Z941,
    pos, MAX(
          FILTER(
            COLUMN(marcas)-COLUMN(C941)+1,
            marcas=""X""
          )
        ),
    ultimo, INDEX(periodos, pos),
    XLOOKUP(
      $A941,
      INDI"&amp;"RECT(""'""&amp;ultimo&amp;""'!C:C""),
      INDIRECT(""'""&amp;ultimo&amp;""'!A:A"")
    )
  ),
  """"
)"),"")</f>
        <v/>
      </c>
      <c r="C941" s="41" t="str">
        <f t="shared" ref="C941:J941" si="940">IF(
  COUNTIF(
    INDIRECT("'"&amp;C$1&amp;"'!C:C"),
    $A941
  )&gt;0,
  "X",
  ""
)</f>
        <v/>
      </c>
      <c r="D941" s="41" t="str">
        <f t="shared" si="940"/>
        <v/>
      </c>
      <c r="E941" s="41" t="str">
        <f t="shared" si="940"/>
        <v/>
      </c>
      <c r="F941" s="41" t="str">
        <f t="shared" si="940"/>
        <v/>
      </c>
      <c r="G941" s="41" t="str">
        <f t="shared" si="940"/>
        <v/>
      </c>
      <c r="H941" s="41" t="str">
        <f t="shared" si="940"/>
        <v/>
      </c>
      <c r="I941" s="41" t="str">
        <f t="shared" si="940"/>
        <v/>
      </c>
      <c r="J941" s="41" t="str">
        <f t="shared" si="940"/>
        <v/>
      </c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67.5" customHeight="1">
      <c r="A942" s="39"/>
      <c r="B942" s="43" t="str">
        <f>IFERROR(__xludf.DUMMYFUNCTION("IFERROR(
  LET(
    periodos, C$1:Z$1,
    marcas, C942:Z942,
    pos, MAX(
          FILTER(
            COLUMN(marcas)-COLUMN(C942)+1,
            marcas=""X""
          )
        ),
    ultimo, INDEX(periodos, pos),
    XLOOKUP(
      $A942,
      INDI"&amp;"RECT(""'""&amp;ultimo&amp;""'!C:C""),
      INDIRECT(""'""&amp;ultimo&amp;""'!A:A"")
    )
  ),
  """"
)"),"")</f>
        <v/>
      </c>
      <c r="C942" s="41" t="str">
        <f t="shared" ref="C942:J942" si="941">IF(
  COUNTIF(
    INDIRECT("'"&amp;C$1&amp;"'!C:C"),
    $A942
  )&gt;0,
  "X",
  ""
)</f>
        <v/>
      </c>
      <c r="D942" s="41" t="str">
        <f t="shared" si="941"/>
        <v/>
      </c>
      <c r="E942" s="41" t="str">
        <f t="shared" si="941"/>
        <v/>
      </c>
      <c r="F942" s="41" t="str">
        <f t="shared" si="941"/>
        <v/>
      </c>
      <c r="G942" s="41" t="str">
        <f t="shared" si="941"/>
        <v/>
      </c>
      <c r="H942" s="41" t="str">
        <f t="shared" si="941"/>
        <v/>
      </c>
      <c r="I942" s="41" t="str">
        <f t="shared" si="941"/>
        <v/>
      </c>
      <c r="J942" s="41" t="str">
        <f t="shared" si="941"/>
        <v/>
      </c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67.5" customHeight="1">
      <c r="A943" s="39"/>
      <c r="B943" s="43" t="str">
        <f>IFERROR(__xludf.DUMMYFUNCTION("IFERROR(
  LET(
    periodos, C$1:Z$1,
    marcas, C943:Z943,
    pos, MAX(
          FILTER(
            COLUMN(marcas)-COLUMN(C943)+1,
            marcas=""X""
          )
        ),
    ultimo, INDEX(periodos, pos),
    XLOOKUP(
      $A943,
      INDI"&amp;"RECT(""'""&amp;ultimo&amp;""'!C:C""),
      INDIRECT(""'""&amp;ultimo&amp;""'!A:A"")
    )
  ),
  """"
)"),"")</f>
        <v/>
      </c>
      <c r="C943" s="41" t="str">
        <f t="shared" ref="C943:J943" si="942">IF(
  COUNTIF(
    INDIRECT("'"&amp;C$1&amp;"'!C:C"),
    $A943
  )&gt;0,
  "X",
  ""
)</f>
        <v/>
      </c>
      <c r="D943" s="41" t="str">
        <f t="shared" si="942"/>
        <v/>
      </c>
      <c r="E943" s="41" t="str">
        <f t="shared" si="942"/>
        <v/>
      </c>
      <c r="F943" s="41" t="str">
        <f t="shared" si="942"/>
        <v/>
      </c>
      <c r="G943" s="41" t="str">
        <f t="shared" si="942"/>
        <v/>
      </c>
      <c r="H943" s="41" t="str">
        <f t="shared" si="942"/>
        <v/>
      </c>
      <c r="I943" s="41" t="str">
        <f t="shared" si="942"/>
        <v/>
      </c>
      <c r="J943" s="41" t="str">
        <f t="shared" si="942"/>
        <v/>
      </c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67.5" customHeight="1">
      <c r="A944" s="39"/>
      <c r="B944" s="43" t="str">
        <f>IFERROR(__xludf.DUMMYFUNCTION("IFERROR(
  LET(
    periodos, C$1:Z$1,
    marcas, C944:Z944,
    pos, MAX(
          FILTER(
            COLUMN(marcas)-COLUMN(C944)+1,
            marcas=""X""
          )
        ),
    ultimo, INDEX(periodos, pos),
    XLOOKUP(
      $A944,
      INDI"&amp;"RECT(""'""&amp;ultimo&amp;""'!C:C""),
      INDIRECT(""'""&amp;ultimo&amp;""'!A:A"")
    )
  ),
  """"
)"),"")</f>
        <v/>
      </c>
      <c r="C944" s="41" t="str">
        <f t="shared" ref="C944:J944" si="943">IF(
  COUNTIF(
    INDIRECT("'"&amp;C$1&amp;"'!C:C"),
    $A944
  )&gt;0,
  "X",
  ""
)</f>
        <v/>
      </c>
      <c r="D944" s="41" t="str">
        <f t="shared" si="943"/>
        <v/>
      </c>
      <c r="E944" s="41" t="str">
        <f t="shared" si="943"/>
        <v/>
      </c>
      <c r="F944" s="41" t="str">
        <f t="shared" si="943"/>
        <v/>
      </c>
      <c r="G944" s="41" t="str">
        <f t="shared" si="943"/>
        <v/>
      </c>
      <c r="H944" s="41" t="str">
        <f t="shared" si="943"/>
        <v/>
      </c>
      <c r="I944" s="41" t="str">
        <f t="shared" si="943"/>
        <v/>
      </c>
      <c r="J944" s="41" t="str">
        <f t="shared" si="943"/>
        <v/>
      </c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67.5" customHeight="1">
      <c r="A945" s="39"/>
      <c r="B945" s="43" t="str">
        <f>IFERROR(__xludf.DUMMYFUNCTION("IFERROR(
  LET(
    periodos, C$1:Z$1,
    marcas, C945:Z945,
    pos, MAX(
          FILTER(
            COLUMN(marcas)-COLUMN(C945)+1,
            marcas=""X""
          )
        ),
    ultimo, INDEX(periodos, pos),
    XLOOKUP(
      $A945,
      INDI"&amp;"RECT(""'""&amp;ultimo&amp;""'!C:C""),
      INDIRECT(""'""&amp;ultimo&amp;""'!A:A"")
    )
  ),
  """"
)"),"")</f>
        <v/>
      </c>
      <c r="C945" s="41" t="str">
        <f t="shared" ref="C945:J945" si="944">IF(
  COUNTIF(
    INDIRECT("'"&amp;C$1&amp;"'!C:C"),
    $A945
  )&gt;0,
  "X",
  ""
)</f>
        <v/>
      </c>
      <c r="D945" s="41" t="str">
        <f t="shared" si="944"/>
        <v/>
      </c>
      <c r="E945" s="41" t="str">
        <f t="shared" si="944"/>
        <v/>
      </c>
      <c r="F945" s="41" t="str">
        <f t="shared" si="944"/>
        <v/>
      </c>
      <c r="G945" s="41" t="str">
        <f t="shared" si="944"/>
        <v/>
      </c>
      <c r="H945" s="41" t="str">
        <f t="shared" si="944"/>
        <v/>
      </c>
      <c r="I945" s="41" t="str">
        <f t="shared" si="944"/>
        <v/>
      </c>
      <c r="J945" s="41" t="str">
        <f t="shared" si="944"/>
        <v/>
      </c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67.5" customHeight="1">
      <c r="A946" s="39"/>
      <c r="B946" s="43" t="str">
        <f>IFERROR(__xludf.DUMMYFUNCTION("IFERROR(
  LET(
    periodos, C$1:Z$1,
    marcas, C946:Z946,
    pos, MAX(
          FILTER(
            COLUMN(marcas)-COLUMN(C946)+1,
            marcas=""X""
          )
        ),
    ultimo, INDEX(periodos, pos),
    XLOOKUP(
      $A946,
      INDI"&amp;"RECT(""'""&amp;ultimo&amp;""'!C:C""),
      INDIRECT(""'""&amp;ultimo&amp;""'!A:A"")
    )
  ),
  """"
)"),"")</f>
        <v/>
      </c>
      <c r="C946" s="41" t="str">
        <f t="shared" ref="C946:J946" si="945">IF(
  COUNTIF(
    INDIRECT("'"&amp;C$1&amp;"'!C:C"),
    $A946
  )&gt;0,
  "X",
  ""
)</f>
        <v/>
      </c>
      <c r="D946" s="41" t="str">
        <f t="shared" si="945"/>
        <v/>
      </c>
      <c r="E946" s="41" t="str">
        <f t="shared" si="945"/>
        <v/>
      </c>
      <c r="F946" s="41" t="str">
        <f t="shared" si="945"/>
        <v/>
      </c>
      <c r="G946" s="41" t="str">
        <f t="shared" si="945"/>
        <v/>
      </c>
      <c r="H946" s="41" t="str">
        <f t="shared" si="945"/>
        <v/>
      </c>
      <c r="I946" s="41" t="str">
        <f t="shared" si="945"/>
        <v/>
      </c>
      <c r="J946" s="41" t="str">
        <f t="shared" si="945"/>
        <v/>
      </c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67.5" customHeight="1">
      <c r="A947" s="39"/>
      <c r="B947" s="43" t="str">
        <f>IFERROR(__xludf.DUMMYFUNCTION("IFERROR(
  LET(
    periodos, C$1:Z$1,
    marcas, C947:Z947,
    pos, MAX(
          FILTER(
            COLUMN(marcas)-COLUMN(C947)+1,
            marcas=""X""
          )
        ),
    ultimo, INDEX(periodos, pos),
    XLOOKUP(
      $A947,
      INDI"&amp;"RECT(""'""&amp;ultimo&amp;""'!C:C""),
      INDIRECT(""'""&amp;ultimo&amp;""'!A:A"")
    )
  ),
  """"
)"),"")</f>
        <v/>
      </c>
      <c r="C947" s="41" t="str">
        <f t="shared" ref="C947:J947" si="946">IF(
  COUNTIF(
    INDIRECT("'"&amp;C$1&amp;"'!C:C"),
    $A947
  )&gt;0,
  "X",
  ""
)</f>
        <v/>
      </c>
      <c r="D947" s="41" t="str">
        <f t="shared" si="946"/>
        <v/>
      </c>
      <c r="E947" s="41" t="str">
        <f t="shared" si="946"/>
        <v/>
      </c>
      <c r="F947" s="41" t="str">
        <f t="shared" si="946"/>
        <v/>
      </c>
      <c r="G947" s="41" t="str">
        <f t="shared" si="946"/>
        <v/>
      </c>
      <c r="H947" s="41" t="str">
        <f t="shared" si="946"/>
        <v/>
      </c>
      <c r="I947" s="41" t="str">
        <f t="shared" si="946"/>
        <v/>
      </c>
      <c r="J947" s="41" t="str">
        <f t="shared" si="946"/>
        <v/>
      </c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67.5" customHeight="1">
      <c r="A948" s="39"/>
      <c r="B948" s="43" t="str">
        <f>IFERROR(__xludf.DUMMYFUNCTION("IFERROR(
  LET(
    periodos, C$1:Z$1,
    marcas, C948:Z948,
    pos, MAX(
          FILTER(
            COLUMN(marcas)-COLUMN(C948)+1,
            marcas=""X""
          )
        ),
    ultimo, INDEX(periodos, pos),
    XLOOKUP(
      $A948,
      INDI"&amp;"RECT(""'""&amp;ultimo&amp;""'!C:C""),
      INDIRECT(""'""&amp;ultimo&amp;""'!A:A"")
    )
  ),
  """"
)"),"")</f>
        <v/>
      </c>
      <c r="C948" s="41" t="str">
        <f t="shared" ref="C948:J948" si="947">IF(
  COUNTIF(
    INDIRECT("'"&amp;C$1&amp;"'!C:C"),
    $A948
  )&gt;0,
  "X",
  ""
)</f>
        <v/>
      </c>
      <c r="D948" s="41" t="str">
        <f t="shared" si="947"/>
        <v/>
      </c>
      <c r="E948" s="41" t="str">
        <f t="shared" si="947"/>
        <v/>
      </c>
      <c r="F948" s="41" t="str">
        <f t="shared" si="947"/>
        <v/>
      </c>
      <c r="G948" s="41" t="str">
        <f t="shared" si="947"/>
        <v/>
      </c>
      <c r="H948" s="41" t="str">
        <f t="shared" si="947"/>
        <v/>
      </c>
      <c r="I948" s="41" t="str">
        <f t="shared" si="947"/>
        <v/>
      </c>
      <c r="J948" s="41" t="str">
        <f t="shared" si="947"/>
        <v/>
      </c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67.5" customHeight="1">
      <c r="A949" s="39"/>
      <c r="B949" s="43" t="str">
        <f>IFERROR(__xludf.DUMMYFUNCTION("IFERROR(
  LET(
    periodos, C$1:Z$1,
    marcas, C949:Z949,
    pos, MAX(
          FILTER(
            COLUMN(marcas)-COLUMN(C949)+1,
            marcas=""X""
          )
        ),
    ultimo, INDEX(periodos, pos),
    XLOOKUP(
      $A949,
      INDI"&amp;"RECT(""'""&amp;ultimo&amp;""'!C:C""),
      INDIRECT(""'""&amp;ultimo&amp;""'!A:A"")
    )
  ),
  """"
)"),"")</f>
        <v/>
      </c>
      <c r="C949" s="41" t="str">
        <f t="shared" ref="C949:J949" si="948">IF(
  COUNTIF(
    INDIRECT("'"&amp;C$1&amp;"'!C:C"),
    $A949
  )&gt;0,
  "X",
  ""
)</f>
        <v/>
      </c>
      <c r="D949" s="41" t="str">
        <f t="shared" si="948"/>
        <v/>
      </c>
      <c r="E949" s="41" t="str">
        <f t="shared" si="948"/>
        <v/>
      </c>
      <c r="F949" s="41" t="str">
        <f t="shared" si="948"/>
        <v/>
      </c>
      <c r="G949" s="41" t="str">
        <f t="shared" si="948"/>
        <v/>
      </c>
      <c r="H949" s="41" t="str">
        <f t="shared" si="948"/>
        <v/>
      </c>
      <c r="I949" s="41" t="str">
        <f t="shared" si="948"/>
        <v/>
      </c>
      <c r="J949" s="41" t="str">
        <f t="shared" si="948"/>
        <v/>
      </c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67.5" customHeight="1">
      <c r="A950" s="39"/>
      <c r="B950" s="43" t="str">
        <f>IFERROR(__xludf.DUMMYFUNCTION("IFERROR(
  LET(
    periodos, C$1:Z$1,
    marcas, C950:Z950,
    pos, MAX(
          FILTER(
            COLUMN(marcas)-COLUMN(C950)+1,
            marcas=""X""
          )
        ),
    ultimo, INDEX(periodos, pos),
    XLOOKUP(
      $A950,
      INDI"&amp;"RECT(""'""&amp;ultimo&amp;""'!C:C""),
      INDIRECT(""'""&amp;ultimo&amp;""'!A:A"")
    )
  ),
  """"
)"),"")</f>
        <v/>
      </c>
      <c r="C950" s="41" t="str">
        <f t="shared" ref="C950:J950" si="949">IF(
  COUNTIF(
    INDIRECT("'"&amp;C$1&amp;"'!C:C"),
    $A950
  )&gt;0,
  "X",
  ""
)</f>
        <v/>
      </c>
      <c r="D950" s="41" t="str">
        <f t="shared" si="949"/>
        <v/>
      </c>
      <c r="E950" s="41" t="str">
        <f t="shared" si="949"/>
        <v/>
      </c>
      <c r="F950" s="41" t="str">
        <f t="shared" si="949"/>
        <v/>
      </c>
      <c r="G950" s="41" t="str">
        <f t="shared" si="949"/>
        <v/>
      </c>
      <c r="H950" s="41" t="str">
        <f t="shared" si="949"/>
        <v/>
      </c>
      <c r="I950" s="41" t="str">
        <f t="shared" si="949"/>
        <v/>
      </c>
      <c r="J950" s="41" t="str">
        <f t="shared" si="949"/>
        <v/>
      </c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67.5" customHeight="1">
      <c r="A951" s="39"/>
      <c r="B951" s="43" t="str">
        <f>IFERROR(__xludf.DUMMYFUNCTION("IFERROR(
  LET(
    periodos, C$1:Z$1,
    marcas, C951:Z951,
    pos, MAX(
          FILTER(
            COLUMN(marcas)-COLUMN(C951)+1,
            marcas=""X""
          )
        ),
    ultimo, INDEX(periodos, pos),
    XLOOKUP(
      $A951,
      INDI"&amp;"RECT(""'""&amp;ultimo&amp;""'!C:C""),
      INDIRECT(""'""&amp;ultimo&amp;""'!A:A"")
    )
  ),
  """"
)"),"")</f>
        <v/>
      </c>
      <c r="C951" s="41" t="str">
        <f t="shared" ref="C951:J951" si="950">IF(
  COUNTIF(
    INDIRECT("'"&amp;C$1&amp;"'!C:C"),
    $A951
  )&gt;0,
  "X",
  ""
)</f>
        <v/>
      </c>
      <c r="D951" s="41" t="str">
        <f t="shared" si="950"/>
        <v/>
      </c>
      <c r="E951" s="41" t="str">
        <f t="shared" si="950"/>
        <v/>
      </c>
      <c r="F951" s="41" t="str">
        <f t="shared" si="950"/>
        <v/>
      </c>
      <c r="G951" s="41" t="str">
        <f t="shared" si="950"/>
        <v/>
      </c>
      <c r="H951" s="41" t="str">
        <f t="shared" si="950"/>
        <v/>
      </c>
      <c r="I951" s="41" t="str">
        <f t="shared" si="950"/>
        <v/>
      </c>
      <c r="J951" s="41" t="str">
        <f t="shared" si="950"/>
        <v/>
      </c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67.5" customHeight="1">
      <c r="A952" s="39"/>
      <c r="B952" s="43" t="str">
        <f>IFERROR(__xludf.DUMMYFUNCTION("IFERROR(
  LET(
    periodos, C$1:Z$1,
    marcas, C952:Z952,
    pos, MAX(
          FILTER(
            COLUMN(marcas)-COLUMN(C952)+1,
            marcas=""X""
          )
        ),
    ultimo, INDEX(periodos, pos),
    XLOOKUP(
      $A952,
      INDI"&amp;"RECT(""'""&amp;ultimo&amp;""'!C:C""),
      INDIRECT(""'""&amp;ultimo&amp;""'!A:A"")
    )
  ),
  """"
)"),"")</f>
        <v/>
      </c>
      <c r="C952" s="41" t="str">
        <f t="shared" ref="C952:J952" si="951">IF(
  COUNTIF(
    INDIRECT("'"&amp;C$1&amp;"'!C:C"),
    $A952
  )&gt;0,
  "X",
  ""
)</f>
        <v/>
      </c>
      <c r="D952" s="41" t="str">
        <f t="shared" si="951"/>
        <v/>
      </c>
      <c r="E952" s="41" t="str">
        <f t="shared" si="951"/>
        <v/>
      </c>
      <c r="F952" s="41" t="str">
        <f t="shared" si="951"/>
        <v/>
      </c>
      <c r="G952" s="41" t="str">
        <f t="shared" si="951"/>
        <v/>
      </c>
      <c r="H952" s="41" t="str">
        <f t="shared" si="951"/>
        <v/>
      </c>
      <c r="I952" s="41" t="str">
        <f t="shared" si="951"/>
        <v/>
      </c>
      <c r="J952" s="41" t="str">
        <f t="shared" si="951"/>
        <v/>
      </c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67.5" customHeight="1">
      <c r="A953" s="39"/>
      <c r="B953" s="43" t="str">
        <f>IFERROR(__xludf.DUMMYFUNCTION("IFERROR(
  LET(
    periodos, C$1:Z$1,
    marcas, C953:Z953,
    pos, MAX(
          FILTER(
            COLUMN(marcas)-COLUMN(C953)+1,
            marcas=""X""
          )
        ),
    ultimo, INDEX(periodos, pos),
    XLOOKUP(
      $A953,
      INDI"&amp;"RECT(""'""&amp;ultimo&amp;""'!C:C""),
      INDIRECT(""'""&amp;ultimo&amp;""'!A:A"")
    )
  ),
  """"
)"),"")</f>
        <v/>
      </c>
      <c r="C953" s="41" t="str">
        <f t="shared" ref="C953:J953" si="952">IF(
  COUNTIF(
    INDIRECT("'"&amp;C$1&amp;"'!C:C"),
    $A953
  )&gt;0,
  "X",
  ""
)</f>
        <v/>
      </c>
      <c r="D953" s="41" t="str">
        <f t="shared" si="952"/>
        <v/>
      </c>
      <c r="E953" s="41" t="str">
        <f t="shared" si="952"/>
        <v/>
      </c>
      <c r="F953" s="41" t="str">
        <f t="shared" si="952"/>
        <v/>
      </c>
      <c r="G953" s="41" t="str">
        <f t="shared" si="952"/>
        <v/>
      </c>
      <c r="H953" s="41" t="str">
        <f t="shared" si="952"/>
        <v/>
      </c>
      <c r="I953" s="41" t="str">
        <f t="shared" si="952"/>
        <v/>
      </c>
      <c r="J953" s="41" t="str">
        <f t="shared" si="952"/>
        <v/>
      </c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67.5" customHeight="1">
      <c r="A954" s="39"/>
      <c r="B954" s="43" t="str">
        <f>IFERROR(__xludf.DUMMYFUNCTION("IFERROR(
  LET(
    periodos, C$1:Z$1,
    marcas, C954:Z954,
    pos, MAX(
          FILTER(
            COLUMN(marcas)-COLUMN(C954)+1,
            marcas=""X""
          )
        ),
    ultimo, INDEX(periodos, pos),
    XLOOKUP(
      $A954,
      INDI"&amp;"RECT(""'""&amp;ultimo&amp;""'!C:C""),
      INDIRECT(""'""&amp;ultimo&amp;""'!A:A"")
    )
  ),
  """"
)"),"")</f>
        <v/>
      </c>
      <c r="C954" s="41" t="str">
        <f t="shared" ref="C954:J954" si="953">IF(
  COUNTIF(
    INDIRECT("'"&amp;C$1&amp;"'!C:C"),
    $A954
  )&gt;0,
  "X",
  ""
)</f>
        <v/>
      </c>
      <c r="D954" s="41" t="str">
        <f t="shared" si="953"/>
        <v/>
      </c>
      <c r="E954" s="41" t="str">
        <f t="shared" si="953"/>
        <v/>
      </c>
      <c r="F954" s="41" t="str">
        <f t="shared" si="953"/>
        <v/>
      </c>
      <c r="G954" s="41" t="str">
        <f t="shared" si="953"/>
        <v/>
      </c>
      <c r="H954" s="41" t="str">
        <f t="shared" si="953"/>
        <v/>
      </c>
      <c r="I954" s="41" t="str">
        <f t="shared" si="953"/>
        <v/>
      </c>
      <c r="J954" s="41" t="str">
        <f t="shared" si="953"/>
        <v/>
      </c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67.5" customHeight="1">
      <c r="A955" s="39"/>
      <c r="B955" s="43" t="str">
        <f>IFERROR(__xludf.DUMMYFUNCTION("IFERROR(
  LET(
    periodos, C$1:Z$1,
    marcas, C955:Z955,
    pos, MAX(
          FILTER(
            COLUMN(marcas)-COLUMN(C955)+1,
            marcas=""X""
          )
        ),
    ultimo, INDEX(periodos, pos),
    XLOOKUP(
      $A955,
      INDI"&amp;"RECT(""'""&amp;ultimo&amp;""'!C:C""),
      INDIRECT(""'""&amp;ultimo&amp;""'!A:A"")
    )
  ),
  """"
)"),"")</f>
        <v/>
      </c>
      <c r="C955" s="41" t="str">
        <f t="shared" ref="C955:J955" si="954">IF(
  COUNTIF(
    INDIRECT("'"&amp;C$1&amp;"'!C:C"),
    $A955
  )&gt;0,
  "X",
  ""
)</f>
        <v/>
      </c>
      <c r="D955" s="41" t="str">
        <f t="shared" si="954"/>
        <v/>
      </c>
      <c r="E955" s="41" t="str">
        <f t="shared" si="954"/>
        <v/>
      </c>
      <c r="F955" s="41" t="str">
        <f t="shared" si="954"/>
        <v/>
      </c>
      <c r="G955" s="41" t="str">
        <f t="shared" si="954"/>
        <v/>
      </c>
      <c r="H955" s="41" t="str">
        <f t="shared" si="954"/>
        <v/>
      </c>
      <c r="I955" s="41" t="str">
        <f t="shared" si="954"/>
        <v/>
      </c>
      <c r="J955" s="41" t="str">
        <f t="shared" si="954"/>
        <v/>
      </c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67.5" customHeight="1">
      <c r="A956" s="39"/>
      <c r="B956" s="43" t="str">
        <f>IFERROR(__xludf.DUMMYFUNCTION("IFERROR(
  LET(
    periodos, C$1:Z$1,
    marcas, C956:Z956,
    pos, MAX(
          FILTER(
            COLUMN(marcas)-COLUMN(C956)+1,
            marcas=""X""
          )
        ),
    ultimo, INDEX(periodos, pos),
    XLOOKUP(
      $A956,
      INDI"&amp;"RECT(""'""&amp;ultimo&amp;""'!C:C""),
      INDIRECT(""'""&amp;ultimo&amp;""'!A:A"")
    )
  ),
  """"
)"),"")</f>
        <v/>
      </c>
      <c r="C956" s="41" t="str">
        <f t="shared" ref="C956:J956" si="955">IF(
  COUNTIF(
    INDIRECT("'"&amp;C$1&amp;"'!C:C"),
    $A956
  )&gt;0,
  "X",
  ""
)</f>
        <v/>
      </c>
      <c r="D956" s="41" t="str">
        <f t="shared" si="955"/>
        <v/>
      </c>
      <c r="E956" s="41" t="str">
        <f t="shared" si="955"/>
        <v/>
      </c>
      <c r="F956" s="41" t="str">
        <f t="shared" si="955"/>
        <v/>
      </c>
      <c r="G956" s="41" t="str">
        <f t="shared" si="955"/>
        <v/>
      </c>
      <c r="H956" s="41" t="str">
        <f t="shared" si="955"/>
        <v/>
      </c>
      <c r="I956" s="41" t="str">
        <f t="shared" si="955"/>
        <v/>
      </c>
      <c r="J956" s="41" t="str">
        <f t="shared" si="955"/>
        <v/>
      </c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67.5" customHeight="1">
      <c r="A957" s="39"/>
      <c r="B957" s="43" t="str">
        <f>IFERROR(__xludf.DUMMYFUNCTION("IFERROR(
  LET(
    periodos, C$1:Z$1,
    marcas, C957:Z957,
    pos, MAX(
          FILTER(
            COLUMN(marcas)-COLUMN(C957)+1,
            marcas=""X""
          )
        ),
    ultimo, INDEX(periodos, pos),
    XLOOKUP(
      $A957,
      INDI"&amp;"RECT(""'""&amp;ultimo&amp;""'!C:C""),
      INDIRECT(""'""&amp;ultimo&amp;""'!A:A"")
    )
  ),
  """"
)"),"")</f>
        <v/>
      </c>
      <c r="C957" s="41" t="str">
        <f t="shared" ref="C957:J957" si="956">IF(
  COUNTIF(
    INDIRECT("'"&amp;C$1&amp;"'!C:C"),
    $A957
  )&gt;0,
  "X",
  ""
)</f>
        <v/>
      </c>
      <c r="D957" s="41" t="str">
        <f t="shared" si="956"/>
        <v/>
      </c>
      <c r="E957" s="41" t="str">
        <f t="shared" si="956"/>
        <v/>
      </c>
      <c r="F957" s="41" t="str">
        <f t="shared" si="956"/>
        <v/>
      </c>
      <c r="G957" s="41" t="str">
        <f t="shared" si="956"/>
        <v/>
      </c>
      <c r="H957" s="41" t="str">
        <f t="shared" si="956"/>
        <v/>
      </c>
      <c r="I957" s="41" t="str">
        <f t="shared" si="956"/>
        <v/>
      </c>
      <c r="J957" s="41" t="str">
        <f t="shared" si="956"/>
        <v/>
      </c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67.5" customHeight="1">
      <c r="A958" s="39"/>
      <c r="B958" s="43" t="str">
        <f>IFERROR(__xludf.DUMMYFUNCTION("IFERROR(
  LET(
    periodos, C$1:Z$1,
    marcas, C958:Z958,
    pos, MAX(
          FILTER(
            COLUMN(marcas)-COLUMN(C958)+1,
            marcas=""X""
          )
        ),
    ultimo, INDEX(periodos, pos),
    XLOOKUP(
      $A958,
      INDI"&amp;"RECT(""'""&amp;ultimo&amp;""'!C:C""),
      INDIRECT(""'""&amp;ultimo&amp;""'!A:A"")
    )
  ),
  """"
)"),"")</f>
        <v/>
      </c>
      <c r="C958" s="41" t="str">
        <f t="shared" ref="C958:J958" si="957">IF(
  COUNTIF(
    INDIRECT("'"&amp;C$1&amp;"'!C:C"),
    $A958
  )&gt;0,
  "X",
  ""
)</f>
        <v/>
      </c>
      <c r="D958" s="41" t="str">
        <f t="shared" si="957"/>
        <v/>
      </c>
      <c r="E958" s="41" t="str">
        <f t="shared" si="957"/>
        <v/>
      </c>
      <c r="F958" s="41" t="str">
        <f t="shared" si="957"/>
        <v/>
      </c>
      <c r="G958" s="41" t="str">
        <f t="shared" si="957"/>
        <v/>
      </c>
      <c r="H958" s="41" t="str">
        <f t="shared" si="957"/>
        <v/>
      </c>
      <c r="I958" s="41" t="str">
        <f t="shared" si="957"/>
        <v/>
      </c>
      <c r="J958" s="41" t="str">
        <f t="shared" si="957"/>
        <v/>
      </c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67.5" customHeight="1">
      <c r="A959" s="39"/>
      <c r="B959" s="43" t="str">
        <f>IFERROR(__xludf.DUMMYFUNCTION("IFERROR(
  LET(
    periodos, C$1:Z$1,
    marcas, C959:Z959,
    pos, MAX(
          FILTER(
            COLUMN(marcas)-COLUMN(C959)+1,
            marcas=""X""
          )
        ),
    ultimo, INDEX(periodos, pos),
    XLOOKUP(
      $A959,
      INDI"&amp;"RECT(""'""&amp;ultimo&amp;""'!C:C""),
      INDIRECT(""'""&amp;ultimo&amp;""'!A:A"")
    )
  ),
  """"
)"),"")</f>
        <v/>
      </c>
      <c r="C959" s="41" t="str">
        <f t="shared" ref="C959:J959" si="958">IF(
  COUNTIF(
    INDIRECT("'"&amp;C$1&amp;"'!C:C"),
    $A959
  )&gt;0,
  "X",
  ""
)</f>
        <v/>
      </c>
      <c r="D959" s="41" t="str">
        <f t="shared" si="958"/>
        <v/>
      </c>
      <c r="E959" s="41" t="str">
        <f t="shared" si="958"/>
        <v/>
      </c>
      <c r="F959" s="41" t="str">
        <f t="shared" si="958"/>
        <v/>
      </c>
      <c r="G959" s="41" t="str">
        <f t="shared" si="958"/>
        <v/>
      </c>
      <c r="H959" s="41" t="str">
        <f t="shared" si="958"/>
        <v/>
      </c>
      <c r="I959" s="41" t="str">
        <f t="shared" si="958"/>
        <v/>
      </c>
      <c r="J959" s="41" t="str">
        <f t="shared" si="958"/>
        <v/>
      </c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67.5" customHeight="1">
      <c r="A960" s="39"/>
      <c r="B960" s="43" t="str">
        <f>IFERROR(__xludf.DUMMYFUNCTION("IFERROR(
  LET(
    periodos, C$1:Z$1,
    marcas, C960:Z960,
    pos, MAX(
          FILTER(
            COLUMN(marcas)-COLUMN(C960)+1,
            marcas=""X""
          )
        ),
    ultimo, INDEX(periodos, pos),
    XLOOKUP(
      $A960,
      INDI"&amp;"RECT(""'""&amp;ultimo&amp;""'!C:C""),
      INDIRECT(""'""&amp;ultimo&amp;""'!A:A"")
    )
  ),
  """"
)"),"")</f>
        <v/>
      </c>
      <c r="C960" s="41" t="str">
        <f t="shared" ref="C960:J960" si="959">IF(
  COUNTIF(
    INDIRECT("'"&amp;C$1&amp;"'!C:C"),
    $A960
  )&gt;0,
  "X",
  ""
)</f>
        <v/>
      </c>
      <c r="D960" s="41" t="str">
        <f t="shared" si="959"/>
        <v/>
      </c>
      <c r="E960" s="41" t="str">
        <f t="shared" si="959"/>
        <v/>
      </c>
      <c r="F960" s="41" t="str">
        <f t="shared" si="959"/>
        <v/>
      </c>
      <c r="G960" s="41" t="str">
        <f t="shared" si="959"/>
        <v/>
      </c>
      <c r="H960" s="41" t="str">
        <f t="shared" si="959"/>
        <v/>
      </c>
      <c r="I960" s="41" t="str">
        <f t="shared" si="959"/>
        <v/>
      </c>
      <c r="J960" s="41" t="str">
        <f t="shared" si="959"/>
        <v/>
      </c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67.5" customHeight="1">
      <c r="A961" s="39"/>
      <c r="B961" s="43" t="str">
        <f>IFERROR(__xludf.DUMMYFUNCTION("IFERROR(
  LET(
    periodos, C$1:Z$1,
    marcas, C961:Z961,
    pos, MAX(
          FILTER(
            COLUMN(marcas)-COLUMN(C961)+1,
            marcas=""X""
          )
        ),
    ultimo, INDEX(periodos, pos),
    XLOOKUP(
      $A961,
      INDI"&amp;"RECT(""'""&amp;ultimo&amp;""'!C:C""),
      INDIRECT(""'""&amp;ultimo&amp;""'!A:A"")
    )
  ),
  """"
)"),"")</f>
        <v/>
      </c>
      <c r="C961" s="41" t="str">
        <f t="shared" ref="C961:J961" si="960">IF(
  COUNTIF(
    INDIRECT("'"&amp;C$1&amp;"'!C:C"),
    $A961
  )&gt;0,
  "X",
  ""
)</f>
        <v/>
      </c>
      <c r="D961" s="41" t="str">
        <f t="shared" si="960"/>
        <v/>
      </c>
      <c r="E961" s="41" t="str">
        <f t="shared" si="960"/>
        <v/>
      </c>
      <c r="F961" s="41" t="str">
        <f t="shared" si="960"/>
        <v/>
      </c>
      <c r="G961" s="41" t="str">
        <f t="shared" si="960"/>
        <v/>
      </c>
      <c r="H961" s="41" t="str">
        <f t="shared" si="960"/>
        <v/>
      </c>
      <c r="I961" s="41" t="str">
        <f t="shared" si="960"/>
        <v/>
      </c>
      <c r="J961" s="41" t="str">
        <f t="shared" si="960"/>
        <v/>
      </c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67.5" customHeight="1">
      <c r="A962" s="39"/>
      <c r="B962" s="43" t="str">
        <f>IFERROR(__xludf.DUMMYFUNCTION("IFERROR(
  LET(
    periodos, C$1:Z$1,
    marcas, C962:Z962,
    pos, MAX(
          FILTER(
            COLUMN(marcas)-COLUMN(C962)+1,
            marcas=""X""
          )
        ),
    ultimo, INDEX(periodos, pos),
    XLOOKUP(
      $A962,
      INDI"&amp;"RECT(""'""&amp;ultimo&amp;""'!C:C""),
      INDIRECT(""'""&amp;ultimo&amp;""'!A:A"")
    )
  ),
  """"
)"),"")</f>
        <v/>
      </c>
      <c r="C962" s="41" t="str">
        <f t="shared" ref="C962:J962" si="961">IF(
  COUNTIF(
    INDIRECT("'"&amp;C$1&amp;"'!C:C"),
    $A962
  )&gt;0,
  "X",
  ""
)</f>
        <v/>
      </c>
      <c r="D962" s="41" t="str">
        <f t="shared" si="961"/>
        <v/>
      </c>
      <c r="E962" s="41" t="str">
        <f t="shared" si="961"/>
        <v/>
      </c>
      <c r="F962" s="41" t="str">
        <f t="shared" si="961"/>
        <v/>
      </c>
      <c r="G962" s="41" t="str">
        <f t="shared" si="961"/>
        <v/>
      </c>
      <c r="H962" s="41" t="str">
        <f t="shared" si="961"/>
        <v/>
      </c>
      <c r="I962" s="41" t="str">
        <f t="shared" si="961"/>
        <v/>
      </c>
      <c r="J962" s="41" t="str">
        <f t="shared" si="961"/>
        <v/>
      </c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67.5" customHeight="1">
      <c r="A963" s="39"/>
      <c r="B963" s="43" t="str">
        <f>IFERROR(__xludf.DUMMYFUNCTION("IFERROR(
  LET(
    periodos, C$1:Z$1,
    marcas, C963:Z963,
    pos, MAX(
          FILTER(
            COLUMN(marcas)-COLUMN(C963)+1,
            marcas=""X""
          )
        ),
    ultimo, INDEX(periodos, pos),
    XLOOKUP(
      $A963,
      INDI"&amp;"RECT(""'""&amp;ultimo&amp;""'!C:C""),
      INDIRECT(""'""&amp;ultimo&amp;""'!A:A"")
    )
  ),
  """"
)"),"")</f>
        <v/>
      </c>
      <c r="C963" s="41" t="str">
        <f t="shared" ref="C963:J963" si="962">IF(
  COUNTIF(
    INDIRECT("'"&amp;C$1&amp;"'!C:C"),
    $A963
  )&gt;0,
  "X",
  ""
)</f>
        <v/>
      </c>
      <c r="D963" s="41" t="str">
        <f t="shared" si="962"/>
        <v/>
      </c>
      <c r="E963" s="41" t="str">
        <f t="shared" si="962"/>
        <v/>
      </c>
      <c r="F963" s="41" t="str">
        <f t="shared" si="962"/>
        <v/>
      </c>
      <c r="G963" s="41" t="str">
        <f t="shared" si="962"/>
        <v/>
      </c>
      <c r="H963" s="41" t="str">
        <f t="shared" si="962"/>
        <v/>
      </c>
      <c r="I963" s="41" t="str">
        <f t="shared" si="962"/>
        <v/>
      </c>
      <c r="J963" s="41" t="str">
        <f t="shared" si="962"/>
        <v/>
      </c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67.5" customHeight="1">
      <c r="A964" s="39"/>
      <c r="B964" s="43" t="str">
        <f>IFERROR(__xludf.DUMMYFUNCTION("IFERROR(
  LET(
    periodos, C$1:Z$1,
    marcas, C964:Z964,
    pos, MAX(
          FILTER(
            COLUMN(marcas)-COLUMN(C964)+1,
            marcas=""X""
          )
        ),
    ultimo, INDEX(periodos, pos),
    XLOOKUP(
      $A964,
      INDI"&amp;"RECT(""'""&amp;ultimo&amp;""'!C:C""),
      INDIRECT(""'""&amp;ultimo&amp;""'!A:A"")
    )
  ),
  """"
)"),"")</f>
        <v/>
      </c>
      <c r="C964" s="41" t="str">
        <f t="shared" ref="C964:J964" si="963">IF(
  COUNTIF(
    INDIRECT("'"&amp;C$1&amp;"'!C:C"),
    $A964
  )&gt;0,
  "X",
  ""
)</f>
        <v/>
      </c>
      <c r="D964" s="41" t="str">
        <f t="shared" si="963"/>
        <v/>
      </c>
      <c r="E964" s="41" t="str">
        <f t="shared" si="963"/>
        <v/>
      </c>
      <c r="F964" s="41" t="str">
        <f t="shared" si="963"/>
        <v/>
      </c>
      <c r="G964" s="41" t="str">
        <f t="shared" si="963"/>
        <v/>
      </c>
      <c r="H964" s="41" t="str">
        <f t="shared" si="963"/>
        <v/>
      </c>
      <c r="I964" s="41" t="str">
        <f t="shared" si="963"/>
        <v/>
      </c>
      <c r="J964" s="41" t="str">
        <f t="shared" si="963"/>
        <v/>
      </c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67.5" customHeight="1">
      <c r="A965" s="39"/>
      <c r="B965" s="43" t="str">
        <f>IFERROR(__xludf.DUMMYFUNCTION("IFERROR(
  LET(
    periodos, C$1:Z$1,
    marcas, C965:Z965,
    pos, MAX(
          FILTER(
            COLUMN(marcas)-COLUMN(C965)+1,
            marcas=""X""
          )
        ),
    ultimo, INDEX(periodos, pos),
    XLOOKUP(
      $A965,
      INDI"&amp;"RECT(""'""&amp;ultimo&amp;""'!C:C""),
      INDIRECT(""'""&amp;ultimo&amp;""'!A:A"")
    )
  ),
  """"
)"),"")</f>
        <v/>
      </c>
      <c r="C965" s="41" t="str">
        <f t="shared" ref="C965:J965" si="964">IF(
  COUNTIF(
    INDIRECT("'"&amp;C$1&amp;"'!C:C"),
    $A965
  )&gt;0,
  "X",
  ""
)</f>
        <v/>
      </c>
      <c r="D965" s="41" t="str">
        <f t="shared" si="964"/>
        <v/>
      </c>
      <c r="E965" s="41" t="str">
        <f t="shared" si="964"/>
        <v/>
      </c>
      <c r="F965" s="41" t="str">
        <f t="shared" si="964"/>
        <v/>
      </c>
      <c r="G965" s="41" t="str">
        <f t="shared" si="964"/>
        <v/>
      </c>
      <c r="H965" s="41" t="str">
        <f t="shared" si="964"/>
        <v/>
      </c>
      <c r="I965" s="41" t="str">
        <f t="shared" si="964"/>
        <v/>
      </c>
      <c r="J965" s="41" t="str">
        <f t="shared" si="964"/>
        <v/>
      </c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67.5" customHeight="1">
      <c r="A966" s="39"/>
      <c r="B966" s="43" t="str">
        <f>IFERROR(__xludf.DUMMYFUNCTION("IFERROR(
  LET(
    periodos, C$1:Z$1,
    marcas, C966:Z966,
    pos, MAX(
          FILTER(
            COLUMN(marcas)-COLUMN(C966)+1,
            marcas=""X""
          )
        ),
    ultimo, INDEX(periodos, pos),
    XLOOKUP(
      $A966,
      INDI"&amp;"RECT(""'""&amp;ultimo&amp;""'!C:C""),
      INDIRECT(""'""&amp;ultimo&amp;""'!A:A"")
    )
  ),
  """"
)"),"")</f>
        <v/>
      </c>
      <c r="C966" s="41" t="str">
        <f t="shared" ref="C966:J966" si="965">IF(
  COUNTIF(
    INDIRECT("'"&amp;C$1&amp;"'!C:C"),
    $A966
  )&gt;0,
  "X",
  ""
)</f>
        <v/>
      </c>
      <c r="D966" s="41" t="str">
        <f t="shared" si="965"/>
        <v/>
      </c>
      <c r="E966" s="41" t="str">
        <f t="shared" si="965"/>
        <v/>
      </c>
      <c r="F966" s="41" t="str">
        <f t="shared" si="965"/>
        <v/>
      </c>
      <c r="G966" s="41" t="str">
        <f t="shared" si="965"/>
        <v/>
      </c>
      <c r="H966" s="41" t="str">
        <f t="shared" si="965"/>
        <v/>
      </c>
      <c r="I966" s="41" t="str">
        <f t="shared" si="965"/>
        <v/>
      </c>
      <c r="J966" s="41" t="str">
        <f t="shared" si="965"/>
        <v/>
      </c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67.5" customHeight="1">
      <c r="A967" s="39"/>
      <c r="B967" s="43" t="str">
        <f>IFERROR(__xludf.DUMMYFUNCTION("IFERROR(
  LET(
    periodos, C$1:Z$1,
    marcas, C967:Z967,
    pos, MAX(
          FILTER(
            COLUMN(marcas)-COLUMN(C967)+1,
            marcas=""X""
          )
        ),
    ultimo, INDEX(periodos, pos),
    XLOOKUP(
      $A967,
      INDI"&amp;"RECT(""'""&amp;ultimo&amp;""'!C:C""),
      INDIRECT(""'""&amp;ultimo&amp;""'!A:A"")
    )
  ),
  """"
)"),"")</f>
        <v/>
      </c>
      <c r="C967" s="41" t="str">
        <f t="shared" ref="C967:J967" si="966">IF(
  COUNTIF(
    INDIRECT("'"&amp;C$1&amp;"'!C:C"),
    $A967
  )&gt;0,
  "X",
  ""
)</f>
        <v/>
      </c>
      <c r="D967" s="41" t="str">
        <f t="shared" si="966"/>
        <v/>
      </c>
      <c r="E967" s="41" t="str">
        <f t="shared" si="966"/>
        <v/>
      </c>
      <c r="F967" s="41" t="str">
        <f t="shared" si="966"/>
        <v/>
      </c>
      <c r="G967" s="41" t="str">
        <f t="shared" si="966"/>
        <v/>
      </c>
      <c r="H967" s="41" t="str">
        <f t="shared" si="966"/>
        <v/>
      </c>
      <c r="I967" s="41" t="str">
        <f t="shared" si="966"/>
        <v/>
      </c>
      <c r="J967" s="41" t="str">
        <f t="shared" si="966"/>
        <v/>
      </c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67.5" customHeight="1">
      <c r="A968" s="39"/>
      <c r="B968" s="43" t="str">
        <f>IFERROR(__xludf.DUMMYFUNCTION("IFERROR(
  LET(
    periodos, C$1:Z$1,
    marcas, C968:Z968,
    pos, MAX(
          FILTER(
            COLUMN(marcas)-COLUMN(C968)+1,
            marcas=""X""
          )
        ),
    ultimo, INDEX(periodos, pos),
    XLOOKUP(
      $A968,
      INDI"&amp;"RECT(""'""&amp;ultimo&amp;""'!C:C""),
      INDIRECT(""'""&amp;ultimo&amp;""'!A:A"")
    )
  ),
  """"
)"),"")</f>
        <v/>
      </c>
      <c r="C968" s="41" t="str">
        <f t="shared" ref="C968:J968" si="967">IF(
  COUNTIF(
    INDIRECT("'"&amp;C$1&amp;"'!C:C"),
    $A968
  )&gt;0,
  "X",
  ""
)</f>
        <v/>
      </c>
      <c r="D968" s="41" t="str">
        <f t="shared" si="967"/>
        <v/>
      </c>
      <c r="E968" s="41" t="str">
        <f t="shared" si="967"/>
        <v/>
      </c>
      <c r="F968" s="41" t="str">
        <f t="shared" si="967"/>
        <v/>
      </c>
      <c r="G968" s="41" t="str">
        <f t="shared" si="967"/>
        <v/>
      </c>
      <c r="H968" s="41" t="str">
        <f t="shared" si="967"/>
        <v/>
      </c>
      <c r="I968" s="41" t="str">
        <f t="shared" si="967"/>
        <v/>
      </c>
      <c r="J968" s="41" t="str">
        <f t="shared" si="967"/>
        <v/>
      </c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67.5" customHeight="1">
      <c r="A969" s="39"/>
      <c r="B969" s="43" t="str">
        <f>IFERROR(__xludf.DUMMYFUNCTION("IFERROR(
  LET(
    periodos, C$1:Z$1,
    marcas, C969:Z969,
    pos, MAX(
          FILTER(
            COLUMN(marcas)-COLUMN(C969)+1,
            marcas=""X""
          )
        ),
    ultimo, INDEX(periodos, pos),
    XLOOKUP(
      $A969,
      INDI"&amp;"RECT(""'""&amp;ultimo&amp;""'!C:C""),
      INDIRECT(""'""&amp;ultimo&amp;""'!A:A"")
    )
  ),
  """"
)"),"")</f>
        <v/>
      </c>
      <c r="C969" s="41" t="str">
        <f t="shared" ref="C969:J969" si="968">IF(
  COUNTIF(
    INDIRECT("'"&amp;C$1&amp;"'!C:C"),
    $A969
  )&gt;0,
  "X",
  ""
)</f>
        <v/>
      </c>
      <c r="D969" s="41" t="str">
        <f t="shared" si="968"/>
        <v/>
      </c>
      <c r="E969" s="41" t="str">
        <f t="shared" si="968"/>
        <v/>
      </c>
      <c r="F969" s="41" t="str">
        <f t="shared" si="968"/>
        <v/>
      </c>
      <c r="G969" s="41" t="str">
        <f t="shared" si="968"/>
        <v/>
      </c>
      <c r="H969" s="41" t="str">
        <f t="shared" si="968"/>
        <v/>
      </c>
      <c r="I969" s="41" t="str">
        <f t="shared" si="968"/>
        <v/>
      </c>
      <c r="J969" s="41" t="str">
        <f t="shared" si="968"/>
        <v/>
      </c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67.5" customHeight="1">
      <c r="A970" s="39"/>
      <c r="B970" s="43" t="str">
        <f>IFERROR(__xludf.DUMMYFUNCTION("IFERROR(
  LET(
    periodos, C$1:Z$1,
    marcas, C970:Z970,
    pos, MAX(
          FILTER(
            COLUMN(marcas)-COLUMN(C970)+1,
            marcas=""X""
          )
        ),
    ultimo, INDEX(periodos, pos),
    XLOOKUP(
      $A970,
      INDI"&amp;"RECT(""'""&amp;ultimo&amp;""'!C:C""),
      INDIRECT(""'""&amp;ultimo&amp;""'!A:A"")
    )
  ),
  """"
)"),"")</f>
        <v/>
      </c>
      <c r="C970" s="41" t="str">
        <f t="shared" ref="C970:J970" si="969">IF(
  COUNTIF(
    INDIRECT("'"&amp;C$1&amp;"'!C:C"),
    $A970
  )&gt;0,
  "X",
  ""
)</f>
        <v/>
      </c>
      <c r="D970" s="41" t="str">
        <f t="shared" si="969"/>
        <v/>
      </c>
      <c r="E970" s="41" t="str">
        <f t="shared" si="969"/>
        <v/>
      </c>
      <c r="F970" s="41" t="str">
        <f t="shared" si="969"/>
        <v/>
      </c>
      <c r="G970" s="41" t="str">
        <f t="shared" si="969"/>
        <v/>
      </c>
      <c r="H970" s="41" t="str">
        <f t="shared" si="969"/>
        <v/>
      </c>
      <c r="I970" s="41" t="str">
        <f t="shared" si="969"/>
        <v/>
      </c>
      <c r="J970" s="41" t="str">
        <f t="shared" si="969"/>
        <v/>
      </c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67.5" customHeight="1">
      <c r="A971" s="39"/>
      <c r="B971" s="43" t="str">
        <f>IFERROR(__xludf.DUMMYFUNCTION("IFERROR(
  LET(
    periodos, C$1:Z$1,
    marcas, C971:Z971,
    pos, MAX(
          FILTER(
            COLUMN(marcas)-COLUMN(C971)+1,
            marcas=""X""
          )
        ),
    ultimo, INDEX(periodos, pos),
    XLOOKUP(
      $A971,
      INDI"&amp;"RECT(""'""&amp;ultimo&amp;""'!C:C""),
      INDIRECT(""'""&amp;ultimo&amp;""'!A:A"")
    )
  ),
  """"
)"),"")</f>
        <v/>
      </c>
      <c r="C971" s="41" t="str">
        <f t="shared" ref="C971:J971" si="970">IF(
  COUNTIF(
    INDIRECT("'"&amp;C$1&amp;"'!C:C"),
    $A971
  )&gt;0,
  "X",
  ""
)</f>
        <v/>
      </c>
      <c r="D971" s="41" t="str">
        <f t="shared" si="970"/>
        <v/>
      </c>
      <c r="E971" s="41" t="str">
        <f t="shared" si="970"/>
        <v/>
      </c>
      <c r="F971" s="41" t="str">
        <f t="shared" si="970"/>
        <v/>
      </c>
      <c r="G971" s="41" t="str">
        <f t="shared" si="970"/>
        <v/>
      </c>
      <c r="H971" s="41" t="str">
        <f t="shared" si="970"/>
        <v/>
      </c>
      <c r="I971" s="41" t="str">
        <f t="shared" si="970"/>
        <v/>
      </c>
      <c r="J971" s="41" t="str">
        <f t="shared" si="970"/>
        <v/>
      </c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67.5" customHeight="1">
      <c r="A972" s="39"/>
      <c r="B972" s="43" t="str">
        <f>IFERROR(__xludf.DUMMYFUNCTION("IFERROR(
  LET(
    periodos, C$1:Z$1,
    marcas, C972:Z972,
    pos, MAX(
          FILTER(
            COLUMN(marcas)-COLUMN(C972)+1,
            marcas=""X""
          )
        ),
    ultimo, INDEX(periodos, pos),
    XLOOKUP(
      $A972,
      INDI"&amp;"RECT(""'""&amp;ultimo&amp;""'!C:C""),
      INDIRECT(""'""&amp;ultimo&amp;""'!A:A"")
    )
  ),
  """"
)"),"")</f>
        <v/>
      </c>
      <c r="C972" s="41" t="str">
        <f t="shared" ref="C972:J972" si="971">IF(
  COUNTIF(
    INDIRECT("'"&amp;C$1&amp;"'!C:C"),
    $A972
  )&gt;0,
  "X",
  ""
)</f>
        <v/>
      </c>
      <c r="D972" s="41" t="str">
        <f t="shared" si="971"/>
        <v/>
      </c>
      <c r="E972" s="41" t="str">
        <f t="shared" si="971"/>
        <v/>
      </c>
      <c r="F972" s="41" t="str">
        <f t="shared" si="971"/>
        <v/>
      </c>
      <c r="G972" s="41" t="str">
        <f t="shared" si="971"/>
        <v/>
      </c>
      <c r="H972" s="41" t="str">
        <f t="shared" si="971"/>
        <v/>
      </c>
      <c r="I972" s="41" t="str">
        <f t="shared" si="971"/>
        <v/>
      </c>
      <c r="J972" s="41" t="str">
        <f t="shared" si="971"/>
        <v/>
      </c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67.5" customHeight="1">
      <c r="A973" s="39"/>
      <c r="B973" s="43" t="str">
        <f>IFERROR(__xludf.DUMMYFUNCTION("IFERROR(
  LET(
    periodos, C$1:Z$1,
    marcas, C973:Z973,
    pos, MAX(
          FILTER(
            COLUMN(marcas)-COLUMN(C973)+1,
            marcas=""X""
          )
        ),
    ultimo, INDEX(periodos, pos),
    XLOOKUP(
      $A973,
      INDI"&amp;"RECT(""'""&amp;ultimo&amp;""'!C:C""),
      INDIRECT(""'""&amp;ultimo&amp;""'!A:A"")
    )
  ),
  """"
)"),"")</f>
        <v/>
      </c>
      <c r="C973" s="41" t="str">
        <f t="shared" ref="C973:J973" si="972">IF(
  COUNTIF(
    INDIRECT("'"&amp;C$1&amp;"'!C:C"),
    $A973
  )&gt;0,
  "X",
  ""
)</f>
        <v/>
      </c>
      <c r="D973" s="41" t="str">
        <f t="shared" si="972"/>
        <v/>
      </c>
      <c r="E973" s="41" t="str">
        <f t="shared" si="972"/>
        <v/>
      </c>
      <c r="F973" s="41" t="str">
        <f t="shared" si="972"/>
        <v/>
      </c>
      <c r="G973" s="41" t="str">
        <f t="shared" si="972"/>
        <v/>
      </c>
      <c r="H973" s="41" t="str">
        <f t="shared" si="972"/>
        <v/>
      </c>
      <c r="I973" s="41" t="str">
        <f t="shared" si="972"/>
        <v/>
      </c>
      <c r="J973" s="41" t="str">
        <f t="shared" si="972"/>
        <v/>
      </c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67.5" customHeight="1">
      <c r="A974" s="39"/>
      <c r="B974" s="43" t="str">
        <f>IFERROR(__xludf.DUMMYFUNCTION("IFERROR(
  LET(
    periodos, C$1:Z$1,
    marcas, C974:Z974,
    pos, MAX(
          FILTER(
            COLUMN(marcas)-COLUMN(C974)+1,
            marcas=""X""
          )
        ),
    ultimo, INDEX(periodos, pos),
    XLOOKUP(
      $A974,
      INDI"&amp;"RECT(""'""&amp;ultimo&amp;""'!C:C""),
      INDIRECT(""'""&amp;ultimo&amp;""'!A:A"")
    )
  ),
  """"
)"),"")</f>
        <v/>
      </c>
      <c r="C974" s="41" t="str">
        <f t="shared" ref="C974:J974" si="973">IF(
  COUNTIF(
    INDIRECT("'"&amp;C$1&amp;"'!C:C"),
    $A974
  )&gt;0,
  "X",
  ""
)</f>
        <v/>
      </c>
      <c r="D974" s="41" t="str">
        <f t="shared" si="973"/>
        <v/>
      </c>
      <c r="E974" s="41" t="str">
        <f t="shared" si="973"/>
        <v/>
      </c>
      <c r="F974" s="41" t="str">
        <f t="shared" si="973"/>
        <v/>
      </c>
      <c r="G974" s="41" t="str">
        <f t="shared" si="973"/>
        <v/>
      </c>
      <c r="H974" s="41" t="str">
        <f t="shared" si="973"/>
        <v/>
      </c>
      <c r="I974" s="41" t="str">
        <f t="shared" si="973"/>
        <v/>
      </c>
      <c r="J974" s="41" t="str">
        <f t="shared" si="973"/>
        <v/>
      </c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67.5" customHeight="1">
      <c r="A975" s="39"/>
      <c r="B975" s="43" t="str">
        <f>IFERROR(__xludf.DUMMYFUNCTION("IFERROR(
  LET(
    periodos, C$1:Z$1,
    marcas, C975:Z975,
    pos, MAX(
          FILTER(
            COLUMN(marcas)-COLUMN(C975)+1,
            marcas=""X""
          )
        ),
    ultimo, INDEX(periodos, pos),
    XLOOKUP(
      $A975,
      INDI"&amp;"RECT(""'""&amp;ultimo&amp;""'!C:C""),
      INDIRECT(""'""&amp;ultimo&amp;""'!A:A"")
    )
  ),
  """"
)"),"")</f>
        <v/>
      </c>
      <c r="C975" s="41" t="str">
        <f t="shared" ref="C975:J975" si="974">IF(
  COUNTIF(
    INDIRECT("'"&amp;C$1&amp;"'!C:C"),
    $A975
  )&gt;0,
  "X",
  ""
)</f>
        <v/>
      </c>
      <c r="D975" s="41" t="str">
        <f t="shared" si="974"/>
        <v/>
      </c>
      <c r="E975" s="41" t="str">
        <f t="shared" si="974"/>
        <v/>
      </c>
      <c r="F975" s="41" t="str">
        <f t="shared" si="974"/>
        <v/>
      </c>
      <c r="G975" s="41" t="str">
        <f t="shared" si="974"/>
        <v/>
      </c>
      <c r="H975" s="41" t="str">
        <f t="shared" si="974"/>
        <v/>
      </c>
      <c r="I975" s="41" t="str">
        <f t="shared" si="974"/>
        <v/>
      </c>
      <c r="J975" s="41" t="str">
        <f t="shared" si="974"/>
        <v/>
      </c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67.5" customHeight="1">
      <c r="A976" s="39"/>
      <c r="B976" s="43" t="str">
        <f>IFERROR(__xludf.DUMMYFUNCTION("IFERROR(
  LET(
    periodos, C$1:Z$1,
    marcas, C976:Z976,
    pos, MAX(
          FILTER(
            COLUMN(marcas)-COLUMN(C976)+1,
            marcas=""X""
          )
        ),
    ultimo, INDEX(periodos, pos),
    XLOOKUP(
      $A976,
      INDI"&amp;"RECT(""'""&amp;ultimo&amp;""'!C:C""),
      INDIRECT(""'""&amp;ultimo&amp;""'!A:A"")
    )
  ),
  """"
)"),"")</f>
        <v/>
      </c>
      <c r="C976" s="41" t="str">
        <f t="shared" ref="C976:J976" si="975">IF(
  COUNTIF(
    INDIRECT("'"&amp;C$1&amp;"'!C:C"),
    $A976
  )&gt;0,
  "X",
  ""
)</f>
        <v/>
      </c>
      <c r="D976" s="41" t="str">
        <f t="shared" si="975"/>
        <v/>
      </c>
      <c r="E976" s="41" t="str">
        <f t="shared" si="975"/>
        <v/>
      </c>
      <c r="F976" s="41" t="str">
        <f t="shared" si="975"/>
        <v/>
      </c>
      <c r="G976" s="41" t="str">
        <f t="shared" si="975"/>
        <v/>
      </c>
      <c r="H976" s="41" t="str">
        <f t="shared" si="975"/>
        <v/>
      </c>
      <c r="I976" s="41" t="str">
        <f t="shared" si="975"/>
        <v/>
      </c>
      <c r="J976" s="41" t="str">
        <f t="shared" si="975"/>
        <v/>
      </c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67.5" customHeight="1">
      <c r="A977" s="39"/>
      <c r="B977" s="43" t="str">
        <f>IFERROR(__xludf.DUMMYFUNCTION("IFERROR(
  LET(
    periodos, C$1:Z$1,
    marcas, C977:Z977,
    pos, MAX(
          FILTER(
            COLUMN(marcas)-COLUMN(C977)+1,
            marcas=""X""
          )
        ),
    ultimo, INDEX(periodos, pos),
    XLOOKUP(
      $A977,
      INDI"&amp;"RECT(""'""&amp;ultimo&amp;""'!C:C""),
      INDIRECT(""'""&amp;ultimo&amp;""'!A:A"")
    )
  ),
  """"
)"),"")</f>
        <v/>
      </c>
      <c r="C977" s="41" t="str">
        <f t="shared" ref="C977:J977" si="976">IF(
  COUNTIF(
    INDIRECT("'"&amp;C$1&amp;"'!C:C"),
    $A977
  )&gt;0,
  "X",
  ""
)</f>
        <v/>
      </c>
      <c r="D977" s="41" t="str">
        <f t="shared" si="976"/>
        <v/>
      </c>
      <c r="E977" s="41" t="str">
        <f t="shared" si="976"/>
        <v/>
      </c>
      <c r="F977" s="41" t="str">
        <f t="shared" si="976"/>
        <v/>
      </c>
      <c r="G977" s="41" t="str">
        <f t="shared" si="976"/>
        <v/>
      </c>
      <c r="H977" s="41" t="str">
        <f t="shared" si="976"/>
        <v/>
      </c>
      <c r="I977" s="41" t="str">
        <f t="shared" si="976"/>
        <v/>
      </c>
      <c r="J977" s="41" t="str">
        <f t="shared" si="976"/>
        <v/>
      </c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67.5" customHeight="1">
      <c r="A978" s="39"/>
      <c r="B978" s="43" t="str">
        <f>IFERROR(__xludf.DUMMYFUNCTION("IFERROR(
  LET(
    periodos, C$1:Z$1,
    marcas, C978:Z978,
    pos, MAX(
          FILTER(
            COLUMN(marcas)-COLUMN(C978)+1,
            marcas=""X""
          )
        ),
    ultimo, INDEX(periodos, pos),
    XLOOKUP(
      $A978,
      INDI"&amp;"RECT(""'""&amp;ultimo&amp;""'!C:C""),
      INDIRECT(""'""&amp;ultimo&amp;""'!A:A"")
    )
  ),
  """"
)"),"")</f>
        <v/>
      </c>
      <c r="C978" s="41" t="str">
        <f t="shared" ref="C978:J978" si="977">IF(
  COUNTIF(
    INDIRECT("'"&amp;C$1&amp;"'!C:C"),
    $A978
  )&gt;0,
  "X",
  ""
)</f>
        <v/>
      </c>
      <c r="D978" s="41" t="str">
        <f t="shared" si="977"/>
        <v/>
      </c>
      <c r="E978" s="41" t="str">
        <f t="shared" si="977"/>
        <v/>
      </c>
      <c r="F978" s="41" t="str">
        <f t="shared" si="977"/>
        <v/>
      </c>
      <c r="G978" s="41" t="str">
        <f t="shared" si="977"/>
        <v/>
      </c>
      <c r="H978" s="41" t="str">
        <f t="shared" si="977"/>
        <v/>
      </c>
      <c r="I978" s="41" t="str">
        <f t="shared" si="977"/>
        <v/>
      </c>
      <c r="J978" s="41" t="str">
        <f t="shared" si="977"/>
        <v/>
      </c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67.5" customHeight="1">
      <c r="A979" s="39"/>
      <c r="B979" s="43" t="str">
        <f>IFERROR(__xludf.DUMMYFUNCTION("IFERROR(
  LET(
    periodos, C$1:Z$1,
    marcas, C979:Z979,
    pos, MAX(
          FILTER(
            COLUMN(marcas)-COLUMN(C979)+1,
            marcas=""X""
          )
        ),
    ultimo, INDEX(periodos, pos),
    XLOOKUP(
      $A979,
      INDI"&amp;"RECT(""'""&amp;ultimo&amp;""'!C:C""),
      INDIRECT(""'""&amp;ultimo&amp;""'!A:A"")
    )
  ),
  """"
)"),"")</f>
        <v/>
      </c>
      <c r="C979" s="41" t="str">
        <f t="shared" ref="C979:J979" si="978">IF(
  COUNTIF(
    INDIRECT("'"&amp;C$1&amp;"'!C:C"),
    $A979
  )&gt;0,
  "X",
  ""
)</f>
        <v/>
      </c>
      <c r="D979" s="41" t="str">
        <f t="shared" si="978"/>
        <v/>
      </c>
      <c r="E979" s="41" t="str">
        <f t="shared" si="978"/>
        <v/>
      </c>
      <c r="F979" s="41" t="str">
        <f t="shared" si="978"/>
        <v/>
      </c>
      <c r="G979" s="41" t="str">
        <f t="shared" si="978"/>
        <v/>
      </c>
      <c r="H979" s="41" t="str">
        <f t="shared" si="978"/>
        <v/>
      </c>
      <c r="I979" s="41" t="str">
        <f t="shared" si="978"/>
        <v/>
      </c>
      <c r="J979" s="41" t="str">
        <f t="shared" si="978"/>
        <v/>
      </c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67.5" customHeight="1">
      <c r="A980" s="39"/>
      <c r="B980" s="43" t="str">
        <f>IFERROR(__xludf.DUMMYFUNCTION("IFERROR(
  LET(
    periodos, C$1:Z$1,
    marcas, C980:Z980,
    pos, MAX(
          FILTER(
            COLUMN(marcas)-COLUMN(C980)+1,
            marcas=""X""
          )
        ),
    ultimo, INDEX(periodos, pos),
    XLOOKUP(
      $A980,
      INDI"&amp;"RECT(""'""&amp;ultimo&amp;""'!C:C""),
      INDIRECT(""'""&amp;ultimo&amp;""'!A:A"")
    )
  ),
  """"
)"),"")</f>
        <v/>
      </c>
      <c r="C980" s="41" t="str">
        <f t="shared" ref="C980:J980" si="979">IF(
  COUNTIF(
    INDIRECT("'"&amp;C$1&amp;"'!C:C"),
    $A980
  )&gt;0,
  "X",
  ""
)</f>
        <v/>
      </c>
      <c r="D980" s="41" t="str">
        <f t="shared" si="979"/>
        <v/>
      </c>
      <c r="E980" s="41" t="str">
        <f t="shared" si="979"/>
        <v/>
      </c>
      <c r="F980" s="41" t="str">
        <f t="shared" si="979"/>
        <v/>
      </c>
      <c r="G980" s="41" t="str">
        <f t="shared" si="979"/>
        <v/>
      </c>
      <c r="H980" s="41" t="str">
        <f t="shared" si="979"/>
        <v/>
      </c>
      <c r="I980" s="41" t="str">
        <f t="shared" si="979"/>
        <v/>
      </c>
      <c r="J980" s="41" t="str">
        <f t="shared" si="979"/>
        <v/>
      </c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67.5" customHeight="1">
      <c r="A981" s="39"/>
      <c r="B981" s="43" t="str">
        <f>IFERROR(__xludf.DUMMYFUNCTION("IFERROR(
  LET(
    periodos, C$1:Z$1,
    marcas, C981:Z981,
    pos, MAX(
          FILTER(
            COLUMN(marcas)-COLUMN(C981)+1,
            marcas=""X""
          )
        ),
    ultimo, INDEX(periodos, pos),
    XLOOKUP(
      $A981,
      INDI"&amp;"RECT(""'""&amp;ultimo&amp;""'!C:C""),
      INDIRECT(""'""&amp;ultimo&amp;""'!A:A"")
    )
  ),
  """"
)"),"")</f>
        <v/>
      </c>
      <c r="C981" s="41" t="str">
        <f t="shared" ref="C981:J981" si="980">IF(
  COUNTIF(
    INDIRECT("'"&amp;C$1&amp;"'!C:C"),
    $A981
  )&gt;0,
  "X",
  ""
)</f>
        <v/>
      </c>
      <c r="D981" s="41" t="str">
        <f t="shared" si="980"/>
        <v/>
      </c>
      <c r="E981" s="41" t="str">
        <f t="shared" si="980"/>
        <v/>
      </c>
      <c r="F981" s="41" t="str">
        <f t="shared" si="980"/>
        <v/>
      </c>
      <c r="G981" s="41" t="str">
        <f t="shared" si="980"/>
        <v/>
      </c>
      <c r="H981" s="41" t="str">
        <f t="shared" si="980"/>
        <v/>
      </c>
      <c r="I981" s="41" t="str">
        <f t="shared" si="980"/>
        <v/>
      </c>
      <c r="J981" s="41" t="str">
        <f t="shared" si="980"/>
        <v/>
      </c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67.5" customHeight="1">
      <c r="A982" s="39"/>
      <c r="B982" s="43" t="str">
        <f>IFERROR(__xludf.DUMMYFUNCTION("IFERROR(
  LET(
    periodos, C$1:Z$1,
    marcas, C982:Z982,
    pos, MAX(
          FILTER(
            COLUMN(marcas)-COLUMN(C982)+1,
            marcas=""X""
          )
        ),
    ultimo, INDEX(periodos, pos),
    XLOOKUP(
      $A982,
      INDI"&amp;"RECT(""'""&amp;ultimo&amp;""'!C:C""),
      INDIRECT(""'""&amp;ultimo&amp;""'!A:A"")
    )
  ),
  """"
)"),"")</f>
        <v/>
      </c>
      <c r="C982" s="41" t="str">
        <f t="shared" ref="C982:J982" si="981">IF(
  COUNTIF(
    INDIRECT("'"&amp;C$1&amp;"'!C:C"),
    $A982
  )&gt;0,
  "X",
  ""
)</f>
        <v/>
      </c>
      <c r="D982" s="41" t="str">
        <f t="shared" si="981"/>
        <v/>
      </c>
      <c r="E982" s="41" t="str">
        <f t="shared" si="981"/>
        <v/>
      </c>
      <c r="F982" s="41" t="str">
        <f t="shared" si="981"/>
        <v/>
      </c>
      <c r="G982" s="41" t="str">
        <f t="shared" si="981"/>
        <v/>
      </c>
      <c r="H982" s="41" t="str">
        <f t="shared" si="981"/>
        <v/>
      </c>
      <c r="I982" s="41" t="str">
        <f t="shared" si="981"/>
        <v/>
      </c>
      <c r="J982" s="41" t="str">
        <f t="shared" si="981"/>
        <v/>
      </c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67.5" customHeight="1">
      <c r="A983" s="39"/>
      <c r="B983" s="43" t="str">
        <f>IFERROR(__xludf.DUMMYFUNCTION("IFERROR(
  LET(
    periodos, C$1:Z$1,
    marcas, C983:Z983,
    pos, MAX(
          FILTER(
            COLUMN(marcas)-COLUMN(C983)+1,
            marcas=""X""
          )
        ),
    ultimo, INDEX(periodos, pos),
    XLOOKUP(
      $A983,
      INDI"&amp;"RECT(""'""&amp;ultimo&amp;""'!C:C""),
      INDIRECT(""'""&amp;ultimo&amp;""'!A:A"")
    )
  ),
  """"
)"),"")</f>
        <v/>
      </c>
      <c r="C983" s="41" t="str">
        <f t="shared" ref="C983:J983" si="982">IF(
  COUNTIF(
    INDIRECT("'"&amp;C$1&amp;"'!C:C"),
    $A983
  )&gt;0,
  "X",
  ""
)</f>
        <v/>
      </c>
      <c r="D983" s="41" t="str">
        <f t="shared" si="982"/>
        <v/>
      </c>
      <c r="E983" s="41" t="str">
        <f t="shared" si="982"/>
        <v/>
      </c>
      <c r="F983" s="41" t="str">
        <f t="shared" si="982"/>
        <v/>
      </c>
      <c r="G983" s="41" t="str">
        <f t="shared" si="982"/>
        <v/>
      </c>
      <c r="H983" s="41" t="str">
        <f t="shared" si="982"/>
        <v/>
      </c>
      <c r="I983" s="41" t="str">
        <f t="shared" si="982"/>
        <v/>
      </c>
      <c r="J983" s="41" t="str">
        <f t="shared" si="982"/>
        <v/>
      </c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67.5" customHeight="1">
      <c r="A984" s="39"/>
      <c r="B984" s="43" t="str">
        <f>IFERROR(__xludf.DUMMYFUNCTION("IFERROR(
  LET(
    periodos, C$1:Z$1,
    marcas, C984:Z984,
    pos, MAX(
          FILTER(
            COLUMN(marcas)-COLUMN(C984)+1,
            marcas=""X""
          )
        ),
    ultimo, INDEX(periodos, pos),
    XLOOKUP(
      $A984,
      INDI"&amp;"RECT(""'""&amp;ultimo&amp;""'!C:C""),
      INDIRECT(""'""&amp;ultimo&amp;""'!A:A"")
    )
  ),
  """"
)"),"")</f>
        <v/>
      </c>
      <c r="C984" s="41" t="str">
        <f t="shared" ref="C984:J984" si="983">IF(
  COUNTIF(
    INDIRECT("'"&amp;C$1&amp;"'!C:C"),
    $A984
  )&gt;0,
  "X",
  ""
)</f>
        <v/>
      </c>
      <c r="D984" s="41" t="str">
        <f t="shared" si="983"/>
        <v/>
      </c>
      <c r="E984" s="41" t="str">
        <f t="shared" si="983"/>
        <v/>
      </c>
      <c r="F984" s="41" t="str">
        <f t="shared" si="983"/>
        <v/>
      </c>
      <c r="G984" s="41" t="str">
        <f t="shared" si="983"/>
        <v/>
      </c>
      <c r="H984" s="41" t="str">
        <f t="shared" si="983"/>
        <v/>
      </c>
      <c r="I984" s="41" t="str">
        <f t="shared" si="983"/>
        <v/>
      </c>
      <c r="J984" s="41" t="str">
        <f t="shared" si="983"/>
        <v/>
      </c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67.5" customHeight="1">
      <c r="A985" s="39"/>
      <c r="B985" s="43" t="str">
        <f>IFERROR(__xludf.DUMMYFUNCTION("IFERROR(
  LET(
    periodos, C$1:Z$1,
    marcas, C985:Z985,
    pos, MAX(
          FILTER(
            COLUMN(marcas)-COLUMN(C985)+1,
            marcas=""X""
          )
        ),
    ultimo, INDEX(periodos, pos),
    XLOOKUP(
      $A985,
      INDI"&amp;"RECT(""'""&amp;ultimo&amp;""'!C:C""),
      INDIRECT(""'""&amp;ultimo&amp;""'!A:A"")
    )
  ),
  """"
)"),"")</f>
        <v/>
      </c>
      <c r="C985" s="41" t="str">
        <f t="shared" ref="C985:J985" si="984">IF(
  COUNTIF(
    INDIRECT("'"&amp;C$1&amp;"'!C:C"),
    $A985
  )&gt;0,
  "X",
  ""
)</f>
        <v/>
      </c>
      <c r="D985" s="41" t="str">
        <f t="shared" si="984"/>
        <v/>
      </c>
      <c r="E985" s="41" t="str">
        <f t="shared" si="984"/>
        <v/>
      </c>
      <c r="F985" s="41" t="str">
        <f t="shared" si="984"/>
        <v/>
      </c>
      <c r="G985" s="41" t="str">
        <f t="shared" si="984"/>
        <v/>
      </c>
      <c r="H985" s="41" t="str">
        <f t="shared" si="984"/>
        <v/>
      </c>
      <c r="I985" s="41" t="str">
        <f t="shared" si="984"/>
        <v/>
      </c>
      <c r="J985" s="41" t="str">
        <f t="shared" si="984"/>
        <v/>
      </c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67.5" customHeight="1">
      <c r="A986" s="39"/>
      <c r="B986" s="43" t="str">
        <f>IFERROR(__xludf.DUMMYFUNCTION("IFERROR(
  LET(
    periodos, C$1:Z$1,
    marcas, C986:Z986,
    pos, MAX(
          FILTER(
            COLUMN(marcas)-COLUMN(C986)+1,
            marcas=""X""
          )
        ),
    ultimo, INDEX(periodos, pos),
    XLOOKUP(
      $A986,
      INDI"&amp;"RECT(""'""&amp;ultimo&amp;""'!C:C""),
      INDIRECT(""'""&amp;ultimo&amp;""'!A:A"")
    )
  ),
  """"
)"),"")</f>
        <v/>
      </c>
      <c r="C986" s="41" t="str">
        <f t="shared" ref="C986:J986" si="985">IF(
  COUNTIF(
    INDIRECT("'"&amp;C$1&amp;"'!C:C"),
    $A986
  )&gt;0,
  "X",
  ""
)</f>
        <v/>
      </c>
      <c r="D986" s="41" t="str">
        <f t="shared" si="985"/>
        <v/>
      </c>
      <c r="E986" s="41" t="str">
        <f t="shared" si="985"/>
        <v/>
      </c>
      <c r="F986" s="41" t="str">
        <f t="shared" si="985"/>
        <v/>
      </c>
      <c r="G986" s="41" t="str">
        <f t="shared" si="985"/>
        <v/>
      </c>
      <c r="H986" s="41" t="str">
        <f t="shared" si="985"/>
        <v/>
      </c>
      <c r="I986" s="41" t="str">
        <f t="shared" si="985"/>
        <v/>
      </c>
      <c r="J986" s="41" t="str">
        <f t="shared" si="985"/>
        <v/>
      </c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67.5" customHeight="1">
      <c r="A987" s="39"/>
      <c r="B987" s="43" t="str">
        <f>IFERROR(__xludf.DUMMYFUNCTION("IFERROR(
  LET(
    periodos, C$1:Z$1,
    marcas, C987:Z987,
    pos, MAX(
          FILTER(
            COLUMN(marcas)-COLUMN(C987)+1,
            marcas=""X""
          )
        ),
    ultimo, INDEX(periodos, pos),
    XLOOKUP(
      $A987,
      INDI"&amp;"RECT(""'""&amp;ultimo&amp;""'!C:C""),
      INDIRECT(""'""&amp;ultimo&amp;""'!A:A"")
    )
  ),
  """"
)"),"")</f>
        <v/>
      </c>
      <c r="C987" s="41" t="str">
        <f t="shared" ref="C987:J987" si="986">IF(
  COUNTIF(
    INDIRECT("'"&amp;C$1&amp;"'!C:C"),
    $A987
  )&gt;0,
  "X",
  ""
)</f>
        <v/>
      </c>
      <c r="D987" s="41" t="str">
        <f t="shared" si="986"/>
        <v/>
      </c>
      <c r="E987" s="41" t="str">
        <f t="shared" si="986"/>
        <v/>
      </c>
      <c r="F987" s="41" t="str">
        <f t="shared" si="986"/>
        <v/>
      </c>
      <c r="G987" s="41" t="str">
        <f t="shared" si="986"/>
        <v/>
      </c>
      <c r="H987" s="41" t="str">
        <f t="shared" si="986"/>
        <v/>
      </c>
      <c r="I987" s="41" t="str">
        <f t="shared" si="986"/>
        <v/>
      </c>
      <c r="J987" s="41" t="str">
        <f t="shared" si="986"/>
        <v/>
      </c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67.5" customHeight="1">
      <c r="A988" s="39"/>
      <c r="B988" s="43" t="str">
        <f>IFERROR(__xludf.DUMMYFUNCTION("IFERROR(
  LET(
    periodos, C$1:Z$1,
    marcas, C988:Z988,
    pos, MAX(
          FILTER(
            COLUMN(marcas)-COLUMN(C988)+1,
            marcas=""X""
          )
        ),
    ultimo, INDEX(periodos, pos),
    XLOOKUP(
      $A988,
      INDI"&amp;"RECT(""'""&amp;ultimo&amp;""'!C:C""),
      INDIRECT(""'""&amp;ultimo&amp;""'!A:A"")
    )
  ),
  """"
)"),"")</f>
        <v/>
      </c>
      <c r="C988" s="41" t="str">
        <f t="shared" ref="C988:J988" si="987">IF(
  COUNTIF(
    INDIRECT("'"&amp;C$1&amp;"'!C:C"),
    $A988
  )&gt;0,
  "X",
  ""
)</f>
        <v/>
      </c>
      <c r="D988" s="41" t="str">
        <f t="shared" si="987"/>
        <v/>
      </c>
      <c r="E988" s="41" t="str">
        <f t="shared" si="987"/>
        <v/>
      </c>
      <c r="F988" s="41" t="str">
        <f t="shared" si="987"/>
        <v/>
      </c>
      <c r="G988" s="41" t="str">
        <f t="shared" si="987"/>
        <v/>
      </c>
      <c r="H988" s="41" t="str">
        <f t="shared" si="987"/>
        <v/>
      </c>
      <c r="I988" s="41" t="str">
        <f t="shared" si="987"/>
        <v/>
      </c>
      <c r="J988" s="41" t="str">
        <f t="shared" si="987"/>
        <v/>
      </c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67.5" customHeight="1">
      <c r="A989" s="39"/>
      <c r="B989" s="43" t="str">
        <f>IFERROR(__xludf.DUMMYFUNCTION("IFERROR(
  LET(
    periodos, C$1:Z$1,
    marcas, C989:Z989,
    pos, MAX(
          FILTER(
            COLUMN(marcas)-COLUMN(C989)+1,
            marcas=""X""
          )
        ),
    ultimo, INDEX(periodos, pos),
    XLOOKUP(
      $A989,
      INDI"&amp;"RECT(""'""&amp;ultimo&amp;""'!C:C""),
      INDIRECT(""'""&amp;ultimo&amp;""'!A:A"")
    )
  ),
  """"
)"),"")</f>
        <v/>
      </c>
      <c r="C989" s="41" t="str">
        <f t="shared" ref="C989:J989" si="988">IF(
  COUNTIF(
    INDIRECT("'"&amp;C$1&amp;"'!C:C"),
    $A989
  )&gt;0,
  "X",
  ""
)</f>
        <v/>
      </c>
      <c r="D989" s="41" t="str">
        <f t="shared" si="988"/>
        <v/>
      </c>
      <c r="E989" s="41" t="str">
        <f t="shared" si="988"/>
        <v/>
      </c>
      <c r="F989" s="41" t="str">
        <f t="shared" si="988"/>
        <v/>
      </c>
      <c r="G989" s="41" t="str">
        <f t="shared" si="988"/>
        <v/>
      </c>
      <c r="H989" s="41" t="str">
        <f t="shared" si="988"/>
        <v/>
      </c>
      <c r="I989" s="41" t="str">
        <f t="shared" si="988"/>
        <v/>
      </c>
      <c r="J989" s="41" t="str">
        <f t="shared" si="988"/>
        <v/>
      </c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67.5" customHeight="1">
      <c r="A990" s="39"/>
      <c r="B990" s="43" t="str">
        <f>IFERROR(__xludf.DUMMYFUNCTION("IFERROR(
  LET(
    periodos, C$1:Z$1,
    marcas, C990:Z990,
    pos, MAX(
          FILTER(
            COLUMN(marcas)-COLUMN(C990)+1,
            marcas=""X""
          )
        ),
    ultimo, INDEX(periodos, pos),
    XLOOKUP(
      $A990,
      INDI"&amp;"RECT(""'""&amp;ultimo&amp;""'!C:C""),
      INDIRECT(""'""&amp;ultimo&amp;""'!A:A"")
    )
  ),
  """"
)"),"")</f>
        <v/>
      </c>
      <c r="C990" s="41" t="str">
        <f t="shared" ref="C990:J990" si="989">IF(
  COUNTIF(
    INDIRECT("'"&amp;C$1&amp;"'!C:C"),
    $A990
  )&gt;0,
  "X",
  ""
)</f>
        <v/>
      </c>
      <c r="D990" s="41" t="str">
        <f t="shared" si="989"/>
        <v/>
      </c>
      <c r="E990" s="41" t="str">
        <f t="shared" si="989"/>
        <v/>
      </c>
      <c r="F990" s="41" t="str">
        <f t="shared" si="989"/>
        <v/>
      </c>
      <c r="G990" s="41" t="str">
        <f t="shared" si="989"/>
        <v/>
      </c>
      <c r="H990" s="41" t="str">
        <f t="shared" si="989"/>
        <v/>
      </c>
      <c r="I990" s="41" t="str">
        <f t="shared" si="989"/>
        <v/>
      </c>
      <c r="J990" s="41" t="str">
        <f t="shared" si="989"/>
        <v/>
      </c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67.5" customHeight="1">
      <c r="A991" s="39"/>
      <c r="B991" s="43" t="str">
        <f>IFERROR(__xludf.DUMMYFUNCTION("IFERROR(
  LET(
    periodos, C$1:Z$1,
    marcas, C991:Z991,
    pos, MAX(
          FILTER(
            COLUMN(marcas)-COLUMN(C991)+1,
            marcas=""X""
          )
        ),
    ultimo, INDEX(periodos, pos),
    XLOOKUP(
      $A991,
      INDI"&amp;"RECT(""'""&amp;ultimo&amp;""'!C:C""),
      INDIRECT(""'""&amp;ultimo&amp;""'!A:A"")
    )
  ),
  """"
)"),"")</f>
        <v/>
      </c>
      <c r="C991" s="41" t="str">
        <f t="shared" ref="C991:J991" si="990">IF(
  COUNTIF(
    INDIRECT("'"&amp;C$1&amp;"'!C:C"),
    $A991
  )&gt;0,
  "X",
  ""
)</f>
        <v/>
      </c>
      <c r="D991" s="41" t="str">
        <f t="shared" si="990"/>
        <v/>
      </c>
      <c r="E991" s="41" t="str">
        <f t="shared" si="990"/>
        <v/>
      </c>
      <c r="F991" s="41" t="str">
        <f t="shared" si="990"/>
        <v/>
      </c>
      <c r="G991" s="41" t="str">
        <f t="shared" si="990"/>
        <v/>
      </c>
      <c r="H991" s="41" t="str">
        <f t="shared" si="990"/>
        <v/>
      </c>
      <c r="I991" s="41" t="str">
        <f t="shared" si="990"/>
        <v/>
      </c>
      <c r="J991" s="41" t="str">
        <f t="shared" si="990"/>
        <v/>
      </c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67.5" customHeight="1">
      <c r="A992" s="39"/>
      <c r="B992" s="43" t="str">
        <f>IFERROR(__xludf.DUMMYFUNCTION("IFERROR(
  LET(
    periodos, C$1:Z$1,
    marcas, C992:Z992,
    pos, MAX(
          FILTER(
            COLUMN(marcas)-COLUMN(C992)+1,
            marcas=""X""
          )
        ),
    ultimo, INDEX(periodos, pos),
    XLOOKUP(
      $A992,
      INDI"&amp;"RECT(""'""&amp;ultimo&amp;""'!C:C""),
      INDIRECT(""'""&amp;ultimo&amp;""'!A:A"")
    )
  ),
  """"
)"),"")</f>
        <v/>
      </c>
      <c r="C992" s="41" t="str">
        <f t="shared" ref="C992:J992" si="991">IF(
  COUNTIF(
    INDIRECT("'"&amp;C$1&amp;"'!C:C"),
    $A992
  )&gt;0,
  "X",
  ""
)</f>
        <v/>
      </c>
      <c r="D992" s="41" t="str">
        <f t="shared" si="991"/>
        <v/>
      </c>
      <c r="E992" s="41" t="str">
        <f t="shared" si="991"/>
        <v/>
      </c>
      <c r="F992" s="41" t="str">
        <f t="shared" si="991"/>
        <v/>
      </c>
      <c r="G992" s="41" t="str">
        <f t="shared" si="991"/>
        <v/>
      </c>
      <c r="H992" s="41" t="str">
        <f t="shared" si="991"/>
        <v/>
      </c>
      <c r="I992" s="41" t="str">
        <f t="shared" si="991"/>
        <v/>
      </c>
      <c r="J992" s="41" t="str">
        <f t="shared" si="991"/>
        <v/>
      </c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67.5" customHeight="1">
      <c r="A993" s="39"/>
      <c r="B993" s="43" t="str">
        <f>IFERROR(__xludf.DUMMYFUNCTION("IFERROR(
  LET(
    periodos, C$1:Z$1,
    marcas, C993:Z993,
    pos, MAX(
          FILTER(
            COLUMN(marcas)-COLUMN(C993)+1,
            marcas=""X""
          )
        ),
    ultimo, INDEX(periodos, pos),
    XLOOKUP(
      $A993,
      INDI"&amp;"RECT(""'""&amp;ultimo&amp;""'!C:C""),
      INDIRECT(""'""&amp;ultimo&amp;""'!A:A"")
    )
  ),
  """"
)"),"")</f>
        <v/>
      </c>
      <c r="C993" s="41" t="str">
        <f t="shared" ref="C993:J993" si="992">IF(
  COUNTIF(
    INDIRECT("'"&amp;C$1&amp;"'!C:C"),
    $A993
  )&gt;0,
  "X",
  ""
)</f>
        <v/>
      </c>
      <c r="D993" s="41" t="str">
        <f t="shared" si="992"/>
        <v/>
      </c>
      <c r="E993" s="41" t="str">
        <f t="shared" si="992"/>
        <v/>
      </c>
      <c r="F993" s="41" t="str">
        <f t="shared" si="992"/>
        <v/>
      </c>
      <c r="G993" s="41" t="str">
        <f t="shared" si="992"/>
        <v/>
      </c>
      <c r="H993" s="41" t="str">
        <f t="shared" si="992"/>
        <v/>
      </c>
      <c r="I993" s="41" t="str">
        <f t="shared" si="992"/>
        <v/>
      </c>
      <c r="J993" s="41" t="str">
        <f t="shared" si="992"/>
        <v/>
      </c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67.5" customHeight="1">
      <c r="A994" s="39"/>
      <c r="B994" s="43" t="str">
        <f>IFERROR(__xludf.DUMMYFUNCTION("IFERROR(
  LET(
    periodos, C$1:Z$1,
    marcas, C994:Z994,
    pos, MAX(
          FILTER(
            COLUMN(marcas)-COLUMN(C994)+1,
            marcas=""X""
          )
        ),
    ultimo, INDEX(periodos, pos),
    XLOOKUP(
      $A994,
      INDI"&amp;"RECT(""'""&amp;ultimo&amp;""'!C:C""),
      INDIRECT(""'""&amp;ultimo&amp;""'!A:A"")
    )
  ),
  """"
)"),"")</f>
        <v/>
      </c>
      <c r="C994" s="41" t="str">
        <f t="shared" ref="C994:J994" si="993">IF(
  COUNTIF(
    INDIRECT("'"&amp;C$1&amp;"'!C:C"),
    $A994
  )&gt;0,
  "X",
  ""
)</f>
        <v/>
      </c>
      <c r="D994" s="41" t="str">
        <f t="shared" si="993"/>
        <v/>
      </c>
      <c r="E994" s="41" t="str">
        <f t="shared" si="993"/>
        <v/>
      </c>
      <c r="F994" s="41" t="str">
        <f t="shared" si="993"/>
        <v/>
      </c>
      <c r="G994" s="41" t="str">
        <f t="shared" si="993"/>
        <v/>
      </c>
      <c r="H994" s="41" t="str">
        <f t="shared" si="993"/>
        <v/>
      </c>
      <c r="I994" s="41" t="str">
        <f t="shared" si="993"/>
        <v/>
      </c>
      <c r="J994" s="41" t="str">
        <f t="shared" si="993"/>
        <v/>
      </c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67.5" customHeight="1">
      <c r="A995" s="39"/>
      <c r="B995" s="43" t="str">
        <f>IFERROR(__xludf.DUMMYFUNCTION("IFERROR(
  LET(
    periodos, C$1:Z$1,
    marcas, C995:Z995,
    pos, MAX(
          FILTER(
            COLUMN(marcas)-COLUMN(C995)+1,
            marcas=""X""
          )
        ),
    ultimo, INDEX(periodos, pos),
    XLOOKUP(
      $A995,
      INDI"&amp;"RECT(""'""&amp;ultimo&amp;""'!C:C""),
      INDIRECT(""'""&amp;ultimo&amp;""'!A:A"")
    )
  ),
  """"
)"),"")</f>
        <v/>
      </c>
      <c r="C995" s="41" t="str">
        <f t="shared" ref="C995:J995" si="994">IF(
  COUNTIF(
    INDIRECT("'"&amp;C$1&amp;"'!C:C"),
    $A995
  )&gt;0,
  "X",
  ""
)</f>
        <v/>
      </c>
      <c r="D995" s="41" t="str">
        <f t="shared" si="994"/>
        <v/>
      </c>
      <c r="E995" s="41" t="str">
        <f t="shared" si="994"/>
        <v/>
      </c>
      <c r="F995" s="41" t="str">
        <f t="shared" si="994"/>
        <v/>
      </c>
      <c r="G995" s="41" t="str">
        <f t="shared" si="994"/>
        <v/>
      </c>
      <c r="H995" s="41" t="str">
        <f t="shared" si="994"/>
        <v/>
      </c>
      <c r="I995" s="41" t="str">
        <f t="shared" si="994"/>
        <v/>
      </c>
      <c r="J995" s="41" t="str">
        <f t="shared" si="994"/>
        <v/>
      </c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67.5" customHeight="1">
      <c r="A996" s="39"/>
      <c r="B996" s="43" t="str">
        <f>IFERROR(__xludf.DUMMYFUNCTION("IFERROR(
  LET(
    periodos, C$1:Z$1,
    marcas, C996:Z996,
    pos, MAX(
          FILTER(
            COLUMN(marcas)-COLUMN(C996)+1,
            marcas=""X""
          )
        ),
    ultimo, INDEX(periodos, pos),
    XLOOKUP(
      $A996,
      INDI"&amp;"RECT(""'""&amp;ultimo&amp;""'!C:C""),
      INDIRECT(""'""&amp;ultimo&amp;""'!A:A"")
    )
  ),
  """"
)"),"")</f>
        <v/>
      </c>
      <c r="C996" s="41" t="str">
        <f t="shared" ref="C996:J996" si="995">IF(
  COUNTIF(
    INDIRECT("'"&amp;C$1&amp;"'!C:C"),
    $A996
  )&gt;0,
  "X",
  ""
)</f>
        <v/>
      </c>
      <c r="D996" s="41" t="str">
        <f t="shared" si="995"/>
        <v/>
      </c>
      <c r="E996" s="41" t="str">
        <f t="shared" si="995"/>
        <v/>
      </c>
      <c r="F996" s="41" t="str">
        <f t="shared" si="995"/>
        <v/>
      </c>
      <c r="G996" s="41" t="str">
        <f t="shared" si="995"/>
        <v/>
      </c>
      <c r="H996" s="41" t="str">
        <f t="shared" si="995"/>
        <v/>
      </c>
      <c r="I996" s="41" t="str">
        <f t="shared" si="995"/>
        <v/>
      </c>
      <c r="J996" s="41" t="str">
        <f t="shared" si="995"/>
        <v/>
      </c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67.5" customHeight="1">
      <c r="A997" s="39"/>
      <c r="B997" s="43" t="str">
        <f>IFERROR(__xludf.DUMMYFUNCTION("IFERROR(
  LET(
    periodos, C$1:Z$1,
    marcas, C997:Z997,
    pos, MAX(
          FILTER(
            COLUMN(marcas)-COLUMN(C997)+1,
            marcas=""X""
          )
        ),
    ultimo, INDEX(periodos, pos),
    XLOOKUP(
      $A997,
      INDI"&amp;"RECT(""'""&amp;ultimo&amp;""'!C:C""),
      INDIRECT(""'""&amp;ultimo&amp;""'!A:A"")
    )
  ),
  """"
)"),"")</f>
        <v/>
      </c>
      <c r="C997" s="41" t="str">
        <f t="shared" ref="C997:J997" si="996">IF(
  COUNTIF(
    INDIRECT("'"&amp;C$1&amp;"'!C:C"),
    $A997
  )&gt;0,
  "X",
  ""
)</f>
        <v/>
      </c>
      <c r="D997" s="41" t="str">
        <f t="shared" si="996"/>
        <v/>
      </c>
      <c r="E997" s="41" t="str">
        <f t="shared" si="996"/>
        <v/>
      </c>
      <c r="F997" s="41" t="str">
        <f t="shared" si="996"/>
        <v/>
      </c>
      <c r="G997" s="41" t="str">
        <f t="shared" si="996"/>
        <v/>
      </c>
      <c r="H997" s="41" t="str">
        <f t="shared" si="996"/>
        <v/>
      </c>
      <c r="I997" s="41" t="str">
        <f t="shared" si="996"/>
        <v/>
      </c>
      <c r="J997" s="41" t="str">
        <f t="shared" si="996"/>
        <v/>
      </c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67.5" customHeight="1">
      <c r="A998" s="39"/>
      <c r="B998" s="43" t="str">
        <f>IFERROR(__xludf.DUMMYFUNCTION("IFERROR(
  LET(
    periodos, C$1:Z$1,
    marcas, C998:Z998,
    pos, MAX(
          FILTER(
            COLUMN(marcas)-COLUMN(C998)+1,
            marcas=""X""
          )
        ),
    ultimo, INDEX(periodos, pos),
    XLOOKUP(
      $A998,
      INDI"&amp;"RECT(""'""&amp;ultimo&amp;""'!C:C""),
      INDIRECT(""'""&amp;ultimo&amp;""'!A:A"")
    )
  ),
  """"
)"),"")</f>
        <v/>
      </c>
      <c r="C998" s="41" t="str">
        <f t="shared" ref="C998:J998" si="997">IF(
  COUNTIF(
    INDIRECT("'"&amp;C$1&amp;"'!C:C"),
    $A998
  )&gt;0,
  "X",
  ""
)</f>
        <v/>
      </c>
      <c r="D998" s="41" t="str">
        <f t="shared" si="997"/>
        <v/>
      </c>
      <c r="E998" s="41" t="str">
        <f t="shared" si="997"/>
        <v/>
      </c>
      <c r="F998" s="41" t="str">
        <f t="shared" si="997"/>
        <v/>
      </c>
      <c r="G998" s="41" t="str">
        <f t="shared" si="997"/>
        <v/>
      </c>
      <c r="H998" s="41" t="str">
        <f t="shared" si="997"/>
        <v/>
      </c>
      <c r="I998" s="41" t="str">
        <f t="shared" si="997"/>
        <v/>
      </c>
      <c r="J998" s="41" t="str">
        <f t="shared" si="997"/>
        <v/>
      </c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67.5" customHeight="1">
      <c r="A999" s="39"/>
      <c r="B999" s="43" t="str">
        <f>IFERROR(__xludf.DUMMYFUNCTION("IFERROR(
  LET(
    periodos, C$1:Z$1,
    marcas, C999:Z999,
    pos, MAX(
          FILTER(
            COLUMN(marcas)-COLUMN(C999)+1,
            marcas=""X""
          )
        ),
    ultimo, INDEX(periodos, pos),
    XLOOKUP(
      $A999,
      INDI"&amp;"RECT(""'""&amp;ultimo&amp;""'!C:C""),
      INDIRECT(""'""&amp;ultimo&amp;""'!A:A"")
    )
  ),
  """"
)"),"")</f>
        <v/>
      </c>
      <c r="C999" s="41" t="str">
        <f t="shared" ref="C999:J999" si="998">IF(
  COUNTIF(
    INDIRECT("'"&amp;C$1&amp;"'!C:C"),
    $A999
  )&gt;0,
  "X",
  ""
)</f>
        <v/>
      </c>
      <c r="D999" s="41" t="str">
        <f t="shared" si="998"/>
        <v/>
      </c>
      <c r="E999" s="41" t="str">
        <f t="shared" si="998"/>
        <v/>
      </c>
      <c r="F999" s="41" t="str">
        <f t="shared" si="998"/>
        <v/>
      </c>
      <c r="G999" s="41" t="str">
        <f t="shared" si="998"/>
        <v/>
      </c>
      <c r="H999" s="41" t="str">
        <f t="shared" si="998"/>
        <v/>
      </c>
      <c r="I999" s="41" t="str">
        <f t="shared" si="998"/>
        <v/>
      </c>
      <c r="J999" s="41" t="str">
        <f t="shared" si="998"/>
        <v/>
      </c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67.5" customHeight="1">
      <c r="A1000" s="39"/>
      <c r="B1000" s="43" t="str">
        <f>IFERROR(__xludf.DUMMYFUNCTION("IFERROR(
  LET(
    periodos, C$1:Z$1,
    marcas, C1000:Z1000,
    pos, MAX(
          FILTER(
            COLUMN(marcas)-COLUMN(C1000)+1,
            marcas=""X""
          )
        ),
    ultimo, INDEX(periodos, pos),
    XLOOKUP(
      $A1000,
      "&amp;"INDIRECT(""'""&amp;ultimo&amp;""'!C:C""),
      INDIRECT(""'""&amp;ultimo&amp;""'!A:A"")
    )
  ),
  """"
)"),"")</f>
        <v/>
      </c>
      <c r="C1000" s="41" t="str">
        <f t="shared" ref="C1000:J1000" si="999">IF(
  COUNTIF(
    INDIRECT("'"&amp;C$1&amp;"'!C:C"),
    $A1000
  )&gt;0,
  "X",
  ""
)</f>
        <v/>
      </c>
      <c r="D1000" s="41" t="str">
        <f t="shared" si="999"/>
        <v/>
      </c>
      <c r="E1000" s="41" t="str">
        <f t="shared" si="999"/>
        <v/>
      </c>
      <c r="F1000" s="41" t="str">
        <f t="shared" si="999"/>
        <v/>
      </c>
      <c r="G1000" s="41" t="str">
        <f t="shared" si="999"/>
        <v/>
      </c>
      <c r="H1000" s="41" t="str">
        <f t="shared" si="999"/>
        <v/>
      </c>
      <c r="I1000" s="41" t="str">
        <f t="shared" si="999"/>
        <v/>
      </c>
      <c r="J1000" s="41" t="str">
        <f t="shared" si="999"/>
        <v/>
      </c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