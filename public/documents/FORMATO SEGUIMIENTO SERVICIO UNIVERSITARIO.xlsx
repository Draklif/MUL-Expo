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codeName="ThisWorkbook"/>
  <mc:AlternateContent xmlns:mc="http://schemas.openxmlformats.org/markup-compatibility/2006">
    <mc:Choice Requires="x15">
      <x15ac:absPath xmlns:x15ac="http://schemas.microsoft.com/office/spreadsheetml/2010/11/ac" url="https://uniboyacaeduco-my.sharepoint.com/personal/nodoanalitica_uniboyaca_edu_co/Documents/NODO ANALÍTICA DE DATOS/SEGUIMIENTO BECAS/SEGUIMIENTO BECAS SEGÚN PROGRAMA O DEPENDENCIA/202610/INGENIERÍA EN MULTIMEDIA/"/>
    </mc:Choice>
  </mc:AlternateContent>
  <xr:revisionPtr revIDLastSave="0" documentId="8_{0B7C5F34-95D5-4DEF-AB23-5936074E04E2}" xr6:coauthVersionLast="47" xr6:coauthVersionMax="47" xr10:uidLastSave="{00000000-0000-0000-0000-000000000000}"/>
  <bookViews>
    <workbookView xWindow="-109" yWindow="-109" windowWidth="26301" windowHeight="14169" tabRatio="820" firstSheet="2" activeTab="1" xr2:uid="{9F3A8842-B5C7-4331-A82A-C2A68C5DA25B}"/>
  </bookViews>
  <sheets>
    <sheet name="INDICACIONES" sheetId="8" r:id="rId1"/>
    <sheet name="BITACORA" sheetId="1" r:id="rId2"/>
    <sheet name="ESTUDIANTES BECARIOS" sheetId="2" r:id="rId3"/>
    <sheet name="DEPENDENCIA BECA" sheetId="7" r:id="rId4"/>
    <sheet name="DEPENDENCIAS" sheetId="4" state="hidden" r:id="rId5"/>
    <sheet name="FUNCIONARIOS" sheetId="5" state="hidden" r:id="rId6"/>
    <sheet name="ESTUDIANTES" sheetId="6" state="hidden" r:id="rId7"/>
  </sheets>
  <definedNames>
    <definedName name="_xlnm._FilterDatabase" localSheetId="4" hidden="1">DEPENDENCIAS!$B$2:$C$262</definedName>
    <definedName name="_xlnm._FilterDatabase" localSheetId="6" hidden="1">ESTUDIANTES!$B$2:$F$1089</definedName>
    <definedName name="Dependencia">Dependencias_Asignadas[PROGRAMA O DEPENDENCIA]</definedName>
    <definedName name="Estudiantes">Estudiantes_Becados[ESTUDIANTE]</definedName>
    <definedName name="Funcionarios">Total_Funcionarios[NOMBRE]</definedName>
    <definedName name="Responsables">Dependencias_Asignadas[JEFE / DIRECTOR]</definedName>
    <definedName name="Sub_Dependencia">Asignaciones[ASIGNACIONES]</definedName>
    <definedName name="Total_Dependencias">Dependencias_Totales[NOMBRE]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7" i="1" l="1"/>
  <c r="B253" i="1"/>
  <c r="B254" i="1"/>
  <c r="B255" i="1"/>
  <c r="B256" i="1"/>
  <c r="B257" i="1"/>
  <c r="B258" i="1"/>
  <c r="B259" i="1"/>
  <c r="B260" i="1"/>
  <c r="B261" i="1"/>
  <c r="B262" i="1"/>
  <c r="B263" i="1"/>
  <c r="B264" i="1"/>
  <c r="B265" i="1"/>
  <c r="B266" i="1"/>
  <c r="B267" i="1"/>
  <c r="B268" i="1"/>
  <c r="B269" i="1"/>
  <c r="B270" i="1"/>
  <c r="B271" i="1"/>
  <c r="B272" i="1"/>
  <c r="B273" i="1"/>
  <c r="B274" i="1"/>
  <c r="B275" i="1"/>
  <c r="B276" i="1"/>
  <c r="B240" i="1"/>
  <c r="B241" i="1"/>
  <c r="B242" i="1"/>
  <c r="B243" i="1"/>
  <c r="B244" i="1"/>
  <c r="B245" i="1"/>
  <c r="B246" i="1"/>
  <c r="B247" i="1"/>
  <c r="B248" i="1"/>
  <c r="B249" i="1"/>
  <c r="B250" i="1"/>
  <c r="B251" i="1"/>
  <c r="B252" i="1"/>
  <c r="B238" i="1"/>
  <c r="B239" i="1" s="1"/>
  <c r="B226" i="1"/>
  <c r="B227" i="1"/>
  <c r="B228" i="1"/>
  <c r="B229" i="1"/>
  <c r="B230" i="1"/>
  <c r="B231" i="1"/>
  <c r="B232" i="1"/>
  <c r="B233" i="1"/>
  <c r="B234" i="1"/>
  <c r="B235" i="1"/>
  <c r="B236" i="1"/>
  <c r="B237" i="1"/>
  <c r="B213" i="1"/>
  <c r="B214" i="1"/>
  <c r="B215" i="1"/>
  <c r="B216" i="1"/>
  <c r="B217" i="1"/>
  <c r="B218" i="1"/>
  <c r="B219" i="1"/>
  <c r="B220" i="1"/>
  <c r="B221" i="1"/>
  <c r="B222" i="1"/>
  <c r="B223" i="1"/>
  <c r="B224" i="1"/>
  <c r="B225" i="1"/>
  <c r="B202" i="1"/>
  <c r="B203" i="1"/>
  <c r="B204" i="1"/>
  <c r="B205" i="1"/>
  <c r="B206" i="1"/>
  <c r="B207" i="1"/>
  <c r="B208" i="1"/>
  <c r="B209" i="1"/>
  <c r="B210" i="1"/>
  <c r="B211" i="1"/>
  <c r="B212" i="1"/>
  <c r="B194" i="1"/>
  <c r="B195" i="1" s="1"/>
  <c r="B196" i="1" s="1"/>
  <c r="B197" i="1" s="1"/>
  <c r="B198" i="1" s="1"/>
  <c r="B199" i="1" s="1"/>
  <c r="B200" i="1" s="1"/>
  <c r="B201" i="1" s="1"/>
  <c r="B180" i="1"/>
  <c r="B181" i="1"/>
  <c r="B182" i="1"/>
  <c r="B183" i="1"/>
  <c r="B184" i="1"/>
  <c r="B185" i="1"/>
  <c r="B186" i="1"/>
  <c r="B187" i="1"/>
  <c r="B188" i="1"/>
  <c r="B189" i="1"/>
  <c r="B190" i="1"/>
  <c r="B191" i="1"/>
  <c r="B192" i="1"/>
  <c r="B193" i="1"/>
  <c r="B171" i="1"/>
  <c r="B172" i="1" s="1"/>
  <c r="B173" i="1" s="1"/>
  <c r="B174" i="1" s="1"/>
  <c r="B175" i="1" s="1"/>
  <c r="B176" i="1" s="1"/>
  <c r="B177" i="1" s="1"/>
  <c r="B178" i="1" s="1"/>
  <c r="B179" i="1" s="1"/>
  <c r="B165" i="1"/>
  <c r="B166" i="1" s="1"/>
  <c r="B167" i="1" s="1"/>
  <c r="B168" i="1" s="1"/>
  <c r="B169" i="1" s="1"/>
  <c r="B170" i="1" s="1"/>
  <c r="B160" i="1"/>
  <c r="B161" i="1"/>
  <c r="B162" i="1"/>
  <c r="B163" i="1"/>
  <c r="B164" i="1"/>
  <c r="B152" i="1"/>
  <c r="B153" i="1" s="1"/>
  <c r="B154" i="1" s="1"/>
  <c r="B155" i="1" s="1"/>
  <c r="B156" i="1" s="1"/>
  <c r="B157" i="1" s="1"/>
  <c r="B158" i="1" s="1"/>
  <c r="B159" i="1" s="1"/>
  <c r="B140" i="1"/>
  <c r="B141" i="1"/>
  <c r="B142" i="1"/>
  <c r="B143" i="1"/>
  <c r="B144" i="1"/>
  <c r="B145" i="1"/>
  <c r="B146" i="1"/>
  <c r="B147" i="1"/>
  <c r="B148" i="1"/>
  <c r="B149" i="1"/>
  <c r="B150" i="1"/>
  <c r="B151" i="1"/>
  <c r="B137" i="1"/>
  <c r="B138" i="1" s="1"/>
  <c r="B139" i="1" s="1"/>
  <c r="B130" i="1"/>
  <c r="B131" i="1" s="1"/>
  <c r="B132" i="1" s="1"/>
  <c r="B133" i="1" s="1"/>
  <c r="B134" i="1" s="1"/>
  <c r="B135" i="1" s="1"/>
  <c r="B136" i="1" s="1"/>
  <c r="B117" i="1"/>
  <c r="B118" i="1"/>
  <c r="B119" i="1"/>
  <c r="B120" i="1"/>
  <c r="B121" i="1"/>
  <c r="B122" i="1"/>
  <c r="B123" i="1"/>
  <c r="B124" i="1"/>
  <c r="B125" i="1"/>
  <c r="B126" i="1"/>
  <c r="B127" i="1"/>
  <c r="B128" i="1"/>
  <c r="B129" i="1"/>
  <c r="B116" i="1"/>
  <c r="B110" i="1"/>
  <c r="B111" i="1"/>
  <c r="B112" i="1"/>
  <c r="B113" i="1"/>
  <c r="B114" i="1"/>
  <c r="B115" i="1"/>
  <c r="B103" i="1"/>
  <c r="B104" i="1" s="1"/>
  <c r="B105" i="1" s="1"/>
  <c r="B106" i="1" s="1"/>
  <c r="B107" i="1" s="1"/>
  <c r="B108" i="1" s="1"/>
  <c r="B109" i="1" s="1"/>
  <c r="B102" i="1"/>
  <c r="B95" i="1"/>
  <c r="B96" i="1"/>
  <c r="B97" i="1"/>
  <c r="B98" i="1"/>
  <c r="B99" i="1"/>
  <c r="B100" i="1"/>
  <c r="B101" i="1"/>
  <c r="B86" i="1"/>
  <c r="B87" i="1" s="1"/>
  <c r="B88" i="1" s="1"/>
  <c r="B89" i="1" s="1"/>
  <c r="B90" i="1" s="1"/>
  <c r="B91" i="1" s="1"/>
  <c r="B92" i="1" s="1"/>
  <c r="B93" i="1" s="1"/>
  <c r="B94" i="1" s="1"/>
  <c r="B78" i="1"/>
  <c r="B79" i="1"/>
  <c r="B80" i="1"/>
  <c r="B81" i="1"/>
  <c r="B82" i="1"/>
  <c r="B83" i="1"/>
  <c r="B84" i="1"/>
  <c r="B85" i="1"/>
  <c r="B70" i="1"/>
  <c r="B71" i="1"/>
  <c r="B72" i="1"/>
  <c r="B73" i="1"/>
  <c r="B74" i="1"/>
  <c r="B75" i="1"/>
  <c r="B76" i="1"/>
  <c r="B77" i="1"/>
  <c r="B64" i="1"/>
  <c r="B65" i="1" s="1"/>
  <c r="B66" i="1" s="1"/>
  <c r="B67" i="1" s="1"/>
  <c r="B68" i="1" s="1"/>
  <c r="B69" i="1" s="1"/>
  <c r="B49" i="1"/>
  <c r="B50" i="1"/>
  <c r="B51" i="1"/>
  <c r="B52" i="1"/>
  <c r="B53" i="1"/>
  <c r="B54" i="1"/>
  <c r="B55" i="1"/>
  <c r="B56" i="1"/>
  <c r="B57" i="1"/>
  <c r="B58" i="1"/>
  <c r="B59" i="1"/>
  <c r="B60" i="1"/>
  <c r="B61" i="1"/>
  <c r="B62" i="1"/>
  <c r="B63" i="1"/>
  <c r="B41" i="1"/>
  <c r="B42" i="1"/>
  <c r="B43" i="1"/>
  <c r="B44" i="1"/>
  <c r="B45" i="1"/>
  <c r="B46" i="1"/>
  <c r="B47" i="1"/>
  <c r="B48" i="1"/>
  <c r="B35" i="1"/>
  <c r="B36" i="1"/>
  <c r="B37" i="1"/>
  <c r="B38" i="1"/>
  <c r="B39" i="1"/>
  <c r="B40" i="1"/>
  <c r="B21" i="1"/>
  <c r="B22" i="1"/>
  <c r="B23" i="1"/>
  <c r="B24" i="1"/>
  <c r="B25" i="1"/>
  <c r="B26" i="1"/>
  <c r="B27" i="1"/>
  <c r="B28" i="1"/>
  <c r="B29" i="1"/>
  <c r="B30" i="1"/>
  <c r="B31" i="1"/>
  <c r="B32" i="1"/>
  <c r="B33" i="1"/>
  <c r="B34" i="1"/>
  <c r="B15" i="1"/>
  <c r="B16" i="1"/>
  <c r="B17" i="1"/>
  <c r="B18" i="1"/>
  <c r="B19" i="1"/>
  <c r="B20" i="1"/>
  <c r="B10" i="1"/>
  <c r="B11" i="1" s="1"/>
  <c r="B12" i="1" s="1"/>
  <c r="B13" i="1" s="1"/>
  <c r="B14" i="1" s="1"/>
  <c r="B9" i="1"/>
  <c r="B8" i="1"/>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C7" i="2"/>
  <c r="J7" i="2" s="1"/>
  <c r="C8" i="2"/>
  <c r="J8" i="2" s="1"/>
  <c r="C9" i="2"/>
  <c r="J9" i="2" s="1"/>
  <c r="C10" i="2"/>
  <c r="C11" i="2"/>
  <c r="C12" i="2"/>
  <c r="C13" i="2"/>
  <c r="C14" i="2"/>
  <c r="C15" i="2"/>
  <c r="J15" i="2" s="1"/>
  <c r="C16" i="2"/>
  <c r="C17" i="2"/>
  <c r="J17" i="2" s="1"/>
  <c r="C18" i="2"/>
  <c r="J18" i="2" s="1"/>
  <c r="C19" i="2"/>
  <c r="C20" i="2"/>
  <c r="C21" i="2"/>
  <c r="C22" i="2"/>
  <c r="J22" i="2" s="1"/>
  <c r="C23" i="2"/>
  <c r="J23" i="2" s="1"/>
  <c r="C24" i="2"/>
  <c r="J24" i="2" s="1"/>
  <c r="C25" i="2"/>
  <c r="C26" i="2"/>
  <c r="J26" i="2" s="1"/>
  <c r="C27" i="2"/>
  <c r="C28" i="2"/>
  <c r="C29" i="2"/>
  <c r="C30" i="2"/>
  <c r="J30" i="2" s="1"/>
  <c r="C31" i="2"/>
  <c r="C32" i="2"/>
  <c r="J32" i="2" s="1"/>
  <c r="C33" i="2"/>
  <c r="C34" i="2"/>
  <c r="J34" i="2" s="1"/>
  <c r="C35" i="2"/>
  <c r="C36" i="2"/>
  <c r="J36" i="2" s="1"/>
  <c r="C37" i="2"/>
  <c r="C38" i="2"/>
  <c r="J38" i="2" s="1"/>
  <c r="C39" i="2"/>
  <c r="J39" i="2" s="1"/>
  <c r="C40" i="2"/>
  <c r="J40" i="2" s="1"/>
  <c r="J10" i="2"/>
  <c r="J11" i="2"/>
  <c r="J12" i="2"/>
  <c r="J13" i="2"/>
  <c r="J14" i="2"/>
  <c r="K14" i="2" s="1"/>
  <c r="J16" i="2"/>
  <c r="K16" i="2" s="1"/>
  <c r="J19" i="2"/>
  <c r="K19" i="2" s="1"/>
  <c r="J20" i="2"/>
  <c r="K20" i="2" s="1"/>
  <c r="J21" i="2"/>
  <c r="J25" i="2"/>
  <c r="K25" i="2" s="1"/>
  <c r="J27" i="2"/>
  <c r="J28" i="2"/>
  <c r="J29" i="2"/>
  <c r="K29" i="2" s="1"/>
  <c r="J31" i="2"/>
  <c r="K31" i="2" s="1"/>
  <c r="J33" i="2"/>
  <c r="J35" i="2"/>
  <c r="K35" i="2" s="1"/>
  <c r="J37" i="2"/>
  <c r="K10" i="2"/>
  <c r="K11" i="2"/>
  <c r="K13" i="2"/>
  <c r="K28" i="2"/>
  <c r="K33" i="2"/>
  <c r="L10" i="2"/>
  <c r="L16" i="2"/>
  <c r="L25" i="2"/>
  <c r="L31" i="2"/>
  <c r="B6" i="2"/>
  <c r="C6" i="2"/>
  <c r="J6" i="2" s="1"/>
  <c r="K6" i="2" s="1"/>
  <c r="C6" i="7"/>
  <c r="E6" i="7"/>
  <c r="L33" i="2" l="1"/>
  <c r="L28" i="2"/>
  <c r="L11" i="2"/>
  <c r="L13" i="2"/>
  <c r="K34" i="2"/>
  <c r="L34" i="2" s="1"/>
  <c r="K17" i="2"/>
  <c r="L17" i="2"/>
  <c r="K15" i="2"/>
  <c r="L15" i="2"/>
  <c r="K26" i="2"/>
  <c r="L26" i="2" s="1"/>
  <c r="K36" i="2"/>
  <c r="L36" i="2"/>
  <c r="K9" i="2"/>
  <c r="L9" i="2"/>
  <c r="K39" i="2"/>
  <c r="L39" i="2"/>
  <c r="K18" i="2"/>
  <c r="L18" i="2"/>
  <c r="K22" i="2"/>
  <c r="L22" i="2"/>
  <c r="K32" i="2"/>
  <c r="L32" i="2"/>
  <c r="K30" i="2"/>
  <c r="L30" i="2"/>
  <c r="K40" i="2"/>
  <c r="L40" i="2"/>
  <c r="K24" i="2"/>
  <c r="L24" i="2"/>
  <c r="K23" i="2"/>
  <c r="L23" i="2"/>
  <c r="K8" i="2"/>
  <c r="L8" i="2"/>
  <c r="K38" i="2"/>
  <c r="L38" i="2"/>
  <c r="K7" i="2"/>
  <c r="L7" i="2"/>
  <c r="K27" i="2"/>
  <c r="L27" i="2" s="1"/>
  <c r="K12" i="2"/>
  <c r="L12" i="2" s="1"/>
  <c r="L20" i="2"/>
  <c r="L35" i="2"/>
  <c r="L19" i="2"/>
  <c r="K37" i="2"/>
  <c r="L37" i="2" s="1"/>
  <c r="K21" i="2"/>
  <c r="L21" i="2" s="1"/>
  <c r="L29" i="2"/>
  <c r="L14" i="2"/>
  <c r="L6" i="2"/>
  <c r="B6" i="1"/>
  <c r="B7" i="1" s="1"/>
</calcChain>
</file>

<file path=xl/sharedStrings.xml><?xml version="1.0" encoding="utf-8"?>
<sst xmlns="http://schemas.openxmlformats.org/spreadsheetml/2006/main" count="3469" uniqueCount="1697">
  <si>
    <t>SEGUIMIENTO SERVICIO UNIVERSITARIO (BECAS) - PRIMER SEMESTRE DE 2026</t>
  </si>
  <si>
    <t>Como responsable del seguimiento y cumplimiento de las horas de Servicio Universitario, usted debe registrar las diferentes actividades realizadas por cada estudiante, para ellos tenga en cuenta los siguientes lineamientos:</t>
  </si>
  <si>
    <t>1. Debe diligenciar la hoja denominada “BITACORA”, las demás hojas son de consulta para el seguimiento del becario, recuerde que usted no las puede modificar.</t>
  </si>
  <si>
    <t>2. En la hoja BITACORA, la columna ID no deberá ser modificada ya que la secuencia se genera por sí sola.</t>
  </si>
  <si>
    <t>3. Es importante no modificar el formato existente, incluyendo no insertar nuevas columnas. No hace falta agregar nuevas filas, a medida que escriba nuevos registros el Formato de Tabla se irá expandiendo (un nuevo registro significa que en la siguiente fila ingrese nuevamente una fecha). Se recomienda iniciar diligenciando la Fecha (DD/MM/AAAA), de este modo los demás campos adoptarán el formato adecuado y se podrá continuar el diligenciamiento de los registros correspondientes.</t>
  </si>
  <si>
    <t>4. Elija el nombre del ESTUDIANTE entre el listado desplegable el cual muestra a aquellos estudiantes asignados a su Programa o Dependencia. Solo podrá elegir un estudiante por cada registro o fila de la tabla. Si considera que ha habido algún error o falta algún estudiante, por favor notificar al correo becas@uniboyaca.edu.co.</t>
  </si>
  <si>
    <t>5. En la columna ASIGNACIÓN seleccione y clasifique las actividades desarrolladas por cada becario, si considera que deben incluirse más actividades envíe un correo a becas@uniboyaca.edu.co. No es posible agregar texto, solo seleccionar las opciones desplegables.</t>
  </si>
  <si>
    <t>6. En la columna HORAS A REGISTRAR por cada sesión de trabajo realizada, indique únicamente el número correspondiente (puede usar decimales).</t>
  </si>
  <si>
    <t>7. La columna DESCRIPCIÓN/OBSERVACIONES, es el espacio donde usted de manera libre puede describir aspectos relacionados con las actividades desarrolladas por el becario en cada sesión.</t>
  </si>
  <si>
    <t>8. Recuerde que el diligenciamiento se hace únicamente a través del enlace suministrado.</t>
  </si>
  <si>
    <t>Cualquier duda comuníquela al correo becas@uniboyaca.edu.co.</t>
  </si>
  <si>
    <t>Este documento deberá diligenciarse a través del enlace suministrado y en línea, es decir desde Microsoft 365, dado que se encuentra enlazado a un tablero de seguimiento donde podrá irse monitoreando el cumplimiento de las horas correspondientes a cada uno de los estudiantes. Por tanto, no se debe descargar y trabajarlo de forma local dado que no será posible el adecuado seguimiento de los registros.</t>
  </si>
  <si>
    <t>En caso de requerir alguna corrección, puede realizarla en la hoja de BITACORA. Las evidencias del trabajo de cada estudiante, deben estar bajo responsabilidad de la persona encargada de los estudiantes becarios, debiendo estar disponibles en caso de ser requeridas por el Comité de Becas.</t>
  </si>
  <si>
    <t>Se agradece el oportuno diligenciamiento de los diferentes registros.</t>
  </si>
  <si>
    <t>REGISTRO DE HORAS DE SERVICIO UNIVERSITARIO</t>
  </si>
  <si>
    <t>Siguiendo lo mencionado en la hoja INDICACIONES, por favor registre cada una de las acciones de Servicio Universitario realizado por los estudiantes Becarios que le fueron asignados.</t>
  </si>
  <si>
    <t>ID</t>
  </si>
  <si>
    <t>FECHA</t>
  </si>
  <si>
    <t>ESTUDIANTE</t>
  </si>
  <si>
    <t>ASIGNACIÓN</t>
  </si>
  <si>
    <t>HORAS A REGISTRAR</t>
  </si>
  <si>
    <t>DESCRIPCIÓN ACTIVIDADES / OBSERVACIONES</t>
  </si>
  <si>
    <t>SAMUEL ALEJANDRO VALENCIA REYES</t>
  </si>
  <si>
    <t>AUTOEVALUACIÓN</t>
  </si>
  <si>
    <t>Avances PEP Capítulo 2</t>
  </si>
  <si>
    <t>ANGIE JULIANA MENDIVELSO MORENO</t>
  </si>
  <si>
    <t>EVENTOS</t>
  </si>
  <si>
    <t>Preparación de Titulos Expomultimedia Septima Edición</t>
  </si>
  <si>
    <t>Avances PEP Capítulo 2.2 y 2.3</t>
  </si>
  <si>
    <t>Grabación video Expomultimedia detras de escenas</t>
  </si>
  <si>
    <t>ANA MARÍA CADENA PÉREZ</t>
  </si>
  <si>
    <t>Resumen y diapositivas iniciales</t>
  </si>
  <si>
    <t>Reestructuración de diapositivas iniciales y resumen finalizado de los capitulos correspondientes del PEP</t>
  </si>
  <si>
    <t>Desarrollo guia pasos para la presentación de los documentos de las alternativas de grado(trabajo de grado)</t>
  </si>
  <si>
    <t>Desarrollo guia pasos para la presentación de los documentos de las alternativas de grado(semillero)</t>
  </si>
  <si>
    <t>Desarrollo guia pasos para la presentación de los documentos de las alternativas de grado(documento completo)</t>
  </si>
  <si>
    <t>Edición Video Expomultimedia</t>
  </si>
  <si>
    <t>Arreglo de la propuesta tipografica de Expomultimedia</t>
  </si>
  <si>
    <t>Primer Compositing del Capitulo 1 Expomultimedia</t>
  </si>
  <si>
    <t>Propuesta de diagramación del cap 1</t>
  </si>
  <si>
    <t>Propuesta de diagramación del cap 2</t>
  </si>
  <si>
    <t>Propuesta de diagramación del cap 3</t>
  </si>
  <si>
    <t>PAULA ANDREA PINILLA MENDOZA</t>
  </si>
  <si>
    <t xml:space="preserve">Planificación de actividades a desarrollar Registro Autoevalucación </t>
  </si>
  <si>
    <t>Creación de la idea de los videos</t>
  </si>
  <si>
    <t>Presentación de la idea</t>
  </si>
  <si>
    <t>Validación de la idea</t>
  </si>
  <si>
    <t>Creación del guion</t>
  </si>
  <si>
    <t>Presentación del guion</t>
  </si>
  <si>
    <t>Aceptación del guion</t>
  </si>
  <si>
    <t>Grabación primera parte del video 1</t>
  </si>
  <si>
    <t>Grabación segunda parte del video 1</t>
  </si>
  <si>
    <t>Grabación primera parte del video 2</t>
  </si>
  <si>
    <t>Grabación segunda parte del video 2</t>
  </si>
  <si>
    <t>Edición de los videos</t>
  </si>
  <si>
    <t>Ajustes finales de edición</t>
  </si>
  <si>
    <t>Presentación final</t>
  </si>
  <si>
    <t>DAVID FERNANDO MARTINEZ RODRIGUEZ</t>
  </si>
  <si>
    <t>Propuesta Animación Ciclo de Caminado Ubuito</t>
  </si>
  <si>
    <t>Propuesta Animación Cap 1 Ubuito</t>
  </si>
  <si>
    <t>Animación de intro cap 1</t>
  </si>
  <si>
    <t>Animación de intro cap 2</t>
  </si>
  <si>
    <t>Animación de intro cap 3</t>
  </si>
  <si>
    <t>Animación de intro cap 4</t>
  </si>
  <si>
    <t>ISABELLA GARCÍA MORA</t>
  </si>
  <si>
    <t>Propuesta de Titulo Expomultimedia</t>
  </si>
  <si>
    <t>Propuesta VERSIÓN 2 de Titulo Expomultimedia</t>
  </si>
  <si>
    <t>Sketch Capitulo 2 Expomultimedia</t>
  </si>
  <si>
    <t>Creación de Portada del Capitulo 2 de Expomultimedia</t>
  </si>
  <si>
    <t>Creación de los paneles de Historia del Capitulo 2 de Expomultimedia</t>
  </si>
  <si>
    <t>Cap 4 Parte</t>
  </si>
  <si>
    <t>JUAN DAVID DÍAZ CASTELLANOS</t>
  </si>
  <si>
    <t>DIFUSIÓN</t>
  </si>
  <si>
    <t>Registro fotográfico salida FILBO</t>
  </si>
  <si>
    <t>Edición de fotografías</t>
  </si>
  <si>
    <t>Logística Expomultimedia - Videos - fotos</t>
  </si>
  <si>
    <t>ANA MARIA MORA ROJAS</t>
  </si>
  <si>
    <t>Moodboard construcción diapositivas</t>
  </si>
  <si>
    <t>Resumen correspondiente a el capitulo asignado del PEP</t>
  </si>
  <si>
    <t>Construccion de diapositivas con la información destacada del resumen y las nuevas caractaristicas dadas por el moodboard</t>
  </si>
  <si>
    <t>Construcciones resumenes finales para la construcción del piloto de la cartilla del PEP</t>
  </si>
  <si>
    <t>Primera parte cartilla PEP</t>
  </si>
  <si>
    <t>Finalización piloto cartilla PEP</t>
  </si>
  <si>
    <t>OSCAR FELIPE CRUZ ROJAS</t>
  </si>
  <si>
    <t>Excel de asignaturas Expomultimedia</t>
  </si>
  <si>
    <t>Excel de planificador de entregas y piezas para Expomultimedia</t>
  </si>
  <si>
    <t>Excel organización de asignaturas y productos para organización de Expomultimedia</t>
  </si>
  <si>
    <t>Textos cuenta regresiva piezas Expomultimedia</t>
  </si>
  <si>
    <t>Pieza Expomultimedia ficha técnica</t>
  </si>
  <si>
    <t>Pieza de tarjeta de presentación de Expomultimedia</t>
  </si>
  <si>
    <t>Pieza pancarta Expomultimedia</t>
  </si>
  <si>
    <t>Piezas categorías Expomultimedia</t>
  </si>
  <si>
    <t>SARA SOFÍA TELLEZ SALAMANCA</t>
  </si>
  <si>
    <t>Ideas de presentación de personaje para nueva edición de Expomultimedia</t>
  </si>
  <si>
    <t>Formulación de narrativas Capitulos piezas Expomultimedia</t>
  </si>
  <si>
    <t>Expression Sheet del Ubuhito de Expomultimedia</t>
  </si>
  <si>
    <t>Sketch Capitulo 1 Comic Expomultimedia</t>
  </si>
  <si>
    <t>Portada Cap 1</t>
  </si>
  <si>
    <t>Ilustración Capitulo 1 Comic Expomultimedia</t>
  </si>
  <si>
    <t>Parte del cap4</t>
  </si>
  <si>
    <t>DANNA NICOLLE QUEMBA BARÓN</t>
  </si>
  <si>
    <t>Moodboard inicial para la creacion de cartilla digital e impresa del PEP</t>
  </si>
  <si>
    <t>Mejora y modificación del moodboard inicial, formas, iconos y vectores escogidos</t>
  </si>
  <si>
    <t>Moodboard tipografico</t>
  </si>
  <si>
    <t>Busqueda de iconografia 3D para la implementación el la cartilla a desarrollar</t>
  </si>
  <si>
    <t>Desarrollo graficas y tabulaciones de la información obtenida de los resumen elaborado por Ana María Cadena</t>
  </si>
  <si>
    <t>Apoyo toma de fotografias evento pedagogico FILBO 2026</t>
  </si>
  <si>
    <t>Desarrollo de nuevas graficas y tabulaciones</t>
  </si>
  <si>
    <t>Inicio de diagramación cartilla digital PEP</t>
  </si>
  <si>
    <t>Diapositivas PEP primer piloto de diagramación y muestra final</t>
  </si>
  <si>
    <t>SEBASTIAN RAFAEL RODRIGUEZ SUAREZ</t>
  </si>
  <si>
    <t>Guión literario con especificación de paneles de piezas Expomultimedia</t>
  </si>
  <si>
    <t>Guión literario piezas Expomultimedia</t>
  </si>
  <si>
    <t>Diagramación Cap 1</t>
  </si>
  <si>
    <t>Diagramación Cap 2</t>
  </si>
  <si>
    <t>Diagramación Cap 3</t>
  </si>
  <si>
    <t>Diagramación Cap 4</t>
  </si>
  <si>
    <t>Desarrollo de propuesta inicial para la producción de videos institucionales.</t>
  </si>
  <si>
    <t>DAVID FRANCISCO PINZÓN DÍAZ</t>
  </si>
  <si>
    <t>Moodboard tipografico, impacto de comunidad y de colorimetria</t>
  </si>
  <si>
    <t>Mejoramiento de moodboard</t>
  </si>
  <si>
    <t>Generación de graficos y tabulaciones</t>
  </si>
  <si>
    <t>Mejoramiento graficas y tabulaciones</t>
  </si>
  <si>
    <t>TATIANA CAROLINA CANO RAMIREZ</t>
  </si>
  <si>
    <t>Concept rediseño mascota Expomultimedia</t>
  </si>
  <si>
    <t>6/4//2026</t>
  </si>
  <si>
    <t>Model de Ubuhito y Character Turnarround</t>
  </si>
  <si>
    <t>Sketch Capitulo 3</t>
  </si>
  <si>
    <t>Capitulo 3</t>
  </si>
  <si>
    <t>Portada Cap 3</t>
  </si>
  <si>
    <t>Cap 4 Parte 3</t>
  </si>
  <si>
    <t>JUAN SEBASTIÁN SANABRIA MENDIVELSO</t>
  </si>
  <si>
    <t>Moodboard para la creación de la cartilla resumen del PEP de multimedia</t>
  </si>
  <si>
    <t>NICOLAS FELIPE PABON MARIN</t>
  </si>
  <si>
    <t>Desarrollo de propuesta inicial para los videos institucionales.</t>
  </si>
  <si>
    <t>Socialización de la propuesta creativa y recepción de observaciones.</t>
  </si>
  <si>
    <t>Se valida la idea planteada para dar continuidad al proceso audiovisual.</t>
  </si>
  <si>
    <t>Elaboración del guion técnico y narrativo de los videos.</t>
  </si>
  <si>
    <t>Presentación del guion y revisión de observaciones realizadas.</t>
  </si>
  <si>
    <t>Validación final del guion para iniciar etapa de grabación.</t>
  </si>
  <si>
    <t>Desarrollo de grabaciones correspondientes a la primera parte del video 1.</t>
  </si>
  <si>
    <t>Continuación y finalización de grabaciones del video 1.</t>
  </si>
  <si>
    <t>Inicio de grabaciones programadas para el segundo video institucional.</t>
  </si>
  <si>
    <t>Finalización de escenas y tomas correspondientes al video 2.</t>
  </si>
  <si>
    <t>Proceso de montaje y edición audiovisual del material grabado.</t>
  </si>
  <si>
    <t>Correcciones y ajustes finales sobre el producto audiovisual.</t>
  </si>
  <si>
    <t>Socialización y entrega de los videos finales realizados.</t>
  </si>
  <si>
    <t>JUAN GUILLERMO RODRÍGUEZ NEIRA</t>
  </si>
  <si>
    <t>Apoyo en proceos de Autoevaluación</t>
  </si>
  <si>
    <t>Análisis documentación PEP</t>
  </si>
  <si>
    <t>Avances PEP diapositivas</t>
  </si>
  <si>
    <t>Grabación video Expomultimedia</t>
  </si>
  <si>
    <t>JUAN MANUEL ZABALA FRANCO</t>
  </si>
  <si>
    <t>INVESTIGACIÓN</t>
  </si>
  <si>
    <t>Realización de fichas bibliograficas</t>
  </si>
  <si>
    <t>SAMUEL JESÚS CÁRDENAS MORENO</t>
  </si>
  <si>
    <t>Se plantean conceptos creativos y enfoques audiovisuales para promoción del evento.</t>
  </si>
  <si>
    <t>Socialización de ideas y recepción de observaciones para ajustes creativos.</t>
  </si>
  <si>
    <t>Se aprueban conceptos y estructura narrativa de los videos promocionales.</t>
  </si>
  <si>
    <t>Elaboración del guion técnico y narrativo para los videos de Expomultimedia.</t>
  </si>
  <si>
    <t>Revisión y socialización del guion con ajustes de contenido y narrativa visual.</t>
  </si>
  <si>
    <t>Validación final para iniciar la etapa de producción audiovisual.</t>
  </si>
  <si>
    <t>Captura de escenas principales y material institucional del primer video.</t>
  </si>
  <si>
    <t>Continuación y cierre de grabaciones correspondientes al video 1.</t>
  </si>
  <si>
    <t>Producción de escenas dinámicas y tomas de apoyo para el segundo video.</t>
  </si>
  <si>
    <t>Finalización de grabaciones y organización del material audiovisual.</t>
  </si>
  <si>
    <t>Montaje, selección de escenas y aplicación de efectos visuales y transiciones.</t>
  </si>
  <si>
    <t>Correcciones finales de audio, color y exportación del producto audiovisual.</t>
  </si>
  <si>
    <t>JUAN PABLO GALINDO LÓPEZ</t>
  </si>
  <si>
    <t>JOEL  ESTEBAN SOLANO LARGO</t>
  </si>
  <si>
    <t>Fichas bibliograficas de referentes de investigación, temas apropiados para el desarrollo de investigaciones</t>
  </si>
  <si>
    <t>LAURA NATALIA CARO CASTELBLANCO</t>
  </si>
  <si>
    <t>Diapositivas CAP 1.6 PEP</t>
  </si>
  <si>
    <t>Corrección diapositivas</t>
  </si>
  <si>
    <t>Unión diapositivas/cartilla PEP</t>
  </si>
  <si>
    <t>MARÍA CAMILA MORENO RODRÍGUEZ</t>
  </si>
  <si>
    <t>Moodboard de redes sociales junto con equipo de redes</t>
  </si>
  <si>
    <t>Mockup redes sociales</t>
  </si>
  <si>
    <t>Plantillas RRSS</t>
  </si>
  <si>
    <t>Avance RRSS</t>
  </si>
  <si>
    <t>Grabaciones sistemas distribuidos</t>
  </si>
  <si>
    <t>Grabaciones Simulación y Videojuegos</t>
  </si>
  <si>
    <t>LIZETH CAROLINA BOHÓRQUEZ SOLER</t>
  </si>
  <si>
    <t>Elaboración de propuestas iniciales para contenido de presentación y apoyo visual.</t>
  </si>
  <si>
    <t>Construcción inicial de diapositivas para presentación académica.</t>
  </si>
  <si>
    <t>Ajustes de contenido y organización visual de diapositivas.</t>
  </si>
  <si>
    <t>Inclusión de recursos gráficos y organización de información.</t>
  </si>
  <si>
    <t>Verificación de estructura visual y contenido de las diapositivas.</t>
  </si>
  <si>
    <t>Mejoras visuales y organización final del contenido.</t>
  </si>
  <si>
    <t>Integración de elementos gráficos y revisión general de la presentación.</t>
  </si>
  <si>
    <t>Consolidación de la versión final de la presentación académica.</t>
  </si>
  <si>
    <t>Se informa al tutor sobre la corrupción y pérdida parcial del archivo de presentación.</t>
  </si>
  <si>
    <t>Inicio del proceso de recuperación y reorganización del contenido perdido.</t>
  </si>
  <si>
    <t>Ajustes y reconstrucción de elementos visuales afectados.</t>
  </si>
  <si>
    <t>Entrega y validación de la presentación recuperada y corregida.</t>
  </si>
  <si>
    <t>Presentación socuilización autoevaluación</t>
  </si>
  <si>
    <t xml:space="preserve">Logistica </t>
  </si>
  <si>
    <t>ZARY TATIANA MÉNDEZ DÍAZ</t>
  </si>
  <si>
    <t>Plantillas RRSS - Informativos</t>
  </si>
  <si>
    <t>Plantillas RRSS - promoción</t>
  </si>
  <si>
    <t>MARÍA JOSÉ MORALES LÓPEZ</t>
  </si>
  <si>
    <t>Socialización de actividades y definición de lineamientos de trabajo.</t>
  </si>
  <si>
    <t>Revisión de contenido y síntesis de información para material de presentación.</t>
  </si>
  <si>
    <t>Creación de propuesta gráfica y estructura visual para presentación.</t>
  </si>
  <si>
    <t>Cubrimiento fotográfico de la actividad académica FILBO y recopilación de material visual.</t>
  </si>
  <si>
    <t>Clasificación y selección del material fotográfico obtenido durante la salida académica.</t>
  </si>
  <si>
    <t>Ajustes visuales y estructuración de la plantilla institucional.</t>
  </si>
  <si>
    <t>Correcciones visuales y optimización de contenido gráfico.</t>
  </si>
  <si>
    <t>Integración de elementos gráficos y mejoras de presentación visual.</t>
  </si>
  <si>
    <t>Finalización y validación del diseño desarrollado.</t>
  </si>
  <si>
    <t>SARA LUCÍA CORTÉS PÉREZ</t>
  </si>
  <si>
    <t>Se identifican mejoras en redacción, estructura visual y organización de contenido en las primeras diapositivas.</t>
  </si>
  <si>
    <t>Propuestas de mejora para línea del tiempo, perfiles académicos y organización textual de diapositivas.</t>
  </si>
  <si>
    <t>Desarrollo de nuevas diapositivas y ajustes visuales en la presentación institucional.</t>
  </si>
  <si>
    <t>Ajustes de estructura, redacción y distribución visual de contenido.</t>
  </si>
  <si>
    <t>Incorporación de detalles gráficos para mejorar el impacto visual de la presentación.</t>
  </si>
  <si>
    <t>Mejora estética y organización visual de las primeras diapositivas.</t>
  </si>
  <si>
    <t>Reorganización de imágenes y distribución de texto para mejorar legibilidad.</t>
  </si>
  <si>
    <t>Correcciones de composición visual y alineación de elementos gráficos.</t>
  </si>
  <si>
    <t>Ajustes de posicionamiento y organización de contenido en diferentes secciones.</t>
  </si>
  <si>
    <t>Mejoras de orden visual, resumen de información y optimización de distribución textual.</t>
  </si>
  <si>
    <t>Recuperación de contenido y reconstrucción de diapositivas debido a fallo en la plataforma.</t>
  </si>
  <si>
    <t xml:space="preserve">Ayuda en Montaje y organización Expomultimedia </t>
  </si>
  <si>
    <t>Colaboración orden y exposción de gruos - Expomultimedia  / fotos</t>
  </si>
  <si>
    <t>YAMIT ALEXANDER SANCHEZ VALENZUELA</t>
  </si>
  <si>
    <t>ACOMPAÑAMIENTO DOCENCIA</t>
  </si>
  <si>
    <t>Se realiza estructura inicial y planteamiento gráfico de la presentación institucional.</t>
  </si>
  <si>
    <t>Organización de información y definición de secciones para la reunión general.</t>
  </si>
  <si>
    <t>Revisión de coherencia visual y adaptación de elementos gráficos institucionales.</t>
  </si>
  <si>
    <t>Desarrollo gráfico y distribución de contenido en las diapositivas.</t>
  </si>
  <si>
    <t>Corrección de estilos visuales y optimización de estructura de presentación.</t>
  </si>
  <si>
    <t>Validación de contenido y ajustes menores de diagramación.</t>
  </si>
  <si>
    <t>Ajustes de identidad gráfica y mejoras estéticas de la presentación.</t>
  </si>
  <si>
    <t>Integración de elementos gráficos y mejora de legibilidad visual.</t>
  </si>
  <si>
    <t>Ajustes de texto y organización de información en diapositivas.</t>
  </si>
  <si>
    <t>Validación general de contenido y preparación para exposición.</t>
  </si>
  <si>
    <t>Correcciones finales de formato, estilo e identidad visual institucional.</t>
  </si>
  <si>
    <t>Consolidación y entrega final de las presentaciones para la Reunión General PIMU 202510.</t>
  </si>
  <si>
    <t>Corrección e indicación para resto de fichas</t>
  </si>
  <si>
    <t>DYLAN ANTONIO RUEDA ROCHA</t>
  </si>
  <si>
    <t>Socialización de actividades, metodología y cronograma de trabajo.</t>
  </si>
  <si>
    <t>Desarrollo de estructura visual y concepto inicial de la presentación.</t>
  </si>
  <si>
    <t>Construcción inicial de diapositivas y organización de contenido visual.</t>
  </si>
  <si>
    <t>Revisión de contenido institucional para identificación de información relevante.</t>
  </si>
  <si>
    <t>Clasificación y síntesis de información académica para la presentación.</t>
  </si>
  <si>
    <t>Organización y priorización de contenido para el desarrollo de diapositivas.</t>
  </si>
  <si>
    <t>Elaboración de textos y estructura narrativa del documento institucional.</t>
  </si>
  <si>
    <t>Ajustes visuales y definición de identidad gráfica institucional.</t>
  </si>
  <si>
    <t>Distribución de contenido y mejora de secuencia visual de la presentación.</t>
  </si>
  <si>
    <t>Integración de recursos gráficos y optimización estética del documento.</t>
  </si>
  <si>
    <t>Correcciones gráficas y validación de uniformidad visual en diapositivas.</t>
  </si>
  <si>
    <t>Revisión de redacción, ortografía y coherencia visual.</t>
  </si>
  <si>
    <t>Validación y presentación final del trabajo realizado.</t>
  </si>
  <si>
    <t>SARA SOFÍA MORENO CASTRO</t>
  </si>
  <si>
    <t>Socialización de lineamientos y asignación de actividades relacionadas con diseño gráfico.</t>
  </si>
  <si>
    <t>Explicación de requerimientos y alcance de la propuesta de diseño de íconos.</t>
  </si>
  <si>
    <t>Búsqueda y análisis de referentes visuales para el desarrollo de iconografía.</t>
  </si>
  <si>
    <t>Elaboración inicial de propuestas gráficas para iconografía institucional.</t>
  </si>
  <si>
    <t>Validación y observaciones sobre los primeros diseños desarrollados.</t>
  </si>
  <si>
    <t>Ajustes gráficos y mejoras visuales según observaciones realizadas.</t>
  </si>
  <si>
    <t>Desarrollo de nueva serie de íconos siguiendo identidad visual definida.</t>
  </si>
  <si>
    <t>Retroalimentación sobre coherencia gráfica y composición visual.</t>
  </si>
  <si>
    <t>Ajustes finales a la segunda propuesta de iconografía.</t>
  </si>
  <si>
    <t>Desarrollo de nuevos íconos para completar la línea gráfica propuesta.</t>
  </si>
  <si>
    <t>Revisión de consistencia visual y funcionalidad de los diseños.</t>
  </si>
  <si>
    <t>Ajustes de color, forma y composición gráfica.</t>
  </si>
  <si>
    <t>Continuación del desarrollo de iconografía institucional.</t>
  </si>
  <si>
    <t>Validación de avances y observaciones para correcciones finales.</t>
  </si>
  <si>
    <t>Ajustes visuales y optimización de los íconos desarrollados.</t>
  </si>
  <si>
    <t>Elaboración de nueva serie de íconos siguiendo criterios institucionales.</t>
  </si>
  <si>
    <t>Validación técnica y visual de los diseños realizados.</t>
  </si>
  <si>
    <t>Ajustes y refinamiento gráfico de los íconos desarrollados.</t>
  </si>
  <si>
    <t>Continuación del desarrollo de piezas gráficas institucionales.</t>
  </si>
  <si>
    <t>Revisión general de avances y validación de consistencia visual.</t>
  </si>
  <si>
    <t>Aplicación de correcciones finales según observaciones recibidas.</t>
  </si>
  <si>
    <t>Desarrollo de la última serie de iconografía para el proyecto.</t>
  </si>
  <si>
    <t>Validación final y consolidación de los íconos realizados.</t>
  </si>
  <si>
    <t>Consolidación, exportación y entrega final de la iconografía desarrollada.</t>
  </si>
  <si>
    <t>LAURA VALENTINA QUIROGA MARTINEZ</t>
  </si>
  <si>
    <t>Avances PEP y retroalimentación de diapositivas</t>
  </si>
  <si>
    <t>RELACIÓN DEL TOTAL DE ESTUDIANTES BECARIOS ASIGNADOS PARA SEGUIMIENTO</t>
  </si>
  <si>
    <t>Acá se encuentran los estudiantes Becarios asignados a la Dependencia o Programa, a los cuales se deberá hacer seguimiento del total de horas. Se menciona el total de Horas a Realizar, los demás cálculos se realizan por sí solos según los registros existentes en la hoja BITÁCORA. Una vez el estudiante iguale o supere las horas que debe realizar, se resaltará en verde toda la fila, indicando no se debe asignar más tiempo a este estudiante.</t>
  </si>
  <si>
    <t>ASPIRANTE ID</t>
  </si>
  <si>
    <t>CÓDIGO</t>
  </si>
  <si>
    <t>PROGRAMA ESTUDIANTE</t>
  </si>
  <si>
    <t>SEMESTRE ACTUAL</t>
  </si>
  <si>
    <t>DEPENDENCIA ASIGNADA</t>
  </si>
  <si>
    <t>RESPONSABLE</t>
  </si>
  <si>
    <t>HORAS A REALIZAR</t>
  </si>
  <si>
    <t>HORAS REALIZADAS</t>
  </si>
  <si>
    <t>HORAS PENDIENTES</t>
  </si>
  <si>
    <t>ESTADO</t>
  </si>
  <si>
    <t>INGENIERÍA EN MULTIMEDIA</t>
  </si>
  <si>
    <t>OCHOA ECHEVERRIA MAURICIO</t>
  </si>
  <si>
    <t>RELACIÓN DEPENDENCIA / PROGRAMA Y RESPONSABLE DE SEGUIMIENTO</t>
  </si>
  <si>
    <t>Se define el Programa o Dependencia asignada para seguimiento en el presente documento, así como el Director o Jefe responsable, según corresponda.</t>
  </si>
  <si>
    <t>PROGRAMA O DEPENDENCIA</t>
  </si>
  <si>
    <t>DEPENDENCIA ID</t>
  </si>
  <si>
    <t>JEFE / DIRECTOR</t>
  </si>
  <si>
    <t>JEFE / DIRECTOR ID</t>
  </si>
  <si>
    <t>DEPENDENCIA_ID</t>
  </si>
  <si>
    <t>NOMBRE</t>
  </si>
  <si>
    <t>ASIGNACIONES</t>
  </si>
  <si>
    <t>ADMINISTRACIÓN DE EMPRESAS</t>
  </si>
  <si>
    <t>ADMINISTRACIÓN DE EMPRESAS - SOGAMOSO</t>
  </si>
  <si>
    <t>ADMINISTRACIÓN DE EMPRESAS - VIRTUAL</t>
  </si>
  <si>
    <t>ADMINISTRACIÓN DE NEGOCIOS INTERNACIONALES</t>
  </si>
  <si>
    <t xml:space="preserve">APRENDIZ SENA </t>
  </si>
  <si>
    <t>ARQUITECTURA</t>
  </si>
  <si>
    <t>LABORATORIOS</t>
  </si>
  <si>
    <t>ARQUITECTURA - SOGAMOSO</t>
  </si>
  <si>
    <t>PROYECCIÓN SOCIAL</t>
  </si>
  <si>
    <t>ASESORÍA DE SEGURIDAD</t>
  </si>
  <si>
    <t>SEGUIMIENTO EGRESADOS</t>
  </si>
  <si>
    <t>ASISTENTE DE RECTORIA</t>
  </si>
  <si>
    <t>TUTORÍAS</t>
  </si>
  <si>
    <t>ATENCIÓN MEDICA</t>
  </si>
  <si>
    <t>OTRA</t>
  </si>
  <si>
    <t>AUXILIARES DE INVESTIGACIÓN</t>
  </si>
  <si>
    <t>BACTERIOLOGÍA Y LABORATORIO CLÍNICO</t>
  </si>
  <si>
    <t>BIOTERIO</t>
  </si>
  <si>
    <t>BODEGA</t>
  </si>
  <si>
    <t>CENTRO DE ASESORÍA EMPRESARIAL</t>
  </si>
  <si>
    <t>CENTRO DE ASESORÍA EN VIVIENDA Y URBANISMO</t>
  </si>
  <si>
    <t>CENTRO DE CONCILIACIÓN</t>
  </si>
  <si>
    <t>CENTRO DE CONOCIMIENTO PARA EL DESARROLLO PROFESORAL</t>
  </si>
  <si>
    <t>CENTRO DE CONOCIMIENTO PARA EL DESARROLLO PROFESORAL - SAPIENS</t>
  </si>
  <si>
    <t>CENTRO DE GESTIÓN Y SERVICIO PARA EL EGRESADO - EGREGIO</t>
  </si>
  <si>
    <t>CENTRO DE INFORMÁTICA</t>
  </si>
  <si>
    <t>CENTRO DE INNOVACIÓN - ORIGEN</t>
  </si>
  <si>
    <t>CENTRO DE INVESTIGACIONES PARA EL DESARROLLO - CIPADE</t>
  </si>
  <si>
    <t>CENTRO DE MECANIZADO FRESADORA</t>
  </si>
  <si>
    <t>CENTRO DE MECANIZADO TORNO</t>
  </si>
  <si>
    <t>CENTRO MULTIMEDIOS</t>
  </si>
  <si>
    <t>CENTRO UNIVERSITARIO DE ATENCIÓN EN FISIOTERAPIA</t>
  </si>
  <si>
    <t>CLÍNICA DE SIMULACIÓN</t>
  </si>
  <si>
    <t>COMITÉ DE CONVIVENCIA LABORAL</t>
  </si>
  <si>
    <t>COMITÉ DE INVESTIGACIÓN (CI)</t>
  </si>
  <si>
    <t>COMITÉ DE ÉTICA Y BIOÉTICA</t>
  </si>
  <si>
    <t>COMITÉ GRUPO ADMINISTRATIVO DE GESTIÓN AMBIENTAL Y SANITARIA</t>
  </si>
  <si>
    <t>COMITÉ RECTORAL ACADÉMICO</t>
  </si>
  <si>
    <t>COMITÉS DE CURRÍCULO</t>
  </si>
  <si>
    <t>COMUNICACIÓN SOCIAL</t>
  </si>
  <si>
    <t>CONSEJO ACADÉMICO</t>
  </si>
  <si>
    <t xml:space="preserve">CONSEJO DE FUNDADORES </t>
  </si>
  <si>
    <t xml:space="preserve">CONSEJO DIRECTIVO </t>
  </si>
  <si>
    <t>CONSULTORIO JURÍDICO</t>
  </si>
  <si>
    <t>CONSULTORIO JURÍDICO - SOGAMOSO</t>
  </si>
  <si>
    <t>CONTADURÍA PÚBLICA</t>
  </si>
  <si>
    <t>CONTADURÍA PÚBLICA - VIRTUAL</t>
  </si>
  <si>
    <t>CONVENIO DE CIENCIA Y TECNOLOGIA - CORPOBOYACA</t>
  </si>
  <si>
    <t>CURSO ABORDAJE PSICOJURÍDICO A VÍCTIMAS DE DELITOS SEXUALES</t>
  </si>
  <si>
    <t>CURSO ADMINISTRACIÓN DE MEDICAMENTOS</t>
  </si>
  <si>
    <t>CURSO ATENCIÓN INTEGRAL A VÍCTIMAS DE VIOLENCIA SEXUAL</t>
  </si>
  <si>
    <t>CURSO DE INGLÉS EXTENSIÓN</t>
  </si>
  <si>
    <t>CURSO INTELIGENCIA ARTIFICIAL IA PARA PROFESIONALES DEL SIGLO XXI</t>
  </si>
  <si>
    <t>CURSO INTENSIVO DE INGLÉS</t>
  </si>
  <si>
    <t>CURSO MARCA PERSONAL 360°</t>
  </si>
  <si>
    <t>CURSO MODELACIÓN HIDROLÓGICA E HIDRÁULICA DE RÍOS EN ESTADO DINÁMICO Y ESTACIONAL</t>
  </si>
  <si>
    <t>CURSO PREMÉDICO</t>
  </si>
  <si>
    <t>CURSO PRIMEROS AUXILIOS PSICOLÓGICOS E INTERVENCIÓN EN CRÍSIS</t>
  </si>
  <si>
    <t>CURSO SOPORTE VITAL BÁSICO - SVB BLS</t>
  </si>
  <si>
    <t>CURSO SOPORTE VITAL BÁSICO Y CARDIOVASCULAR AVANZADO BLS SVCA</t>
  </si>
  <si>
    <t>CURSO SOPORTE VITAL CARDIOVASCULAR AVANZADO SVCA ACLS</t>
  </si>
  <si>
    <t>CURSO TUTOR EN AMBIENTES VIRTUALES DE APRENDIZAJE</t>
  </si>
  <si>
    <t xml:space="preserve">DEPARTAMENTO DE BIOLOGÍA Y MICROBIOLOGÍA </t>
  </si>
  <si>
    <t>DEPARTAMENTO DE CIENCIAS BÁSICAS EN SALUD</t>
  </si>
  <si>
    <t xml:space="preserve">DEPARTAMENTO DE CIENCIAS CLÍNICAS </t>
  </si>
  <si>
    <t>DEPARTAMENTO DE DERECHO LABORAL</t>
  </si>
  <si>
    <t>DEPARTAMENTO DE DERECHO PENAL</t>
  </si>
  <si>
    <t>DEPARTAMENTO DE DERECHO PRIVADO</t>
  </si>
  <si>
    <t>DEPARTAMENTO DE DERECHO PÚBLICO</t>
  </si>
  <si>
    <t>DEPARTAMENTO DE EXPRESIÓN</t>
  </si>
  <si>
    <t xml:space="preserve">DEPARTAMENTO DE FÍSICA </t>
  </si>
  <si>
    <t>DEPARTAMENTO DE FÍSICA SOGAMOSO</t>
  </si>
  <si>
    <t xml:space="preserve">DEPARTAMENTO DE IDIOMAS </t>
  </si>
  <si>
    <t>DEPARTAMENTO DE IDIOMAS - SOGAMOSO</t>
  </si>
  <si>
    <t>DEPARTAMENTO DE INFORMÁTICA</t>
  </si>
  <si>
    <t>DEPARTAMENTO DE MATEMÁTICAS</t>
  </si>
  <si>
    <t>DEPARTAMENTO DE QUÍMICA SOGAMOSO</t>
  </si>
  <si>
    <t xml:space="preserve">DEPARTAMENTO DE QUÍMICA Y BIOQUÍMICA </t>
  </si>
  <si>
    <t>DEPARTAMENTO DE REHABILITACIÓN</t>
  </si>
  <si>
    <t xml:space="preserve">DEPARTAMENTO DE SALUD PÚBLICA </t>
  </si>
  <si>
    <t>DEPARTAMENTO DE URBANISMO</t>
  </si>
  <si>
    <t xml:space="preserve">DEPARTAMENTO DE ÉTICA Y HUMANIDADES  </t>
  </si>
  <si>
    <t>DEPARTAMENTO DE ÉTICA Y HUMANIDADES - SOGAMOSO</t>
  </si>
  <si>
    <t>DERECHO Y CIENCIAS POLÍTICAS</t>
  </si>
  <si>
    <t>DERECHO Y CIENCIAS POLÍTICAS - SOGAMOSO</t>
  </si>
  <si>
    <t>DIPLOMADO EN APROPIACIÓN SOCIAL DEL PATRIMONIO CULTURAL</t>
  </si>
  <si>
    <t>DIPLOMADO EN BIM MODELADO Y COORDINACIÓN DE PROYECTOS</t>
  </si>
  <si>
    <t>DIPLOMADO EN CONTRATACIÓN ESTATAL</t>
  </si>
  <si>
    <t>DIPLOMADO EN DOCENCIA EN AMBIENTES VIRTUALES DE APRENDIZAJE</t>
  </si>
  <si>
    <t>DIPLOMADO EN EXCEL AVANZADO PARA LA GESTIÓN DE PROYECTOS</t>
  </si>
  <si>
    <t>DIPLOMADO EN GERENCIA DE PROYECTOS CON ÉNFASIS EN PMBOOK</t>
  </si>
  <si>
    <t>DIPLOMADO EN GESTIÓN TURÍSTICA</t>
  </si>
  <si>
    <t>DIPLOMADO EN INTERVENTORÍA EN OBRAS PÚBLICAS</t>
  </si>
  <si>
    <t>DIPLOMADO EN LOGÍSTICA PARA LA EXPORTACIÓN</t>
  </si>
  <si>
    <t>DIPLOMADO EN MARKETING DIGITAL</t>
  </si>
  <si>
    <t>DIPLOMADO EN MODELACIÓN DE CALIDAD DE AGUA, VERTIMIENTO EN SUELOS Y MANEJO DE ESTACIONES SOSTENIBLES DE TRATAMIENTO DE AGUAS RESIDUALES</t>
  </si>
  <si>
    <t>DIPLOMADO EN NORMAS INTERNACIONALES DE INFORMACIÓN FINANCIERA</t>
  </si>
  <si>
    <t>DIPLOMADO EN PATRONAJE Y CONFECCIÓN FEMENINA</t>
  </si>
  <si>
    <t>DIPLOMADO EN USO DE MEDIOS Y TIC</t>
  </si>
  <si>
    <t>DIPLOMADO VIRTUAL EN DOCENCIA UNIVERSITARIA</t>
  </si>
  <si>
    <t>DIRECCIÓN ACADÉMICA - SOGAMOSO</t>
  </si>
  <si>
    <t>DIRECCIÓN DE INVESTIGACIÓN EN ARQUITECTURA, DISEÑO Y URBANISMO</t>
  </si>
  <si>
    <t>DIRECCIÓN DE INVESTIGACIÓN EN CIENCIAS ADMINISTRATIVAS Y CONTABLES</t>
  </si>
  <si>
    <t>DIRECCIÓN DE INVESTIGACIÓN EN CIENCIAS DE LA SALUD</t>
  </si>
  <si>
    <t>DIRECCIÓN DE INVESTIGACIÓN EN CIENCIAS E INGENIERÍA</t>
  </si>
  <si>
    <t>DIRECCIÓN DE INVESTIGACIÓN EN CIENCIAS HUMANAS Y EDUCATIVAS</t>
  </si>
  <si>
    <t>DIRECCIÓN DE INVESTIGACIÓN EN CIENCIAS JURÍDICAS Y SOCIALES</t>
  </si>
  <si>
    <t xml:space="preserve">DIRECCIÓN DE MAESTRÍAS FCIN </t>
  </si>
  <si>
    <t>DIRECCIÓN DE PROGRAMAS DE POSTGRADOS FCAC</t>
  </si>
  <si>
    <t>DIRECCIÓN DE SEDE - SOGAMOSO</t>
  </si>
  <si>
    <t>DIRECCIÓN DE SEDE - YOPAL</t>
  </si>
  <si>
    <t>DISEÑO DE MODAS</t>
  </si>
  <si>
    <t>DISEÑO DE TANQUE DE AIREACIÓN DE SISTEMAS DE LODOS ACTIVADOS Y LA RED DE DIS</t>
  </si>
  <si>
    <t>DISEÑO GRÁFICO</t>
  </si>
  <si>
    <t>DIVISION DE AMPLIACION DE COBERTURA Y SEDES</t>
  </si>
  <si>
    <t>DIVISIÓN ADMINISTRATIVA</t>
  </si>
  <si>
    <t>DIVISIÓN BIENESTAR UNIVERSITARIO</t>
  </si>
  <si>
    <t>DIVISIÓN DE ACREDITACIÓN</t>
  </si>
  <si>
    <t>DIVISIÓN DE BIENESTAR UNIVERSITARIO - SOGAMOSO</t>
  </si>
  <si>
    <t>DIVISIÓN DE CALIDAD EN LA GESTIÓN DE SERVICIOS</t>
  </si>
  <si>
    <t>DIVISIÓN DE EDUCACIÓN CONTINUADA</t>
  </si>
  <si>
    <t>DIVISIÓN DE EDUCACIÓN VIRTUAL</t>
  </si>
  <si>
    <t>DIVISIÓN DE EXTENSIÓN</t>
  </si>
  <si>
    <t>DIVISIÓN DE GESTIÓN Y CALIDAD ACADÉMICA</t>
  </si>
  <si>
    <t>DIVISIÓN DE INVESTIGACIÓN - SOGAMOSO</t>
  </si>
  <si>
    <t xml:space="preserve">DIVISIÓN DE INVESTIGACIÓN FORMATIVA </t>
  </si>
  <si>
    <t xml:space="preserve">DIVISIÓN DE PLANEACIÓN Y ACREDITACIÓN  </t>
  </si>
  <si>
    <t>DIVISIÓN DE POSTGRADOS</t>
  </si>
  <si>
    <t xml:space="preserve">DIVISIÓN DE PUBLICACIONES </t>
  </si>
  <si>
    <t>DIVISIÓN DE RECURSOS HUMANOS</t>
  </si>
  <si>
    <t>DIVISIÓN DE RELACIONES INTERINSTITUCIONALES E INTERNACIONALES</t>
  </si>
  <si>
    <t>DIVISIÓN DE RESPONSABILIDAD SOCIAL UNIVERSITARIA</t>
  </si>
  <si>
    <t>DIVISIÓN DE TECNOLOGÍA</t>
  </si>
  <si>
    <t xml:space="preserve">DIVISIÓN FINANCIERA  </t>
  </si>
  <si>
    <t>ENFERMERÍA</t>
  </si>
  <si>
    <t>ESPECIALIZACIÓN EN DERECHO LABORAL Y SEGURIDAD SOCIAL</t>
  </si>
  <si>
    <t xml:space="preserve">ESPECIALIZACIÓN EN DERECHO PROCESAL </t>
  </si>
  <si>
    <t>ESPECIALIZACIÓN EN DISEÑO URBANO</t>
  </si>
  <si>
    <t>ESPECIALIZACIÓN EN EPIDEMIOLOGÍA</t>
  </si>
  <si>
    <t>ESPECIALIZACIÓN EN GERENCIA DE EMPRESAS - VIRTUAL</t>
  </si>
  <si>
    <t>ESPECIALIZACIÓN EN GERENCIA DE INSTITUCIONES DE SALUD</t>
  </si>
  <si>
    <t>ESPECIALIZACIÓN EN GERENCIA DE MERCADEO</t>
  </si>
  <si>
    <t>ESPECIALIZACIÓN EN GERENCIA DE PROYECTOS</t>
  </si>
  <si>
    <t>ESPECIALIZACIÓN EN GERENCIA DE PROYECTOS - SOGAMOSO</t>
  </si>
  <si>
    <t>ESPECIALIZACIÓN EN GERENCIA FINANCIERA - YOPAL</t>
  </si>
  <si>
    <t>ESPECIALIZACIÓN EN GERENCIA PROYECTOS -YOPAL</t>
  </si>
  <si>
    <t xml:space="preserve">ESPECIALIZACIÓN EN GERENCIA TURÍSTICA - VIRTUAL </t>
  </si>
  <si>
    <t>ESPECIALIZACIÓN EN GESTIÓN DEL PATRIMONIO CULTURAL-VIRTUAL</t>
  </si>
  <si>
    <t>ESPECIALIZACIÓN EN GESTIÓN Y ASEGURAMIENTO DE LA CALIDAD EN LABORATORIOS CLÍNICOS</t>
  </si>
  <si>
    <t>ESPECIALIZACIÓN EN INGENIERÍA AMBIENTAL</t>
  </si>
  <si>
    <t>ESPECIALIZACIÓN EN MEDICINA DEL DEPORTE Y LA ACTIVIDAD FÍSICA</t>
  </si>
  <si>
    <t>ESPECIALIZACIÓN EN SEGURIDAD Y SALUD EN EL TRABAJO - VIRTUAL</t>
  </si>
  <si>
    <t>ESPECIALIZACIÓN EN SISTEMAS INTEGRADOS DE GESTIÓN - QHSE</t>
  </si>
  <si>
    <t>ESPECIALIZACIÓN EN SISTEMAS INTEGRADOS DE GESTIÓN QHSE - YOPAL</t>
  </si>
  <si>
    <t xml:space="preserve">FACULTAD DE ARQUITECTURA DISEÑO Y URBANISMO </t>
  </si>
  <si>
    <t xml:space="preserve">FACULTAD DE CIENCIAS ADMINISTRATIVAS Y CONTABLES </t>
  </si>
  <si>
    <t xml:space="preserve">FACULTAD DE CIENCIAS DE LA SALUD </t>
  </si>
  <si>
    <t xml:space="preserve">FACULTAD DE CIENCIAS E INGENIERÍA </t>
  </si>
  <si>
    <t>FACULTAD DE CIENCIAS HUMANAS Y EDUCATIVAS</t>
  </si>
  <si>
    <t xml:space="preserve">FACULTAD DE CIENCIAS JURÍDICAS Y SOCIALES </t>
  </si>
  <si>
    <t>FACULTAD DE EDUCACIÓN VIRTUAL Y A DISTANCIA</t>
  </si>
  <si>
    <t>FACULTAD DE ESTUDIOS DE POSTGRADO</t>
  </si>
  <si>
    <t>FISIOTERAPIA</t>
  </si>
  <si>
    <t>INGENIERÍA AMBIENTAL</t>
  </si>
  <si>
    <t>INGENIERÍA AMBIENTAL - SOGAMOSO</t>
  </si>
  <si>
    <t>INGENIERÍA CIVIL</t>
  </si>
  <si>
    <t>INGENIERÍA DE SISTEMAS</t>
  </si>
  <si>
    <t>INGENIERÍA INDUSTRIAL</t>
  </si>
  <si>
    <t>INGENIERÍA INDUSTRIAL - VIRTUAL</t>
  </si>
  <si>
    <t>INGENIERÍA INDUSTRIAL-SOGAMOSO</t>
  </si>
  <si>
    <t>INGENIERÍA MECATRÓNICA</t>
  </si>
  <si>
    <t>INGENIERÍA SANITARIA</t>
  </si>
  <si>
    <t>INSTITUTO DE ESTUDIOS DEL FUTURO - IEF</t>
  </si>
  <si>
    <t>INSTRUMENTACIÓN QUIRÚRGICA</t>
  </si>
  <si>
    <t>INVESTIGADORES BIENESTAR UNIVERSITARIO</t>
  </si>
  <si>
    <t>INVESTIGADORES FCAC</t>
  </si>
  <si>
    <t>JOVENES INVESTIGADORES</t>
  </si>
  <si>
    <t>LABORATORIO BIOLOGÍA</t>
  </si>
  <si>
    <t>LABORATORIO DE ANATOMÍA INTEGRADA</t>
  </si>
  <si>
    <t>LABORATORIO DE ANÁLISIS AMBIENTAL</t>
  </si>
  <si>
    <t>LABORATORIO DE AUDIO</t>
  </si>
  <si>
    <t>LABORATORIO DE BIOLOGÍA - SOGAMOSO</t>
  </si>
  <si>
    <t>LABORATORIO DE BIOLOGÍA MOLECULAR</t>
  </si>
  <si>
    <t>LABORATORIO DE CUIDADO CARDIORRESPIRATORIO</t>
  </si>
  <si>
    <t>LABORATORIO DE FISIOTERAPIA - ÁREA DE PRÁCTICAS Y ESTIMULACIÓN ADECUADA</t>
  </si>
  <si>
    <t>LABORATORIO DE FOTOGRAFÍA</t>
  </si>
  <si>
    <t>LABORATORIO DE FÍSICA</t>
  </si>
  <si>
    <t>LABORATORIO DE FÍSICA - SOGAMOSO</t>
  </si>
  <si>
    <t>LABORATORIO DE HIDRÁULICA</t>
  </si>
  <si>
    <t>LABORATORIO DE INVESTIGACIÓN CIENCIA E INGENIERÍA</t>
  </si>
  <si>
    <t>LABORATORIO DE INVESTIGACIÓN CIENCIAS BIOLÓGICAS</t>
  </si>
  <si>
    <t>LABORATORIO DE INVESTIGACIÓN EN CIENCIAS BIOLÓGICAS</t>
  </si>
  <si>
    <t>LABORATORIO DE MICROBIOLOGÍA</t>
  </si>
  <si>
    <t>LABORATORIO DE NEUMÁTICA</t>
  </si>
  <si>
    <t>LABORATORIO DE PROCESOS INDUSTRIALES</t>
  </si>
  <si>
    <t>LABORATORIO DE QUÍMICA ANALÍTICA</t>
  </si>
  <si>
    <t>LABORATORIO DE QUÍMICA Y BIOQUÍMICA</t>
  </si>
  <si>
    <t>LABORATORIO DE TELEVISIÓN</t>
  </si>
  <si>
    <t>LABORATORIO DE TERMODINÁMICA</t>
  </si>
  <si>
    <t>LABORATORIO MECÁNICA DE SUELOS</t>
  </si>
  <si>
    <t>LICENCIATURA EN EDUCACIÓN INFANTIL</t>
  </si>
  <si>
    <t>LICENCIATURA EN EDUCACIÓN INFANTIL - VIRTUAL</t>
  </si>
  <si>
    <t>LICENCIATURA EN PEDAGOGÍA INFANTIL</t>
  </si>
  <si>
    <t>MAESTRÍA EN ADMINISTRACIÓN</t>
  </si>
  <si>
    <t>MAESTRÍA EN COMUNICACIÓN DIGITAL ESTRATÉGICA</t>
  </si>
  <si>
    <t>MAESTRÍA EN DERECHO PROCESAL Y PROBATORIO</t>
  </si>
  <si>
    <t>MAESTRÍA EN EDUCACIÓN PARA LA INCLUSIÓN Y LA INTERCULTURALIDAD - VIRTUAL</t>
  </si>
  <si>
    <t>MAESTRÍA EN GERENCIA DE PROYECTOS</t>
  </si>
  <si>
    <t>MAESTRÍA EN GERENCIA DE PROYECTOS - VIRTUAL</t>
  </si>
  <si>
    <t>MAESTRÍA EN GESTIÓN DEL PATRIMONIO CULTURAL</t>
  </si>
  <si>
    <t>MAESTRÍA EN INGENIERÍA AMBIENTAL</t>
  </si>
  <si>
    <t>MAESTRÍA EN SISTEMAS INTEGRADOS DE GESTIÓN</t>
  </si>
  <si>
    <t>MAESTRÍA EN URBANISMO</t>
  </si>
  <si>
    <t>MEDICINA</t>
  </si>
  <si>
    <t>MEDIOS AUDIOVISUALES</t>
  </si>
  <si>
    <t>MUSEO DE ARTE Y CULTURA DE LA UNIVERSIDAD DE BOYACÁ - MACUB</t>
  </si>
  <si>
    <t>OFICINA DE ASESORÍA JURÍDICA</t>
  </si>
  <si>
    <t>OFICINA DE COMUNICACIONES Y MERCADEO</t>
  </si>
  <si>
    <t>POLITECA</t>
  </si>
  <si>
    <t>PROGRAMAS DE POSGRADOS EN CIENCIAS HUMANAS Y EDUCATIVAS</t>
  </si>
  <si>
    <t>PROGRAMAS DE POSTGRADO EN ARQUITECTURA DISEÑO Y URBANISMO</t>
  </si>
  <si>
    <t>PROGRAMAS DE POSTGRADO EN CIENCIAS ADMINISTRATIVAS Y CONTABLES</t>
  </si>
  <si>
    <t>PROGRAMAS DE POSTGRADO EN CIENCIAS DE LA SALUD</t>
  </si>
  <si>
    <t>PROGRAMAS DE POSTGRADO EN CIENCIAS E INGENIERÍA</t>
  </si>
  <si>
    <t>PROGRAMAS DE POSTGRADO EN CIENCIAS JURÍDICAS Y SOCIALES</t>
  </si>
  <si>
    <t>PROYECCIÓN SOCIAL FCIN</t>
  </si>
  <si>
    <t>PROYECTOS ESPECIALES</t>
  </si>
  <si>
    <t>PSICOLOGÍA</t>
  </si>
  <si>
    <t>PSICOLOGÍA - SOGAMOSO</t>
  </si>
  <si>
    <t xml:space="preserve">RECTORÍA </t>
  </si>
  <si>
    <t xml:space="preserve">REVISORÍA FISCAL </t>
  </si>
  <si>
    <t>SALVACORAZONES</t>
  </si>
  <si>
    <t>SECCIÓN ADMINISTRATIVA - SOGAMOSO</t>
  </si>
  <si>
    <t>SECCIÓN CULTURAL</t>
  </si>
  <si>
    <t>SECCIÓN DE ADMISIONES Y MATRÍCULAS</t>
  </si>
  <si>
    <t>SECCIÓN DE ALMACÉN</t>
  </si>
  <si>
    <t>SECCIÓN DE ATENCIÓN PSICOLÓGICA</t>
  </si>
  <si>
    <t>SECCIÓN DE CONTABILIDAD</t>
  </si>
  <si>
    <t>SECCIÓN DE CRÉDITO</t>
  </si>
  <si>
    <t>SECCIÓN DE DEPORTES</t>
  </si>
  <si>
    <t>SECCIÓN DE EXTENCIÓN</t>
  </si>
  <si>
    <t>SECCIÓN DE GESTIÓN DOCUMENTAL</t>
  </si>
  <si>
    <t>SECCIÓN DE INCLUSIÓN</t>
  </si>
  <si>
    <t>SECCIÓN DE INFRAESTRUCTURA TECNOLÓGICA - DINTEL</t>
  </si>
  <si>
    <t>SECCIÓN DE INFRAESTRUCTURA Y MANTENIMIENTO</t>
  </si>
  <si>
    <t>SECCIÓN DE PERSONAL</t>
  </si>
  <si>
    <t>SECCIÓN DE PRESUPUESTO</t>
  </si>
  <si>
    <t>SECCIÓN DE PROYECCIÓN SOCIAL</t>
  </si>
  <si>
    <t>SECCIÓN DE REGISTRO Y CONTROL ACADÉMICO</t>
  </si>
  <si>
    <t>SECCIÓN DE SALUD</t>
  </si>
  <si>
    <t>SECCIÓN DE SEGURIDAD Y SALUD EN EL TRABAJO</t>
  </si>
  <si>
    <t>SECCIÓN DE SERVICIOS GENERALES</t>
  </si>
  <si>
    <t>SECCIÓN DE SISTEMAS INTEGRADOS DE GESTIÓN</t>
  </si>
  <si>
    <t>SECCIÓN DE TESORERÍA</t>
  </si>
  <si>
    <t>SECCIÓN FINANCIERA SOGAMOSO</t>
  </si>
  <si>
    <t>SECCIÓN SISTEMA DE INFORMACIÓN - SIIUB</t>
  </si>
  <si>
    <t>SECCIÓN TECNOLÓGICA - SOGAMOSO</t>
  </si>
  <si>
    <t xml:space="preserve">SECRETARÍA GENERAL </t>
  </si>
  <si>
    <t>TERAPIA RESPIRATORIA</t>
  </si>
  <si>
    <t xml:space="preserve">UNIDAD DE DESARROLLO ACADÉMICO </t>
  </si>
  <si>
    <t>VICERRECTORIA ACADEMICA</t>
  </si>
  <si>
    <t>VICERRECTORÍA ADMINISTRATIVA Y FINANCIERA</t>
  </si>
  <si>
    <t xml:space="preserve">VICERRECTORÍA DE INVESTIGACIÓN CIENCIA E INNOVACIÓN </t>
  </si>
  <si>
    <t xml:space="preserve">VICERRECTORÍA DE PROYECCIÓN INSTITUCIONAL </t>
  </si>
  <si>
    <t>FUNCIONARIO_ID</t>
  </si>
  <si>
    <t>TORRES CAYCEDO MARIA INES</t>
  </si>
  <si>
    <t>BOTERO FAGUA IMELDA CONSUELO</t>
  </si>
  <si>
    <t>CORREAL CUERVO CAMILO JOSÉ</t>
  </si>
  <si>
    <t>ARIAS HOLGUIN HERNAN ALFONSO</t>
  </si>
  <si>
    <t>SUÁREZ ZARABANDA MARTHA ISABEL</t>
  </si>
  <si>
    <t>ROA CUBAQUE MARCELA AMERICA</t>
  </si>
  <si>
    <t>GARCÍA BARRERA AMANDA ELIZABETH</t>
  </si>
  <si>
    <t>BOHÓRQUEZ OLAYA CLAUDIA INÉS</t>
  </si>
  <si>
    <t>MOJICA CERQUERA JUAN GREGORIO</t>
  </si>
  <si>
    <t>CORREDOR GAMBA SANDRA PATRICIA</t>
  </si>
  <si>
    <t>MONTAÑEZ TORRES CARMENZA</t>
  </si>
  <si>
    <t>COBO MEJIA ELISA ANDREA</t>
  </si>
  <si>
    <t>QUIROGA BUITRAGO NANCY CONSUELO</t>
  </si>
  <si>
    <t>PEDRAZA PÁEZ YULY ALEXANDRA</t>
  </si>
  <si>
    <t>BAUTISTA ROA ADRIANA MARGOTH</t>
  </si>
  <si>
    <t>BAYONA ESTUPIÑÁN GEOBANA ELIZABETH</t>
  </si>
  <si>
    <t>QUINO AVILA AURA CRISTINA</t>
  </si>
  <si>
    <t>PERILLA SANDOVAL MARÍA FERNANDA</t>
  </si>
  <si>
    <t>SANCHEZ CAPACHO NOHORA</t>
  </si>
  <si>
    <t>URBANO CACERES ELIANA XIMENA</t>
  </si>
  <si>
    <t>BUITRAGO LOPEZ YESID CAMILO</t>
  </si>
  <si>
    <t>RODRIGUEZ PATARROYO NANCY SUSANA</t>
  </si>
  <si>
    <t>ANGARITA MERCHÁN MARITZA</t>
  </si>
  <si>
    <t>MORCOTE GONZALEZ OLGA SOFIA</t>
  </si>
  <si>
    <t>RODRIGUEZ LOZANO ERIKA PAOLA</t>
  </si>
  <si>
    <t>RODRIGUEZ BOHORQUEZ DAVID ALBERTO</t>
  </si>
  <si>
    <t>AVENDAÑO LEON JULIAN ANDRES</t>
  </si>
  <si>
    <t>PEDRAZA DELGADILLO MARÍA DEL PILAR</t>
  </si>
  <si>
    <t>RAMOS PARRA YADI JOHAIRA</t>
  </si>
  <si>
    <t>LOPEZ LEGUIZAMON HECTOR ALEXANDER</t>
  </si>
  <si>
    <t>PINILLA RODRIGUEZ MARCELA EUNICE</t>
  </si>
  <si>
    <t>SALAMANCA MERCHAN JUAN DAVID</t>
  </si>
  <si>
    <t>MORENO CASTILLO DENIS CAROLINA</t>
  </si>
  <si>
    <t>OTALORA GOMEZ LINA MARIA</t>
  </si>
  <si>
    <t>BALAGUERA DIAZ YENIFER ALEXANDRA</t>
  </si>
  <si>
    <t>LOZANO RUEDA OSCAR MAURICIO</t>
  </si>
  <si>
    <t>DIAZ GIL OSCAR IVAN</t>
  </si>
  <si>
    <t>MONTOYA ROJAS JULIETA</t>
  </si>
  <si>
    <t>CARO AVENDAÑO CATHERIN DAYANI</t>
  </si>
  <si>
    <t>QUEMBA MESA MONICA PAOLA</t>
  </si>
  <si>
    <t>CIFUENTES MONROY JULIAN GIOVANNY</t>
  </si>
  <si>
    <t>CARDENAS VALLEJO DIANA CAROLINA</t>
  </si>
  <si>
    <t>VALDERRAMA BALAGUERA JUAN CAMILO</t>
  </si>
  <si>
    <t>MONROY AVELLA MARGHY ANDREA</t>
  </si>
  <si>
    <t>SANDOVAL GARCIA EMILIA INES</t>
  </si>
  <si>
    <t>JOHANNA DEL PILAR PARRA SIERRA</t>
  </si>
  <si>
    <t>CORREAL AGUILERA DANIEL</t>
  </si>
  <si>
    <t>DÍAZ ORTIZ SANDRA PATRICIA</t>
  </si>
  <si>
    <t>CAMARGO MANCIPE ANNY JINETH</t>
  </si>
  <si>
    <t>ÁLVAREZ VARGAS NUBIA YANNETH</t>
  </si>
  <si>
    <t>ASPIRANTE_ID</t>
  </si>
  <si>
    <t>AUTORIZA_BECA_ID</t>
  </si>
  <si>
    <t>NOMBRE_BECA</t>
  </si>
  <si>
    <t>ANGIE TATIANA ROJAS LAGOS</t>
  </si>
  <si>
    <t>15% SENA</t>
  </si>
  <si>
    <t>BRIGIETH LUCERO ALDANA DUARTE</t>
  </si>
  <si>
    <t>15% BECA PARCIAL POR SEMESTRE PARA ESTIMULAR A ESTUDIANTES DE PREGRADO DE MÁS ALTO RENDIMIENTO ACADÉMICO.</t>
  </si>
  <si>
    <t>KAREN DAYANNA FIGUEREDO CARO</t>
  </si>
  <si>
    <t>MARÍA LUCÍA LÓPEZ CASTELLANOS</t>
  </si>
  <si>
    <t>NAYELY ANDREA RODRÍGUEZ RODRÍGUEZ</t>
  </si>
  <si>
    <t>PAULA CAMILA LEGUIZAMÓN SUÁREZ</t>
  </si>
  <si>
    <t>25% BECA PARCIAL POR SEMESTRE AL ESTUDIANTE DE CADA PROGRAMA DE V SEMESTRE EN ADELANTE DE MEJOR PROMEDIO ACUMULADO.</t>
  </si>
  <si>
    <t>ANGELA DANIELA CHAPARRO BERNAL</t>
  </si>
  <si>
    <t>10% INCENTIVOS COLEGIOS QUE TIENEN CONVENIO DENTRO DEL PROGRAMA STUDIUM</t>
  </si>
  <si>
    <t>ANGIE LORENA MANCO ARDILA</t>
  </si>
  <si>
    <t>BRAYAN ORLANDO GOMEZ BARRERA</t>
  </si>
  <si>
    <t>CARLOS ALBERTO RICO PILLAJO</t>
  </si>
  <si>
    <t>CARLOS SEBASTIÁN ESCAMILLA JIMÉNEZ</t>
  </si>
  <si>
    <t>DAGMARA DAYANA FERNANDEZ GUALDRON</t>
  </si>
  <si>
    <t>DANNA XIMENA IBAÑEZ FORERO</t>
  </si>
  <si>
    <t>DAVID SANTIAGO CELY PATARROYO</t>
  </si>
  <si>
    <t>DIEGO FERNANDO CARDOZO VARGAS</t>
  </si>
  <si>
    <t>ERIKA DAYANA LÓPEZ MONTAÑA</t>
  </si>
  <si>
    <t>JENNIFER MARIANA GONZÁLEZ RINCÓN</t>
  </si>
  <si>
    <t>JESSICA PAOLA PÉREZ ALARCÓN</t>
  </si>
  <si>
    <t>JORGE LUIS ACEVEDO PINEDA</t>
  </si>
  <si>
    <t>JOSEPH DAVID CALDERON SANABRIA</t>
  </si>
  <si>
    <t>JUAN DIEGO PARRA GUTIÉRREZ</t>
  </si>
  <si>
    <t>JUAN MATEO ALVAREZ HIGUERA</t>
  </si>
  <si>
    <t>KAREN VIVIANA ZORRO MERCHAN</t>
  </si>
  <si>
    <t>KATHERYN VALERIA DELGADO ORTIZ</t>
  </si>
  <si>
    <t>LAURA LORENA HERNÁNDEZ LEMUS</t>
  </si>
  <si>
    <t>LAURA SOFÍA ACEVEDO PEÑA</t>
  </si>
  <si>
    <t>30% BECA AL MEJOR BACHILLER ACADÉMICO DE CADA PROMOCIÓN EN CUALQUIER COLEGIO DEL PAÍS</t>
  </si>
  <si>
    <t>LISETH BIBIANA PÉREZ CORREDOR</t>
  </si>
  <si>
    <t>MARÍA PAULA ROSAS BÁEZ</t>
  </si>
  <si>
    <t>NANCY DANIELA FONSECA CARDOZO</t>
  </si>
  <si>
    <t>NANCY PAOLA DUEÑAS RINCÓN</t>
  </si>
  <si>
    <t>20% BECA AL SEGUNDO MEJOR RESULTADO DE LAS PRUEBAS DE ESTADO SABER 11 DE CADA PROMOCIÓN.</t>
  </si>
  <si>
    <t>NATALIA PUENTES ÁLVAREZ</t>
  </si>
  <si>
    <t>SAMUEL GEOVANNY BLANCO RINCÓN</t>
  </si>
  <si>
    <t>SANTIAGO CASTAÑEDA OJEDA</t>
  </si>
  <si>
    <t>SARA LILIANA ESTEPA RINCÓN</t>
  </si>
  <si>
    <t>SARA SOFIA LEAL PRIETO</t>
  </si>
  <si>
    <t>SHARICK DAYANA PREGONERO RIVERA</t>
  </si>
  <si>
    <t>SOLANYI PILAR TRIANA LEON</t>
  </si>
  <si>
    <t>VANESA ALEXANDRA CUTA MERCHAN</t>
  </si>
  <si>
    <t>30% BECA AL MEJOR RESULTADO DE LAS PRUEBAS DE ESTADO SABER 11 DE LA PROMOCIÓN EN CADA COLEGIO DEL PAÍS.</t>
  </si>
  <si>
    <t>ASTRID KATHERINE TORRES GONZÁLEZ</t>
  </si>
  <si>
    <t>BRAYAN STIVEN COTRINO PULIDO</t>
  </si>
  <si>
    <t>CARLOS DANIEL ULLOA NIETO</t>
  </si>
  <si>
    <t>CARLOS ESTEBAN VACA CRUZ</t>
  </si>
  <si>
    <t>CRISTAL ARIANA ARDILA HEREDIA</t>
  </si>
  <si>
    <t>CRISTIAN CAMILO BLANCO RODRÍGUEZ</t>
  </si>
  <si>
    <t>DANNA YIRETH URREGO RINCÓN</t>
  </si>
  <si>
    <t>DAVID ALEJANDRO LEÓN PORTUGUÉZ</t>
  </si>
  <si>
    <t>DEISY CAROLINA FANDIÑO BALAGUERA</t>
  </si>
  <si>
    <t>DIANA CAROLINA MESA NIÑO</t>
  </si>
  <si>
    <t>ISABELLA CHAVARRO VARGAS</t>
  </si>
  <si>
    <t>JOHAN DANIEL CONTRERAS ROJAS</t>
  </si>
  <si>
    <t>JUAN ESTEBAN PEÑA BAUTISTA</t>
  </si>
  <si>
    <t>JULIETH SAMANTHA PINILLA CAÑON</t>
  </si>
  <si>
    <t>20% BECA PARA EL SEGUNDO MEJOR BACHILLER ACADÉMICO DE LA PROMOCIÓN, DE CADA COLEGIO DEL PAÍS</t>
  </si>
  <si>
    <t>KARENTH DAYANA APONTE CAPACHO</t>
  </si>
  <si>
    <t>KAROL TATIANA BONILLA BECERRA</t>
  </si>
  <si>
    <t>KAROL ZCHARIT DONCEL BARRERA</t>
  </si>
  <si>
    <t>LAURA JIMENA RAMÍREZ VARGAS</t>
  </si>
  <si>
    <t>LAURA KATHERINE CRISTANCHO RAMIREZ</t>
  </si>
  <si>
    <t>LAURA VALENTINA NIETO PARRA</t>
  </si>
  <si>
    <t>LAURA VALENTINA REYES RODRÍGUEZ</t>
  </si>
  <si>
    <t>15% BECA APOYANDO A LOS NUESTROS. HIJOS Y CONYUGUE DE FUNCIONARIOS TIEMPO COMPLETO</t>
  </si>
  <si>
    <t>MARKO ALEXANDER CASTRO BELLO</t>
  </si>
  <si>
    <t>MARÍA ALEJANDRA NÚÑEZ BAUTISTA</t>
  </si>
  <si>
    <t>NATHALIA ORTIZ VILLAR</t>
  </si>
  <si>
    <t>NICOLLE JHASBLEIDY RONDON CARREÑO</t>
  </si>
  <si>
    <t>PAULA FERNANDA DIAZ PACHON</t>
  </si>
  <si>
    <t>PAULA MICHELL RODRÍGUEZ CHACÓN</t>
  </si>
  <si>
    <t>PAULA NATALIA ESPÍNDOLA SILVA</t>
  </si>
  <si>
    <t>RAMSES LEONARDO PATIÑO APONTE</t>
  </si>
  <si>
    <t>SANDY XIMENA RODRÍGUEZ SUÁREZ</t>
  </si>
  <si>
    <t>SARA JULIETH ROJAS MARTÍNEZ</t>
  </si>
  <si>
    <t>SARA SOFÍA JAIMES BAYONA</t>
  </si>
  <si>
    <t>SARAH SOFÍA GONZÁLEZ CABALLERO</t>
  </si>
  <si>
    <t>VALERY MARIANA CASAS CHILLAN</t>
  </si>
  <si>
    <t>XIOMARA PLAZA MÉNDEZ</t>
  </si>
  <si>
    <t>10% BECA PARA EL TERCER MEJOR BACHILLER ACADÉMICO DE LA PROMOCIÓN DE CADA COLEGIO DEL PAÍS</t>
  </si>
  <si>
    <t>YAMID FERNANDO GONZÁLEZ AVELLANEDA</t>
  </si>
  <si>
    <t>YENIFFER ANDREA GAITÁN PUENTES</t>
  </si>
  <si>
    <t>YULIETH VANEZA TORRES MOLINA</t>
  </si>
  <si>
    <t>ANDREA VANESSA RODRIGUEZ MAYORGA</t>
  </si>
  <si>
    <t>BRYANT LEONARDO TORRES BARRERA</t>
  </si>
  <si>
    <t>DAVID ALEJANDRO GONZÁLEZ HERNÁNDEZ</t>
  </si>
  <si>
    <t>EDNA TATIANA VARGAS WILCHES</t>
  </si>
  <si>
    <t>HANNAH ITZEL RODRÍGUEZ PÉREZ</t>
  </si>
  <si>
    <t>JINET DAYANA VILLAMIL PORRAS</t>
  </si>
  <si>
    <t>JOHAN MAURICIO AYALA GIL</t>
  </si>
  <si>
    <t>JUAN CAMILO DÍAZ PÉREZ</t>
  </si>
  <si>
    <t>JULIETH CAMILA BALLESTEROS CIFUENTES</t>
  </si>
  <si>
    <t>LAURA GABRIELA ESPEJO PEDRAZA</t>
  </si>
  <si>
    <t>LAURA VALENTINA ORTIZ ORTIZ</t>
  </si>
  <si>
    <t>LUIS ESTEBAN SÁENZ CASTIBLANCO</t>
  </si>
  <si>
    <t>LUNA JIMENA ÁLVAREZ MATALLANA</t>
  </si>
  <si>
    <t>OSCAR JAVIER CASTAÑEDA CARDENAS</t>
  </si>
  <si>
    <t>PAULA ANGELICA SORACIPA BELTRAN</t>
  </si>
  <si>
    <t>SEBASTIÁN HERNÁNDEZ AGUIRRE</t>
  </si>
  <si>
    <t>YEIMY MARCELA VELANDIA LLANES</t>
  </si>
  <si>
    <t>YULIETH DAYANA ALFONSO NARANJO</t>
  </si>
  <si>
    <t>ZULLY TATIANA TORRES FÚQUENE</t>
  </si>
  <si>
    <t>ANGÉLICA MARÍA RAMÍREZ LEMUS</t>
  </si>
  <si>
    <t>CAMILO ANDRÉS SERRANO HINCAPIÉ</t>
  </si>
  <si>
    <t>CRISTIAN DAVID PÉREZ SIERRA</t>
  </si>
  <si>
    <t>DANIEL ALEJANDRO DAZA GUTIÉRREZ</t>
  </si>
  <si>
    <t>DANIELA ACOSTA COTINCHARA</t>
  </si>
  <si>
    <t>DUVAN SANTIAGO CHAPARRO CHAPARRO</t>
  </si>
  <si>
    <t>FREDICK SANTIAGO RUIZ CASTRO</t>
  </si>
  <si>
    <t>10% BECA FAMILIAS UDB PARA EL SEGUNDO MATRICULADO DEL MISMO NÚCLEO FAMILIAR.</t>
  </si>
  <si>
    <t>JACLEIDY MERELIN MORENO MORA</t>
  </si>
  <si>
    <t>JOHANA KATHERIN ESTUPIÑÁN MÁRQUEZ</t>
  </si>
  <si>
    <t>JULIANA RODRÍGUEZ ROJAS</t>
  </si>
  <si>
    <t>JULIÁN SANTIAGO GALEANO ACEVEDO</t>
  </si>
  <si>
    <t>KAREN SOFIA MATALLANA MESA</t>
  </si>
  <si>
    <t>KEVIN JAHIR CHAPARRO BOLIVAR</t>
  </si>
  <si>
    <t>LAURA CAMILA MARTÍNEZ PÉREZ</t>
  </si>
  <si>
    <t>LAURA SOFÍA ESTUPIÑÁN GÜIZA</t>
  </si>
  <si>
    <t>LAURA XIMENA TORRES PINEDA</t>
  </si>
  <si>
    <t>LEIDY TATIANA DÍAZ CARDOZO</t>
  </si>
  <si>
    <t>LEYLA MARIANA FORERO SALAZAR</t>
  </si>
  <si>
    <t>LINA DANIELA MONTAÑA PIRAGUA</t>
  </si>
  <si>
    <t>MANUEL ALEJANDRO MARIÑO MORENO</t>
  </si>
  <si>
    <t>MARGARITA SOFÍA PALENCIA MELO</t>
  </si>
  <si>
    <t>MARIA JOSE CARDENAS PLAZAS</t>
  </si>
  <si>
    <t>MARÍA PAULA MOLANO AVELLA</t>
  </si>
  <si>
    <t>NATHALY JULIANA ZEA TORRES</t>
  </si>
  <si>
    <t>NEIDY VANESA NOSSA NARANJO</t>
  </si>
  <si>
    <t>NICOLAS CAMELO ROJAS</t>
  </si>
  <si>
    <t>NICOLE DAIANA GUERRERO CALDERON</t>
  </si>
  <si>
    <t>NICOLL SAMARA MARTÍNEZ PONGUTÁ</t>
  </si>
  <si>
    <t>NICOLÁS ALEJANDRO TENZA RODRÍGUEZ</t>
  </si>
  <si>
    <t>NICOLÁS DAVID LÓPEZ GÁMEZ</t>
  </si>
  <si>
    <t>NIXON FELIPE SANDOVAL FUENTES</t>
  </si>
  <si>
    <t>OSCAR DAVID GIL PULIDO</t>
  </si>
  <si>
    <t>RAMIRO ALEXÁNDER VELANDIA IBICA</t>
  </si>
  <si>
    <t>SARA VALENTINA TORRES QUINTANA</t>
  </si>
  <si>
    <t>SARA YESICA PÉREZ VALENCIA</t>
  </si>
  <si>
    <t>SARITA LISBETH RODRÍGUEZ RUBIO</t>
  </si>
  <si>
    <t>SOFI VALENTINA CORREDOR CHAPARRO</t>
  </si>
  <si>
    <t>VALENTINA MENDOZA GIL</t>
  </si>
  <si>
    <t>VERONICA PEREZ VEGA</t>
  </si>
  <si>
    <t>WILLIAM RICARDO GONZÁLEZ LOZANO</t>
  </si>
  <si>
    <t>YOJHAN ALEXANDER PÉREZ LÓPEZ</t>
  </si>
  <si>
    <t>ALEXANDRA MUÑOZ HERNÁNDEZ</t>
  </si>
  <si>
    <t>ANA GABRIELA LÓPEZ LÓPEZ</t>
  </si>
  <si>
    <t>ANA LORENA MORA BERNAL</t>
  </si>
  <si>
    <t>ANDREA VALENTINA RODRÍGUEZ RODRÍGUEZ</t>
  </si>
  <si>
    <t>CAMILA ZULETA LAITÓN</t>
  </si>
  <si>
    <t>CAROL DAHIANA CASTIBLANCO GRIJALBA</t>
  </si>
  <si>
    <t>CLARA PAOLA PÉREZ FLÓREZ</t>
  </si>
  <si>
    <t>DANIEL CAMILO OTALORA SILVA</t>
  </si>
  <si>
    <t>DANIELA CELY ALFONSO</t>
  </si>
  <si>
    <t>DANNYA MILANY CARO PAEZ</t>
  </si>
  <si>
    <t>DIANA ALEJANDRA BECERRA DÍAZ</t>
  </si>
  <si>
    <t>EIRA ZELENY VERDUGO MARTÍNEZ</t>
  </si>
  <si>
    <t>ELKIN ALFREDO MORENO REYES</t>
  </si>
  <si>
    <t>GINE ALEJANDRA GONZÁLEZ CASAS</t>
  </si>
  <si>
    <t>JENNIFER TATIANA VILLADA MARTÍNEZ</t>
  </si>
  <si>
    <t>JENNY FERNANDA CASTELLANOS BLANCO</t>
  </si>
  <si>
    <t>JUAN MIGUEL CAIPE VERGEL</t>
  </si>
  <si>
    <t>JUANA VALENTINA PORRAS ARANGUREN</t>
  </si>
  <si>
    <t>KAREN DAYANA PULIDO LEON</t>
  </si>
  <si>
    <t>KAREN NATHALIA MANRIQUE QUITIAN</t>
  </si>
  <si>
    <t>LAURA CAMILA CÓRDOBA MARÍN</t>
  </si>
  <si>
    <t>LAURA LICETH CARDONA HERRERA</t>
  </si>
  <si>
    <t>LAURA TATIANA PULIDO CRUZ</t>
  </si>
  <si>
    <t>LAURA VALENTINA RODRÍGUEZ BARRERA</t>
  </si>
  <si>
    <t>LEIDY KATHERINE BAYONA VANEGAS</t>
  </si>
  <si>
    <t>LICETH DAYANNA CÁRDENAS SANTOS</t>
  </si>
  <si>
    <t>LINA ESTEFANÍA MORENO GRANADOS</t>
  </si>
  <si>
    <t>LISBETH YULIANA PÉREZ MILLÁN</t>
  </si>
  <si>
    <t>LUDY JIMENA CUBIDES SAAVEDRA</t>
  </si>
  <si>
    <t>LUISA MARIA BERDUGO MATEUS</t>
  </si>
  <si>
    <t>15% DESCUENTO HIJOS DE EGRESADOS</t>
  </si>
  <si>
    <t>MARIANA KATHERINE GIL VARGAS</t>
  </si>
  <si>
    <t>MARIANA YULICZA ROMERO GUIZA</t>
  </si>
  <si>
    <t>MARÍA CAMILA LEAL PULIDO</t>
  </si>
  <si>
    <t>MARÍA JOSÉ FONSECA VALCÁRCEL</t>
  </si>
  <si>
    <t>MARÍA PAULA LARA CAMARGO</t>
  </si>
  <si>
    <t>MÓNICA DANIELA PACHECO PACHECO</t>
  </si>
  <si>
    <t>NOHORA MARÍA RODRÍGUEZ GRANADOS</t>
  </si>
  <si>
    <t>PAULA JIMENA GONZALEZ VILLAMIL</t>
  </si>
  <si>
    <t>RUTH VALENTINA CUBIDES SALAS</t>
  </si>
  <si>
    <t>SARA JULIANA GARCÍA RODRÍGUEZ</t>
  </si>
  <si>
    <t>SOFÍA ALEJANDRA HERNÁNDEZ AGUIRRE</t>
  </si>
  <si>
    <t>SOPHY KATALINA REYES NINCO</t>
  </si>
  <si>
    <t>WENDY YOHANA CASTRO ARÉVALO</t>
  </si>
  <si>
    <t>YEIMI NATALIA CÁCERES PÉREZ</t>
  </si>
  <si>
    <t>YENIFER ANGÉLICA PÉREZ ROJAS</t>
  </si>
  <si>
    <t>YESSICA YULIETH GOMEZ GONZALEZ</t>
  </si>
  <si>
    <t>YULIETH CAROLINA GONZÁLEZ COLMENARES</t>
  </si>
  <si>
    <t>ÁNGELA GISSELLA CAMARGO MONGUÍ</t>
  </si>
  <si>
    <t>ANA MARÍA GONZÁLEZ IBARRA</t>
  </si>
  <si>
    <t>ANGIE NATALY FRANCO GAITAN</t>
  </si>
  <si>
    <t>CIELO YINETH RAIRÁN RUIZ</t>
  </si>
  <si>
    <t>DANIEL SALAZAR FONSECA</t>
  </si>
  <si>
    <t>100% DESCUENTO ESPECIAL</t>
  </si>
  <si>
    <t>DAVID STEVEN VALENCIA CASTAÑEDA</t>
  </si>
  <si>
    <t>HILDA SMITH ESPITIA BAUTISTA</t>
  </si>
  <si>
    <t>JENIFER VALENTINA PABON ALBA</t>
  </si>
  <si>
    <t>JESÚS DAVID OSORIO CALDERÓN</t>
  </si>
  <si>
    <t>JULIETA CARREÑO PEREIRA</t>
  </si>
  <si>
    <t>KAREN ANDREA CANTE ESPITIA</t>
  </si>
  <si>
    <t>LAURA MARIANA NARANJO LÓPEZ</t>
  </si>
  <si>
    <t>LAURA VALENTINA CONTRERAS BELLO</t>
  </si>
  <si>
    <t>LAURA VANESA PEÑA SÁNCHEZ</t>
  </si>
  <si>
    <t>LESLYE SAMARA RODRÍGUEZ BARRERA</t>
  </si>
  <si>
    <t>LIANA KATERINE MORALES MOLINA</t>
  </si>
  <si>
    <t>LINA MARÍA LEAL CÁRDENAS</t>
  </si>
  <si>
    <t>LINA SOFÍA MORENO ÁLVAREZ</t>
  </si>
  <si>
    <t>LIZETH CAROLINA ROJAS CASTRO</t>
  </si>
  <si>
    <t>LUNA VALENTINA GARCÍA GARCÍA</t>
  </si>
  <si>
    <t>LYDA MARIANA HERNÁNDEZ RODRÍGUEZ</t>
  </si>
  <si>
    <t>MARIA DE LOS ANGELES ABAUNZA OVIEDO</t>
  </si>
  <si>
    <t>MARIANA FAJARDO PINZÓN</t>
  </si>
  <si>
    <t>MARIANA KATHERINE ROBAYO GIL</t>
  </si>
  <si>
    <t>MARÍA DEL PILAR DÍAZ MARTÍNEZ</t>
  </si>
  <si>
    <t>PAULA VALENTINA MONROY SAMACÁ</t>
  </si>
  <si>
    <t>RAFAEL DAVID TORRES CAMARGO</t>
  </si>
  <si>
    <t>SARA ISABELLA BARÓN GUAUQUE</t>
  </si>
  <si>
    <t>SARA MANUELA DUARTE FORERO</t>
  </si>
  <si>
    <t>STEFANY VALENTINA GALVIZ PLATA</t>
  </si>
  <si>
    <t>STEFANY VANESSA ROJAS LASPRILLA</t>
  </si>
  <si>
    <t>YEIMI NATALY VARGAS ARANDA</t>
  </si>
  <si>
    <t>ZEIRY JULIANA ACOSTA TRIANA</t>
  </si>
  <si>
    <t>ALEJANDRA MARCELA MAESTRE PAIPA</t>
  </si>
  <si>
    <t>ANDRÉS ESTEBAN MORENO SÁNCHEZ</t>
  </si>
  <si>
    <t>ANGELO DAVID CALDERÓN DÁVILA</t>
  </si>
  <si>
    <t>ANGIE JULIETH CALDERON FLORIAN</t>
  </si>
  <si>
    <t>CARLOS STEFFAN VARGAS BUENO</t>
  </si>
  <si>
    <t>CESAR MAURICIO BUITRAGO VARGAS</t>
  </si>
  <si>
    <t>DANNA MARÍA PACHÓN RODRÍGUEZ</t>
  </si>
  <si>
    <t>DANNA VALENTINA BENÍTEZ HURTADO</t>
  </si>
  <si>
    <t>DANNA ZHARICK VALLEJO ROJAS</t>
  </si>
  <si>
    <t>DARIANA STEPHANY LÓPEZ MARTÍNEZ</t>
  </si>
  <si>
    <t>12% BECA FAMILIAS UDB PARA EL TERCER MATRICULADO DEL MISMO NÚCLEO FAMILIAR.</t>
  </si>
  <si>
    <t>DAYÁN YULIANA FORERO ESPITIA</t>
  </si>
  <si>
    <t>DIEGO ALEJANDRO TORRES ROA</t>
  </si>
  <si>
    <t>DULCE MARÍA GALÁN NONTOA</t>
  </si>
  <si>
    <t>EVELING YISETH SERRANO BARRERA</t>
  </si>
  <si>
    <t>FERNANDA KATHERINE SAAVEDRA REYES</t>
  </si>
  <si>
    <t>JENSIVER ENRIQUE ARAQUE CASTRO</t>
  </si>
  <si>
    <t>JOSE HERNANDO FUENTES ACOSTA</t>
  </si>
  <si>
    <t>JUAN JOSÉ TEJEDOR ROMERO</t>
  </si>
  <si>
    <t>JUANITA COCUNUBO RINCÓN</t>
  </si>
  <si>
    <t>KAREN JIMENA TORRES PÉREZ</t>
  </si>
  <si>
    <t>LAURA SOFIA PEREZ RICO</t>
  </si>
  <si>
    <t>LAURA VANESA MENDIETA BAUTISTA</t>
  </si>
  <si>
    <t>LAURA VANNESA PINZÓN SOCADAGÜI</t>
  </si>
  <si>
    <t>LEIDY GUIOMARA CÁRDENAS BORDA</t>
  </si>
  <si>
    <t>LINA MARCELA ROJAS ALFONSO</t>
  </si>
  <si>
    <t>LUIS FELIPE RODRIGUEZ HERNANDEZ</t>
  </si>
  <si>
    <t>LUZ NELY GARCIA SOLER</t>
  </si>
  <si>
    <t>MARIANA MORALES ALBA</t>
  </si>
  <si>
    <t>MARÍA PAULA BUSTAMANTE LÓPEZ</t>
  </si>
  <si>
    <t>MARÍA PAULA CUEVAS VEGA</t>
  </si>
  <si>
    <t>MIRIAM ALEJANDRA DÍAZ TORRES</t>
  </si>
  <si>
    <t>NIKOLAS DAVID PATIÑO NUVAN</t>
  </si>
  <si>
    <t>SAMUEL ARNULFO FONSECA GUARIN</t>
  </si>
  <si>
    <t>SARA LICETH LARA ORTIZ</t>
  </si>
  <si>
    <t>SARA SOFÍA SÁNCHEZ CORTÉS</t>
  </si>
  <si>
    <t>STIVEN FERNANDO RODRIGUEZ VILLALOBOS</t>
  </si>
  <si>
    <t>VALLERY TATIANA DURÁN GUERRA</t>
  </si>
  <si>
    <t>YERALDIN VERÓNICA GARCÍA GUTIÉRREZ</t>
  </si>
  <si>
    <t>YULIETH SALOMÉ RODRÍGUEZ NIÑO</t>
  </si>
  <si>
    <t>ZUNY FERNANDA FUENTES CÓRDOBA</t>
  </si>
  <si>
    <t>ANA SOFIA AVELLA PRECIADO</t>
  </si>
  <si>
    <t>ANDREA CAMILA PEDRAZA MORENO</t>
  </si>
  <si>
    <t>ANDRÉS FELIPE RICO FONSECA</t>
  </si>
  <si>
    <t>ANDRÉS JULIÁN LEGUIZAMO JARRO</t>
  </si>
  <si>
    <t>ANGELA CRISTINA GUEVARA SEPÚLVEDA</t>
  </si>
  <si>
    <t>ANGIE TATIANA ARANGUREN MARTÍNEZ</t>
  </si>
  <si>
    <t>ANGY VIVIANA PUERTO AVENDAÑO</t>
  </si>
  <si>
    <t>ARNOLD YESID MORENO SOTAQUIRÁ</t>
  </si>
  <si>
    <t>CAMILO ALEJANDRO CÁRDENAS NARANJO</t>
  </si>
  <si>
    <t>CAREN DAYANNA BERDUGO PINTO</t>
  </si>
  <si>
    <t>CARLOS SANTIAGO PERALTA ORTIZ</t>
  </si>
  <si>
    <t>CAROL SOFÍA GONZÁLEZ BENAVIDES</t>
  </si>
  <si>
    <t>CÉSAR CAMILO ARGUELLO PÁEZ</t>
  </si>
  <si>
    <t>DANIEL ESTEBAN GÓMEZ SANTANA</t>
  </si>
  <si>
    <t>DANIEL ESTIVEN MONTAÑA TORRES</t>
  </si>
  <si>
    <t>DANIELA TIBADUIZA VEGA</t>
  </si>
  <si>
    <t>DANNA GABRIELA VARGAS MELO</t>
  </si>
  <si>
    <t>DANNA SOFIA CARRILLO VARGAS</t>
  </si>
  <si>
    <t>DORELY PONGUTÁ LÓPEZ</t>
  </si>
  <si>
    <t>GLENDA NICOLLE BENITEZ PRIETO</t>
  </si>
  <si>
    <t>GLORIA ALEXANDRA MEDINA SALCEDO</t>
  </si>
  <si>
    <t>JAVIER ANDRÉS JAIMES QUINTANA</t>
  </si>
  <si>
    <t>JESUS ALEJANDRO PARDO ROMERO</t>
  </si>
  <si>
    <t>JHAN CARLOS FERNÁNDEZ JARA</t>
  </si>
  <si>
    <t>JOHAM ARTURO MONTAÑA BAYONA</t>
  </si>
  <si>
    <t>JUAN ALEJANDRO ÁLVAREZ SÁNCHEZ</t>
  </si>
  <si>
    <t>JUAN MANUEL REYES ROJAS</t>
  </si>
  <si>
    <t>JUAN PABLO MARTÍNEZ MEJÍA</t>
  </si>
  <si>
    <t>JULIETH VANESSA ÁLVAREZ ALVARADO</t>
  </si>
  <si>
    <t>JÉSSICA DANIELA VERDUGO PÉREZ</t>
  </si>
  <si>
    <t>KAREN ANDREA GÓMEZ HERRERA</t>
  </si>
  <si>
    <t>KAREN DAYANA JOYA GUATAQUI</t>
  </si>
  <si>
    <t>KAROL GISELLE CHAPARRO CHAPARRO</t>
  </si>
  <si>
    <t>KAROL PATRICIA SALAMANCA ÁLVAREZ</t>
  </si>
  <si>
    <t>KAROLL VALERIA MORA VACARES</t>
  </si>
  <si>
    <t>LAURA JULIANA SALINAS BAYONA</t>
  </si>
  <si>
    <t>LAURA VALENTINA GUISA BARRAGÁN</t>
  </si>
  <si>
    <t>LAURA VALENTINA MARTÍNEZ MARTÍNEZ</t>
  </si>
  <si>
    <t>LIDA ANDREA RODRÍGUEZ ALARCÓN</t>
  </si>
  <si>
    <t>LINA MARCELA VILLATE SUÁREZ</t>
  </si>
  <si>
    <t>LUISA FERNANDA VILLAMIL MOJICA</t>
  </si>
  <si>
    <t>LUZ DARY MENDIVELSO GALVIS</t>
  </si>
  <si>
    <t>MARIA JOSE ORDUZ GARZON</t>
  </si>
  <si>
    <t>MARIANA AMADO BARRERA</t>
  </si>
  <si>
    <t>MARIANA ISABELLA GIL CORREDOR</t>
  </si>
  <si>
    <t>MARIANA VALENTINA PUERTO ZORRO</t>
  </si>
  <si>
    <t>MARÍA ALEJANDRA ESTUPIÑÁN PÉREZ</t>
  </si>
  <si>
    <t>MARÍA CATALINA RICO TORRES</t>
  </si>
  <si>
    <t>MARÍA DE LOS ÁNGELES BERNAL VARGAS</t>
  </si>
  <si>
    <t>MARÍA FERNANDA MENDIVELSO CELY</t>
  </si>
  <si>
    <t>MÓNICA SOFIA PÉREZ PRECIADO</t>
  </si>
  <si>
    <t>NICOL ASTRID RICAURTE CORTES</t>
  </si>
  <si>
    <t>NICOLE MARIANE CHAPARRO RINCÓN</t>
  </si>
  <si>
    <t>NICOLL YINETH QUEMBA CAMARGO</t>
  </si>
  <si>
    <t>PAOLA ALEXANDRA SUAREZ OROZCO</t>
  </si>
  <si>
    <t>PAULA ANDREA LÓPEZ SALCEDO</t>
  </si>
  <si>
    <t>SARA ANDREA GONZÁLEZ HERRERA</t>
  </si>
  <si>
    <t>SARAH MANUELA SÁNCHEZ MATEUS</t>
  </si>
  <si>
    <t>SERGIO ANDRÉS MARTÍNEZ MARTÍNEZ</t>
  </si>
  <si>
    <t>VALENTINA DIAZ SALCEDO</t>
  </si>
  <si>
    <t>VALENTINA VEGA ALARCÓN</t>
  </si>
  <si>
    <t>YUSEP ALEJANDRO VIANCHÁ RODRÍGUEZ</t>
  </si>
  <si>
    <t>ZAITH SIABATO GUTIERREZ</t>
  </si>
  <si>
    <t>ZARA YIRETH CHAPARRO PORRAS</t>
  </si>
  <si>
    <t>ALISON NATALIA HERNÁNDEZ VALBUENA</t>
  </si>
  <si>
    <t>ANGELA LORENA CAMARGO MATEUS</t>
  </si>
  <si>
    <t>ANGIE LORENA VARGAS SILVA</t>
  </si>
  <si>
    <t>AVRIL MARTÍNEZ AMAYA</t>
  </si>
  <si>
    <t>BRAYAN STIVEN CÁRDENAS BELTRÁN</t>
  </si>
  <si>
    <t>CIELO VIVIAN CATIVE PÁEZ</t>
  </si>
  <si>
    <t>DANIA MARIEL URIBE LÓPEZ</t>
  </si>
  <si>
    <t>DANIEL ALFREDO CAEZ ROJAS</t>
  </si>
  <si>
    <t>DANNA VALENTINA VALERO PASTRAN</t>
  </si>
  <si>
    <t>10% CONVENIO COEDUCADORES NÚCLEO FAMILIAR</t>
  </si>
  <si>
    <t>DAVID ALEJANDRO PÉREZ CATAÑO</t>
  </si>
  <si>
    <t>DAVID SANTIAGO ADAME RINCÓN</t>
  </si>
  <si>
    <t>DAVID SANTIAGO AVELLA TEATIN</t>
  </si>
  <si>
    <t>DIEGO STIVEN SUÁREZ MEDINA</t>
  </si>
  <si>
    <t>ELIANA ALEJANDRA PEREZ MENDOZA</t>
  </si>
  <si>
    <t>ISABELLA SOFIA AGUIRRE ROMERO</t>
  </si>
  <si>
    <t>JOHAN ESTEBAN ARIZA ARIAS</t>
  </si>
  <si>
    <t>JOHN STEVEN LAISECA SOLER</t>
  </si>
  <si>
    <t>JONATHAN CAMILO CARPINTERO CASTAÑEDA</t>
  </si>
  <si>
    <t>JOSE ANDRES CARREÑO GONZALEZ</t>
  </si>
  <si>
    <t>JUAN DAVID TORRES PINZÓN</t>
  </si>
  <si>
    <t>JUAN PABLO FIGUEROA PÉREZ</t>
  </si>
  <si>
    <t>JULIETH STEFANY SANABRIA BÁEZ</t>
  </si>
  <si>
    <t>JULIÁN DAVID BENAVIDES ROSAS</t>
  </si>
  <si>
    <t>KAREN SOFIA CÓRDOBA BLANCO</t>
  </si>
  <si>
    <t>KAREN VALENTINA LÓPEZ CASTILLO</t>
  </si>
  <si>
    <t>LAIS JIREH LÓPEZ GALLO</t>
  </si>
  <si>
    <t>LARA JULIETH MARTÍNEZ MARTÍNEZ</t>
  </si>
  <si>
    <t>LAURA ISABEL MONTAÑEZ RAMÍREZ</t>
  </si>
  <si>
    <t>LAURA MARIANA VARGAS ROMERO</t>
  </si>
  <si>
    <t>LAURA SOFÍA BADOVINAC VELÁSQUEZ</t>
  </si>
  <si>
    <t>10% BECA AL TERCER MEJOR RESULTADO DE LAS PRUEBAS DE ESTADO DE CADA PROMOCIÓN, APLICA PARA CUALQUIER COLEGIO DEL PAÍS.</t>
  </si>
  <si>
    <t>LIZETH ESTEFANÍA MORALES MORALES</t>
  </si>
  <si>
    <t>LUNA DAYANA VARGAS VARGAS</t>
  </si>
  <si>
    <t>MARIA LUCIA ROJAS CABRERA</t>
  </si>
  <si>
    <t>MARIANA ALEJANDRA ESPINEL LÓPEZ</t>
  </si>
  <si>
    <t>MARIANA SALOMET VARGAS SIERRA</t>
  </si>
  <si>
    <t>MARÍA ALEJANDRA MERCHÁN NIÑO</t>
  </si>
  <si>
    <t>MARÍA JOSÉ LÓPEZ ALARCÓN</t>
  </si>
  <si>
    <t>NICOLÁS ALEJANDRO DELGADO VEGA</t>
  </si>
  <si>
    <t>NÉSTOR SANTIAGO GONZÁLEZ GONZÁLEZ</t>
  </si>
  <si>
    <t>PAULA ALEJANDRA ZIPAZUCA RAMOS</t>
  </si>
  <si>
    <t>PAULA GISEL CONTRERAS GALLÓN</t>
  </si>
  <si>
    <t>PAULA STEFANY GODOY LOPEZ</t>
  </si>
  <si>
    <t>RAÚL ORLANDO CÉSPEDES FUERTES</t>
  </si>
  <si>
    <t>SANDER ALEJANDRO AGUIRRE TORRES</t>
  </si>
  <si>
    <t>SARA GABRIELA SARMIENTO CASTILLO</t>
  </si>
  <si>
    <t>SARA ISABEL PARRA PÉREZ</t>
  </si>
  <si>
    <t>SOFIA CUELLAR DIAZ</t>
  </si>
  <si>
    <t>TOMÁS FELIPE RODRÍGUEZ GONZÁLEZ</t>
  </si>
  <si>
    <t>VALERIA CASTRO PINEDA</t>
  </si>
  <si>
    <t>WILLIAM RAMIRO PRADA TEGRIA</t>
  </si>
  <si>
    <t>10% CONVENIO COTEL ESTUDIANTES Y EGRESADOS</t>
  </si>
  <si>
    <t>ÁNGEL LUCÍA CHAPARRO GUTIÉRREZ</t>
  </si>
  <si>
    <t>ADRIANA KATERIN CÁRDENAS RODRÍGUEZ</t>
  </si>
  <si>
    <t>ADRIANA LUCÍA HERRERA GONZÁLEZ</t>
  </si>
  <si>
    <t>ALEJANDRO BOLIVAR MALAVER</t>
  </si>
  <si>
    <t>ALEXA PACHECO VILLAMIL</t>
  </si>
  <si>
    <t>ALISON MARIANA RUBIO MOLINA</t>
  </si>
  <si>
    <t>ALLISON SOFÍA CHAPARRO CHAPARRO</t>
  </si>
  <si>
    <t>ANA SOFÍA AGUILAR ÁLVAREZ</t>
  </si>
  <si>
    <t>ANA SOFÍA CÁCERES BARRAGÁN</t>
  </si>
  <si>
    <t>ANA SOFÍA GONZÁLEZ SIERRA</t>
  </si>
  <si>
    <t>ANDRÉS STEVEN PÁEZ CORONADO</t>
  </si>
  <si>
    <t>ANGIE PAOLA ARAQUE LOZANO</t>
  </si>
  <si>
    <t>ANGIE PAOLA MENDOZA TRIANA</t>
  </si>
  <si>
    <t>ANGIE PILAR ALVARADO GÓMEZ</t>
  </si>
  <si>
    <t>ANYI ROSÍO PINEDA GARCÍA</t>
  </si>
  <si>
    <t>ASSLY ALEJANDRA TONCON SANABRIA</t>
  </si>
  <si>
    <t>BRAULIO FAMER NUÑEZ CASTRO</t>
  </si>
  <si>
    <t>BRAYAN ESTIBEN MARTINEZ VARGAS</t>
  </si>
  <si>
    <t>CAMILO ANDRÉS TIBACUY SOTO</t>
  </si>
  <si>
    <t>CAROL NATALIA WILCHES GUTIERREZ</t>
  </si>
  <si>
    <t>CRISTIAN DAVID CHAPARRO BUSTAMANTE</t>
  </si>
  <si>
    <t>DAIMER STIVEN BOLAÑOS MARTINEZ</t>
  </si>
  <si>
    <t>DANIELA CATERIN MORALES ALBA</t>
  </si>
  <si>
    <t>DANNA SOFÍA MOGOLLÓN MORENO</t>
  </si>
  <si>
    <t>DARLY VALENTINA LÓPEZ CASTELLANOS</t>
  </si>
  <si>
    <t>DEIBER IVAN SALCEDO AVENDAÑO</t>
  </si>
  <si>
    <t>DIANA CAROLINA PUERTO MORENO</t>
  </si>
  <si>
    <t>EDISON QUEMBA GARCIA</t>
  </si>
  <si>
    <t>EDNA ALEJANDRA VELANDIA LUNA</t>
  </si>
  <si>
    <t>FAISURY NAHUAL BENITEZ SAENZ</t>
  </si>
  <si>
    <t>FREDY STEVEN SUTA PIÑA</t>
  </si>
  <si>
    <t>GABRIEL FELIPE ROJAS JURADO</t>
  </si>
  <si>
    <t>GISSETH MARIANA GUERRERO ROJAS</t>
  </si>
  <si>
    <t>HEIDI YESENIA BOHORQUEZ CASTIBLANCO</t>
  </si>
  <si>
    <t>HEIDY CATHERINE VEGA GUACHETÁ</t>
  </si>
  <si>
    <t>JEIMY TATIANA ANTONIO BUITRAGO</t>
  </si>
  <si>
    <t>JENNY ALEJANDRA NIÑO ESTEPA</t>
  </si>
  <si>
    <t>JOSÉ MANUEL SUÁREZ RIVERA</t>
  </si>
  <si>
    <t>JUAN ANDRÉS MOLINA MORA</t>
  </si>
  <si>
    <t>JUAN CAMILO SÁNCHEZ VARGAS</t>
  </si>
  <si>
    <t>JUAN FERNANDO GONZÁLEZ GONZÁLEZ</t>
  </si>
  <si>
    <t>KAREN MARIANA PINEDA AYALA</t>
  </si>
  <si>
    <t>KAREN MELISA CORREDOR PATIÑO</t>
  </si>
  <si>
    <t>KAREN YOHANA CONTRERAS PEREZ</t>
  </si>
  <si>
    <t>KAROLL VALENTINA VEGA CARO</t>
  </si>
  <si>
    <t>LAURA CAMILA MUÑOZ SANABRIA</t>
  </si>
  <si>
    <t>LAURA ESTEFANY GALINDO BOYACÁ</t>
  </si>
  <si>
    <t>LAURA SOFÍA CARVAJAL MOLINA</t>
  </si>
  <si>
    <t>LAURA SOFÍA MARTÍNEZ MUÑOZ</t>
  </si>
  <si>
    <t>LAURA VALENTINA MACÍAS ESPÍNDOLA</t>
  </si>
  <si>
    <t>LAURA VANESSA CASTRO QUINTERO</t>
  </si>
  <si>
    <t>LENY FERNANDA MARTÍNEZ NOVOA</t>
  </si>
  <si>
    <t>LINA MARCELA FONSECA GONZALEZ</t>
  </si>
  <si>
    <t>LISBANY ANDREA CAÑAS GOMEZ</t>
  </si>
  <si>
    <t>LUIS ALFREDO OSPINA MARTINEZ</t>
  </si>
  <si>
    <t>LUISA DANIELA ROMERO MENJURA</t>
  </si>
  <si>
    <t>LUISA FERNANDA SALAMANCA ROJAS</t>
  </si>
  <si>
    <t>MARILYN ASTRID SAINEA RUIZ</t>
  </si>
  <si>
    <t>MARÍA JULIANA DOSA GONZÁLEZ</t>
  </si>
  <si>
    <t>MARÍA PAULA ÁVILA BARÓN</t>
  </si>
  <si>
    <t>MAYCOL STEVEN ESTUPIÑAN GONZALEZ</t>
  </si>
  <si>
    <t>MICHELL LEAL AGUDELO</t>
  </si>
  <si>
    <t>MILEIDY MARCELA SERRANO ESTUPIÑAN</t>
  </si>
  <si>
    <t>NICOL ESTEPHANIE RUBIO REYES</t>
  </si>
  <si>
    <t>NICOLE ALEJANDRA CORTES PIRANEQUE</t>
  </si>
  <si>
    <t>NIKOL ANDREA CHAPARRO SOLER</t>
  </si>
  <si>
    <t>NORMA SOFÍA GUÍO NEIRA</t>
  </si>
  <si>
    <t>PAULA ANDREA PÉREZ SUÁREZ</t>
  </si>
  <si>
    <t>PAULA ENITH MENDOZA SANABRIA</t>
  </si>
  <si>
    <t>PAULA VANESSA TORRES CASAS</t>
  </si>
  <si>
    <t>PEDRO LEONEL SANTAMARÍA TRUJILLO</t>
  </si>
  <si>
    <t>SAIDA  ESLENY SÁNCHEZ HERREÑO</t>
  </si>
  <si>
    <t>SAMUEL FERNANDO ANGARITA BAUTISTA</t>
  </si>
  <si>
    <t>SANTIAGO SÁNCHEZ PINZÓN</t>
  </si>
  <si>
    <t>SARA JIMENA DOMÍNGUEZ ALVARADO</t>
  </si>
  <si>
    <t>SARA JIMENA PATIÑO GALAN</t>
  </si>
  <si>
    <t>SEBASTIAN STIVEN QUITIAN ROMERO</t>
  </si>
  <si>
    <t>SERGIO ESTEBAN BUITRAGO ACUÑA</t>
  </si>
  <si>
    <t>SHIRLEY XIOMARA RUIZ PATIÑO</t>
  </si>
  <si>
    <t>SILEM THALIANA FONSECA PATIÑO</t>
  </si>
  <si>
    <t>THOMAS RODRÍGUEZ CUEVAS</t>
  </si>
  <si>
    <t>WILLIAM ANDRÉS VELA RAMOS</t>
  </si>
  <si>
    <t>WILLIAM STIVEN LOPEZ NOVA</t>
  </si>
  <si>
    <t>XIMENA CATALINA MEDINA PIRA</t>
  </si>
  <si>
    <t>YENIFER GABRIELA LÓPEZ CUBIDES</t>
  </si>
  <si>
    <t>YERLY DAMARIS GONZALEZ GONZALEZ</t>
  </si>
  <si>
    <t>YESICA CAROLINA CASTIBLANCO HERNÁNDEZ</t>
  </si>
  <si>
    <t>ZHARITH ESTEFANNY ROMERO ROJAS</t>
  </si>
  <si>
    <t>ANA SOFIA ZANGUÑA OCHOA</t>
  </si>
  <si>
    <t>ANDRES FELIPE AVENDAÑO GONZALEZ</t>
  </si>
  <si>
    <t>ANDRY JULIANA DURAN BENITEZ</t>
  </si>
  <si>
    <t>ANGIE KATERINE SÁNCHEZ SÁNCHEZ</t>
  </si>
  <si>
    <t>ANGIE LORENA PÁEZ GUERRERO</t>
  </si>
  <si>
    <t>ANGIE NATACHA SOTELO CASTELLANOS</t>
  </si>
  <si>
    <t>ANGIE NATALIA MORENO BÁEZ</t>
  </si>
  <si>
    <t>ANGIE TATIANA GUZMÁN BELLO</t>
  </si>
  <si>
    <t>BIBI YERAY FUENTES GUÍO</t>
  </si>
  <si>
    <t>CAMILA JOHANA BORJA SUÁREZ</t>
  </si>
  <si>
    <t>CAROL TATIANA RODRÍGUEZ OTALORA</t>
  </si>
  <si>
    <t>CATHERIN DAYANA MARTÍNEZ RAMÍREZ</t>
  </si>
  <si>
    <t>CLAUDIA TATIANA BAUTISTA GÓMEZ</t>
  </si>
  <si>
    <t>DAHIANA ALEXANDRA ALVAREZ VARGAS</t>
  </si>
  <si>
    <t>DAYRA VANESSA BERMÚDEZ CARVAJAL</t>
  </si>
  <si>
    <t>DEIVID FABIÁN NIÑO DURÁN</t>
  </si>
  <si>
    <t>DENIS ALEJANDRA SILVA HERNÁNDEZ</t>
  </si>
  <si>
    <t>DORIS ADRIANA RINCÓN ÁNGEL</t>
  </si>
  <si>
    <t>EDGAR SEBASTIÁN LÓPEZ ANGARITA</t>
  </si>
  <si>
    <t>EMILYN SOFIA TORRES ARIAS</t>
  </si>
  <si>
    <t>GERALDINE ALEXANDRA CUADRADO PERILLA</t>
  </si>
  <si>
    <t>HARID SAMUEL RINCÓN NUMPAQUE</t>
  </si>
  <si>
    <t>ISABEL SOFÍA SAAVEDRA MATAMOROS</t>
  </si>
  <si>
    <t>IVONNE TALIANA MORA COLMENARES</t>
  </si>
  <si>
    <t>JAVIER ALEJANDRO GÓMEZ MONROY</t>
  </si>
  <si>
    <t>JEFERSON STIVEN BOHÓRQUEZ GALVIS</t>
  </si>
  <si>
    <t>JENNIFER GERALDINE HEREDIA BARRETO</t>
  </si>
  <si>
    <t>JINETH VALENTINA VARGAS SAAVEDRA</t>
  </si>
  <si>
    <t>JOHN SEBASTIAN TABARES VEGA</t>
  </si>
  <si>
    <t>JUAN FELIPE GARCÍA ÁLVAREZ</t>
  </si>
  <si>
    <t>JUAN SEBASTIÁN MORENO CASTILLO</t>
  </si>
  <si>
    <t>JUAN SEBASTIÁN PÉREZ PÉREZ</t>
  </si>
  <si>
    <t>JULIAN SANTIAGO MONZÓN ACOSTA</t>
  </si>
  <si>
    <t>JULIÁN ESTEBAN GALINDO PULIDO</t>
  </si>
  <si>
    <t>KAREN LINETH CABRERA CRUZ</t>
  </si>
  <si>
    <t>KAROL LICED GUTIÉRREZ LÓPEZ</t>
  </si>
  <si>
    <t xml:space="preserve">LADY CAROLINA  SANABRIA SOLER </t>
  </si>
  <si>
    <t>LAURA ALEJANDRA RIAÑO MORENO</t>
  </si>
  <si>
    <t>LAURA DANIELA SOLER GUERRERO</t>
  </si>
  <si>
    <t>LAURA DANIELA SUÁREZ GÓMEZ</t>
  </si>
  <si>
    <t>LAURA ISABELLA PUIN LOPEZ</t>
  </si>
  <si>
    <t>LICETH MARIANA MORENO ROJAS</t>
  </si>
  <si>
    <t>LINA MARCELA ROJAS SÁCHICA</t>
  </si>
  <si>
    <t>LINA MARÍA HUERFANO LEIVA</t>
  </si>
  <si>
    <t>LINA MARÍA SUÁREZ PUERTO</t>
  </si>
  <si>
    <t>LINDA KATERIN ZANGUÑA RODRÍGUEZ</t>
  </si>
  <si>
    <t>LIZETH LORENA SUAREZ AYALA</t>
  </si>
  <si>
    <t>LIZETH MANUELA JARA TOVAR</t>
  </si>
  <si>
    <t>LUISA CATALINA CAÑON ALVARADO</t>
  </si>
  <si>
    <t>LUISA FERNANDA CUSBA BECERRA</t>
  </si>
  <si>
    <t>LUISA FERNANDA ROLDÁN AVELLA</t>
  </si>
  <si>
    <t>MAIRA ALEXANDRA CARABALLO TAPIAS</t>
  </si>
  <si>
    <t>MARIA FERNANDA TORRES VARGAS</t>
  </si>
  <si>
    <t>MARIA JOSÉ MARTÍNEZ MARTÍNEZ</t>
  </si>
  <si>
    <t>MARIANA KATALINA BARAJAS GALVIS</t>
  </si>
  <si>
    <t>MARIANA SOFÍA PAIPA MERCHÁN</t>
  </si>
  <si>
    <t>MARLON STEVEN CÁRDENAS LIZARAZO</t>
  </si>
  <si>
    <t>MARÍA ALEJANDRA MANRIQUE LÓPEZ</t>
  </si>
  <si>
    <t>MARÍA CAMILA DÍAZ GONZÁLEZ</t>
  </si>
  <si>
    <t>MARÍA ELIZABETH VARGAS PARADA</t>
  </si>
  <si>
    <t>MARÍA FERNANDA TRIVIÑO SANABRIA</t>
  </si>
  <si>
    <t>MARÍA PAULA PIÑEROS CERVERA</t>
  </si>
  <si>
    <t>MÓNICA TATIANA CRUZ MORATO</t>
  </si>
  <si>
    <t>NESLLY SOFIER MURCIA MERCHÁN</t>
  </si>
  <si>
    <t>NICOLE DAYANA GARCIA LOPEZ</t>
  </si>
  <si>
    <t>NYKOL GABRIELA CORONADO TORRES</t>
  </si>
  <si>
    <t>PAULA CAMILA SOLIS ALFONSO</t>
  </si>
  <si>
    <t>ROMMEL XAVIER LÓPEZ MONTOYA</t>
  </si>
  <si>
    <t>SAMI JULIANA GUACHETÁ OSPINA</t>
  </si>
  <si>
    <t>SARA GIRALDO BARRETO</t>
  </si>
  <si>
    <t>SARA SOFÍA CÁRDENAS VEGA</t>
  </si>
  <si>
    <t>SARAY ELIANA LANCHEROS RUEDA</t>
  </si>
  <si>
    <t>SEBASTIAN CAMILO GOYENECHE GOMEZ</t>
  </si>
  <si>
    <t>SHARON YOLEMNY PARRA ÁVILA</t>
  </si>
  <si>
    <t>VALERI SOFÍA MARTÍNEZ RONCANCIO</t>
  </si>
  <si>
    <t>VALERIA MURCIA CASTRO</t>
  </si>
  <si>
    <t>VÍCTOR MANUEL MARTÍNEZ PRIETO</t>
  </si>
  <si>
    <t>YANDRI ALEXANDRA ROJAS MANCIPE</t>
  </si>
  <si>
    <t>YECXI VALENTINA BECERRA PEÑALOZA</t>
  </si>
  <si>
    <t>YEIMI NATALIA CUERVO PEÑA</t>
  </si>
  <si>
    <t>YENI ESMERALDA VALENCIA UTIMA</t>
  </si>
  <si>
    <t>YERALDÍN QUINTERO CARVAJAL</t>
  </si>
  <si>
    <t>YURANY VALENTINA MOYANO SIERRA</t>
  </si>
  <si>
    <t>ZAIRA VALERIA VILLAMIL ZÁRATE</t>
  </si>
  <si>
    <t>ÉRIKA LIZETH ORJUELA LÓPEZ</t>
  </si>
  <si>
    <t>ALEJANDRO BRICEÑO ARIAS</t>
  </si>
  <si>
    <t>KAREN MANUELA BERNAL CORONADO</t>
  </si>
  <si>
    <t>KAROL NATALIA RUIZ CÁRDENAS</t>
  </si>
  <si>
    <t>NELSON FABIÁN BARAJAS GONZÁLEZ</t>
  </si>
  <si>
    <t>PAULA ANDREA SOLANO SUAREZ</t>
  </si>
  <si>
    <t>PAULA VALENTINA RAMÍREZ PARADA</t>
  </si>
  <si>
    <t>10% CONVENIO COEDUCADORES ASOCIADO</t>
  </si>
  <si>
    <t>YAMILE ANDREA VELA PERILLA</t>
  </si>
  <si>
    <t>JESSICA ALEJANDRA HERRERA MOJICA</t>
  </si>
  <si>
    <t>YEIMI DAYANA MACIAS CARDOZO</t>
  </si>
  <si>
    <t>EDILSON JOSÉ PALACIOS GAMBOA</t>
  </si>
  <si>
    <t>JOSEPH DAVID VAGEÓN REYES</t>
  </si>
  <si>
    <t>JUAN PABLO GÁMEZ CÁRDENAS</t>
  </si>
  <si>
    <t>JULIETH ALEXANDRA NUÑEZ BAUTISTA</t>
  </si>
  <si>
    <t>JULIÁN DAVID ALFONSO MARTÍNEZ</t>
  </si>
  <si>
    <t>LAURA CAMILA CAMACHO GONZÁLEZ</t>
  </si>
  <si>
    <t>LINA MIREYA RIOS QUITO</t>
  </si>
  <si>
    <t>LUZ ANGÉLICA CRUZ PARADA</t>
  </si>
  <si>
    <t>LUZ DARY SEPÚLVEDA RINCÓN</t>
  </si>
  <si>
    <t>MARY LUNA SEGURA LA ROTTA</t>
  </si>
  <si>
    <t>MARÍA JOSÉ LEANDRO CALDERÓN</t>
  </si>
  <si>
    <t>TOMÁS ALEJANDRO RODRÍGUEZ BALLESTEROS</t>
  </si>
  <si>
    <t>ADRIANA ZORAYA FLÓREZ SANDOVAL</t>
  </si>
  <si>
    <t>ANDRES SANTIAGO FERRUCHO ESPITIA</t>
  </si>
  <si>
    <t>15% BECA FUTURO</t>
  </si>
  <si>
    <t>ANGELY NATALIA GAMBOA BERNAL</t>
  </si>
  <si>
    <t>ANGIE CAROLINA AVENDAÑO NONSOQUE</t>
  </si>
  <si>
    <t>ARMANDO SEBASTIÁN VARGAS CÁRDENAS</t>
  </si>
  <si>
    <t>BRAYAN ESTEBAN AVILA SANABRIA</t>
  </si>
  <si>
    <t>BRAYAN JOSEFF SUÁREZ VARGAS</t>
  </si>
  <si>
    <t>DANIEL FERNANDO BARON PINEDA</t>
  </si>
  <si>
    <t>DIEGO ALEJANDRO CORREDOR AMADO</t>
  </si>
  <si>
    <t>DUMAR ADRIAN ROJAS VEGA</t>
  </si>
  <si>
    <t>EDWARD SANTIAGO TORRES CIFUENTES</t>
  </si>
  <si>
    <t>ESTEBAN CUERVO TORRES</t>
  </si>
  <si>
    <t>IVÁN ASHLEY CASTAÑEDA CONTRERAS</t>
  </si>
  <si>
    <t>JESMAN HERNÁNDEZ ORJUELA</t>
  </si>
  <si>
    <t>JHON ALEXANDER TORRES GARCIA</t>
  </si>
  <si>
    <t>JOEL YASYTH ROBALLO BEDOYA</t>
  </si>
  <si>
    <t>JOHANN DAVID CORREAL CASTRO</t>
  </si>
  <si>
    <t>JOHN HÉCTOR DELGADO COLMENARES</t>
  </si>
  <si>
    <t>JOSE FABIO FORERO VALDERRAMA</t>
  </si>
  <si>
    <t>JOSE NICOLÁS PICO CÁRDENAS</t>
  </si>
  <si>
    <t>JOSUÉ ALEJANDRO ACUÑA LÓPEZ</t>
  </si>
  <si>
    <t>JUAN CAMILO AGUDELO JIMÉNEZ</t>
  </si>
  <si>
    <t>JUAN DAVID ECHEVERRIA CÁRDENAS</t>
  </si>
  <si>
    <t>JUAN DAVID MOLANO ROJAS</t>
  </si>
  <si>
    <t>JUAN DAVID MORA MOGOLLÓN</t>
  </si>
  <si>
    <t>JUAN DIEGO FORERO GUTIÉRREZ</t>
  </si>
  <si>
    <t>JULIAN ESTEBAN RODRIGUEZ GONZALEZ</t>
  </si>
  <si>
    <t>LUCY VALENTINA COY RUIZ</t>
  </si>
  <si>
    <t>LUIS LEONARDO TORRES PEÑA</t>
  </si>
  <si>
    <t>LUNA MARÍA NIÑO ARIAS</t>
  </si>
  <si>
    <t>MAIKOL STIVEN VARGAS PINILLA</t>
  </si>
  <si>
    <t>MICHAEL STEEDWAR PARRA DAZA</t>
  </si>
  <si>
    <t>NICOLAS CARRANZA DIAZ</t>
  </si>
  <si>
    <t>RONALD ROLANDO RAIRÁN RUIZ</t>
  </si>
  <si>
    <t>SANTIAGO OCHOA PAIPILLA</t>
  </si>
  <si>
    <t>SARA MICHELL VACA AVELLA</t>
  </si>
  <si>
    <t>SEBASTIAN GRIMALDO CHAUCANÉS</t>
  </si>
  <si>
    <t>STIVEN SAMUEL BERNAL PUERRES</t>
  </si>
  <si>
    <t>VIVIAN MARÍA ARIAS PATIÑO</t>
  </si>
  <si>
    <t>VÍCTOR ADOLFO MUÑOZ GRANADOS</t>
  </si>
  <si>
    <t>WILLYN ALEJANDRO GALEANO GARCIA</t>
  </si>
  <si>
    <t>WILSON SEBASTIÁN MORENO SÁNCHEZ</t>
  </si>
  <si>
    <t>ÁNGEL NICOLÁS SIERRA MENDIGAÑO</t>
  </si>
  <si>
    <t>BRANDON ANDRES CASTIBLANCO COSTILLA</t>
  </si>
  <si>
    <t>DANIEL FELIPE SAINEA CORREDOR</t>
  </si>
  <si>
    <t>DAVID SANTIAGO AMAYA REYES</t>
  </si>
  <si>
    <t>DIANA SOFÍA BENAVIDES MONROY</t>
  </si>
  <si>
    <t>FABIÁN CAMILO GUTIÉRREZ QUIROGA</t>
  </si>
  <si>
    <t>JAVIER SANTIAGO LEÓN RICO</t>
  </si>
  <si>
    <t>JOEL ESTEBAN BÁEZ TORRES</t>
  </si>
  <si>
    <t>JUAN DAVID OSORIO HERRERA</t>
  </si>
  <si>
    <t>KAREN YULIANA CARRILLO OTÁLORA</t>
  </si>
  <si>
    <t>LILLI SARAHI RAMIREZ GAONA</t>
  </si>
  <si>
    <t>LINA PAOLA CHAPARRO ALARCÓN</t>
  </si>
  <si>
    <t>LUNA NATALIA BEJARANO CASTELLANOS</t>
  </si>
  <si>
    <t>MARIA FABIANA SAAVEDRA GAONA</t>
  </si>
  <si>
    <t>PAULA ANDREA ORTEGÓN LEZAMA</t>
  </si>
  <si>
    <t>PAULA NATALIA GONZÁLEZ RODRÍGUEZ</t>
  </si>
  <si>
    <t>PAULA XIMENA ANTONIO FRANCO</t>
  </si>
  <si>
    <t>SARA JIMENA BARRERA MORA</t>
  </si>
  <si>
    <t>SARA JULIANA WILCHES SOLANO</t>
  </si>
  <si>
    <t>YENIFER PULIDO LEÓN</t>
  </si>
  <si>
    <t>BREINER YECID HASTAMORIR DUARTE</t>
  </si>
  <si>
    <t>DANIELA GALÁN MUÑOZ</t>
  </si>
  <si>
    <t>DAVID FERNANDO GIL LUIS</t>
  </si>
  <si>
    <t>ERIBETH DAYANA MELO MELO</t>
  </si>
  <si>
    <t>JULIÁN DAVID MOLINIVA TOBAR</t>
  </si>
  <si>
    <t>LEIDY JULIETH PORRAS VILLAMIL</t>
  </si>
  <si>
    <t>MARÍA JULIANA RODRÍGUEZ CASTILLO</t>
  </si>
  <si>
    <t>NATHALY VIVIANA ROZO ORTEGÓN</t>
  </si>
  <si>
    <t>ÁNGELA JULIETH SEPÚLVEDA UMAÑA</t>
  </si>
  <si>
    <t>ANDRES FELIPE FERRUCHO BAYONA</t>
  </si>
  <si>
    <t>ANDRES FELIPE LOPEZ CASALLAS</t>
  </si>
  <si>
    <t>ANYELINA YULIETH BELLO TRIGOS</t>
  </si>
  <si>
    <t>CARLOS ANDRÉS ARCINIEGAS MÁRQUEZ</t>
  </si>
  <si>
    <t>DANIEL HUMBERTO GÓMEZ SOTO</t>
  </si>
  <si>
    <t>DIANA NATALY CHAPARRO CHAPARRO</t>
  </si>
  <si>
    <t>EILEEN SOFÍA LÓPEZ ZAPATA</t>
  </si>
  <si>
    <t>FABIÁN CAMILO MARTÍNEZ SÁNCHEZ</t>
  </si>
  <si>
    <t>FERNEY SANTIAGO SIERRA RINCON</t>
  </si>
  <si>
    <t>HEIDY GABRIELA GÓMEZ TENZA</t>
  </si>
  <si>
    <t>HELEN KARINA MONTAÑA PRECIADO</t>
  </si>
  <si>
    <t>HOLLMAN FELIPE PÉREZ SALAMANCA</t>
  </si>
  <si>
    <t>IVONNE ESTEFANY VEGA PÉREZ</t>
  </si>
  <si>
    <t>JUAN DAVID DUEÑAS DIAZ</t>
  </si>
  <si>
    <t>JUAN MANUEL ALFONSO DAZA</t>
  </si>
  <si>
    <t>KAREN VIVIANA VÁSQUEZ GRANADOS</t>
  </si>
  <si>
    <t>KAROL JULIANA CASTELLANOS CASTRO</t>
  </si>
  <si>
    <t>LUIS ALEJANDRO ALARCÓN CAMARGO</t>
  </si>
  <si>
    <t>LUNA SOFÍA ESPÍNDOLA ESPÍNDOLA</t>
  </si>
  <si>
    <t>MARIA PAULA BOLIVAR OROZCO</t>
  </si>
  <si>
    <t>MARITZA ALEJANDRA HOLGUÍN TIUSABA</t>
  </si>
  <si>
    <t>OSCAR SANTIAGO CRISTANCHO LOPEZ</t>
  </si>
  <si>
    <t>PAULA JULIANA BAEZ JAIMES</t>
  </si>
  <si>
    <t>SARA SOFÍA ARCÓN GONZÁLEZ</t>
  </si>
  <si>
    <t>SEBASTIÁN FELIPE PÉREZ MARTÍNEZ</t>
  </si>
  <si>
    <t>SHARICK JULIANA BARRERA MALPICA</t>
  </si>
  <si>
    <t>AILEEN ALEXANDRA GUARIN BONILLA</t>
  </si>
  <si>
    <t>ANDRYW SEBASTIAN ARIAS RESTREPO</t>
  </si>
  <si>
    <t>ANDRÉS FELIPE LÓPEZ CALIXTO</t>
  </si>
  <si>
    <t>ANDRÉS OSWALDO PÁEZ SÁNCHEZ</t>
  </si>
  <si>
    <t>ANYI VALENTINA ROBAYO MERCHAN</t>
  </si>
  <si>
    <t>ARLEY GERARDO GUTIÉRREZ TORRES</t>
  </si>
  <si>
    <t>DANIEL ALEJANDRO CETINA MOYA</t>
  </si>
  <si>
    <t>DANIEL FELIPE SUÁREZ MORENO</t>
  </si>
  <si>
    <t>DANNY HARVEY LÓPEZ LÓPEZ</t>
  </si>
  <si>
    <t>DAVID ALEJANDRO CÁRDENAS GUTIÉRREZ</t>
  </si>
  <si>
    <t>DAVID ALEJANDRO SANABRIA BENAVIDES</t>
  </si>
  <si>
    <t>ELIZABETH PALACIOS COLMENARES</t>
  </si>
  <si>
    <t>HARWIN NICOLÁS VEGA SUESCA</t>
  </si>
  <si>
    <t>HENRY DAVID ACHURY CORTÉS</t>
  </si>
  <si>
    <t>JHONATAN LEONARDO CASTILLO SOTO</t>
  </si>
  <si>
    <t>JOHAN ANDRÉS RIAÑO BARRANTES</t>
  </si>
  <si>
    <t>JOHER YAMHID CASTAÑEDA RODRÍGUEZ</t>
  </si>
  <si>
    <t>JONATHAN DAVID OROZCO LOZANO</t>
  </si>
  <si>
    <t>JORGE LUIS RUIZ MENDEZ</t>
  </si>
  <si>
    <t>JOSE DANIEL MOYANO CLAROS</t>
  </si>
  <si>
    <t>JOSUHAN ENRIQUE ACERO MENDEZ</t>
  </si>
  <si>
    <t>JOSÉ ESTEBAN DÍAZ PAREDES</t>
  </si>
  <si>
    <t>JUAN CAMILO SOLER ARÉVALO</t>
  </si>
  <si>
    <t>JUAN DAVID BUITRAGO LARA</t>
  </si>
  <si>
    <t>JUAN DAVID ROJAS FLORIAN</t>
  </si>
  <si>
    <t>KENNER DANIEL URAZAN GUERRERO</t>
  </si>
  <si>
    <t>KENNET DANIEL BENAVIDES PULIDO</t>
  </si>
  <si>
    <t>LUIS DAVID GUEVARA BERMÚDEZ</t>
  </si>
  <si>
    <t>NATALY ROA AGUIRRE</t>
  </si>
  <si>
    <t>NICOL JULIANA VALERO LÓPEZ</t>
  </si>
  <si>
    <t>NICOL STEPHANY PRIETO HERRERA</t>
  </si>
  <si>
    <t>SANTIAGO ALFONSO MEDINA ÁLVAREZ</t>
  </si>
  <si>
    <t>SANTIAGO FELIPE CALIXTO AMADOR</t>
  </si>
  <si>
    <t>SARA JIREH SANABRIA ALBARRACÍN</t>
  </si>
  <si>
    <t>SERGIO ANDRÉS BUITRAGO PÁEZ</t>
  </si>
  <si>
    <t>SERGIO ESTIBEN HERNANDEZ QUIROGA</t>
  </si>
  <si>
    <t>THOMAS SANTIAGO MELO BAUTISTA</t>
  </si>
  <si>
    <t>TITO VREZZNNEVY GARZÓN LEGUIZAMÓN</t>
  </si>
  <si>
    <t>ULRICH DAVID MOLANO MORA</t>
  </si>
  <si>
    <t>WILLIAM EFREN SANABRIA ROMERO</t>
  </si>
  <si>
    <t>WILLIAM GIOVANNY VILLAMIL RAVELO</t>
  </si>
  <si>
    <t>YINA FERNANDA ABRIL PÉREZ</t>
  </si>
  <si>
    <t>YINETH JULIANA MONTAÑEZ USCATEGUI</t>
  </si>
  <si>
    <t>YONY DARIO PLAZAS NEMEGUEN</t>
  </si>
  <si>
    <t>YORDIN ANDRES CALDERON ROMERO</t>
  </si>
  <si>
    <t>MARÍA CAMILA BARÓN JIMÉNEZ</t>
  </si>
  <si>
    <t>LEIDY VANESSA PÉREZ CAICEDO</t>
  </si>
  <si>
    <t>PAULA SOFÍA PULIDO BERNAL</t>
  </si>
  <si>
    <t>SARA NORELA SÁNCHEZ BARRERA</t>
  </si>
  <si>
    <t>ANYI JULIANA ROMERO ARIAS</t>
  </si>
  <si>
    <t>LISETH NATALIA PLAZAS PÉREZ</t>
  </si>
  <si>
    <t>MARÍA ALEJANDRA CADENA PÁEZ</t>
  </si>
  <si>
    <t>ADRIANA SOFÍA GÓMEZ PEÑA</t>
  </si>
  <si>
    <t>ALEJANDRO ROA ARDILA</t>
  </si>
  <si>
    <t>ALÍA NICOLE GALINDO SALDAÑA</t>
  </si>
  <si>
    <t>ANA ISABELLA MORALES VILLA</t>
  </si>
  <si>
    <t>ANA MILENA NARANJO CASTRO</t>
  </si>
  <si>
    <t>ANA SOFÍA SIERRA DUARTE</t>
  </si>
  <si>
    <t>ANDRES CAMILO VELANDIA MOZO</t>
  </si>
  <si>
    <t>ANDRÉS ESTEBAN CRUZ HERNÁNDEZ</t>
  </si>
  <si>
    <t>ANDRÉS FELIPE JAIME MEJÍA</t>
  </si>
  <si>
    <t>ANDRÉS FELIPE PÉREZ GONZÁLEZ</t>
  </si>
  <si>
    <t>ANDRÉS FELIPE RAMÍREZ CAMARGO</t>
  </si>
  <si>
    <t>ANDRÉS FELIPE RAMÍREZ RAMÍREZ</t>
  </si>
  <si>
    <t>ANDRÉS SEBASTIÁN VELOZA MATEUS</t>
  </si>
  <si>
    <t>ANGELA YULIANA GARCÍA ARIAS</t>
  </si>
  <si>
    <t>ANGIE CAROLINA PRIETO OYOLA</t>
  </si>
  <si>
    <t>ANGIE TATIANA VARGAS GÓMEZ</t>
  </si>
  <si>
    <t>ANILEC OINOTNA SANTANA CHALA</t>
  </si>
  <si>
    <t>ANNIE YAEL SOFÍA ZAMBRANO BUITRAGO</t>
  </si>
  <si>
    <t>ASLHEY SOFIA MOJICA GAITAN</t>
  </si>
  <si>
    <t>ASTRIDT LILIANA PÁEZ RODRÍGUEZ</t>
  </si>
  <si>
    <t>BRANDON FERNEY CARRASCO MUÑOZ</t>
  </si>
  <si>
    <t>BREYNER ALEJANDRO MAHECHA MURCIA</t>
  </si>
  <si>
    <t>CAMILO ANDRES ESTRADA MOZO</t>
  </si>
  <si>
    <t>CARLOS ANDRÉS ARIAS ARCINIEGAS</t>
  </si>
  <si>
    <t>CARLOS ARTURO CAICEDO MÉNDEZ</t>
  </si>
  <si>
    <t>CRISTIAN LEYVA MIRANDA</t>
  </si>
  <si>
    <t>DALID SEBASTIÁN PAREDES RODRÍGUEZ</t>
  </si>
  <si>
    <t>DANA CAMILA GUZMÁN PARRA</t>
  </si>
  <si>
    <t>DANA SOFÍA BUSTAMANTE SANDOVAL</t>
  </si>
  <si>
    <t>DANIELA FONTAL CASTILLO</t>
  </si>
  <si>
    <t>DANNA ISABELLA VARGAS BARBOSA</t>
  </si>
  <si>
    <t>DANNA KATERINE FAJARDO CARRILLO</t>
  </si>
  <si>
    <t>DARIÉN ESTIVEN SOSSA BERNAL</t>
  </si>
  <si>
    <t>DARWIN JACOBO ÁVILA PINILLA</t>
  </si>
  <si>
    <t>DAVID SANTIAGO GARCÉS AGUDELO</t>
  </si>
  <si>
    <t>DIANA MARIA MARTÍNEZ LÓPEZ</t>
  </si>
  <si>
    <t>DIEGO ALEJANDRO GONZÁLEZ MARTÍNEZ</t>
  </si>
  <si>
    <t>10% BECA AL TERCER MEJOR RESULTADO DE LAS PRUEBAS DE ESTADO SABER 11 DE CADA PROMOCIÓN.</t>
  </si>
  <si>
    <t>DIEGO ALEJANDRO LÓPEZ VARGAS</t>
  </si>
  <si>
    <t>DIEGO ALEJANDRO NAVARRO GONZÁLEZ</t>
  </si>
  <si>
    <t>DORIS VIVIANA CAMARGO GÓMEZ</t>
  </si>
  <si>
    <t>EDDY YULIETH LÓPEZ MARTÍNEZ</t>
  </si>
  <si>
    <t>EDWAR SANTIAGO BLANCO COLINA</t>
  </si>
  <si>
    <t>EDWARD SANTIAGO MORENO QUINTANA</t>
  </si>
  <si>
    <t>EDWIN MAURICIO VEGA SILVA</t>
  </si>
  <si>
    <t>EILEN NINETH VARGAS OSORIO</t>
  </si>
  <si>
    <t>ELIANA CAROLINA PARRA VARGAS</t>
  </si>
  <si>
    <t>ELIUTD COLMENARES PICO</t>
  </si>
  <si>
    <t>EMILY ALEXANDRA LÓPEZ GARCÍA</t>
  </si>
  <si>
    <t>ERIKA VALENTINA VILLAMIZAR CASTAÑEDA</t>
  </si>
  <si>
    <t>EVELYN DANIELA BERDUGO CALLE</t>
  </si>
  <si>
    <t>EYLIN IRAIDA PARRA MORA</t>
  </si>
  <si>
    <t>FIHONA SHARITD SHAYAN VANEGAS GELVEZ</t>
  </si>
  <si>
    <t>GEOVANNY ESTEBAN BORDA MOLANO</t>
  </si>
  <si>
    <t>GINETH CAMILA ALVARADO GIL</t>
  </si>
  <si>
    <t>GINNA GINETH ROMERO MORALES</t>
  </si>
  <si>
    <t>GISELL STHEFANY NUTA MOLINA</t>
  </si>
  <si>
    <t>GRECIA SAAB SIERRA</t>
  </si>
  <si>
    <t>HENRY ANDRÉS PULIDO LEÓN</t>
  </si>
  <si>
    <t>HUGO ALEXY ACOSTA WILCHES</t>
  </si>
  <si>
    <t>IRENE SOFÍA PEÑARANDA MONROY</t>
  </si>
  <si>
    <t>ISABELLA PORTILLO CONTRERAS</t>
  </si>
  <si>
    <t>ISABELLA WILCHES CARRASCAL</t>
  </si>
  <si>
    <t>JEIMY FABIANA HERNÁNDEZ SOCHA</t>
  </si>
  <si>
    <t>JERONIMO ADRIAN ROVIRA GUTIÉRREZ</t>
  </si>
  <si>
    <t>JOHAN FERNEY GIL VEGA</t>
  </si>
  <si>
    <t>JOHAN SANTIAGO MARTINEZ JOYA</t>
  </si>
  <si>
    <t>JOSABETH DELGADO LANCHEROS</t>
  </si>
  <si>
    <t>JOSÉ LUIS GUANUMEN NOMESQUE</t>
  </si>
  <si>
    <t>JOSÉ NICOLÁS AGUIRRE CAMPOS</t>
  </si>
  <si>
    <t>JUAN CAMILO REÁTIGA SIERRA</t>
  </si>
  <si>
    <t>JUAN DIEGO CLAROS CHAUX</t>
  </si>
  <si>
    <t>JUAN DIEGO SALAMANCA CRUZ</t>
  </si>
  <si>
    <t>JUAN ESTEBAN CASTELLANOS MACÍAS</t>
  </si>
  <si>
    <t>JUAN ESTEBAN CHAVARRO MONTAÑEZ</t>
  </si>
  <si>
    <t>JUAN ESTEBAN GARCÍA SUÁREZ</t>
  </si>
  <si>
    <t>JUAN ESTEBAN RUIZ BETANCURTH</t>
  </si>
  <si>
    <t>JUAN FELIPE VARGAS GAMEZ</t>
  </si>
  <si>
    <t>JUAN FERNANDO RODRÍGUEZ ÁLVAREZ</t>
  </si>
  <si>
    <t>JUAN JOSÉ LANCHEROS NOVA</t>
  </si>
  <si>
    <t>JUAN JOSÉ SIERRA MONTAÑEZ</t>
  </si>
  <si>
    <t>JUAN SEBASTIAN SANCHEZ GIL</t>
  </si>
  <si>
    <t>JUAN SEBASTIÁN GUZMÁN MORENO</t>
  </si>
  <si>
    <t>JUAN ÁNGEL LARA TRUJILLO</t>
  </si>
  <si>
    <t>JUANA VALENTINA COLMENARES RABAGO</t>
  </si>
  <si>
    <t>JULIAN FELIPE LEÓN GARCÍA</t>
  </si>
  <si>
    <t>JULIANA GÓMEZ POSSO</t>
  </si>
  <si>
    <t>JULIÁN ALEXIS ESCOBAR VILLARREAL</t>
  </si>
  <si>
    <t>JUNNIERTH SHALEM MONSALVE SÁNCHEZ</t>
  </si>
  <si>
    <t>KAREN DANIELA ESCOBAR CORREDOR</t>
  </si>
  <si>
    <t>KAREN ELIANA RAVELO ALDANA</t>
  </si>
  <si>
    <t>KAREN JULIANA GONZÁLEZ ORDUZ</t>
  </si>
  <si>
    <t>KAREN NATHALIA BOLAÑOS CHAMORRO</t>
  </si>
  <si>
    <t>8% CONVENIO COOMEVA NÚCLEO FAMILIAR</t>
  </si>
  <si>
    <t>KAREN VANESSA RUIZ GALINDO</t>
  </si>
  <si>
    <t>KARIME LORENA ALEXANDRA ROJAS TELLEZ</t>
  </si>
  <si>
    <t>KAROL SOFIA AGREDO ORTIZ</t>
  </si>
  <si>
    <t>KAROL STEFANNY MURCIA CAÑON</t>
  </si>
  <si>
    <t>KAROLL MELIZZA DELGADO REYES</t>
  </si>
  <si>
    <t>KEINNER STIVEN CHAPARRO HERNÁNDEZ</t>
  </si>
  <si>
    <t>LAURA CAMILA TÉLLEZ GALEANO</t>
  </si>
  <si>
    <t>LAURA CATALINA ALEMÁN GUALDRÓN</t>
  </si>
  <si>
    <t>LAURA DANIELA RINCÓN ARIAS</t>
  </si>
  <si>
    <t>LAURA DAYANA SALAS VELASCO</t>
  </si>
  <si>
    <t>LAURA MANUELA FAJARDO LEÓN</t>
  </si>
  <si>
    <t>LAURA MARGARITA SANTAMARIA LÓPEZ</t>
  </si>
  <si>
    <t>LAURA MARIANA OCHOA ESCOBAR</t>
  </si>
  <si>
    <t>LAURA MARIZA VARGAS RAMÍREZ</t>
  </si>
  <si>
    <t>LAURA SOFIA BARRERA PALOMINO</t>
  </si>
  <si>
    <t>LAURA SOFÍA PIRANEQUE AGUIRRE</t>
  </si>
  <si>
    <t>LAURA SOFÍA TERNERA BEDOYA</t>
  </si>
  <si>
    <t>LAURA VALENTINA ABRIL BARÓN</t>
  </si>
  <si>
    <t>LAURA VALENTINA RATIVA BETANCOURT</t>
  </si>
  <si>
    <t>LAURA VALENTINA VARGAS GÁMEZ</t>
  </si>
  <si>
    <t>LEIDY TATIANA DÍAZ RIVERA</t>
  </si>
  <si>
    <t>LESLY YULIANA LOPEZ FLOREZ</t>
  </si>
  <si>
    <t>LINA MARCELA DURÁN ORTEGA</t>
  </si>
  <si>
    <t>LINA SOFÍA ALGARRA MUÑOZ</t>
  </si>
  <si>
    <t>LINA SOFÍA CASTAÑEDA CÁRDENAS</t>
  </si>
  <si>
    <t>LISSETH CAMILA BONILLA GONZÁLEZ</t>
  </si>
  <si>
    <t>LUIS SERGIO VARGAS SÁNCHEZ</t>
  </si>
  <si>
    <t>LUISA FERNANDA BEDOYA CUY</t>
  </si>
  <si>
    <t>MADELEINE PINILLA GARAY</t>
  </si>
  <si>
    <t>MAED SARAY GARZÓN LANCHEROS</t>
  </si>
  <si>
    <t>MARGARETH VALENTINA TOSCANO CAMACHO</t>
  </si>
  <si>
    <t>MARIA ANGEL REY PACHECO</t>
  </si>
  <si>
    <t>MARIA JOSE LADINO CERQUERA</t>
  </si>
  <si>
    <t>MARIA PAULA ANGARITA PEREZ</t>
  </si>
  <si>
    <t>MARIAN TATIANA ARIZA CALDERÓN</t>
  </si>
  <si>
    <t>MARIANA ISABELA VIRACACHÁ SUÁREZ</t>
  </si>
  <si>
    <t>MARIANA PICÓN CASTELLANOS</t>
  </si>
  <si>
    <t>MARIANA SOFÍA MARTÍNEZ BARRERA</t>
  </si>
  <si>
    <t>MARÍA ALEJANDRA GÓMEZ CÁRDENAS</t>
  </si>
  <si>
    <t>MARÍA ALEJANDRA VARGAS SALCEDO</t>
  </si>
  <si>
    <t>MARÍA CAMILA CASTILLO OVALLOS</t>
  </si>
  <si>
    <t>MARÍA FERNANDA GONZÁLEZ VALLEJO</t>
  </si>
  <si>
    <t>MARÍA JOSE HERNÁNDEZ MELENDEZ</t>
  </si>
  <si>
    <t>MARÍA JOSÉ RAMOS MORA</t>
  </si>
  <si>
    <t>MARÍA LIZETH SALAZAR ADARME</t>
  </si>
  <si>
    <t>MARÍA PAULA MARTÍNEZ VILLATE</t>
  </si>
  <si>
    <t>MARÍA PAULA OROZCO ICO</t>
  </si>
  <si>
    <t>MARÍA VICTORIA FIGUEREDO RUEDA</t>
  </si>
  <si>
    <t>MIGUEL ÁNGEL CAÑÓN ÁVILA</t>
  </si>
  <si>
    <t>MÓNICA VANESA TIRADO GALEANO</t>
  </si>
  <si>
    <t>NAHOMY MORENO LAGUNA</t>
  </si>
  <si>
    <t>NANCY KATALINA ROJAS FONSECA</t>
  </si>
  <si>
    <t>NATHALI SOFÍA GÓMEZ PATARROYO</t>
  </si>
  <si>
    <t>NATHALY VALENTINA LÓPEZ ROJAS</t>
  </si>
  <si>
    <t>NICOL VALERIA RODRÍGUEZ ARENAS</t>
  </si>
  <si>
    <t>NICOLE TATIANA ANDRADE CHÁVEZ</t>
  </si>
  <si>
    <t>NICOLLE CAMILA CÁRDENAS SANABRIA</t>
  </si>
  <si>
    <t>NICOLÁS SANTIAGO PÉREZ RODRÍGUEZ</t>
  </si>
  <si>
    <t>OLGA ISABEL ROJAS GONZÁLEZ</t>
  </si>
  <si>
    <t>OSCAR JULIAN ALBERTO CACERES</t>
  </si>
  <si>
    <t>OSCAR NICOLÁS DUARTE MONROY</t>
  </si>
  <si>
    <t>OSKAR FABIÁN SEPÚLVEDA MORENO</t>
  </si>
  <si>
    <t>PAOLA ANDREA CARO GALINDO</t>
  </si>
  <si>
    <t>PAULA ALEJANDRA ROJAS CAMACHO</t>
  </si>
  <si>
    <t>PAULA ANDREA WALTERO SERRANO</t>
  </si>
  <si>
    <t>PAULA JULIANA CASTILLO AGUILAR</t>
  </si>
  <si>
    <t>PAULA SOFÍA MAHECHA RODRÍGUEZ</t>
  </si>
  <si>
    <t>PAULA SOFÍA MONTAÑA GARCÍA</t>
  </si>
  <si>
    <t>ROBINSON DAVID SEPÚLVEDA ÁVILA</t>
  </si>
  <si>
    <t>SAMUEL ALFONSO MARTINEZ LANCHEROS</t>
  </si>
  <si>
    <t>SAMUEL FELIPE GALLARDO HIDALGO</t>
  </si>
  <si>
    <t>SAMUEL FELIPE VEGA ARIAS</t>
  </si>
  <si>
    <t>SANDRA JULIANA LOZANO QUINTERO</t>
  </si>
  <si>
    <t>SANTIAGO ANDRÉS AMÉZQUITA GONZÁLEZ</t>
  </si>
  <si>
    <t>SANTIAGO ANDRÉS BUSTOS RAMÍREZ</t>
  </si>
  <si>
    <t>SARA VALENTINA QUINTERO CELY</t>
  </si>
  <si>
    <t>SERGIO ANDRES DUARTE GUERRERO</t>
  </si>
  <si>
    <t>SHAILA MARIAM ARIAS GIL</t>
  </si>
  <si>
    <t>SHARID VERONICA SANJUAN BUITRAGO</t>
  </si>
  <si>
    <t>SILVANA RUIZ PALOMARES</t>
  </si>
  <si>
    <t>SILVIA JULIANA LEÓN BARAJAS</t>
  </si>
  <si>
    <t>SOFÍA ESTUPIÑAN ADAME</t>
  </si>
  <si>
    <t>STEFANY CAROLINA CORTÉS TOBARÍA</t>
  </si>
  <si>
    <t>STEFANÍA MARTÍNEZ BARÓN</t>
  </si>
  <si>
    <t>STEPHANY RODRÍGUEZ CORDERO</t>
  </si>
  <si>
    <t>SURY TATIANA GÓMEZ MONTAÑEZ</t>
  </si>
  <si>
    <t>TALIANA VALERIA SILVA PEREIRA</t>
  </si>
  <si>
    <t>VALENTINA LEÓN MARTÍNEZ</t>
  </si>
  <si>
    <t>VALENTINA RIAÑO GARCÍA</t>
  </si>
  <si>
    <t>VALERY JULIANA BARÓN BECERRA</t>
  </si>
  <si>
    <t>VENUS THALÍA MISHELLE DEL ÁGUILA VELA</t>
  </si>
  <si>
    <t>WILDER ORLANDO PLATA RAVELO</t>
  </si>
  <si>
    <t>YARY VANESSA MARTÍNEZ OVALLE</t>
  </si>
  <si>
    <t>YEIMY ESPERANZA BELTRÁN MARÍN</t>
  </si>
  <si>
    <t>YUBI LIBETH QUINTERO ARENAS</t>
  </si>
  <si>
    <t>YULIAN SMITH LÓPEZ LÓPEZ</t>
  </si>
  <si>
    <t>YURANI ALEXANDRA DÍAZ RIBERO</t>
  </si>
  <si>
    <t>ZAMID DAMIÁN TORRES ABAUNZA</t>
  </si>
  <si>
    <t>ÁNGEL ANDRÉS ORDUZ RAMÍREZ</t>
  </si>
  <si>
    <t>ÁNGELA SOFÍA GARCÍA ORTIZ</t>
  </si>
  <si>
    <t>ADRIAN FELIPE PEREZ ESPINDOLA</t>
  </si>
  <si>
    <t>ALEJANDRA ISABELLA MARTIN GOMEZ</t>
  </si>
  <si>
    <t>ANA MARÍA SUÁREZ CARVAJAL</t>
  </si>
  <si>
    <t>ANGE LORENA CIPAMOCHA SANABRIA</t>
  </si>
  <si>
    <t>ANGIE TATIANA SARMIENTO TALERO</t>
  </si>
  <si>
    <t>CAMILO ANDRÉS HIGUERA VILLALBA</t>
  </si>
  <si>
    <t>CLAUDIA ALEJANDRA SIERRA QUINTANA</t>
  </si>
  <si>
    <t>CLAUDIA MARCELA QUEVEDO BELLO</t>
  </si>
  <si>
    <t>DANNA SOFÍA AMÉZQUITA MENDOZA</t>
  </si>
  <si>
    <t>DANNA SOFÍA ZAMORA PICO</t>
  </si>
  <si>
    <t>DANNA VALERIA TORRES FAJARDO</t>
  </si>
  <si>
    <t>DIANA LUZDEY RIVERA HERNÁNDEZ</t>
  </si>
  <si>
    <t>ELIZABETH SOFÍA CAMARGO CAMARGO</t>
  </si>
  <si>
    <t>GISELL YALICZA PÉREZ CAPACHO</t>
  </si>
  <si>
    <t>ISABEL SOFÍA HERNÁNDEZ PELAYO</t>
  </si>
  <si>
    <t>IVANNA ALEJANDRA MEDINA RINCÓN</t>
  </si>
  <si>
    <t>JAIRO ALEXANDER LOPEZ RODRIGUEZ</t>
  </si>
  <si>
    <t>JESSICA ALEJANDRA CELY ALFONSO</t>
  </si>
  <si>
    <t>JIMENA SOFIA GARRIDO GARZÓN</t>
  </si>
  <si>
    <t>JOSÉ ÁNGEL ARDILA GUERRERO</t>
  </si>
  <si>
    <t>JUAN DAVID MUÑOZ RIVERA</t>
  </si>
  <si>
    <t>JUANITA MARÍA ZUÑIGA SOLORZANO</t>
  </si>
  <si>
    <t>JULIANA PULIDO QUIQUE</t>
  </si>
  <si>
    <t>JULIETH ALEJANDRA GUERRA QUINTERO</t>
  </si>
  <si>
    <t>KAREN DAYANA CALDERÓN FLORIAN</t>
  </si>
  <si>
    <t>KAREN JULIANA ARTURO SOLORZANO</t>
  </si>
  <si>
    <t>KAREN SHARICK CARREÑO LOPEZ</t>
  </si>
  <si>
    <t>KAREN VALENTINA GUERRERO PEÑA</t>
  </si>
  <si>
    <t>KAREN VALENTINA SANABRIA GALEÓN</t>
  </si>
  <si>
    <t>KAROL TATIANA ROJAS TARAZONA</t>
  </si>
  <si>
    <t>LAURA CRISTINA CASTRO VILLAMIL</t>
  </si>
  <si>
    <t>LAURA MELISSA RIVERA ROMERO</t>
  </si>
  <si>
    <t>LAURA SELENA HERNÁNDEZ QUINTANA</t>
  </si>
  <si>
    <t>LAURA SOFIA FLOREZ ROMERO</t>
  </si>
  <si>
    <t>LAURA SOFÍA CUERVO BONILLA</t>
  </si>
  <si>
    <t>LAURA TATIANA SAAVEDRA SUAREZ</t>
  </si>
  <si>
    <t>LINA MARIANA BUITRAGO MORA</t>
  </si>
  <si>
    <t>LISETH DANIELA ACERO HERNANDEZ</t>
  </si>
  <si>
    <t>LUISA MARÍA ABRIL MARTÍNEZ</t>
  </si>
  <si>
    <t>MARIAM SOFIA BERNAL SAENZ</t>
  </si>
  <si>
    <t>MARIANA SOFÍA LÓPEZ CUERVO</t>
  </si>
  <si>
    <t>40% BECA ESPECIAL</t>
  </si>
  <si>
    <t>MARÍA ALEJANDRA BENÍTEZ MORA</t>
  </si>
  <si>
    <t>MARÍA ANGÉLICA MORENO REIRÁN</t>
  </si>
  <si>
    <t>MARÍA JULIANA GONZALEZ VARGAS</t>
  </si>
  <si>
    <t>MARÍA LUISA PUENTES DUARTE</t>
  </si>
  <si>
    <t>MARÍA PAULA ALFONSO SOGAMOSO</t>
  </si>
  <si>
    <t>MARÍA PAULA CANCHALA PLAZAS</t>
  </si>
  <si>
    <t>MARÍA PAULA ÁVILA RAMÍREZ</t>
  </si>
  <si>
    <t>MARÍA PAZ MONSALVE VILLAMIL</t>
  </si>
  <si>
    <t>MERARI CORONEL SANTANA</t>
  </si>
  <si>
    <t>MICHEL SOFÍA REY MOJICA</t>
  </si>
  <si>
    <t>MICHELLE MARIANA TRILLOS ROJAS</t>
  </si>
  <si>
    <t>NEIDY YULIANA VARGAS COMBITA</t>
  </si>
  <si>
    <t>SANDRA PATRICIA PINILLA GIL</t>
  </si>
  <si>
    <t>SARA MANUELA JIMÉNEZ ZAMBRANO</t>
  </si>
  <si>
    <t>SARA SOFÍA SEGURA SANTOS</t>
  </si>
  <si>
    <t>SARA VALENTINA GONZALEZ OLIVEROS</t>
  </si>
  <si>
    <t>SARA VALERIA GARCÍA LÓPEZ</t>
  </si>
  <si>
    <t>SARAH JULIANA GARCIA CUBIDES</t>
  </si>
  <si>
    <t>SARASOFIA RUEDA DIAZ</t>
  </si>
  <si>
    <t>SARITA MORALES GARCÍA</t>
  </si>
  <si>
    <t>SAYIRA CAMILA SIERRA VARGAS</t>
  </si>
  <si>
    <t>SERGIO STIVEN SILVA GALINDO</t>
  </si>
  <si>
    <t>SHANESSE NICOLE GALVIS JIMÉNEZ</t>
  </si>
  <si>
    <t>SOFÍA SALGADO MEDINA</t>
  </si>
  <si>
    <t>XIMENA GISSEL FERRUCHO CASTRO</t>
  </si>
  <si>
    <t>YADY VALENTINA SÁENZ TIBAMBRE</t>
  </si>
  <si>
    <t>YEIMMY SAMANTHA PERILLA BALLESTEROS</t>
  </si>
  <si>
    <t>YEIMY ALEJANDRA CARRILLO HERNÁNDEZ</t>
  </si>
  <si>
    <t>YULIET MARCELA GUZMÁN GUZMÁN</t>
  </si>
  <si>
    <t>ZARETH VALERIA VEGA MARTÍNEZ</t>
  </si>
  <si>
    <t>ZAXDY GISSEL BUSUY TABACO</t>
  </si>
  <si>
    <t>ALLISON GISSETH SÁNCHEZ VÁSQUEZ</t>
  </si>
  <si>
    <t>ANDREA CAROLINA SANTOS VEGA</t>
  </si>
  <si>
    <t>ANGELA LIZETH VELANDIA RINCON</t>
  </si>
  <si>
    <t>ANGELA MARIA CRISTANCHO LOPEZ</t>
  </si>
  <si>
    <t>ANGIE YISETH SIERRA MESA</t>
  </si>
  <si>
    <t>CLARA VALERIA CORREDOR BOCIGA</t>
  </si>
  <si>
    <t>CRISTIAN DAVID CHAVES PAREDES</t>
  </si>
  <si>
    <t>DANA SOFIA ROJAS NIÑO</t>
  </si>
  <si>
    <t>DANNA ALEJANDRA PEDRAZA MESA</t>
  </si>
  <si>
    <t>DANNA ISABELLA BERMÚDEZ EUSSE</t>
  </si>
  <si>
    <t>DAVID MAURICIO VARGAS ACERO</t>
  </si>
  <si>
    <t>EMILY SOFIA FORERO GONZÁLEZ</t>
  </si>
  <si>
    <t>IRAIMA YIZHEL HURTADO RODRÍGUEZ</t>
  </si>
  <si>
    <t>JEIMMI JULIANA CALDERÓN BARRERA</t>
  </si>
  <si>
    <t>JONATHAN GERONIMO BUITRAGO OBANDO</t>
  </si>
  <si>
    <t>JUAN DAVID BELLO RIAÑO</t>
  </si>
  <si>
    <t>JULIAN ALBERTO PEDRAZA PINZON</t>
  </si>
  <si>
    <t>JULIÁN DAVID CARVAJAL SALCEDO</t>
  </si>
  <si>
    <t>KAREN JULIANA ACERO MESA</t>
  </si>
  <si>
    <t>KAREN MARIANA RINCÓN VALCÁRCEL</t>
  </si>
  <si>
    <t>KAREN YULIETH GONZÁLEZ GONZÁLEZ</t>
  </si>
  <si>
    <t>KARENT DANIELA VARGAS PATIÑO</t>
  </si>
  <si>
    <t>KAROL VALENTINA FIGUEROA VARGAS</t>
  </si>
  <si>
    <t>KEVIN SEBASTIÁN BECERRA ROJAS</t>
  </si>
  <si>
    <t>LAURA DANIELA RINCÓN ALARCÓN</t>
  </si>
  <si>
    <t>LAURA GINETH MACIAS ACEVEDO</t>
  </si>
  <si>
    <t>LAURA VALENTINA GUTIÉRREZ CEPEDA</t>
  </si>
  <si>
    <t>LAUREN NATALIA AMAYA TORRES</t>
  </si>
  <si>
    <t>LEIDY TATIANA BERNAL GRANADOS</t>
  </si>
  <si>
    <t>LUNA ALEXANDRA CHAPARRO ROJAS</t>
  </si>
  <si>
    <t>MAIDY DAHIANA PIÑEROS BERMUDEZ</t>
  </si>
  <si>
    <t>MANUEL ALEJANDRO CHAPARRO MONTAÑA</t>
  </si>
  <si>
    <t>MARIA ISABEL NAVAS LOPEZ</t>
  </si>
  <si>
    <t>MARÍA FERNANDA GONZÁLEZ FUENTES</t>
  </si>
  <si>
    <t>MARÍA PAULA GUAIDIA RUIZ</t>
  </si>
  <si>
    <t>MILDRED STEFANIA CACHOPE QUEZADA</t>
  </si>
  <si>
    <t>NICOL DAYAN PINZÓN ÁLVAREZ</t>
  </si>
  <si>
    <t>NIKOLE JULIANA MONTAÑEZ DÍAZ</t>
  </si>
  <si>
    <t>PAULA ANDREA ALBARRACIN ESTUPIÑAN</t>
  </si>
  <si>
    <t>PAULA DANIELA CHAPARRO PÉREZ</t>
  </si>
  <si>
    <t>PAULA ESPERANZA PÉREZ TENZA</t>
  </si>
  <si>
    <t>SARA SOFÍA DAZA MORANTES</t>
  </si>
  <si>
    <t>SARA VALENTINA BENAVIDES PINEDA</t>
  </si>
  <si>
    <t>SARA VALENTINA ESTUPIÑAN MONTAÑA</t>
  </si>
  <si>
    <t>SARA VALENTINA SANTOS MORENO</t>
  </si>
  <si>
    <t>SARAH JULIANA GÓMEZ ALVARADO</t>
  </si>
  <si>
    <t>SEBASTIÁN ALEJANDRO BONILLA ECHAVARRÍA</t>
  </si>
  <si>
    <t>SHARICK SOFÍA ZEA FIGUEROA</t>
  </si>
  <si>
    <t>THANIA SORELLY GÓMEZ CUERVO</t>
  </si>
  <si>
    <t>VALERIA ESTEFANIA SANCHEZ FERES</t>
  </si>
  <si>
    <t>YULIANA ROMERO ARGAEZ</t>
  </si>
  <si>
    <t>ZHARICK JAZMÍN AVILA SALCEDO</t>
  </si>
  <si>
    <t>ÁNGEL SANTIAGO MESA MONTAÑA</t>
  </si>
  <si>
    <t>ANDRÉS FELIPE MARTÍNEZ ZORRO</t>
  </si>
  <si>
    <t>ANGIE CAROLINA FAGUA PORRAS</t>
  </si>
  <si>
    <t>AYLIN SOFÍA ARÉVALO CRUZ</t>
  </si>
  <si>
    <t>DIANA SOFÍA ARBELÁEZ ROMERO</t>
  </si>
  <si>
    <t>EDUAR ARLEY FAGUA BOSIGA</t>
  </si>
  <si>
    <t>ERIKA JOHANA MATAMOROS MENDEZ</t>
  </si>
  <si>
    <t>HERNÁN ALONSO DIEZ MONTAÑO</t>
  </si>
  <si>
    <t>IVONNE KATHERINE LÓPEZ VALDERRAMA</t>
  </si>
  <si>
    <t>JENNIFER VANNESA MANRIQUE CALDERÓN</t>
  </si>
  <si>
    <t>KAREN JULIANA MORENO JUAN DE DIOS</t>
  </si>
  <si>
    <t>KAREN SOFIA LÓPEZ ATARÁ</t>
  </si>
  <si>
    <t>KAROLD YULIANA APONTE MONCADA</t>
  </si>
  <si>
    <t>LAURA CAMILA SALAZAR MANCIPE</t>
  </si>
  <si>
    <t>LAURA NATHALÍ RINCÓN OCHOA</t>
  </si>
  <si>
    <t>LEIDY GABRIELA GUTIÉRREZ CRUZ</t>
  </si>
  <si>
    <t>LIANA JANELL BARRETO VARGAS</t>
  </si>
  <si>
    <t>LINA YULIETH GARCÍA AMADO</t>
  </si>
  <si>
    <t>MARIA JOSE GIL MURILLO</t>
  </si>
  <si>
    <t>MARÍA MÓNICA MORENO LOZANO</t>
  </si>
  <si>
    <t>NIKOLL GABRIELA OCHOA RODRÍGUEZ</t>
  </si>
  <si>
    <t>PAULA NATALIA GALLO PERALTA</t>
  </si>
  <si>
    <t>PAULA NATALIA NOCUA PARADA</t>
  </si>
  <si>
    <t>VÍCTOR MANUEL LOZANO GARZÓN</t>
  </si>
  <si>
    <t>ZUSAM CAMILA GARCÍA SIERRA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</si>
</sst>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theme="0"/>
      <name val="Aptos Narrow"/>
      <family val="2"/>
      <scheme val="minor"/>
    </font>
    <font>
      <sz val="8"/>
      <name val="Aptos Narrow"/>
      <family val="2"/>
      <scheme val="minor"/>
    </font>
    <font>
      <b/>
      <sz val="15"/>
      <color theme="3"/>
      <name val="Aptos Narrow"/>
      <family val="2"/>
      <scheme val="minor"/>
    </font>
    <font>
      <i/>
      <sz val="11"/>
      <color theme="1"/>
      <name val="Aptos Narrow"/>
      <family val="2"/>
      <scheme val="minor"/>
    </font>
    <font>
      <b/>
      <sz val="11"/>
      <color theme="1"/>
      <name val="Aptos Narrow"/>
      <family val="2"/>
      <scheme val="minor"/>
    </font>
    <font>
      <sz val="10"/>
      <color theme="1"/>
      <name val="Arial"/>
      <charset val="1"/>
    </font>
    <font>
      <sz val="11"/>
      <color theme="1"/>
      <name val="Aptos Narrow"/>
      <charset val="1"/>
    </font>
    <font>
      <sz val="11"/>
      <color theme="1"/>
      <name val="Calibri"/>
      <charset val="1"/>
    </font>
  </fonts>
  <fills count="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style="thick">
        <color theme="4"/>
      </top>
      <bottom/>
      <diagonal/>
    </border>
    <border>
      <left style="thin">
        <color theme="4"/>
      </left>
      <right/>
      <top style="thin">
        <color theme="4"/>
      </top>
      <bottom/>
      <diagonal/>
    </border>
    <border>
      <left style="thin">
        <color theme="4"/>
      </left>
      <right style="thin">
        <color theme="4"/>
      </right>
      <top style="thin">
        <color theme="4"/>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CCCCCC"/>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1" applyNumberFormat="0" applyFill="0" applyAlignment="0" applyProtection="0"/>
  </cellStyleXfs>
  <cellXfs count="45">
    <xf numFmtId="0" fontId="0" fillId="0" borderId="0" xfId="0"/>
    <xf numFmtId="0" fontId="0" fillId="0" borderId="0" xfId="0"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wrapText="1"/>
    </xf>
    <xf numFmtId="0" fontId="0" fillId="0" borderId="0" xfId="0" applyAlignment="1">
      <alignment wrapText="1"/>
    </xf>
    <xf numFmtId="14" fontId="0" fillId="0" borderId="0" xfId="0" applyNumberFormat="1" applyAlignment="1">
      <alignment horizontal="center" vertical="center" wrapText="1"/>
    </xf>
    <xf numFmtId="0" fontId="1" fillId="0" borderId="0" xfId="0" applyFont="1" applyAlignment="1">
      <alignment horizontal="center" vertical="center"/>
    </xf>
    <xf numFmtId="0" fontId="1" fillId="0" borderId="0" xfId="0" applyFont="1" applyAlignment="1">
      <alignment wrapText="1"/>
    </xf>
    <xf numFmtId="0" fontId="0" fillId="2" borderId="0" xfId="0" applyFill="1" applyAlignment="1">
      <alignment horizontal="center" vertical="center" wrapText="1"/>
    </xf>
    <xf numFmtId="0" fontId="0" fillId="0" borderId="0" xfId="0" applyAlignment="1">
      <alignment horizontal="left" vertical="center" wrapText="1"/>
    </xf>
    <xf numFmtId="0" fontId="0" fillId="2" borderId="0" xfId="0" applyFill="1" applyAlignment="1">
      <alignment horizontal="left" vertical="center" wrapText="1"/>
    </xf>
    <xf numFmtId="0" fontId="3" fillId="0" borderId="1" xfId="1" applyAlignment="1">
      <alignment wrapText="1"/>
    </xf>
    <xf numFmtId="0" fontId="5" fillId="2" borderId="0" xfId="0" applyFont="1" applyFill="1" applyAlignment="1">
      <alignment horizontal="left" vertical="center" wrapText="1"/>
    </xf>
    <xf numFmtId="0" fontId="0" fillId="0" borderId="3" xfId="0" applyBorder="1" applyAlignment="1">
      <alignment horizontal="center" vertical="center" wrapText="1"/>
    </xf>
    <xf numFmtId="0" fontId="3" fillId="0" borderId="1" xfId="1" applyAlignment="1">
      <alignment horizontal="left" vertical="center"/>
    </xf>
    <xf numFmtId="0" fontId="4" fillId="2" borderId="2" xfId="0" applyFont="1" applyFill="1" applyBorder="1" applyAlignment="1">
      <alignment horizontal="left" vertical="center" wrapText="1"/>
    </xf>
    <xf numFmtId="0" fontId="3" fillId="0" borderId="1" xfId="1" applyAlignment="1">
      <alignment horizontal="left" vertical="center" wrapText="1"/>
    </xf>
    <xf numFmtId="0" fontId="0" fillId="2" borderId="0" xfId="0" applyNumberFormat="1" applyFill="1" applyAlignment="1">
      <alignment horizontal="center" vertical="center" wrapText="1"/>
    </xf>
    <xf numFmtId="0" fontId="0" fillId="3" borderId="0" xfId="0" applyNumberFormat="1" applyFill="1" applyAlignment="1">
      <alignment horizontal="center" vertical="center" wrapText="1"/>
    </xf>
    <xf numFmtId="14" fontId="6" fillId="0" borderId="5" xfId="0" applyNumberFormat="1" applyFont="1" applyBorder="1" applyAlignment="1">
      <alignment horizontal="center" vertical="center" wrapText="1"/>
    </xf>
    <xf numFmtId="14" fontId="6" fillId="0" borderId="6" xfId="0" applyNumberFormat="1" applyFont="1" applyBorder="1" applyAlignment="1">
      <alignment horizontal="center" vertical="center" wrapText="1"/>
    </xf>
    <xf numFmtId="0" fontId="0" fillId="2" borderId="0" xfId="0" applyNumberFormat="1" applyFill="1" applyBorder="1" applyAlignment="1">
      <alignment horizontal="center" vertical="center" wrapText="1"/>
    </xf>
    <xf numFmtId="14" fontId="6" fillId="0" borderId="8" xfId="0" applyNumberFormat="1" applyFont="1" applyBorder="1" applyAlignment="1">
      <alignment horizontal="center" vertical="center" wrapText="1"/>
    </xf>
    <xf numFmtId="0" fontId="0" fillId="0" borderId="0" xfId="0" applyBorder="1" applyAlignment="1">
      <alignment horizontal="center" vertical="center" wrapText="1"/>
    </xf>
    <xf numFmtId="0" fontId="6" fillId="0" borderId="9" xfId="0" applyFont="1" applyBorder="1" applyAlignment="1">
      <alignment horizontal="center" wrapText="1" readingOrder="1"/>
    </xf>
    <xf numFmtId="0" fontId="6" fillId="0" borderId="6" xfId="0" applyFont="1" applyBorder="1" applyAlignment="1">
      <alignment horizontal="center" vertical="center" wrapText="1"/>
    </xf>
    <xf numFmtId="14" fontId="7" fillId="0" borderId="5" xfId="0" applyNumberFormat="1" applyFont="1" applyBorder="1" applyAlignment="1">
      <alignment horizontal="center" vertical="center" wrapText="1"/>
    </xf>
    <xf numFmtId="14" fontId="7" fillId="0" borderId="6" xfId="0" applyNumberFormat="1" applyFont="1" applyBorder="1" applyAlignment="1">
      <alignment horizontal="center" vertical="center" wrapText="1"/>
    </xf>
    <xf numFmtId="14" fontId="7" fillId="0" borderId="8" xfId="0" applyNumberFormat="1" applyFont="1" applyBorder="1" applyAlignment="1">
      <alignment horizontal="center" vertical="center" wrapText="1"/>
    </xf>
    <xf numFmtId="0" fontId="0" fillId="0" borderId="0"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6" fillId="0" borderId="5" xfId="0" applyFont="1" applyBorder="1" applyAlignment="1">
      <alignment horizontal="left" wrapText="1" readingOrder="1"/>
    </xf>
    <xf numFmtId="0" fontId="6" fillId="0" borderId="6" xfId="0" applyFont="1" applyBorder="1" applyAlignment="1">
      <alignment horizontal="left" wrapText="1" readingOrder="1"/>
    </xf>
    <xf numFmtId="0" fontId="6" fillId="0" borderId="7" xfId="0" applyFont="1" applyBorder="1" applyAlignment="1">
      <alignment horizontal="left" wrapText="1" readingOrder="1"/>
    </xf>
    <xf numFmtId="0" fontId="6" fillId="0" borderId="8" xfId="0" applyFont="1" applyBorder="1" applyAlignment="1">
      <alignment horizontal="left" wrapText="1" readingOrder="1"/>
    </xf>
    <xf numFmtId="0" fontId="7" fillId="0" borderId="5" xfId="0" applyFont="1" applyBorder="1" applyAlignment="1">
      <alignment horizontal="left" wrapText="1" readingOrder="1"/>
    </xf>
    <xf numFmtId="0" fontId="7" fillId="0" borderId="6" xfId="0" applyFont="1" applyBorder="1" applyAlignment="1">
      <alignment horizontal="left" wrapText="1" readingOrder="1"/>
    </xf>
    <xf numFmtId="0" fontId="6" fillId="4" borderId="7" xfId="0" applyFont="1" applyFill="1" applyBorder="1" applyAlignment="1">
      <alignment horizontal="left" wrapText="1" readingOrder="1"/>
    </xf>
    <xf numFmtId="0" fontId="7" fillId="0" borderId="7" xfId="0" applyFont="1" applyBorder="1" applyAlignment="1">
      <alignment horizontal="left" wrapText="1" readingOrder="1"/>
    </xf>
    <xf numFmtId="14" fontId="8" fillId="0" borderId="5" xfId="0" applyNumberFormat="1" applyFont="1" applyBorder="1" applyAlignment="1">
      <alignment horizontal="center" vertical="center" wrapText="1"/>
    </xf>
    <xf numFmtId="14" fontId="8" fillId="0" borderId="6" xfId="0" applyNumberFormat="1" applyFont="1" applyBorder="1" applyAlignment="1">
      <alignment horizontal="center" vertical="center" wrapText="1"/>
    </xf>
    <xf numFmtId="14" fontId="6" fillId="4" borderId="6" xfId="0" applyNumberFormat="1" applyFont="1" applyFill="1" applyBorder="1" applyAlignment="1">
      <alignment horizontal="center" vertical="center" wrapText="1"/>
    </xf>
    <xf numFmtId="14" fontId="6" fillId="4" borderId="8" xfId="0" applyNumberFormat="1" applyFont="1" applyFill="1" applyBorder="1" applyAlignment="1">
      <alignment horizontal="center" vertical="center" wrapText="1"/>
    </xf>
    <xf numFmtId="14" fontId="8" fillId="0" borderId="8" xfId="0" applyNumberFormat="1" applyFont="1" applyBorder="1" applyAlignment="1">
      <alignment horizontal="center" vertical="center" wrapText="1"/>
    </xf>
  </cellXfs>
  <cellStyles count="2">
    <cellStyle name="Encabezado 1" xfId="1" builtinId="16"/>
    <cellStyle name="Normal" xfId="0" builtinId="0"/>
  </cellStyles>
  <dxfs count="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fill>
        <patternFill patternType="solid">
          <fgColor indexed="64"/>
          <bgColor theme="2"/>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solid">
          <fgColor indexed="64"/>
          <bgColor theme="2"/>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fill>
        <patternFill patternType="solid">
          <fgColor indexed="64"/>
          <bgColor theme="2"/>
        </patternFill>
      </fill>
      <alignment horizontal="center" vertical="center" textRotation="0" wrapText="0" indent="0" justifyLastLine="0" shrinkToFit="0" readingOrder="0"/>
    </dxf>
    <dxf>
      <numFmt numFmtId="0" formatCode="General"/>
      <fill>
        <patternFill patternType="solid">
          <fgColor indexed="64"/>
          <bgColor theme="2"/>
        </patternFill>
      </fill>
      <alignment horizontal="center" vertical="center" textRotation="0" wrapText="0" indent="0" justifyLastLine="0" shrinkToFit="0" readingOrder="0"/>
    </dxf>
    <dxf>
      <numFmt numFmtId="0" formatCode="General"/>
      <fill>
        <patternFill patternType="solid">
          <fgColor indexed="64"/>
          <bgColor theme="2"/>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fill>
        <patternFill patternType="solid">
          <fgColor indexed="64"/>
          <bgColor theme="2"/>
        </patternFill>
      </fill>
      <alignment horizontal="center" vertical="center" textRotation="0" wrapText="0" indent="0" justifyLastLine="0" shrinkToFit="0" readingOrder="0"/>
    </dxf>
    <dxf>
      <numFmt numFmtId="0" formatCode="General"/>
      <fill>
        <patternFill patternType="solid">
          <fgColor indexed="64"/>
          <bgColor theme="2"/>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font>
      <fill>
        <patternFill>
          <bgColor theme="9" tint="0.79998168889431442"/>
        </patternFill>
      </fill>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fill>
        <patternFill patternType="solid">
          <fgColor indexed="64"/>
          <bgColor theme="2"/>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624840</xdr:colOff>
      <xdr:row>1</xdr:row>
      <xdr:rowOff>7620</xdr:rowOff>
    </xdr:from>
    <xdr:to>
      <xdr:col>1</xdr:col>
      <xdr:colOff>7032360</xdr:colOff>
      <xdr:row>2</xdr:row>
      <xdr:rowOff>7620</xdr:rowOff>
    </xdr:to>
    <xdr:pic>
      <xdr:nvPicPr>
        <xdr:cNvPr id="4" name="Imagen 3">
          <a:extLst>
            <a:ext uri="{FF2B5EF4-FFF2-40B4-BE49-F238E27FC236}">
              <a16:creationId xmlns:a16="http://schemas.microsoft.com/office/drawing/2014/main" id="{942D99B2-97CC-1D61-FCF7-40A1CCD08DE8}"/>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39639"/>
        <a:stretch/>
      </xdr:blipFill>
      <xdr:spPr bwMode="auto">
        <a:xfrm>
          <a:off x="624840" y="190500"/>
          <a:ext cx="720000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B68BC5-307B-47E6-A767-F60967D8DE07}" name="Bitacora" displayName="Bitacora" ref="B5:G277" totalsRowShown="0" headerRowDxfId="39" dataDxfId="38">
  <autoFilter ref="B5:G277" xr:uid="{58B68BC5-307B-47E6-A767-F60967D8DE07}"/>
  <tableColumns count="6">
    <tableColumn id="10" xr3:uid="{E6FE5603-62A2-4065-8764-BEB00C7CBC94}" name="ID" dataDxfId="37">
      <calculatedColumnFormula>+IF(A6=1,1,B5+1)</calculatedColumnFormula>
    </tableColumn>
    <tableColumn id="1" xr3:uid="{0151D7BD-CF5F-4243-82F8-C07854B5326D}" name="FECHA" dataDxfId="36"/>
    <tableColumn id="2" xr3:uid="{1646E59D-3B90-4411-8E05-3706F2FA7032}" name="ESTUDIANTE" dataDxfId="35"/>
    <tableColumn id="4" xr3:uid="{EA47F003-873F-4B2A-8FC5-D168EE5C9F64}" name="ASIGNACIÓN" dataDxfId="34"/>
    <tableColumn id="3" xr3:uid="{92987457-483A-4DA0-B0FD-49E6EBE48C67}" name="HORAS A REGISTRAR" dataDxfId="33"/>
    <tableColumn id="6" xr3:uid="{1DCF1C5D-DE5F-4F84-9F12-15FB2ACDFFBB}" name="DESCRIPCIÓN ACTIVIDADES / OBSERVACIONES" dataDxfId="32"/>
  </tableColumns>
  <tableStyleInfo name="TableStyleLight9"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B6993F-88EF-4ECD-BA76-DC705A50C1BF}" name="Estudiantes_Becados" displayName="Estudiantes_Becados" ref="B5:L40" totalsRowShown="0" headerRowDxfId="30" dataDxfId="29">
  <autoFilter ref="B5:L40" xr:uid="{9EB6993F-88EF-4ECD-BA76-DC705A50C1BF}"/>
  <sortState xmlns:xlrd2="http://schemas.microsoft.com/office/spreadsheetml/2017/richdata2" ref="B6:L6">
    <sortCondition ref="C5:C6"/>
  </sortState>
  <tableColumns count="11">
    <tableColumn id="9" xr3:uid="{E304E736-5035-4542-8347-01BDB2F06EF3}" name="ASPIRANTE ID" dataDxfId="28">
      <calculatedColumnFormula>+_xlfn.XLOOKUP(Estudiantes_Becados[[#This Row],[CÓDIGO]],Total_Estudiantes[CÓDIGO],Total_Estudiantes[ASPIRANTE_ID],"")</calculatedColumnFormula>
    </tableColumn>
    <tableColumn id="1" xr3:uid="{1A7ACEF2-2B6F-4BA9-9A7C-EF896FD734CF}" name="ESTUDIANTE" dataDxfId="27">
      <calculatedColumnFormula>+_xlfn.XLOOKUP(Estudiantes_Becados[[#This Row],[CÓDIGO]],Total_Estudiantes[CÓDIGO],Total_Estudiantes[NOMBRE],"")</calculatedColumnFormula>
    </tableColumn>
    <tableColumn id="2" xr3:uid="{1798EA81-C554-4C9E-9659-CB1B25828DB0}" name="CÓDIGO" dataDxfId="26"/>
    <tableColumn id="3" xr3:uid="{34D85D8B-5C86-4F7C-809C-A5EA6B366F3A}" name="PROGRAMA ESTUDIANTE" dataDxfId="25"/>
    <tableColumn id="4" xr3:uid="{0F3F6AAA-2DD0-4DE9-9C33-82CE1CCE1F4F}" name="SEMESTRE ACTUAL" dataDxfId="24"/>
    <tableColumn id="10" xr3:uid="{F5DBBA14-9FA1-404F-91E4-D3C1A93EDC96}" name="DEPENDENCIA ASIGNADA" dataDxfId="23"/>
    <tableColumn id="12" xr3:uid="{0C4F0F24-4525-4688-8136-33FB188644F1}" name="RESPONSABLE" dataDxfId="22"/>
    <tableColumn id="5" xr3:uid="{D1BC8585-7C50-400C-8C74-3073C16822B1}" name="HORAS A REALIZAR" dataDxfId="21"/>
    <tableColumn id="6" xr3:uid="{B47B750F-704B-4F8F-BA07-4BD185D3AF7C}" name="HORAS REALIZADAS" dataDxfId="20">
      <calculatedColumnFormula>+SUMIF(Bitacora[ESTUDIANTE],Estudiantes_Becados[[#This Row],[ESTUDIANTE]],Bitacora[HORAS A REGISTRAR])</calculatedColumnFormula>
    </tableColumn>
    <tableColumn id="7" xr3:uid="{429B59D3-00B8-4B49-BA28-7139E8EC249F}" name="HORAS PENDIENTES" dataDxfId="19">
      <calculatedColumnFormula>+IF(Estudiantes_Becados[[#This Row],[HORAS A REALIZAR]]-Estudiantes_Becados[[#This Row],[HORAS REALIZADAS]]&lt;0,0,Estudiantes_Becados[[#This Row],[HORAS A REALIZAR]]-Estudiantes_Becados[[#This Row],[HORAS REALIZADAS]])</calculatedColumnFormula>
    </tableColumn>
    <tableColumn id="8" xr3:uid="{719FAD2A-7E32-4B7D-833B-398160508E41}" name="ESTADO" dataDxfId="18">
      <calculatedColumnFormula>IF(Estudiantes_Becados[[#This Row],[HORAS REALIZADAS]]=0,"NO SE HA INICIADO",IF(AND(Estudiantes_Becados[[#This Row],[HORAS REALIZADAS]]&gt;0,Estudiantes_Becados[[#This Row],[HORAS PENDIENTES]]&gt;0),"EN PROCESO",IF(AND(Estudiantes_Becados[[#This Row],[HORAS REALIZADAS]]&gt;0,Estudiantes_Becados[[#This Row],[HORAS PENDIENTES]]=0),"FINALIZADO")))</calculatedColumnFormula>
    </tableColumn>
  </tableColumns>
  <tableStyleInfo name="TableStyleLight9"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FED295-9314-43E2-A8B2-4781D233889F}" name="Dependencias_Asignadas" displayName="Dependencias_Asignadas" ref="B5:E6" totalsRowShown="0" headerRowDxfId="17" dataDxfId="16">
  <autoFilter ref="B5:E6" xr:uid="{6CFED295-9314-43E2-A8B2-4781D233889F}"/>
  <tableColumns count="4">
    <tableColumn id="2" xr3:uid="{E725CF8E-819A-4AC9-85B8-4B665EBA89B1}" name="PROGRAMA O DEPENDENCIA" dataDxfId="15"/>
    <tableColumn id="3" xr3:uid="{826FF4FC-FE44-4D9F-9C63-AFD1D803209C}" name="DEPENDENCIA ID" dataDxfId="14">
      <calculatedColumnFormula>+_xlfn.XLOOKUP(Dependencias_Asignadas[[#This Row],[PROGRAMA O DEPENDENCIA]],Dependencias_Totales[NOMBRE],Dependencias_Totales[DEPENDENCIA_ID],"")</calculatedColumnFormula>
    </tableColumn>
    <tableColumn id="8" xr3:uid="{314CDCFC-F016-460F-8BDF-9BC61182195A}" name="JEFE / DIRECTOR" dataDxfId="13"/>
    <tableColumn id="7" xr3:uid="{0AC3904B-E699-4005-B1E5-035DFE83D454}" name="JEFE / DIRECTOR ID" dataDxfId="12">
      <calculatedColumnFormula>+_xlfn.XLOOKUP(Dependencias_Asignadas[[#This Row],[JEFE / DIRECTOR]],Total_Funcionarios[NOMBRE],Total_Funcionarios[FUNCIONARIO_ID],"")</calculatedColumnFormula>
    </tableColumn>
  </tableColumns>
  <tableStyleInfo name="TableStyleLight9"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7A0006-26BF-4D13-9CBA-221CAD9A10F8}" name="Dependencias_Totales" displayName="Dependencias_Totales" ref="B2:C262" totalsRowShown="0" headerRowDxfId="11" dataDxfId="10">
  <autoFilter ref="B2:C262" xr:uid="{00000000-0001-0000-0300-000000000000}"/>
  <sortState xmlns:xlrd2="http://schemas.microsoft.com/office/spreadsheetml/2017/richdata2" ref="B3:C4">
    <sortCondition ref="B2:B4"/>
  </sortState>
  <tableColumns count="2">
    <tableColumn id="1" xr3:uid="{BB13884B-5BE5-4503-A237-7209E47ADDFB}" name="DEPENDENCIA_ID" dataDxfId="9"/>
    <tableColumn id="2" xr3:uid="{1A06C303-A7DB-44DC-B13B-12265264FF33}" name="NOMBRE" dataDxfId="8"/>
  </tableColumns>
  <tableStyleInfo name="TableStyleLight10"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077AC95-FDFF-4DDF-AC08-EE926A43F704}" name="Asignaciones" displayName="Asignaciones" ref="E2:E12" totalsRowShown="0">
  <autoFilter ref="E2:E12" xr:uid="{9077AC95-FDFF-4DDF-AC08-EE926A43F704}"/>
  <tableColumns count="1">
    <tableColumn id="1" xr3:uid="{7C7CEB64-DAE8-4FBE-8885-64F3CBCCB7A2}" name="ASIGNACIONES"/>
  </tableColumns>
  <tableStyleInfo name="TableStyleLight9"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D32A52-0E12-44B6-A927-C6380EADD031}" name="Total_Funcionarios" displayName="Total_Funcionarios" ref="B2:C53" totalsRowShown="0" headerRowDxfId="7" dataDxfId="6">
  <autoFilter ref="B2:C53" xr:uid="{7FD32A52-0E12-44B6-A927-C6380EADD031}"/>
  <sortState xmlns:xlrd2="http://schemas.microsoft.com/office/spreadsheetml/2017/richdata2" ref="B3:C3">
    <sortCondition ref="B2:B3"/>
  </sortState>
  <tableColumns count="2">
    <tableColumn id="1" xr3:uid="{E1BAEECD-3B1E-4089-BEEA-585D9F2E1276}" name="FUNCIONARIO_ID" dataDxfId="5"/>
    <tableColumn id="2" xr3:uid="{8E616312-260D-47EE-A250-F64E778836C4}" name="NOMBRE" dataDxfId="4"/>
  </tableColumns>
  <tableStyleInfo name="TableStyleLight13" showFirstColumn="0" showLastColumn="0"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8C269F-3DD9-4620-B064-E9720E46E6F3}" name="Total_Estudiantes" displayName="Total_Estudiantes" ref="B2:F1089" totalsRowShown="0">
  <autoFilter ref="B2:F1089" xr:uid="{00000000-0001-0000-0500-000000000000}"/>
  <tableColumns count="5">
    <tableColumn id="1" xr3:uid="{CA710298-AC72-48DA-92B8-9D4BD97D2CD5}" name="ASPIRANTE_ID"/>
    <tableColumn id="2" xr3:uid="{82EFEA3F-E91E-46DA-B675-1BA882ECC8EA}" name="NOMBRE"/>
    <tableColumn id="3" xr3:uid="{3F287692-CE83-428D-B626-A5D6A89246AC}" name="CÓDIGO"/>
    <tableColumn id="4" xr3:uid="{0B76CB17-BC3B-4BD7-9DE6-C15F7BDDD18D}" name="AUTORIZA_BECA_ID"/>
    <tableColumn id="5" xr3:uid="{D4BA0ADD-170B-4A43-B46E-7387F60C9C0F}" name="NOMBRE_BECA"/>
  </tableColumns>
  <tableStyleInfo name="TableStyleLight8" showFirstColumn="0" showLastColumn="0" showRowStripes="1" showColumnStripes="1"/>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B8BFD-4B70-4599-9237-621B5F9D3161}">
  <sheetPr codeName="Hoja7">
    <tabColor theme="5" tint="0.39997558519241921"/>
  </sheetPr>
  <dimension ref="B2:B17"/>
  <sheetViews>
    <sheetView showGridLines="0" topLeftCell="A8" workbookViewId="0">
      <selection activeCell="B14" sqref="B14"/>
    </sheetView>
  </sheetViews>
  <sheetFormatPr defaultColWidth="11.42578125" defaultRowHeight="14.25"/>
  <cols>
    <col min="2" max="2" width="183.7109375" style="9" customWidth="1"/>
  </cols>
  <sheetData>
    <row r="2" spans="2:2" ht="72" customHeight="1">
      <c r="B2" s="4"/>
    </row>
    <row r="3" spans="2:2" ht="20.45" thickBot="1">
      <c r="B3" s="11" t="s">
        <v>0</v>
      </c>
    </row>
    <row r="4" spans="2:2" ht="15" thickTop="1">
      <c r="B4" s="4"/>
    </row>
    <row r="5" spans="2:2" ht="30.2" customHeight="1">
      <c r="B5" s="10" t="s">
        <v>1</v>
      </c>
    </row>
    <row r="6" spans="2:2" ht="30.2" customHeight="1">
      <c r="B6" s="10" t="s">
        <v>2</v>
      </c>
    </row>
    <row r="7" spans="2:2" ht="30.2" customHeight="1">
      <c r="B7" s="10" t="s">
        <v>3</v>
      </c>
    </row>
    <row r="8" spans="2:2" ht="60" customHeight="1">
      <c r="B8" s="10" t="s">
        <v>4</v>
      </c>
    </row>
    <row r="9" spans="2:2" ht="49.9" customHeight="1">
      <c r="B9" s="10" t="s">
        <v>5</v>
      </c>
    </row>
    <row r="10" spans="2:2" ht="49.9" customHeight="1">
      <c r="B10" s="10" t="s">
        <v>6</v>
      </c>
    </row>
    <row r="11" spans="2:2" ht="30.2" customHeight="1">
      <c r="B11" s="10" t="s">
        <v>7</v>
      </c>
    </row>
    <row r="12" spans="2:2" ht="30.2" customHeight="1">
      <c r="B12" s="10" t="s">
        <v>8</v>
      </c>
    </row>
    <row r="13" spans="2:2" ht="30.2" customHeight="1">
      <c r="B13" s="10" t="s">
        <v>9</v>
      </c>
    </row>
    <row r="14" spans="2:2" ht="30.2" customHeight="1">
      <c r="B14" s="12" t="s">
        <v>10</v>
      </c>
    </row>
    <row r="15" spans="2:2" ht="49.9" customHeight="1">
      <c r="B15" s="10" t="s">
        <v>11</v>
      </c>
    </row>
    <row r="16" spans="2:2" ht="49.9" customHeight="1">
      <c r="B16" s="10" t="s">
        <v>12</v>
      </c>
    </row>
    <row r="17" spans="2:2" ht="30.2" customHeight="1">
      <c r="B17" s="10" t="s">
        <v>13</v>
      </c>
    </row>
  </sheetData>
  <sheetProtection algorithmName="SHA-512" hashValue="wTyI2zfzNSWdcSmO9xLsoDnAG/C4T6o0ynRPv8jGV1wStZNbUAsWJdA0t5rSDZjLBUpFOg0hqqdJaS2EM5W9+w==" saltValue="c+1IB47sn5EIxl2W3/qX8g==" spinCount="100000"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2AFDB-51D1-444A-B9FB-1AB7A99D62CF}">
  <sheetPr codeName="Hoja1">
    <tabColor theme="6"/>
  </sheetPr>
  <dimension ref="A2:G277"/>
  <sheetViews>
    <sheetView showGridLines="0" tabSelected="1" topLeftCell="A250" workbookViewId="0">
      <selection activeCell="G278" sqref="G278"/>
    </sheetView>
  </sheetViews>
  <sheetFormatPr defaultColWidth="11.42578125" defaultRowHeight="14.25"/>
  <cols>
    <col min="1" max="1" width="2" style="4" bestFit="1" customWidth="1"/>
    <col min="2" max="2" width="11.7109375" style="4" customWidth="1"/>
    <col min="3" max="3" width="13.85546875" style="4" customWidth="1"/>
    <col min="4" max="5" width="34.42578125" style="4" customWidth="1"/>
    <col min="6" max="6" width="22.7109375" style="4" bestFit="1" customWidth="1"/>
    <col min="7" max="7" width="84.7109375" style="4" customWidth="1"/>
    <col min="8" max="16384" width="11.42578125" style="4"/>
  </cols>
  <sheetData>
    <row r="2" spans="1:7" ht="20.45" thickBot="1">
      <c r="B2" s="16" t="s">
        <v>14</v>
      </c>
      <c r="C2" s="16"/>
      <c r="D2" s="16"/>
      <c r="E2" s="16"/>
      <c r="F2" s="16"/>
      <c r="G2" s="16"/>
    </row>
    <row r="3" spans="1:7" ht="15" thickTop="1">
      <c r="B3" s="15" t="s">
        <v>15</v>
      </c>
      <c r="C3" s="15"/>
      <c r="D3" s="15"/>
      <c r="E3" s="15"/>
      <c r="F3" s="15"/>
      <c r="G3" s="15"/>
    </row>
    <row r="5" spans="1:7">
      <c r="B5" s="3" t="s">
        <v>16</v>
      </c>
      <c r="C5" s="3" t="s">
        <v>17</v>
      </c>
      <c r="D5" s="3" t="s">
        <v>18</v>
      </c>
      <c r="E5" s="3" t="s">
        <v>19</v>
      </c>
      <c r="F5" s="3" t="s">
        <v>20</v>
      </c>
      <c r="G5" s="3" t="s">
        <v>21</v>
      </c>
    </row>
    <row r="6" spans="1:7" ht="15">
      <c r="A6" s="7">
        <v>1</v>
      </c>
      <c r="B6" s="8">
        <f t="shared" ref="B6" si="0">+IF(A6=1,1,B5+1)</f>
        <v>1</v>
      </c>
      <c r="C6" s="5">
        <v>46140</v>
      </c>
      <c r="D6" s="3" t="s">
        <v>22</v>
      </c>
      <c r="E6" s="13" t="s">
        <v>23</v>
      </c>
      <c r="F6" s="13">
        <v>8</v>
      </c>
      <c r="G6" s="30" t="s">
        <v>24</v>
      </c>
    </row>
    <row r="7" spans="1:7" ht="15">
      <c r="B7" s="8">
        <f>+IF(A7=1,1,B6+1)</f>
        <v>2</v>
      </c>
      <c r="C7" s="5">
        <v>46141</v>
      </c>
      <c r="D7" s="3" t="s">
        <v>25</v>
      </c>
      <c r="E7" s="13" t="s">
        <v>26</v>
      </c>
      <c r="F7" s="13">
        <v>2</v>
      </c>
      <c r="G7" s="31" t="s">
        <v>27</v>
      </c>
    </row>
    <row r="8" spans="1:7" ht="15">
      <c r="B8" s="18">
        <f>+IF(A8=1,1,B7+1)</f>
        <v>3</v>
      </c>
      <c r="C8" s="5">
        <v>46154</v>
      </c>
      <c r="D8" s="3" t="s">
        <v>22</v>
      </c>
      <c r="E8" s="13" t="s">
        <v>23</v>
      </c>
      <c r="F8" s="3">
        <v>8</v>
      </c>
      <c r="G8" s="9" t="s">
        <v>28</v>
      </c>
    </row>
    <row r="9" spans="1:7" ht="15">
      <c r="B9" s="17">
        <f>+IF(A9=1,1,B8+1)</f>
        <v>4</v>
      </c>
      <c r="C9" s="5">
        <v>46168</v>
      </c>
      <c r="D9" s="3" t="s">
        <v>22</v>
      </c>
      <c r="E9" s="3" t="s">
        <v>26</v>
      </c>
      <c r="F9" s="3">
        <v>2</v>
      </c>
      <c r="G9" s="9" t="s">
        <v>29</v>
      </c>
    </row>
    <row r="10" spans="1:7" ht="15">
      <c r="B10" s="17">
        <f t="shared" ref="B10:B14" si="1">+IF(A10=1,1,B9+1)</f>
        <v>5</v>
      </c>
      <c r="C10" s="5">
        <v>46133</v>
      </c>
      <c r="D10" s="3" t="s">
        <v>30</v>
      </c>
      <c r="E10" s="3" t="s">
        <v>23</v>
      </c>
      <c r="F10" s="3">
        <v>2</v>
      </c>
      <c r="G10" s="9" t="s">
        <v>31</v>
      </c>
    </row>
    <row r="11" spans="1:7" ht="29.25">
      <c r="B11" s="17">
        <f t="shared" si="1"/>
        <v>6</v>
      </c>
      <c r="C11" s="5">
        <v>46141</v>
      </c>
      <c r="D11" s="3" t="s">
        <v>30</v>
      </c>
      <c r="E11" s="3" t="s">
        <v>23</v>
      </c>
      <c r="F11" s="3">
        <v>3</v>
      </c>
      <c r="G11" s="9" t="s">
        <v>32</v>
      </c>
    </row>
    <row r="12" spans="1:7" ht="29.25">
      <c r="B12" s="17">
        <f t="shared" si="1"/>
        <v>7</v>
      </c>
      <c r="C12" s="5">
        <v>46149</v>
      </c>
      <c r="D12" s="3" t="s">
        <v>30</v>
      </c>
      <c r="E12" s="3" t="s">
        <v>23</v>
      </c>
      <c r="F12" s="3">
        <v>5</v>
      </c>
      <c r="G12" s="9" t="s">
        <v>33</v>
      </c>
    </row>
    <row r="13" spans="1:7" ht="29.25">
      <c r="B13" s="17">
        <f t="shared" si="1"/>
        <v>8</v>
      </c>
      <c r="C13" s="5">
        <v>46156</v>
      </c>
      <c r="D13" s="3" t="s">
        <v>30</v>
      </c>
      <c r="E13" s="3" t="s">
        <v>23</v>
      </c>
      <c r="F13" s="3">
        <v>5</v>
      </c>
      <c r="G13" s="9" t="s">
        <v>34</v>
      </c>
    </row>
    <row r="14" spans="1:7" ht="29.25">
      <c r="B14" s="17">
        <f t="shared" si="1"/>
        <v>9</v>
      </c>
      <c r="C14" s="5">
        <v>46163</v>
      </c>
      <c r="D14" s="3" t="s">
        <v>30</v>
      </c>
      <c r="E14" s="3" t="s">
        <v>23</v>
      </c>
      <c r="F14" s="3">
        <v>5</v>
      </c>
      <c r="G14" s="9" t="s">
        <v>35</v>
      </c>
    </row>
    <row r="15" spans="1:7" ht="15">
      <c r="B15" s="17">
        <f>+IF(A15=1,1,B14+1)</f>
        <v>10</v>
      </c>
      <c r="C15" s="19">
        <v>46169</v>
      </c>
      <c r="D15" s="3" t="s">
        <v>22</v>
      </c>
      <c r="E15" s="3" t="s">
        <v>26</v>
      </c>
      <c r="F15" s="3">
        <v>2</v>
      </c>
      <c r="G15" s="9" t="s">
        <v>36</v>
      </c>
    </row>
    <row r="16" spans="1:7" ht="15">
      <c r="B16" s="17">
        <f>+IF(A16=1,1,B15+1)</f>
        <v>11</v>
      </c>
      <c r="C16" s="20">
        <v>46149</v>
      </c>
      <c r="D16" s="3" t="s">
        <v>25</v>
      </c>
      <c r="E16" s="3" t="s">
        <v>26</v>
      </c>
      <c r="F16" s="3">
        <v>2</v>
      </c>
      <c r="G16" s="32" t="s">
        <v>37</v>
      </c>
    </row>
    <row r="17" spans="2:7" ht="15">
      <c r="B17" s="17">
        <f>+IF(A17=1,1,B16+1)</f>
        <v>12</v>
      </c>
      <c r="C17" s="20">
        <v>46154</v>
      </c>
      <c r="D17" s="3" t="s">
        <v>25</v>
      </c>
      <c r="E17" s="3" t="s">
        <v>26</v>
      </c>
      <c r="F17" s="3">
        <v>4</v>
      </c>
      <c r="G17" s="33" t="s">
        <v>38</v>
      </c>
    </row>
    <row r="18" spans="2:7" ht="15">
      <c r="B18" s="17">
        <f>+IF(A18=1,1,B17+1)</f>
        <v>13</v>
      </c>
      <c r="C18" s="20">
        <v>46156</v>
      </c>
      <c r="D18" s="3" t="s">
        <v>25</v>
      </c>
      <c r="E18" s="3" t="s">
        <v>26</v>
      </c>
      <c r="F18" s="3">
        <v>4</v>
      </c>
      <c r="G18" s="33" t="s">
        <v>39</v>
      </c>
    </row>
    <row r="19" spans="2:7" ht="15">
      <c r="B19" s="17">
        <f>+IF(A19=1,1,B18+1)</f>
        <v>14</v>
      </c>
      <c r="C19" s="20">
        <v>46160</v>
      </c>
      <c r="D19" s="3" t="s">
        <v>25</v>
      </c>
      <c r="E19" s="3" t="s">
        <v>26</v>
      </c>
      <c r="F19" s="3">
        <v>4</v>
      </c>
      <c r="G19" s="33" t="s">
        <v>40</v>
      </c>
    </row>
    <row r="20" spans="2:7" ht="15">
      <c r="B20" s="21">
        <f>+IF(A20=1,1,B19+1)</f>
        <v>15</v>
      </c>
      <c r="C20" s="22">
        <v>46162</v>
      </c>
      <c r="D20" s="3" t="s">
        <v>25</v>
      </c>
      <c r="E20" s="3" t="s">
        <v>26</v>
      </c>
      <c r="F20" s="23">
        <v>4</v>
      </c>
      <c r="G20" s="34" t="s">
        <v>41</v>
      </c>
    </row>
    <row r="21" spans="2:7" ht="15">
      <c r="B21" s="17">
        <f>+IF(A21=1,1,B20+1)</f>
        <v>16</v>
      </c>
      <c r="C21" s="5">
        <v>46098</v>
      </c>
      <c r="D21" s="3" t="s">
        <v>42</v>
      </c>
      <c r="E21" s="3" t="s">
        <v>23</v>
      </c>
      <c r="F21" s="3">
        <v>2</v>
      </c>
      <c r="G21" s="9" t="s">
        <v>43</v>
      </c>
    </row>
    <row r="22" spans="2:7" ht="15">
      <c r="B22" s="17">
        <f>+IF(A22=1,1,B21+1)</f>
        <v>17</v>
      </c>
      <c r="C22" s="5">
        <v>46118</v>
      </c>
      <c r="D22" s="3" t="s">
        <v>42</v>
      </c>
      <c r="E22" s="3" t="s">
        <v>23</v>
      </c>
      <c r="F22" s="3">
        <v>2</v>
      </c>
      <c r="G22" s="9" t="s">
        <v>44</v>
      </c>
    </row>
    <row r="23" spans="2:7" ht="15">
      <c r="B23" s="17">
        <f>+IF(A23=1,1,B22+1)</f>
        <v>18</v>
      </c>
      <c r="C23" s="5">
        <v>46120</v>
      </c>
      <c r="D23" s="3" t="s">
        <v>42</v>
      </c>
      <c r="E23" s="3" t="s">
        <v>23</v>
      </c>
      <c r="F23" s="3">
        <v>1</v>
      </c>
      <c r="G23" s="9" t="s">
        <v>45</v>
      </c>
    </row>
    <row r="24" spans="2:7" ht="15">
      <c r="B24" s="17">
        <f>+IF(A24=1,1,B23+1)</f>
        <v>19</v>
      </c>
      <c r="C24" s="5">
        <v>46122</v>
      </c>
      <c r="D24" s="3" t="s">
        <v>42</v>
      </c>
      <c r="E24" s="3" t="s">
        <v>23</v>
      </c>
      <c r="F24" s="3">
        <v>1</v>
      </c>
      <c r="G24" s="9" t="s">
        <v>46</v>
      </c>
    </row>
    <row r="25" spans="2:7" ht="15">
      <c r="B25" s="17">
        <f>+IF(A25=1,1,B24+1)</f>
        <v>20</v>
      </c>
      <c r="C25" s="5">
        <v>46125</v>
      </c>
      <c r="D25" s="3" t="s">
        <v>42</v>
      </c>
      <c r="E25" s="3" t="s">
        <v>23</v>
      </c>
      <c r="F25" s="3">
        <v>2</v>
      </c>
      <c r="G25" s="9" t="s">
        <v>47</v>
      </c>
    </row>
    <row r="26" spans="2:7" ht="15">
      <c r="B26" s="17">
        <f>+IF(A26=1,1,B25+1)</f>
        <v>21</v>
      </c>
      <c r="C26" s="5">
        <v>46127</v>
      </c>
      <c r="D26" s="3" t="s">
        <v>42</v>
      </c>
      <c r="E26" s="3" t="s">
        <v>23</v>
      </c>
      <c r="F26" s="3">
        <v>1</v>
      </c>
      <c r="G26" s="9" t="s">
        <v>48</v>
      </c>
    </row>
    <row r="27" spans="2:7" ht="15">
      <c r="B27" s="17">
        <f>+IF(A27=1,1,B26+1)</f>
        <v>22</v>
      </c>
      <c r="C27" s="5">
        <v>46129</v>
      </c>
      <c r="D27" s="3" t="s">
        <v>42</v>
      </c>
      <c r="E27" s="3" t="s">
        <v>23</v>
      </c>
      <c r="F27" s="3">
        <v>1</v>
      </c>
      <c r="G27" s="9" t="s">
        <v>49</v>
      </c>
    </row>
    <row r="28" spans="2:7" ht="15">
      <c r="B28" s="17">
        <f>+IF(A28=1,1,B27+1)</f>
        <v>23</v>
      </c>
      <c r="C28" s="5">
        <v>46132</v>
      </c>
      <c r="D28" s="3" t="s">
        <v>42</v>
      </c>
      <c r="E28" s="3" t="s">
        <v>23</v>
      </c>
      <c r="F28" s="3">
        <v>2</v>
      </c>
      <c r="G28" s="9" t="s">
        <v>50</v>
      </c>
    </row>
    <row r="29" spans="2:7" ht="15">
      <c r="B29" s="17">
        <f>+IF(A29=1,1,B28+1)</f>
        <v>24</v>
      </c>
      <c r="C29" s="5">
        <v>46134</v>
      </c>
      <c r="D29" s="3" t="s">
        <v>42</v>
      </c>
      <c r="E29" s="3" t="s">
        <v>23</v>
      </c>
      <c r="F29" s="3">
        <v>2</v>
      </c>
      <c r="G29" s="9" t="s">
        <v>51</v>
      </c>
    </row>
    <row r="30" spans="2:7" ht="15">
      <c r="B30" s="17">
        <f>+IF(A30=1,1,B29+1)</f>
        <v>25</v>
      </c>
      <c r="C30" s="5">
        <v>46139</v>
      </c>
      <c r="D30" s="3" t="s">
        <v>42</v>
      </c>
      <c r="E30" s="3" t="s">
        <v>23</v>
      </c>
      <c r="F30" s="3">
        <v>2</v>
      </c>
      <c r="G30" s="9" t="s">
        <v>52</v>
      </c>
    </row>
    <row r="31" spans="2:7" ht="15">
      <c r="B31" s="17">
        <f>+IF(A31=1,1,B30+1)</f>
        <v>26</v>
      </c>
      <c r="C31" s="5">
        <v>46141</v>
      </c>
      <c r="D31" s="3" t="s">
        <v>42</v>
      </c>
      <c r="E31" s="3" t="s">
        <v>23</v>
      </c>
      <c r="F31" s="3">
        <v>2</v>
      </c>
      <c r="G31" s="9" t="s">
        <v>53</v>
      </c>
    </row>
    <row r="32" spans="2:7" ht="15">
      <c r="B32" s="17">
        <f>+IF(A32=1,1,B31+1)</f>
        <v>27</v>
      </c>
      <c r="C32" s="5">
        <v>46146</v>
      </c>
      <c r="D32" s="3" t="s">
        <v>42</v>
      </c>
      <c r="E32" s="3" t="s">
        <v>23</v>
      </c>
      <c r="F32" s="3">
        <v>2</v>
      </c>
      <c r="G32" s="9" t="s">
        <v>54</v>
      </c>
    </row>
    <row r="33" spans="2:7" ht="15">
      <c r="B33" s="17">
        <f>+IF(A33=1,1,B32+1)</f>
        <v>28</v>
      </c>
      <c r="C33" s="5">
        <v>46148</v>
      </c>
      <c r="D33" s="3" t="s">
        <v>42</v>
      </c>
      <c r="E33" s="3" t="s">
        <v>23</v>
      </c>
      <c r="F33" s="3">
        <v>1</v>
      </c>
      <c r="G33" s="9" t="s">
        <v>55</v>
      </c>
    </row>
    <row r="34" spans="2:7" ht="15">
      <c r="B34" s="17">
        <f>+IF(A34=1,1,B33+1)</f>
        <v>29</v>
      </c>
      <c r="C34" s="5">
        <v>46157</v>
      </c>
      <c r="D34" s="3" t="s">
        <v>42</v>
      </c>
      <c r="E34" s="3" t="s">
        <v>23</v>
      </c>
      <c r="F34" s="3">
        <v>1</v>
      </c>
      <c r="G34" s="9" t="s">
        <v>56</v>
      </c>
    </row>
    <row r="35" spans="2:7" ht="29.25">
      <c r="B35" s="17">
        <f>+IF(A35=1,1,B34+1)</f>
        <v>30</v>
      </c>
      <c r="C35" s="19">
        <v>46106</v>
      </c>
      <c r="D35" s="3" t="s">
        <v>57</v>
      </c>
      <c r="E35" s="3" t="s">
        <v>26</v>
      </c>
      <c r="F35" s="3">
        <v>2</v>
      </c>
      <c r="G35" s="9" t="s">
        <v>58</v>
      </c>
    </row>
    <row r="36" spans="2:7" ht="29.25">
      <c r="B36" s="17">
        <f>+IF(A36=1,1,B35+1)</f>
        <v>31</v>
      </c>
      <c r="C36" s="20">
        <v>46150</v>
      </c>
      <c r="D36" s="3" t="s">
        <v>57</v>
      </c>
      <c r="E36" s="3" t="s">
        <v>26</v>
      </c>
      <c r="F36" s="3">
        <v>2</v>
      </c>
      <c r="G36" s="9" t="s">
        <v>59</v>
      </c>
    </row>
    <row r="37" spans="2:7" ht="29.25">
      <c r="B37" s="17">
        <f>+IF(A37=1,1,B36+1)</f>
        <v>32</v>
      </c>
      <c r="C37" s="20">
        <v>46155</v>
      </c>
      <c r="D37" s="3" t="s">
        <v>57</v>
      </c>
      <c r="E37" s="3" t="s">
        <v>26</v>
      </c>
      <c r="F37" s="3">
        <v>4</v>
      </c>
      <c r="G37" s="9" t="s">
        <v>60</v>
      </c>
    </row>
    <row r="38" spans="2:7" ht="29.25">
      <c r="B38" s="17">
        <f>+IF(A38=1,1,B37+1)</f>
        <v>33</v>
      </c>
      <c r="C38" s="20">
        <v>46157</v>
      </c>
      <c r="D38" s="3" t="s">
        <v>57</v>
      </c>
      <c r="E38" s="3" t="s">
        <v>26</v>
      </c>
      <c r="F38" s="3">
        <v>4</v>
      </c>
      <c r="G38" s="9" t="s">
        <v>61</v>
      </c>
    </row>
    <row r="39" spans="2:7" ht="29.25">
      <c r="B39" s="17">
        <f>+IF(A39=1,1,B38+1)</f>
        <v>34</v>
      </c>
      <c r="C39" s="20">
        <v>46162</v>
      </c>
      <c r="D39" s="3" t="s">
        <v>57</v>
      </c>
      <c r="E39" s="3" t="s">
        <v>26</v>
      </c>
      <c r="F39" s="3">
        <v>4</v>
      </c>
      <c r="G39" s="9" t="s">
        <v>62</v>
      </c>
    </row>
    <row r="40" spans="2:7" ht="29.25">
      <c r="B40" s="21">
        <f>+IF(A40=1,1,B39+1)</f>
        <v>35</v>
      </c>
      <c r="C40" s="22">
        <v>46164</v>
      </c>
      <c r="D40" s="3" t="s">
        <v>57</v>
      </c>
      <c r="E40" s="3" t="s">
        <v>26</v>
      </c>
      <c r="F40" s="3">
        <v>4</v>
      </c>
      <c r="G40" s="29" t="s">
        <v>63</v>
      </c>
    </row>
    <row r="41" spans="2:7" ht="15">
      <c r="B41" s="17">
        <f>+IF(A41=1,1,B40+1)</f>
        <v>36</v>
      </c>
      <c r="C41" s="5">
        <v>46101</v>
      </c>
      <c r="D41" s="3" t="s">
        <v>64</v>
      </c>
      <c r="E41" s="3" t="s">
        <v>26</v>
      </c>
      <c r="F41" s="3">
        <v>2</v>
      </c>
      <c r="G41" s="32" t="s">
        <v>65</v>
      </c>
    </row>
    <row r="42" spans="2:7" ht="15">
      <c r="B42" s="17">
        <f>+IF(A42=1,1,B41+1)</f>
        <v>37</v>
      </c>
      <c r="C42" s="5">
        <v>46122</v>
      </c>
      <c r="D42" s="3" t="s">
        <v>64</v>
      </c>
      <c r="E42" s="3" t="s">
        <v>26</v>
      </c>
      <c r="F42" s="3">
        <v>2</v>
      </c>
      <c r="G42" s="33" t="s">
        <v>66</v>
      </c>
    </row>
    <row r="43" spans="2:7" ht="15">
      <c r="B43" s="17">
        <f>+IF(A43=1,1,B42+1)</f>
        <v>38</v>
      </c>
      <c r="C43" s="5">
        <v>46134</v>
      </c>
      <c r="D43" s="3" t="s">
        <v>64</v>
      </c>
      <c r="E43" s="3" t="s">
        <v>26</v>
      </c>
      <c r="F43" s="3">
        <v>4</v>
      </c>
      <c r="G43" s="33" t="s">
        <v>67</v>
      </c>
    </row>
    <row r="44" spans="2:7" ht="15">
      <c r="B44" s="17">
        <f>+IF(A44=1,1,B43+1)</f>
        <v>39</v>
      </c>
      <c r="C44" s="5">
        <v>46141</v>
      </c>
      <c r="D44" s="3" t="s">
        <v>64</v>
      </c>
      <c r="E44" s="3" t="s">
        <v>26</v>
      </c>
      <c r="F44" s="3">
        <v>4</v>
      </c>
      <c r="G44" s="33" t="s">
        <v>68</v>
      </c>
    </row>
    <row r="45" spans="2:7" ht="15">
      <c r="B45" s="17">
        <f>+IF(A45=1,1,B44+1)</f>
        <v>40</v>
      </c>
      <c r="C45" s="5">
        <v>46147</v>
      </c>
      <c r="D45" s="3" t="s">
        <v>64</v>
      </c>
      <c r="E45" s="3" t="s">
        <v>26</v>
      </c>
      <c r="F45" s="3">
        <v>2</v>
      </c>
      <c r="G45" s="35" t="s">
        <v>69</v>
      </c>
    </row>
    <row r="46" spans="2:7" ht="15">
      <c r="B46" s="17">
        <f>+IF(A46=1,1,B45+1)</f>
        <v>41</v>
      </c>
      <c r="C46" s="5">
        <v>46148</v>
      </c>
      <c r="D46" s="3" t="s">
        <v>64</v>
      </c>
      <c r="E46" s="3" t="s">
        <v>26</v>
      </c>
      <c r="F46" s="3">
        <v>2</v>
      </c>
      <c r="G46" s="35" t="s">
        <v>69</v>
      </c>
    </row>
    <row r="47" spans="2:7" ht="15">
      <c r="B47" s="17">
        <f>+IF(A47=1,1,B46+1)</f>
        <v>42</v>
      </c>
      <c r="C47" s="5">
        <v>46149</v>
      </c>
      <c r="D47" s="3" t="s">
        <v>64</v>
      </c>
      <c r="E47" s="3" t="s">
        <v>26</v>
      </c>
      <c r="F47" s="3">
        <v>2</v>
      </c>
      <c r="G47" s="35" t="s">
        <v>69</v>
      </c>
    </row>
    <row r="48" spans="2:7" ht="15">
      <c r="B48" s="17">
        <f>+IF(A48=1,1,B47+1)</f>
        <v>43</v>
      </c>
      <c r="C48" s="5">
        <v>46162</v>
      </c>
      <c r="D48" s="3" t="s">
        <v>64</v>
      </c>
      <c r="E48" s="3" t="s">
        <v>26</v>
      </c>
      <c r="F48" s="3">
        <v>2</v>
      </c>
      <c r="G48" s="34" t="s">
        <v>70</v>
      </c>
    </row>
    <row r="49" spans="2:7" ht="15">
      <c r="B49" s="17">
        <f>+IF(A49=1,1,B48+1)</f>
        <v>44</v>
      </c>
      <c r="C49" s="5">
        <v>46120</v>
      </c>
      <c r="D49" s="3" t="s">
        <v>71</v>
      </c>
      <c r="E49" s="3" t="s">
        <v>72</v>
      </c>
      <c r="F49" s="3">
        <v>1</v>
      </c>
      <c r="G49" s="36" t="s">
        <v>45</v>
      </c>
    </row>
    <row r="50" spans="2:7" ht="15">
      <c r="B50" s="17">
        <f>+IF(A50=1,1,B49+1)</f>
        <v>45</v>
      </c>
      <c r="C50" s="5">
        <v>46122</v>
      </c>
      <c r="D50" s="3" t="s">
        <v>71</v>
      </c>
      <c r="E50" s="3" t="s">
        <v>72</v>
      </c>
      <c r="F50" s="3">
        <v>1</v>
      </c>
      <c r="G50" s="37" t="s">
        <v>46</v>
      </c>
    </row>
    <row r="51" spans="2:7" ht="15">
      <c r="B51" s="17">
        <f>+IF(A51=1,1,B50+1)</f>
        <v>46</v>
      </c>
      <c r="C51" s="5">
        <v>46125</v>
      </c>
      <c r="D51" s="3" t="s">
        <v>71</v>
      </c>
      <c r="E51" s="3" t="s">
        <v>72</v>
      </c>
      <c r="F51" s="3">
        <v>2</v>
      </c>
      <c r="G51" s="37" t="s">
        <v>47</v>
      </c>
    </row>
    <row r="52" spans="2:7" ht="15">
      <c r="B52" s="17">
        <f>+IF(A52=1,1,B51+1)</f>
        <v>47</v>
      </c>
      <c r="C52" s="5">
        <v>46132</v>
      </c>
      <c r="D52" s="3" t="s">
        <v>71</v>
      </c>
      <c r="E52" s="3" t="s">
        <v>72</v>
      </c>
      <c r="F52" s="3">
        <v>2</v>
      </c>
      <c r="G52" s="37" t="s">
        <v>50</v>
      </c>
    </row>
    <row r="53" spans="2:7" ht="15">
      <c r="B53" s="17">
        <f>+IF(A53=1,1,B52+1)</f>
        <v>48</v>
      </c>
      <c r="C53" s="5">
        <v>46134</v>
      </c>
      <c r="D53" s="3" t="s">
        <v>71</v>
      </c>
      <c r="E53" s="3" t="s">
        <v>72</v>
      </c>
      <c r="F53" s="3">
        <v>2</v>
      </c>
      <c r="G53" s="37" t="s">
        <v>51</v>
      </c>
    </row>
    <row r="54" spans="2:7" ht="15">
      <c r="B54" s="17">
        <f>+IF(A54=1,1,B53+1)</f>
        <v>49</v>
      </c>
      <c r="C54" s="5">
        <v>46139</v>
      </c>
      <c r="D54" s="3" t="s">
        <v>71</v>
      </c>
      <c r="E54" s="3" t="s">
        <v>72</v>
      </c>
      <c r="F54" s="3">
        <v>2</v>
      </c>
      <c r="G54" s="37" t="s">
        <v>52</v>
      </c>
    </row>
    <row r="55" spans="2:7" ht="15">
      <c r="B55" s="17">
        <f>+IF(A55=1,1,B54+1)</f>
        <v>50</v>
      </c>
      <c r="C55" s="5">
        <v>46141</v>
      </c>
      <c r="D55" s="3" t="s">
        <v>71</v>
      </c>
      <c r="E55" s="3" t="s">
        <v>72</v>
      </c>
      <c r="F55" s="3">
        <v>2</v>
      </c>
      <c r="G55" s="37" t="s">
        <v>53</v>
      </c>
    </row>
    <row r="56" spans="2:7" ht="15">
      <c r="B56" s="17">
        <f>+IF(A56=1,1,B55+1)</f>
        <v>51</v>
      </c>
      <c r="C56" s="5">
        <v>46142</v>
      </c>
      <c r="D56" s="3" t="s">
        <v>71</v>
      </c>
      <c r="E56" s="3" t="s">
        <v>72</v>
      </c>
      <c r="F56" s="3">
        <v>5</v>
      </c>
      <c r="G56" s="37" t="s">
        <v>73</v>
      </c>
    </row>
    <row r="57" spans="2:7" ht="15">
      <c r="B57" s="17">
        <f>+IF(A57=1,1,B56+1)</f>
        <v>52</v>
      </c>
      <c r="C57" s="5">
        <v>46146</v>
      </c>
      <c r="D57" s="3" t="s">
        <v>71</v>
      </c>
      <c r="E57" s="3" t="s">
        <v>72</v>
      </c>
      <c r="F57" s="3">
        <v>1</v>
      </c>
      <c r="G57" s="37" t="s">
        <v>74</v>
      </c>
    </row>
    <row r="58" spans="2:7" ht="15">
      <c r="B58" s="17">
        <f>+IF(A58=1,1,B57+1)</f>
        <v>53</v>
      </c>
      <c r="C58" s="5">
        <v>46147</v>
      </c>
      <c r="D58" s="3" t="s">
        <v>71</v>
      </c>
      <c r="E58" s="3" t="s">
        <v>72</v>
      </c>
      <c r="F58" s="3">
        <v>2</v>
      </c>
      <c r="G58" s="37" t="s">
        <v>74</v>
      </c>
    </row>
    <row r="59" spans="2:7" ht="15">
      <c r="B59" s="17">
        <f>+IF(A59=1,1,B58+1)</f>
        <v>54</v>
      </c>
      <c r="C59" s="5">
        <v>46149</v>
      </c>
      <c r="D59" s="3" t="s">
        <v>71</v>
      </c>
      <c r="E59" s="3" t="s">
        <v>72</v>
      </c>
      <c r="F59" s="3">
        <v>1</v>
      </c>
      <c r="G59" s="37" t="s">
        <v>74</v>
      </c>
    </row>
    <row r="60" spans="2:7" ht="15">
      <c r="B60" s="17">
        <f>+IF(A60=1,1,B59+1)</f>
        <v>55</v>
      </c>
      <c r="C60" s="5">
        <v>46153</v>
      </c>
      <c r="D60" s="3" t="s">
        <v>71</v>
      </c>
      <c r="E60" s="3" t="s">
        <v>72</v>
      </c>
      <c r="F60" s="3">
        <v>2</v>
      </c>
      <c r="G60" s="37" t="s">
        <v>74</v>
      </c>
    </row>
    <row r="61" spans="2:7" ht="15">
      <c r="B61" s="17">
        <f>+IF(A61=1,1,B60+1)</f>
        <v>56</v>
      </c>
      <c r="C61" s="5">
        <v>46154</v>
      </c>
      <c r="D61" s="3" t="s">
        <v>71</v>
      </c>
      <c r="E61" s="3" t="s">
        <v>72</v>
      </c>
      <c r="F61" s="3">
        <v>2</v>
      </c>
      <c r="G61" s="37" t="s">
        <v>74</v>
      </c>
    </row>
    <row r="62" spans="2:7" ht="15">
      <c r="B62" s="17">
        <f>+IF(A62=1,1,B61+1)</f>
        <v>57</v>
      </c>
      <c r="C62" s="5">
        <v>46157</v>
      </c>
      <c r="D62" s="3" t="s">
        <v>71</v>
      </c>
      <c r="E62" s="3" t="s">
        <v>72</v>
      </c>
      <c r="F62" s="3">
        <v>1</v>
      </c>
      <c r="G62" s="37" t="s">
        <v>56</v>
      </c>
    </row>
    <row r="63" spans="2:7" ht="15">
      <c r="B63" s="17">
        <f>+IF(A63=1,1,B62+1)</f>
        <v>58</v>
      </c>
      <c r="C63" s="5">
        <v>46169</v>
      </c>
      <c r="D63" s="3" t="s">
        <v>71</v>
      </c>
      <c r="E63" s="3" t="s">
        <v>72</v>
      </c>
      <c r="F63" s="3">
        <v>2</v>
      </c>
      <c r="G63" s="38" t="s">
        <v>75</v>
      </c>
    </row>
    <row r="64" spans="2:7" ht="15">
      <c r="B64" s="17">
        <f t="shared" ref="B64:B69" si="2">+IF(A64=1,1,B63+1)</f>
        <v>59</v>
      </c>
      <c r="C64" s="5">
        <v>46122</v>
      </c>
      <c r="D64" s="3" t="s">
        <v>76</v>
      </c>
      <c r="E64" s="3" t="s">
        <v>23</v>
      </c>
      <c r="F64" s="3">
        <v>5</v>
      </c>
      <c r="G64" s="9" t="s">
        <v>77</v>
      </c>
    </row>
    <row r="65" spans="2:7" ht="15">
      <c r="B65" s="17">
        <f t="shared" si="2"/>
        <v>60</v>
      </c>
      <c r="C65" s="5">
        <v>46129</v>
      </c>
      <c r="D65" s="3" t="s">
        <v>76</v>
      </c>
      <c r="E65" s="3" t="s">
        <v>23</v>
      </c>
      <c r="F65" s="3">
        <v>5</v>
      </c>
      <c r="G65" s="9" t="s">
        <v>78</v>
      </c>
    </row>
    <row r="66" spans="2:7" ht="29.25">
      <c r="B66" s="17">
        <f t="shared" si="2"/>
        <v>61</v>
      </c>
      <c r="C66" s="5">
        <v>46150</v>
      </c>
      <c r="D66" s="3" t="s">
        <v>76</v>
      </c>
      <c r="E66" s="3" t="s">
        <v>23</v>
      </c>
      <c r="F66" s="3">
        <v>5</v>
      </c>
      <c r="G66" s="9" t="s">
        <v>79</v>
      </c>
    </row>
    <row r="67" spans="2:7" ht="15">
      <c r="B67" s="17">
        <f t="shared" si="2"/>
        <v>62</v>
      </c>
      <c r="C67" s="5">
        <v>46157</v>
      </c>
      <c r="D67" s="3" t="s">
        <v>76</v>
      </c>
      <c r="E67" s="3" t="s">
        <v>23</v>
      </c>
      <c r="F67" s="3">
        <v>5</v>
      </c>
      <c r="G67" s="9" t="s">
        <v>80</v>
      </c>
    </row>
    <row r="68" spans="2:7" ht="15">
      <c r="B68" s="17">
        <f t="shared" si="2"/>
        <v>63</v>
      </c>
      <c r="C68" s="5">
        <v>46164</v>
      </c>
      <c r="D68" s="3" t="s">
        <v>76</v>
      </c>
      <c r="E68" s="3" t="s">
        <v>23</v>
      </c>
      <c r="F68" s="3">
        <v>5</v>
      </c>
      <c r="G68" s="9" t="s">
        <v>81</v>
      </c>
    </row>
    <row r="69" spans="2:7" ht="15">
      <c r="B69" s="17">
        <f t="shared" si="2"/>
        <v>64</v>
      </c>
      <c r="C69" s="5">
        <v>46167</v>
      </c>
      <c r="D69" s="3" t="s">
        <v>76</v>
      </c>
      <c r="E69" s="3" t="s">
        <v>23</v>
      </c>
      <c r="F69" s="3">
        <v>5</v>
      </c>
      <c r="G69" s="9" t="s">
        <v>82</v>
      </c>
    </row>
    <row r="70" spans="2:7" ht="15">
      <c r="B70" s="17">
        <f>+IF(A70=1,1,B69+1)</f>
        <v>65</v>
      </c>
      <c r="C70" s="19">
        <v>46097</v>
      </c>
      <c r="D70" s="3" t="s">
        <v>83</v>
      </c>
      <c r="E70" s="3" t="s">
        <v>26</v>
      </c>
      <c r="F70" s="3">
        <v>2</v>
      </c>
      <c r="G70" s="9" t="s">
        <v>84</v>
      </c>
    </row>
    <row r="71" spans="2:7" ht="15">
      <c r="B71" s="17">
        <f>+IF(A71=1,1,B70+1)</f>
        <v>66</v>
      </c>
      <c r="C71" s="20">
        <v>46127</v>
      </c>
      <c r="D71" s="3" t="s">
        <v>83</v>
      </c>
      <c r="E71" s="3" t="s">
        <v>26</v>
      </c>
      <c r="F71" s="3">
        <v>2</v>
      </c>
      <c r="G71" s="9" t="s">
        <v>85</v>
      </c>
    </row>
    <row r="72" spans="2:7" ht="15">
      <c r="B72" s="17">
        <f>+IF(A72=1,1,B71+1)</f>
        <v>67</v>
      </c>
      <c r="C72" s="20">
        <v>46146</v>
      </c>
      <c r="D72" s="3" t="s">
        <v>83</v>
      </c>
      <c r="E72" s="3" t="s">
        <v>26</v>
      </c>
      <c r="F72" s="3">
        <v>2</v>
      </c>
      <c r="G72" s="9" t="s">
        <v>86</v>
      </c>
    </row>
    <row r="73" spans="2:7" ht="15">
      <c r="B73" s="17">
        <f>+IF(A73=1,1,B72+1)</f>
        <v>68</v>
      </c>
      <c r="C73" s="20">
        <v>46148</v>
      </c>
      <c r="D73" s="3" t="s">
        <v>83</v>
      </c>
      <c r="E73" s="3" t="s">
        <v>26</v>
      </c>
      <c r="F73" s="3">
        <v>2</v>
      </c>
      <c r="G73" s="9" t="s">
        <v>87</v>
      </c>
    </row>
    <row r="74" spans="2:7" ht="15">
      <c r="B74" s="17">
        <f>+IF(A74=1,1,B73+1)</f>
        <v>69</v>
      </c>
      <c r="C74" s="20">
        <v>46153</v>
      </c>
      <c r="D74" s="3" t="s">
        <v>83</v>
      </c>
      <c r="E74" s="3" t="s">
        <v>26</v>
      </c>
      <c r="F74" s="3">
        <v>3</v>
      </c>
      <c r="G74" s="9" t="s">
        <v>88</v>
      </c>
    </row>
    <row r="75" spans="2:7" ht="15">
      <c r="B75" s="17">
        <f>+IF(A75=1,1,B74+1)</f>
        <v>70</v>
      </c>
      <c r="C75" s="20">
        <v>46155</v>
      </c>
      <c r="D75" s="3" t="s">
        <v>83</v>
      </c>
      <c r="E75" s="3" t="s">
        <v>26</v>
      </c>
      <c r="F75" s="3">
        <v>3</v>
      </c>
      <c r="G75" s="9" t="s">
        <v>89</v>
      </c>
    </row>
    <row r="76" spans="2:7" ht="15">
      <c r="B76" s="17">
        <f>+IF(A76=1,1,B75+1)</f>
        <v>71</v>
      </c>
      <c r="C76" s="20">
        <v>46160</v>
      </c>
      <c r="D76" s="3" t="s">
        <v>83</v>
      </c>
      <c r="E76" s="3" t="s">
        <v>26</v>
      </c>
      <c r="F76" s="3">
        <v>3</v>
      </c>
      <c r="G76" s="9" t="s">
        <v>90</v>
      </c>
    </row>
    <row r="77" spans="2:7" ht="15">
      <c r="B77" s="21">
        <f>+IF(A77=1,1,B76+1)</f>
        <v>72</v>
      </c>
      <c r="C77" s="22">
        <v>46162</v>
      </c>
      <c r="D77" s="3" t="s">
        <v>83</v>
      </c>
      <c r="E77" s="3" t="s">
        <v>26</v>
      </c>
      <c r="F77" s="23">
        <v>3</v>
      </c>
      <c r="G77" s="29" t="s">
        <v>91</v>
      </c>
    </row>
    <row r="78" spans="2:7" ht="15">
      <c r="B78" s="17">
        <f>+IF(A78=1,1,B77+1)</f>
        <v>73</v>
      </c>
      <c r="C78" s="19">
        <v>46101</v>
      </c>
      <c r="D78" s="3" t="s">
        <v>92</v>
      </c>
      <c r="E78" s="3" t="s">
        <v>26</v>
      </c>
      <c r="F78" s="24">
        <v>2</v>
      </c>
      <c r="G78" s="9" t="s">
        <v>93</v>
      </c>
    </row>
    <row r="79" spans="2:7" ht="15">
      <c r="B79" s="17">
        <f>+IF(A79=1,1,B78+1)</f>
        <v>74</v>
      </c>
      <c r="C79" s="20">
        <v>46120</v>
      </c>
      <c r="D79" s="3" t="s">
        <v>92</v>
      </c>
      <c r="E79" s="3" t="s">
        <v>26</v>
      </c>
      <c r="F79" s="24">
        <v>2</v>
      </c>
      <c r="G79" s="9" t="s">
        <v>94</v>
      </c>
    </row>
    <row r="80" spans="2:7" ht="15">
      <c r="B80" s="17">
        <f>+IF(A80=1,1,B79+1)</f>
        <v>75</v>
      </c>
      <c r="C80" s="20">
        <v>46125</v>
      </c>
      <c r="D80" s="3" t="s">
        <v>92</v>
      </c>
      <c r="E80" s="3" t="s">
        <v>26</v>
      </c>
      <c r="F80" s="24">
        <v>2</v>
      </c>
      <c r="G80" s="9" t="s">
        <v>95</v>
      </c>
    </row>
    <row r="81" spans="2:7" ht="15">
      <c r="B81" s="17">
        <f>+IF(A81=1,1,B80+1)</f>
        <v>76</v>
      </c>
      <c r="C81" s="20">
        <v>46136</v>
      </c>
      <c r="D81" s="3" t="s">
        <v>92</v>
      </c>
      <c r="E81" s="3" t="s">
        <v>26</v>
      </c>
      <c r="F81" s="24">
        <v>2</v>
      </c>
      <c r="G81" s="9" t="s">
        <v>96</v>
      </c>
    </row>
    <row r="82" spans="2:7" ht="15">
      <c r="B82" s="17">
        <f>+IF(A82=1,1,B81+1)</f>
        <v>77</v>
      </c>
      <c r="C82" s="20">
        <v>46141</v>
      </c>
      <c r="D82" s="3" t="s">
        <v>92</v>
      </c>
      <c r="E82" s="3" t="s">
        <v>26</v>
      </c>
      <c r="F82" s="24">
        <v>4</v>
      </c>
      <c r="G82" s="9" t="s">
        <v>97</v>
      </c>
    </row>
    <row r="83" spans="2:7" ht="15">
      <c r="B83" s="17">
        <f>+IF(A83=1,1,B82+1)</f>
        <v>78</v>
      </c>
      <c r="C83" s="20">
        <v>46148</v>
      </c>
      <c r="D83" s="3" t="s">
        <v>92</v>
      </c>
      <c r="E83" s="3" t="s">
        <v>26</v>
      </c>
      <c r="F83" s="24">
        <v>4</v>
      </c>
      <c r="G83" s="9" t="s">
        <v>98</v>
      </c>
    </row>
    <row r="84" spans="2:7" ht="15">
      <c r="B84" s="17">
        <f>+IF(A84=1,1,B83+1)</f>
        <v>79</v>
      </c>
      <c r="C84" s="20">
        <v>46149</v>
      </c>
      <c r="D84" s="3" t="s">
        <v>92</v>
      </c>
      <c r="E84" s="3" t="s">
        <v>26</v>
      </c>
      <c r="F84" s="24">
        <v>2</v>
      </c>
      <c r="G84" s="9"/>
    </row>
    <row r="85" spans="2:7" ht="15">
      <c r="B85" s="21">
        <f>+IF(A85=1,1,B84+1)</f>
        <v>80</v>
      </c>
      <c r="C85" s="22">
        <v>46162</v>
      </c>
      <c r="D85" s="3" t="s">
        <v>92</v>
      </c>
      <c r="E85" s="3" t="s">
        <v>26</v>
      </c>
      <c r="F85" s="24">
        <v>2</v>
      </c>
      <c r="G85" s="9" t="s">
        <v>99</v>
      </c>
    </row>
    <row r="86" spans="2:7" ht="15">
      <c r="B86" s="17">
        <f t="shared" ref="B86:B94" si="3">+IF(A86=1,1,B85+1)</f>
        <v>81</v>
      </c>
      <c r="C86" s="5">
        <v>46108</v>
      </c>
      <c r="D86" s="3" t="s">
        <v>100</v>
      </c>
      <c r="E86" s="3" t="s">
        <v>23</v>
      </c>
      <c r="F86" s="3">
        <v>2</v>
      </c>
      <c r="G86" s="9" t="s">
        <v>101</v>
      </c>
    </row>
    <row r="87" spans="2:7" ht="15">
      <c r="B87" s="17">
        <f t="shared" si="3"/>
        <v>82</v>
      </c>
      <c r="C87" s="5">
        <v>46122</v>
      </c>
      <c r="D87" s="3" t="s">
        <v>100</v>
      </c>
      <c r="E87" s="3" t="s">
        <v>23</v>
      </c>
      <c r="F87" s="3">
        <v>2</v>
      </c>
      <c r="G87" s="9" t="s">
        <v>102</v>
      </c>
    </row>
    <row r="88" spans="2:7" ht="15">
      <c r="B88" s="17">
        <f t="shared" si="3"/>
        <v>83</v>
      </c>
      <c r="C88" s="5">
        <v>46129</v>
      </c>
      <c r="D88" s="3" t="s">
        <v>100</v>
      </c>
      <c r="E88" s="3" t="s">
        <v>23</v>
      </c>
      <c r="F88" s="3">
        <v>2</v>
      </c>
      <c r="G88" s="9" t="s">
        <v>103</v>
      </c>
    </row>
    <row r="89" spans="2:7" ht="15">
      <c r="B89" s="17">
        <f t="shared" si="3"/>
        <v>84</v>
      </c>
      <c r="C89" s="5">
        <v>46136</v>
      </c>
      <c r="D89" s="3" t="s">
        <v>100</v>
      </c>
      <c r="E89" s="3" t="s">
        <v>23</v>
      </c>
      <c r="F89" s="3">
        <v>2</v>
      </c>
      <c r="G89" s="9" t="s">
        <v>104</v>
      </c>
    </row>
    <row r="90" spans="2:7" ht="29.25">
      <c r="B90" s="17">
        <f t="shared" si="3"/>
        <v>85</v>
      </c>
      <c r="C90" s="5">
        <v>46141</v>
      </c>
      <c r="D90" s="3" t="s">
        <v>100</v>
      </c>
      <c r="E90" s="3" t="s">
        <v>23</v>
      </c>
      <c r="F90" s="3">
        <v>4</v>
      </c>
      <c r="G90" s="9" t="s">
        <v>105</v>
      </c>
    </row>
    <row r="91" spans="2:7" ht="15">
      <c r="B91" s="17">
        <f t="shared" si="3"/>
        <v>86</v>
      </c>
      <c r="C91" s="5">
        <v>46142</v>
      </c>
      <c r="D91" s="3" t="s">
        <v>100</v>
      </c>
      <c r="E91" s="3" t="s">
        <v>23</v>
      </c>
      <c r="F91" s="3">
        <v>6</v>
      </c>
      <c r="G91" s="9" t="s">
        <v>106</v>
      </c>
    </row>
    <row r="92" spans="2:7" ht="15">
      <c r="B92" s="17">
        <f t="shared" si="3"/>
        <v>87</v>
      </c>
      <c r="C92" s="5">
        <v>46150</v>
      </c>
      <c r="D92" s="3" t="s">
        <v>100</v>
      </c>
      <c r="E92" s="3" t="s">
        <v>23</v>
      </c>
      <c r="F92" s="3">
        <v>4</v>
      </c>
      <c r="G92" s="9" t="s">
        <v>107</v>
      </c>
    </row>
    <row r="93" spans="2:7" ht="15">
      <c r="B93" s="17">
        <f t="shared" si="3"/>
        <v>88</v>
      </c>
      <c r="C93" s="5">
        <v>46157</v>
      </c>
      <c r="D93" s="3" t="s">
        <v>100</v>
      </c>
      <c r="E93" s="3" t="s">
        <v>23</v>
      </c>
      <c r="F93" s="3">
        <v>4</v>
      </c>
      <c r="G93" s="9" t="s">
        <v>108</v>
      </c>
    </row>
    <row r="94" spans="2:7" ht="15">
      <c r="B94" s="17">
        <f t="shared" si="3"/>
        <v>89</v>
      </c>
      <c r="C94" s="5">
        <v>46164</v>
      </c>
      <c r="D94" s="3" t="s">
        <v>100</v>
      </c>
      <c r="E94" s="3" t="s">
        <v>23</v>
      </c>
      <c r="F94" s="3">
        <v>4</v>
      </c>
      <c r="G94" s="9" t="s">
        <v>109</v>
      </c>
    </row>
    <row r="95" spans="2:7" ht="29.25">
      <c r="B95" s="17">
        <f>+IF(A95=1,1,B94+1)</f>
        <v>90</v>
      </c>
      <c r="C95" s="5">
        <v>46120</v>
      </c>
      <c r="D95" s="3" t="s">
        <v>110</v>
      </c>
      <c r="E95" s="3" t="s">
        <v>26</v>
      </c>
      <c r="F95" s="3">
        <v>4</v>
      </c>
      <c r="G95" s="9" t="s">
        <v>94</v>
      </c>
    </row>
    <row r="96" spans="2:7" ht="29.25">
      <c r="B96" s="17">
        <f>+IF(A96=1,1,B95+1)</f>
        <v>91</v>
      </c>
      <c r="C96" s="5">
        <v>46121</v>
      </c>
      <c r="D96" s="3" t="s">
        <v>110</v>
      </c>
      <c r="E96" s="3" t="s">
        <v>26</v>
      </c>
      <c r="F96" s="3">
        <v>3</v>
      </c>
      <c r="G96" s="9" t="s">
        <v>111</v>
      </c>
    </row>
    <row r="97" spans="2:7" ht="29.25">
      <c r="B97" s="17">
        <f>+IF(A97=1,1,B96+1)</f>
        <v>92</v>
      </c>
      <c r="C97" s="5">
        <v>46122</v>
      </c>
      <c r="D97" s="3" t="s">
        <v>110</v>
      </c>
      <c r="E97" s="3" t="s">
        <v>26</v>
      </c>
      <c r="F97" s="3">
        <v>2</v>
      </c>
      <c r="G97" s="9" t="s">
        <v>112</v>
      </c>
    </row>
    <row r="98" spans="2:7" ht="29.25">
      <c r="B98" s="17">
        <f>+IF(A98=1,1,B97+1)</f>
        <v>93</v>
      </c>
      <c r="C98" s="5">
        <v>46148</v>
      </c>
      <c r="D98" s="3" t="s">
        <v>110</v>
      </c>
      <c r="E98" s="3" t="s">
        <v>26</v>
      </c>
      <c r="F98" s="3">
        <v>3</v>
      </c>
      <c r="G98" s="9" t="s">
        <v>113</v>
      </c>
    </row>
    <row r="99" spans="2:7" ht="29.25">
      <c r="B99" s="17">
        <f>+IF(A99=1,1,B98+1)</f>
        <v>94</v>
      </c>
      <c r="C99" s="5">
        <v>46155</v>
      </c>
      <c r="D99" s="3" t="s">
        <v>110</v>
      </c>
      <c r="E99" s="3" t="s">
        <v>26</v>
      </c>
      <c r="F99" s="3">
        <v>3</v>
      </c>
      <c r="G99" s="9" t="s">
        <v>114</v>
      </c>
    </row>
    <row r="100" spans="2:7" ht="29.25">
      <c r="B100" s="17">
        <f>+IF(A100=1,1,B99+1)</f>
        <v>95</v>
      </c>
      <c r="C100" s="5">
        <v>46162</v>
      </c>
      <c r="D100" s="3" t="s">
        <v>110</v>
      </c>
      <c r="E100" s="3" t="s">
        <v>26</v>
      </c>
      <c r="F100" s="3">
        <v>3</v>
      </c>
      <c r="G100" s="9" t="s">
        <v>115</v>
      </c>
    </row>
    <row r="101" spans="2:7" ht="29.25">
      <c r="B101" s="17">
        <f>+IF(A101=1,1,B100+1)</f>
        <v>96</v>
      </c>
      <c r="C101" s="5">
        <v>46164</v>
      </c>
      <c r="D101" s="3" t="s">
        <v>110</v>
      </c>
      <c r="E101" s="3" t="s">
        <v>26</v>
      </c>
      <c r="F101" s="3">
        <v>2</v>
      </c>
      <c r="G101" s="9" t="s">
        <v>116</v>
      </c>
    </row>
    <row r="102" spans="2:7" ht="15">
      <c r="B102" s="17">
        <f>+IF(A102=1,1,B101+1)</f>
        <v>97</v>
      </c>
      <c r="C102" s="5">
        <v>46120</v>
      </c>
      <c r="D102" s="3" t="s">
        <v>71</v>
      </c>
      <c r="E102" s="3" t="s">
        <v>72</v>
      </c>
      <c r="F102" s="3">
        <v>2</v>
      </c>
      <c r="G102" s="9" t="s">
        <v>117</v>
      </c>
    </row>
    <row r="103" spans="2:7" ht="15">
      <c r="B103" s="17">
        <f t="shared" ref="B103:B109" si="4">+IF(A103=1,1,B102+1)</f>
        <v>98</v>
      </c>
      <c r="C103" s="19">
        <v>46108</v>
      </c>
      <c r="D103" s="3" t="s">
        <v>118</v>
      </c>
      <c r="E103" s="3" t="s">
        <v>23</v>
      </c>
      <c r="F103" s="3">
        <v>2</v>
      </c>
      <c r="G103" s="9" t="s">
        <v>101</v>
      </c>
    </row>
    <row r="104" spans="2:7" ht="15">
      <c r="B104" s="17">
        <f t="shared" si="4"/>
        <v>99</v>
      </c>
      <c r="C104" s="20">
        <v>46122</v>
      </c>
      <c r="D104" s="3" t="s">
        <v>118</v>
      </c>
      <c r="E104" s="3" t="s">
        <v>23</v>
      </c>
      <c r="F104" s="3">
        <v>2</v>
      </c>
      <c r="G104" s="9" t="s">
        <v>119</v>
      </c>
    </row>
    <row r="105" spans="2:7" ht="15">
      <c r="B105" s="17">
        <f t="shared" si="4"/>
        <v>100</v>
      </c>
      <c r="C105" s="20">
        <v>46129</v>
      </c>
      <c r="D105" s="3" t="s">
        <v>118</v>
      </c>
      <c r="E105" s="3" t="s">
        <v>23</v>
      </c>
      <c r="F105" s="3">
        <v>2</v>
      </c>
      <c r="G105" s="9" t="s">
        <v>120</v>
      </c>
    </row>
    <row r="106" spans="2:7" ht="15">
      <c r="B106" s="17">
        <f t="shared" si="4"/>
        <v>101</v>
      </c>
      <c r="C106" s="20">
        <v>46136</v>
      </c>
      <c r="D106" s="3" t="s">
        <v>118</v>
      </c>
      <c r="E106" s="3" t="s">
        <v>23</v>
      </c>
      <c r="F106" s="3">
        <v>2</v>
      </c>
      <c r="G106" s="9" t="s">
        <v>121</v>
      </c>
    </row>
    <row r="107" spans="2:7" ht="15">
      <c r="B107" s="17">
        <f t="shared" si="4"/>
        <v>102</v>
      </c>
      <c r="C107" s="20">
        <v>46142</v>
      </c>
      <c r="D107" s="3" t="s">
        <v>118</v>
      </c>
      <c r="E107" s="3" t="s">
        <v>23</v>
      </c>
      <c r="F107" s="3">
        <v>6</v>
      </c>
      <c r="G107" s="9" t="s">
        <v>106</v>
      </c>
    </row>
    <row r="108" spans="2:7" ht="15">
      <c r="B108" s="17">
        <f t="shared" si="4"/>
        <v>103</v>
      </c>
      <c r="C108" s="20">
        <v>46150</v>
      </c>
      <c r="D108" s="3" t="s">
        <v>118</v>
      </c>
      <c r="E108" s="3" t="s">
        <v>23</v>
      </c>
      <c r="F108" s="3">
        <v>2</v>
      </c>
      <c r="G108" s="9" t="s">
        <v>122</v>
      </c>
    </row>
    <row r="109" spans="2:7" ht="15">
      <c r="B109" s="21">
        <f t="shared" si="4"/>
        <v>104</v>
      </c>
      <c r="C109" s="22">
        <v>46164</v>
      </c>
      <c r="D109" s="3" t="s">
        <v>118</v>
      </c>
      <c r="E109" s="3" t="s">
        <v>23</v>
      </c>
      <c r="F109" s="23">
        <v>4</v>
      </c>
      <c r="G109" s="29" t="s">
        <v>109</v>
      </c>
    </row>
    <row r="110" spans="2:7" ht="15">
      <c r="B110" s="17">
        <f>+IF(A110=1,1,B109+1)</f>
        <v>105</v>
      </c>
      <c r="C110" s="19">
        <v>46106</v>
      </c>
      <c r="D110" s="3" t="s">
        <v>123</v>
      </c>
      <c r="E110" s="3" t="s">
        <v>26</v>
      </c>
      <c r="F110" s="3">
        <v>2</v>
      </c>
      <c r="G110" s="9" t="s">
        <v>124</v>
      </c>
    </row>
    <row r="111" spans="2:7" ht="15">
      <c r="B111" s="17">
        <f>+IF(A111=1,1,B110+1)</f>
        <v>106</v>
      </c>
      <c r="C111" s="25" t="s">
        <v>125</v>
      </c>
      <c r="D111" s="3" t="s">
        <v>123</v>
      </c>
      <c r="E111" s="3" t="s">
        <v>26</v>
      </c>
      <c r="F111" s="3">
        <v>4</v>
      </c>
      <c r="G111" s="9" t="s">
        <v>126</v>
      </c>
    </row>
    <row r="112" spans="2:7" ht="15">
      <c r="B112" s="17">
        <f>+IF(A112=1,1,B111+1)</f>
        <v>107</v>
      </c>
      <c r="C112" s="20">
        <v>46148</v>
      </c>
      <c r="D112" s="3" t="s">
        <v>123</v>
      </c>
      <c r="E112" s="3" t="s">
        <v>26</v>
      </c>
      <c r="F112" s="3">
        <v>2</v>
      </c>
      <c r="G112" s="9" t="s">
        <v>127</v>
      </c>
    </row>
    <row r="113" spans="2:7" ht="15">
      <c r="B113" s="17">
        <f>+IF(A113=1,1,B112+1)</f>
        <v>108</v>
      </c>
      <c r="C113" s="20">
        <v>46149</v>
      </c>
      <c r="D113" s="3" t="s">
        <v>123</v>
      </c>
      <c r="E113" s="3" t="s">
        <v>26</v>
      </c>
      <c r="F113" s="3">
        <v>6</v>
      </c>
      <c r="G113" s="9" t="s">
        <v>128</v>
      </c>
    </row>
    <row r="114" spans="2:7" ht="15">
      <c r="B114" s="17">
        <f>+IF(A114=1,1,B113+1)</f>
        <v>109</v>
      </c>
      <c r="C114" s="20">
        <v>46155</v>
      </c>
      <c r="D114" s="3" t="s">
        <v>123</v>
      </c>
      <c r="E114" s="3" t="s">
        <v>26</v>
      </c>
      <c r="F114" s="3">
        <v>4</v>
      </c>
      <c r="G114" s="9" t="s">
        <v>129</v>
      </c>
    </row>
    <row r="115" spans="2:7" ht="15">
      <c r="B115" s="21">
        <f>+IF(A115=1,1,B114+1)</f>
        <v>110</v>
      </c>
      <c r="C115" s="22">
        <v>46162</v>
      </c>
      <c r="D115" s="3" t="s">
        <v>123</v>
      </c>
      <c r="E115" s="3" t="s">
        <v>26</v>
      </c>
      <c r="F115" s="23">
        <v>2</v>
      </c>
      <c r="G115" s="29" t="s">
        <v>130</v>
      </c>
    </row>
    <row r="116" spans="2:7" ht="29.25">
      <c r="B116" s="17">
        <f>+IF(A116=1,1,B115+1)</f>
        <v>111</v>
      </c>
      <c r="C116" s="5">
        <v>46122</v>
      </c>
      <c r="D116" s="3" t="s">
        <v>131</v>
      </c>
      <c r="E116" s="3" t="s">
        <v>23</v>
      </c>
      <c r="F116" s="3">
        <v>3</v>
      </c>
      <c r="G116" s="9" t="s">
        <v>132</v>
      </c>
    </row>
    <row r="117" spans="2:7" ht="15">
      <c r="B117" s="17">
        <f>+IF(A117=1,1,B116+1)</f>
        <v>112</v>
      </c>
      <c r="C117" s="26">
        <v>46118</v>
      </c>
      <c r="D117" s="3" t="s">
        <v>133</v>
      </c>
      <c r="E117" s="3" t="s">
        <v>72</v>
      </c>
      <c r="F117" s="3">
        <v>2</v>
      </c>
      <c r="G117" s="9" t="s">
        <v>134</v>
      </c>
    </row>
    <row r="118" spans="2:7" ht="15">
      <c r="B118" s="17">
        <f>+IF(A118=1,1,B117+1)</f>
        <v>113</v>
      </c>
      <c r="C118" s="27">
        <v>46120</v>
      </c>
      <c r="D118" s="3" t="s">
        <v>133</v>
      </c>
      <c r="E118" s="3" t="s">
        <v>72</v>
      </c>
      <c r="F118" s="3">
        <v>1</v>
      </c>
      <c r="G118" s="9" t="s">
        <v>135</v>
      </c>
    </row>
    <row r="119" spans="2:7" ht="15">
      <c r="B119" s="17">
        <f>+IF(A119=1,1,B118+1)</f>
        <v>114</v>
      </c>
      <c r="C119" s="27">
        <v>46122</v>
      </c>
      <c r="D119" s="3" t="s">
        <v>133</v>
      </c>
      <c r="E119" s="3" t="s">
        <v>72</v>
      </c>
      <c r="F119" s="3">
        <v>1</v>
      </c>
      <c r="G119" s="9" t="s">
        <v>136</v>
      </c>
    </row>
    <row r="120" spans="2:7" ht="15">
      <c r="B120" s="17">
        <f>+IF(A120=1,1,B119+1)</f>
        <v>115</v>
      </c>
      <c r="C120" s="27">
        <v>46125</v>
      </c>
      <c r="D120" s="3" t="s">
        <v>133</v>
      </c>
      <c r="E120" s="3" t="s">
        <v>72</v>
      </c>
      <c r="F120" s="3">
        <v>2</v>
      </c>
      <c r="G120" s="9" t="s">
        <v>137</v>
      </c>
    </row>
    <row r="121" spans="2:7" ht="15">
      <c r="B121" s="17">
        <f>+IF(A121=1,1,B120+1)</f>
        <v>116</v>
      </c>
      <c r="C121" s="27">
        <v>46127</v>
      </c>
      <c r="D121" s="3" t="s">
        <v>133</v>
      </c>
      <c r="E121" s="3" t="s">
        <v>72</v>
      </c>
      <c r="F121" s="3">
        <v>1</v>
      </c>
      <c r="G121" s="9" t="s">
        <v>138</v>
      </c>
    </row>
    <row r="122" spans="2:7" ht="15">
      <c r="B122" s="17">
        <f>+IF(A122=1,1,B121+1)</f>
        <v>117</v>
      </c>
      <c r="C122" s="27">
        <v>46129</v>
      </c>
      <c r="D122" s="3" t="s">
        <v>133</v>
      </c>
      <c r="E122" s="3" t="s">
        <v>72</v>
      </c>
      <c r="F122" s="3">
        <v>1</v>
      </c>
      <c r="G122" s="9" t="s">
        <v>139</v>
      </c>
    </row>
    <row r="123" spans="2:7" ht="15">
      <c r="B123" s="17">
        <f>+IF(A123=1,1,B122+1)</f>
        <v>118</v>
      </c>
      <c r="C123" s="27">
        <v>46132</v>
      </c>
      <c r="D123" s="3" t="s">
        <v>133</v>
      </c>
      <c r="E123" s="3" t="s">
        <v>72</v>
      </c>
      <c r="F123" s="3">
        <v>2</v>
      </c>
      <c r="G123" s="9" t="s">
        <v>140</v>
      </c>
    </row>
    <row r="124" spans="2:7" ht="15">
      <c r="B124" s="17">
        <f>+IF(A124=1,1,B123+1)</f>
        <v>119</v>
      </c>
      <c r="C124" s="27">
        <v>46134</v>
      </c>
      <c r="D124" s="3" t="s">
        <v>133</v>
      </c>
      <c r="E124" s="3" t="s">
        <v>72</v>
      </c>
      <c r="F124" s="3">
        <v>2</v>
      </c>
      <c r="G124" s="9" t="s">
        <v>141</v>
      </c>
    </row>
    <row r="125" spans="2:7" ht="15">
      <c r="B125" s="17">
        <f>+IF(A125=1,1,B124+1)</f>
        <v>120</v>
      </c>
      <c r="C125" s="27">
        <v>46139</v>
      </c>
      <c r="D125" s="3" t="s">
        <v>133</v>
      </c>
      <c r="E125" s="3" t="s">
        <v>72</v>
      </c>
      <c r="F125" s="3">
        <v>2</v>
      </c>
      <c r="G125" s="9" t="s">
        <v>142</v>
      </c>
    </row>
    <row r="126" spans="2:7" ht="15">
      <c r="B126" s="17">
        <f>+IF(A126=1,1,B125+1)</f>
        <v>121</v>
      </c>
      <c r="C126" s="27">
        <v>46141</v>
      </c>
      <c r="D126" s="3" t="s">
        <v>133</v>
      </c>
      <c r="E126" s="3" t="s">
        <v>72</v>
      </c>
      <c r="F126" s="3">
        <v>2</v>
      </c>
      <c r="G126" s="9" t="s">
        <v>143</v>
      </c>
    </row>
    <row r="127" spans="2:7" ht="15">
      <c r="B127" s="17">
        <f>+IF(A127=1,1,B126+1)</f>
        <v>122</v>
      </c>
      <c r="C127" s="27">
        <v>46146</v>
      </c>
      <c r="D127" s="3" t="s">
        <v>133</v>
      </c>
      <c r="E127" s="3" t="s">
        <v>72</v>
      </c>
      <c r="F127" s="3">
        <v>2</v>
      </c>
      <c r="G127" s="9" t="s">
        <v>144</v>
      </c>
    </row>
    <row r="128" spans="2:7" ht="15">
      <c r="B128" s="17">
        <f>+IF(A128=1,1,B127+1)</f>
        <v>123</v>
      </c>
      <c r="C128" s="27">
        <v>46148</v>
      </c>
      <c r="D128" s="3" t="s">
        <v>133</v>
      </c>
      <c r="E128" s="3" t="s">
        <v>72</v>
      </c>
      <c r="F128" s="3">
        <v>1</v>
      </c>
      <c r="G128" s="9" t="s">
        <v>145</v>
      </c>
    </row>
    <row r="129" spans="2:7" ht="15">
      <c r="B129" s="21">
        <f>+IF(A129=1,1,B128+1)</f>
        <v>124</v>
      </c>
      <c r="C129" s="28">
        <v>46157</v>
      </c>
      <c r="D129" s="23" t="s">
        <v>133</v>
      </c>
      <c r="E129" s="3" t="s">
        <v>72</v>
      </c>
      <c r="F129" s="23">
        <v>1</v>
      </c>
      <c r="G129" s="29" t="s">
        <v>146</v>
      </c>
    </row>
    <row r="130" spans="2:7" ht="15">
      <c r="B130" s="17">
        <f t="shared" ref="B130:B136" si="5">+IF(A130=1,1,B129+1)</f>
        <v>125</v>
      </c>
      <c r="C130" s="5">
        <v>46099</v>
      </c>
      <c r="D130" s="3" t="s">
        <v>147</v>
      </c>
      <c r="E130" s="3" t="s">
        <v>23</v>
      </c>
      <c r="F130" s="3">
        <v>3</v>
      </c>
      <c r="G130" s="9" t="s">
        <v>148</v>
      </c>
    </row>
    <row r="131" spans="2:7" ht="15">
      <c r="B131" s="17">
        <f t="shared" si="5"/>
        <v>126</v>
      </c>
      <c r="C131" s="5">
        <v>46101</v>
      </c>
      <c r="D131" s="3" t="s">
        <v>147</v>
      </c>
      <c r="E131" s="3" t="s">
        <v>23</v>
      </c>
      <c r="F131" s="3">
        <v>3</v>
      </c>
      <c r="G131" s="9" t="s">
        <v>149</v>
      </c>
    </row>
    <row r="132" spans="2:7" ht="15">
      <c r="B132" s="17">
        <f t="shared" si="5"/>
        <v>127</v>
      </c>
      <c r="C132" s="5">
        <v>46134</v>
      </c>
      <c r="D132" s="3" t="s">
        <v>147</v>
      </c>
      <c r="E132" s="3" t="s">
        <v>23</v>
      </c>
      <c r="F132" s="3">
        <v>3</v>
      </c>
      <c r="G132" s="9" t="s">
        <v>150</v>
      </c>
    </row>
    <row r="133" spans="2:7" ht="15">
      <c r="B133" s="17">
        <f t="shared" si="5"/>
        <v>128</v>
      </c>
      <c r="C133" s="5">
        <v>46140</v>
      </c>
      <c r="D133" s="3" t="s">
        <v>147</v>
      </c>
      <c r="E133" s="3" t="s">
        <v>23</v>
      </c>
      <c r="F133" s="3">
        <v>1</v>
      </c>
      <c r="G133" s="9" t="s">
        <v>150</v>
      </c>
    </row>
    <row r="134" spans="2:7" ht="15">
      <c r="B134" s="17">
        <f t="shared" si="5"/>
        <v>129</v>
      </c>
      <c r="C134" s="5">
        <v>46161</v>
      </c>
      <c r="D134" s="3" t="s">
        <v>147</v>
      </c>
      <c r="E134" s="3" t="s">
        <v>23</v>
      </c>
      <c r="F134" s="3">
        <v>3</v>
      </c>
      <c r="G134" s="9" t="s">
        <v>150</v>
      </c>
    </row>
    <row r="135" spans="2:7" ht="15">
      <c r="B135" s="17">
        <f t="shared" si="5"/>
        <v>130</v>
      </c>
      <c r="C135" s="5">
        <v>46169</v>
      </c>
      <c r="D135" s="3" t="s">
        <v>147</v>
      </c>
      <c r="E135" s="3" t="s">
        <v>26</v>
      </c>
      <c r="F135" s="3">
        <v>5</v>
      </c>
      <c r="G135" s="9" t="s">
        <v>151</v>
      </c>
    </row>
    <row r="136" spans="2:7" ht="15">
      <c r="B136" s="17">
        <f t="shared" si="5"/>
        <v>131</v>
      </c>
      <c r="C136" s="5">
        <v>46169</v>
      </c>
      <c r="D136" s="3" t="s">
        <v>147</v>
      </c>
      <c r="E136" s="3" t="s">
        <v>26</v>
      </c>
      <c r="F136" s="3">
        <v>2</v>
      </c>
      <c r="G136" s="9" t="s">
        <v>36</v>
      </c>
    </row>
    <row r="137" spans="2:7" ht="15">
      <c r="B137" s="17">
        <f t="shared" ref="B137:B139" si="6">+IF(A137=1,1,B136+1)</f>
        <v>132</v>
      </c>
      <c r="C137" s="5">
        <v>46101</v>
      </c>
      <c r="D137" s="3" t="s">
        <v>152</v>
      </c>
      <c r="E137" s="3" t="s">
        <v>23</v>
      </c>
      <c r="F137" s="3">
        <v>3</v>
      </c>
      <c r="G137" s="9" t="s">
        <v>149</v>
      </c>
    </row>
    <row r="138" spans="2:7" ht="15">
      <c r="B138" s="17">
        <f t="shared" si="6"/>
        <v>133</v>
      </c>
      <c r="C138" s="5">
        <v>46163</v>
      </c>
      <c r="D138" s="3" t="s">
        <v>152</v>
      </c>
      <c r="E138" s="3" t="s">
        <v>153</v>
      </c>
      <c r="F138" s="3">
        <v>5</v>
      </c>
      <c r="G138" s="9" t="s">
        <v>154</v>
      </c>
    </row>
    <row r="139" spans="2:7" ht="15">
      <c r="B139" s="17">
        <f t="shared" si="6"/>
        <v>134</v>
      </c>
      <c r="C139" s="5">
        <v>46164</v>
      </c>
      <c r="D139" s="3" t="s">
        <v>152</v>
      </c>
      <c r="E139" s="3" t="s">
        <v>153</v>
      </c>
      <c r="F139" s="3">
        <v>5</v>
      </c>
      <c r="G139" s="9" t="s">
        <v>154</v>
      </c>
    </row>
    <row r="140" spans="2:7" ht="15">
      <c r="B140" s="17">
        <f>+IF(A140=1,1,B139+1)</f>
        <v>135</v>
      </c>
      <c r="C140" s="26">
        <v>46118</v>
      </c>
      <c r="D140" s="3" t="s">
        <v>155</v>
      </c>
      <c r="E140" s="3" t="s">
        <v>72</v>
      </c>
      <c r="F140" s="3">
        <v>2</v>
      </c>
      <c r="G140" s="36" t="s">
        <v>156</v>
      </c>
    </row>
    <row r="141" spans="2:7" ht="15">
      <c r="B141" s="17">
        <f>+IF(A141=1,1,B140+1)</f>
        <v>136</v>
      </c>
      <c r="C141" s="27">
        <v>46120</v>
      </c>
      <c r="D141" s="3" t="s">
        <v>155</v>
      </c>
      <c r="E141" s="3" t="s">
        <v>72</v>
      </c>
      <c r="F141" s="3">
        <v>1</v>
      </c>
      <c r="G141" s="37" t="s">
        <v>157</v>
      </c>
    </row>
    <row r="142" spans="2:7" ht="15">
      <c r="B142" s="17">
        <f>+IF(A142=1,1,B141+1)</f>
        <v>137</v>
      </c>
      <c r="C142" s="27">
        <v>46122</v>
      </c>
      <c r="D142" s="3" t="s">
        <v>155</v>
      </c>
      <c r="E142" s="3" t="s">
        <v>72</v>
      </c>
      <c r="F142" s="3">
        <v>1</v>
      </c>
      <c r="G142" s="37" t="s">
        <v>158</v>
      </c>
    </row>
    <row r="143" spans="2:7" ht="15">
      <c r="B143" s="17">
        <f>+IF(A143=1,1,B142+1)</f>
        <v>138</v>
      </c>
      <c r="C143" s="27">
        <v>46125</v>
      </c>
      <c r="D143" s="3" t="s">
        <v>155</v>
      </c>
      <c r="E143" s="3" t="s">
        <v>72</v>
      </c>
      <c r="F143" s="3">
        <v>2</v>
      </c>
      <c r="G143" s="37" t="s">
        <v>159</v>
      </c>
    </row>
    <row r="144" spans="2:7" ht="15">
      <c r="B144" s="17">
        <f>+IF(A144=1,1,B143+1)</f>
        <v>139</v>
      </c>
      <c r="C144" s="27">
        <v>46127</v>
      </c>
      <c r="D144" s="3" t="s">
        <v>155</v>
      </c>
      <c r="E144" s="3" t="s">
        <v>72</v>
      </c>
      <c r="F144" s="3">
        <v>1</v>
      </c>
      <c r="G144" s="37" t="s">
        <v>160</v>
      </c>
    </row>
    <row r="145" spans="2:7" ht="15">
      <c r="B145" s="17">
        <f>+IF(A145=1,1,B144+1)</f>
        <v>140</v>
      </c>
      <c r="C145" s="27">
        <v>46129</v>
      </c>
      <c r="D145" s="3" t="s">
        <v>155</v>
      </c>
      <c r="E145" s="3" t="s">
        <v>72</v>
      </c>
      <c r="F145" s="3">
        <v>2</v>
      </c>
      <c r="G145" s="37" t="s">
        <v>161</v>
      </c>
    </row>
    <row r="146" spans="2:7" ht="15">
      <c r="B146" s="17">
        <f>+IF(A146=1,1,B145+1)</f>
        <v>141</v>
      </c>
      <c r="C146" s="27">
        <v>46132</v>
      </c>
      <c r="D146" s="3" t="s">
        <v>155</v>
      </c>
      <c r="E146" s="3" t="s">
        <v>72</v>
      </c>
      <c r="F146" s="3">
        <v>2</v>
      </c>
      <c r="G146" s="37" t="s">
        <v>162</v>
      </c>
    </row>
    <row r="147" spans="2:7" ht="15">
      <c r="B147" s="17">
        <f>+IF(A147=1,1,B146+1)</f>
        <v>142</v>
      </c>
      <c r="C147" s="27">
        <v>46134</v>
      </c>
      <c r="D147" s="3" t="s">
        <v>155</v>
      </c>
      <c r="E147" s="3" t="s">
        <v>72</v>
      </c>
      <c r="F147" s="3">
        <v>2</v>
      </c>
      <c r="G147" s="37" t="s">
        <v>163</v>
      </c>
    </row>
    <row r="148" spans="2:7" ht="15">
      <c r="B148" s="17">
        <f>+IF(A148=1,1,B147+1)</f>
        <v>143</v>
      </c>
      <c r="C148" s="27">
        <v>46139</v>
      </c>
      <c r="D148" s="3" t="s">
        <v>155</v>
      </c>
      <c r="E148" s="3" t="s">
        <v>72</v>
      </c>
      <c r="F148" s="3">
        <v>2</v>
      </c>
      <c r="G148" s="37" t="s">
        <v>164</v>
      </c>
    </row>
    <row r="149" spans="2:7" ht="15">
      <c r="B149" s="17">
        <f>+IF(A149=1,1,B148+1)</f>
        <v>144</v>
      </c>
      <c r="C149" s="27">
        <v>46141</v>
      </c>
      <c r="D149" s="3" t="s">
        <v>155</v>
      </c>
      <c r="E149" s="3" t="s">
        <v>72</v>
      </c>
      <c r="F149" s="3">
        <v>2</v>
      </c>
      <c r="G149" s="37" t="s">
        <v>165</v>
      </c>
    </row>
    <row r="150" spans="2:7" ht="15">
      <c r="B150" s="17">
        <f>+IF(A150=1,1,B149+1)</f>
        <v>145</v>
      </c>
      <c r="C150" s="27">
        <v>46146</v>
      </c>
      <c r="D150" s="3" t="s">
        <v>155</v>
      </c>
      <c r="E150" s="3" t="s">
        <v>72</v>
      </c>
      <c r="F150" s="3">
        <v>2</v>
      </c>
      <c r="G150" s="37" t="s">
        <v>166</v>
      </c>
    </row>
    <row r="151" spans="2:7" ht="15">
      <c r="B151" s="21">
        <f>+IF(A151=1,1,B150+1)</f>
        <v>146</v>
      </c>
      <c r="C151" s="28">
        <v>46148</v>
      </c>
      <c r="D151" s="3" t="s">
        <v>155</v>
      </c>
      <c r="E151" s="3" t="s">
        <v>72</v>
      </c>
      <c r="F151" s="23">
        <v>1</v>
      </c>
      <c r="G151" s="39" t="s">
        <v>167</v>
      </c>
    </row>
    <row r="152" spans="2:7" ht="15">
      <c r="B152" s="17">
        <f t="shared" ref="B152:B159" si="7">+IF(A152=1,1,B151+1)</f>
        <v>147</v>
      </c>
      <c r="C152" s="5">
        <v>46099</v>
      </c>
      <c r="D152" s="3" t="s">
        <v>168</v>
      </c>
      <c r="E152" s="3" t="s">
        <v>23</v>
      </c>
      <c r="F152" s="3">
        <v>3</v>
      </c>
      <c r="G152" s="9" t="s">
        <v>148</v>
      </c>
    </row>
    <row r="153" spans="2:7" ht="15">
      <c r="B153" s="17">
        <f t="shared" si="7"/>
        <v>148</v>
      </c>
      <c r="C153" s="5">
        <v>46101</v>
      </c>
      <c r="D153" s="3" t="s">
        <v>168</v>
      </c>
      <c r="E153" s="3" t="s">
        <v>23</v>
      </c>
      <c r="F153" s="3">
        <v>3</v>
      </c>
      <c r="G153" s="9" t="s">
        <v>149</v>
      </c>
    </row>
    <row r="154" spans="2:7" ht="15">
      <c r="B154" s="17">
        <f t="shared" si="7"/>
        <v>149</v>
      </c>
      <c r="C154" s="5">
        <v>46132</v>
      </c>
      <c r="D154" s="3" t="s">
        <v>168</v>
      </c>
      <c r="E154" s="3" t="s">
        <v>26</v>
      </c>
      <c r="F154" s="3">
        <v>2</v>
      </c>
      <c r="G154" s="9" t="s">
        <v>50</v>
      </c>
    </row>
    <row r="155" spans="2:7" ht="15">
      <c r="B155" s="17">
        <f t="shared" si="7"/>
        <v>150</v>
      </c>
      <c r="C155" s="5">
        <v>46134</v>
      </c>
      <c r="D155" s="3" t="s">
        <v>168</v>
      </c>
      <c r="E155" s="3" t="s">
        <v>26</v>
      </c>
      <c r="F155" s="3">
        <v>2</v>
      </c>
      <c r="G155" s="9" t="s">
        <v>51</v>
      </c>
    </row>
    <row r="156" spans="2:7" ht="15">
      <c r="B156" s="17">
        <f t="shared" si="7"/>
        <v>151</v>
      </c>
      <c r="C156" s="5">
        <v>46139</v>
      </c>
      <c r="D156" s="3" t="s">
        <v>168</v>
      </c>
      <c r="E156" s="3" t="s">
        <v>26</v>
      </c>
      <c r="F156" s="3">
        <v>2</v>
      </c>
      <c r="G156" s="9" t="s">
        <v>52</v>
      </c>
    </row>
    <row r="157" spans="2:7" ht="15">
      <c r="B157" s="17">
        <f t="shared" si="7"/>
        <v>152</v>
      </c>
      <c r="C157" s="5">
        <v>46141</v>
      </c>
      <c r="D157" s="3" t="s">
        <v>168</v>
      </c>
      <c r="E157" s="3" t="s">
        <v>26</v>
      </c>
      <c r="F157" s="3">
        <v>2</v>
      </c>
      <c r="G157" s="9" t="s">
        <v>53</v>
      </c>
    </row>
    <row r="158" spans="2:7" ht="15">
      <c r="B158" s="17">
        <f t="shared" si="7"/>
        <v>153</v>
      </c>
      <c r="C158" s="5">
        <v>46169</v>
      </c>
      <c r="D158" s="3" t="s">
        <v>168</v>
      </c>
      <c r="E158" s="3" t="s">
        <v>26</v>
      </c>
      <c r="F158" s="3">
        <v>5</v>
      </c>
      <c r="G158" s="9" t="s">
        <v>151</v>
      </c>
    </row>
    <row r="159" spans="2:7" ht="15">
      <c r="B159" s="17">
        <f t="shared" si="7"/>
        <v>154</v>
      </c>
      <c r="C159" s="5">
        <v>46169</v>
      </c>
      <c r="D159" s="3" t="s">
        <v>168</v>
      </c>
      <c r="E159" s="3" t="s">
        <v>26</v>
      </c>
      <c r="F159" s="3">
        <v>1</v>
      </c>
      <c r="G159" s="9" t="s">
        <v>36</v>
      </c>
    </row>
    <row r="160" spans="2:7" ht="29.25">
      <c r="B160" s="17">
        <f>+IF(A160=1,1,B159+1)</f>
        <v>155</v>
      </c>
      <c r="C160" s="19">
        <v>46160</v>
      </c>
      <c r="D160" s="3" t="s">
        <v>169</v>
      </c>
      <c r="E160" s="3" t="s">
        <v>153</v>
      </c>
      <c r="F160" s="3">
        <v>4</v>
      </c>
      <c r="G160" s="9" t="s">
        <v>170</v>
      </c>
    </row>
    <row r="161" spans="2:7" ht="29.25">
      <c r="B161" s="17">
        <f>+IF(A161=1,1,B160+1)</f>
        <v>156</v>
      </c>
      <c r="C161" s="20">
        <v>46161</v>
      </c>
      <c r="D161" s="3" t="s">
        <v>169</v>
      </c>
      <c r="E161" s="3" t="s">
        <v>153</v>
      </c>
      <c r="F161" s="3">
        <v>4</v>
      </c>
      <c r="G161" s="9" t="s">
        <v>170</v>
      </c>
    </row>
    <row r="162" spans="2:7" ht="29.25">
      <c r="B162" s="17">
        <f>+IF(A162=1,1,B161+1)</f>
        <v>157</v>
      </c>
      <c r="C162" s="20">
        <v>46162</v>
      </c>
      <c r="D162" s="3" t="s">
        <v>169</v>
      </c>
      <c r="E162" s="3" t="s">
        <v>153</v>
      </c>
      <c r="F162" s="3">
        <v>4</v>
      </c>
      <c r="G162" s="9" t="s">
        <v>170</v>
      </c>
    </row>
    <row r="163" spans="2:7" ht="29.25">
      <c r="B163" s="17">
        <f>+IF(A163=1,1,B162+1)</f>
        <v>158</v>
      </c>
      <c r="C163" s="20">
        <v>46163</v>
      </c>
      <c r="D163" s="3" t="s">
        <v>169</v>
      </c>
      <c r="E163" s="3" t="s">
        <v>153</v>
      </c>
      <c r="F163" s="3">
        <v>4</v>
      </c>
      <c r="G163" s="9" t="s">
        <v>170</v>
      </c>
    </row>
    <row r="164" spans="2:7" ht="29.25">
      <c r="B164" s="21">
        <f>+IF(A164=1,1,B163+1)</f>
        <v>159</v>
      </c>
      <c r="C164" s="22">
        <v>46164</v>
      </c>
      <c r="D164" s="3" t="s">
        <v>169</v>
      </c>
      <c r="E164" s="3" t="s">
        <v>153</v>
      </c>
      <c r="F164" s="23">
        <v>4</v>
      </c>
      <c r="G164" s="9" t="s">
        <v>170</v>
      </c>
    </row>
    <row r="165" spans="2:7" ht="15">
      <c r="B165" s="17">
        <f t="shared" ref="B165:B170" si="8">+IF(A165=1,1,B164+1)</f>
        <v>160</v>
      </c>
      <c r="C165" s="5">
        <v>46101</v>
      </c>
      <c r="D165" s="3" t="s">
        <v>171</v>
      </c>
      <c r="E165" s="3" t="s">
        <v>23</v>
      </c>
      <c r="F165" s="3">
        <v>3</v>
      </c>
      <c r="G165" s="9" t="s">
        <v>149</v>
      </c>
    </row>
    <row r="166" spans="2:7" ht="15">
      <c r="B166" s="17">
        <f t="shared" si="8"/>
        <v>161</v>
      </c>
      <c r="C166" s="5">
        <v>46147</v>
      </c>
      <c r="D166" s="3" t="s">
        <v>171</v>
      </c>
      <c r="E166" s="3" t="s">
        <v>23</v>
      </c>
      <c r="F166" s="3">
        <v>3</v>
      </c>
      <c r="G166" s="9" t="s">
        <v>172</v>
      </c>
    </row>
    <row r="167" spans="2:7" ht="15">
      <c r="B167" s="17">
        <f t="shared" si="8"/>
        <v>162</v>
      </c>
      <c r="C167" s="5">
        <v>46147</v>
      </c>
      <c r="D167" s="3" t="s">
        <v>171</v>
      </c>
      <c r="E167" s="3" t="s">
        <v>23</v>
      </c>
      <c r="F167" s="3">
        <v>2</v>
      </c>
      <c r="G167" s="9" t="s">
        <v>173</v>
      </c>
    </row>
    <row r="168" spans="2:7" ht="15">
      <c r="B168" s="17">
        <f t="shared" si="8"/>
        <v>163</v>
      </c>
      <c r="C168" s="5">
        <v>46155</v>
      </c>
      <c r="D168" s="3" t="s">
        <v>171</v>
      </c>
      <c r="E168" s="3" t="s">
        <v>23</v>
      </c>
      <c r="F168" s="3">
        <v>5</v>
      </c>
      <c r="G168" s="9" t="s">
        <v>174</v>
      </c>
    </row>
    <row r="169" spans="2:7" ht="15">
      <c r="B169" s="17">
        <f t="shared" si="8"/>
        <v>164</v>
      </c>
      <c r="C169" s="5">
        <v>46169</v>
      </c>
      <c r="D169" s="3" t="s">
        <v>171</v>
      </c>
      <c r="E169" s="3" t="s">
        <v>26</v>
      </c>
      <c r="F169" s="3">
        <v>5</v>
      </c>
      <c r="G169" s="9" t="s">
        <v>151</v>
      </c>
    </row>
    <row r="170" spans="2:7" ht="15">
      <c r="B170" s="17">
        <f t="shared" si="8"/>
        <v>165</v>
      </c>
      <c r="C170" s="5">
        <v>46169</v>
      </c>
      <c r="D170" s="3" t="s">
        <v>171</v>
      </c>
      <c r="E170" s="3" t="s">
        <v>26</v>
      </c>
      <c r="F170" s="3">
        <v>2</v>
      </c>
      <c r="G170" s="9" t="s">
        <v>36</v>
      </c>
    </row>
    <row r="171" spans="2:7" ht="15">
      <c r="B171" s="17">
        <f t="shared" ref="B171:B179" si="9">+IF(A171=1,1,B170+1)</f>
        <v>166</v>
      </c>
      <c r="C171" s="5">
        <v>46134</v>
      </c>
      <c r="D171" s="3" t="s">
        <v>175</v>
      </c>
      <c r="E171" s="3" t="s">
        <v>72</v>
      </c>
      <c r="F171" s="3">
        <v>3</v>
      </c>
      <c r="G171" s="9" t="s">
        <v>176</v>
      </c>
    </row>
    <row r="172" spans="2:7" ht="15">
      <c r="B172" s="17">
        <f t="shared" si="9"/>
        <v>167</v>
      </c>
      <c r="C172" s="5">
        <v>46140</v>
      </c>
      <c r="D172" s="3" t="s">
        <v>175</v>
      </c>
      <c r="E172" s="3" t="s">
        <v>72</v>
      </c>
      <c r="F172" s="3">
        <v>1</v>
      </c>
      <c r="G172" s="9" t="s">
        <v>177</v>
      </c>
    </row>
    <row r="173" spans="2:7" ht="15">
      <c r="B173" s="17">
        <f t="shared" si="9"/>
        <v>168</v>
      </c>
      <c r="C173" s="5">
        <v>46147</v>
      </c>
      <c r="D173" s="3" t="s">
        <v>175</v>
      </c>
      <c r="E173" s="3" t="s">
        <v>72</v>
      </c>
      <c r="F173" s="3">
        <v>4</v>
      </c>
      <c r="G173" s="9" t="s">
        <v>178</v>
      </c>
    </row>
    <row r="174" spans="2:7" ht="15">
      <c r="B174" s="17">
        <f t="shared" si="9"/>
        <v>169</v>
      </c>
      <c r="C174" s="5">
        <v>46154</v>
      </c>
      <c r="D174" s="3" t="s">
        <v>175</v>
      </c>
      <c r="E174" s="3" t="s">
        <v>72</v>
      </c>
      <c r="F174" s="3">
        <v>2</v>
      </c>
      <c r="G174" s="9" t="s">
        <v>179</v>
      </c>
    </row>
    <row r="175" spans="2:7" ht="15">
      <c r="B175" s="17">
        <f t="shared" si="9"/>
        <v>170</v>
      </c>
      <c r="C175" s="5">
        <v>46161</v>
      </c>
      <c r="D175" s="3" t="s">
        <v>175</v>
      </c>
      <c r="E175" s="3" t="s">
        <v>72</v>
      </c>
      <c r="F175" s="3">
        <v>2</v>
      </c>
      <c r="G175" s="9" t="s">
        <v>179</v>
      </c>
    </row>
    <row r="176" spans="2:7" ht="15">
      <c r="B176" s="17">
        <f t="shared" si="9"/>
        <v>171</v>
      </c>
      <c r="C176" s="5">
        <v>46162</v>
      </c>
      <c r="D176" s="3" t="s">
        <v>175</v>
      </c>
      <c r="E176" s="3" t="s">
        <v>72</v>
      </c>
      <c r="F176" s="3">
        <v>2</v>
      </c>
      <c r="G176" s="9" t="s">
        <v>180</v>
      </c>
    </row>
    <row r="177" spans="2:7" ht="15">
      <c r="B177" s="17">
        <f t="shared" si="9"/>
        <v>172</v>
      </c>
      <c r="C177" s="5">
        <v>46164</v>
      </c>
      <c r="D177" s="3" t="s">
        <v>175</v>
      </c>
      <c r="E177" s="3" t="s">
        <v>72</v>
      </c>
      <c r="F177" s="3">
        <v>2</v>
      </c>
      <c r="G177" s="9" t="s">
        <v>181</v>
      </c>
    </row>
    <row r="178" spans="2:7" ht="15">
      <c r="B178" s="17">
        <f t="shared" si="9"/>
        <v>173</v>
      </c>
      <c r="C178" s="5">
        <v>46168</v>
      </c>
      <c r="D178" s="3" t="s">
        <v>175</v>
      </c>
      <c r="E178" s="3" t="s">
        <v>26</v>
      </c>
      <c r="F178" s="3">
        <v>2</v>
      </c>
      <c r="G178" s="9" t="s">
        <v>29</v>
      </c>
    </row>
    <row r="179" spans="2:7" ht="15">
      <c r="B179" s="17">
        <f t="shared" si="9"/>
        <v>174</v>
      </c>
      <c r="C179" s="5">
        <v>46169</v>
      </c>
      <c r="D179" s="3" t="s">
        <v>175</v>
      </c>
      <c r="E179" s="3" t="s">
        <v>26</v>
      </c>
      <c r="F179" s="3">
        <v>2</v>
      </c>
      <c r="G179" s="9" t="s">
        <v>36</v>
      </c>
    </row>
    <row r="180" spans="2:7" ht="15">
      <c r="B180" s="17">
        <f>+IF(A180=1,1,B179+1)</f>
        <v>175</v>
      </c>
      <c r="C180" s="5">
        <v>46134</v>
      </c>
      <c r="D180" s="3" t="s">
        <v>182</v>
      </c>
      <c r="E180" s="3" t="s">
        <v>72</v>
      </c>
      <c r="F180" s="3">
        <v>2</v>
      </c>
      <c r="G180" s="9" t="s">
        <v>183</v>
      </c>
    </row>
    <row r="181" spans="2:7" ht="15">
      <c r="B181" s="17">
        <f>+IF(A181=1,1,B180+1)</f>
        <v>176</v>
      </c>
      <c r="C181" s="5">
        <v>46139</v>
      </c>
      <c r="D181" s="3" t="s">
        <v>182</v>
      </c>
      <c r="E181" s="3" t="s">
        <v>72</v>
      </c>
      <c r="F181" s="3">
        <v>3</v>
      </c>
      <c r="G181" s="9" t="s">
        <v>184</v>
      </c>
    </row>
    <row r="182" spans="2:7" ht="15">
      <c r="B182" s="17">
        <f>+IF(A182=1,1,B181+1)</f>
        <v>177</v>
      </c>
      <c r="C182" s="5">
        <v>46140</v>
      </c>
      <c r="D182" s="3" t="s">
        <v>182</v>
      </c>
      <c r="E182" s="3" t="s">
        <v>72</v>
      </c>
      <c r="F182" s="3">
        <v>2</v>
      </c>
      <c r="G182" s="9" t="s">
        <v>185</v>
      </c>
    </row>
    <row r="183" spans="2:7" ht="15">
      <c r="B183" s="17">
        <f>+IF(A183=1,1,B182+1)</f>
        <v>178</v>
      </c>
      <c r="C183" s="5">
        <v>46141</v>
      </c>
      <c r="D183" s="3" t="s">
        <v>182</v>
      </c>
      <c r="E183" s="3" t="s">
        <v>72</v>
      </c>
      <c r="F183" s="3">
        <v>2</v>
      </c>
      <c r="G183" s="9" t="s">
        <v>186</v>
      </c>
    </row>
    <row r="184" spans="2:7" ht="15">
      <c r="B184" s="17">
        <f>+IF(A184=1,1,B183+1)</f>
        <v>179</v>
      </c>
      <c r="C184" s="5">
        <v>46142</v>
      </c>
      <c r="D184" s="3" t="s">
        <v>182</v>
      </c>
      <c r="E184" s="3" t="s">
        <v>72</v>
      </c>
      <c r="F184" s="3">
        <v>1</v>
      </c>
      <c r="G184" s="9" t="s">
        <v>187</v>
      </c>
    </row>
    <row r="185" spans="2:7" ht="15">
      <c r="B185" s="17">
        <f>+IF(A185=1,1,B184+1)</f>
        <v>180</v>
      </c>
      <c r="C185" s="5">
        <v>46146</v>
      </c>
      <c r="D185" s="3" t="s">
        <v>182</v>
      </c>
      <c r="E185" s="3" t="s">
        <v>72</v>
      </c>
      <c r="F185" s="3">
        <v>2</v>
      </c>
      <c r="G185" s="9" t="s">
        <v>188</v>
      </c>
    </row>
    <row r="186" spans="2:7" ht="15">
      <c r="B186" s="17">
        <f>+IF(A186=1,1,B185+1)</f>
        <v>181</v>
      </c>
      <c r="C186" s="5">
        <v>46149</v>
      </c>
      <c r="D186" s="3" t="s">
        <v>182</v>
      </c>
      <c r="E186" s="3" t="s">
        <v>72</v>
      </c>
      <c r="F186" s="3">
        <v>3</v>
      </c>
      <c r="G186" s="9" t="s">
        <v>189</v>
      </c>
    </row>
    <row r="187" spans="2:7" ht="15">
      <c r="B187" s="17">
        <f>+IF(A187=1,1,B186+1)</f>
        <v>182</v>
      </c>
      <c r="C187" s="5">
        <v>46151</v>
      </c>
      <c r="D187" s="3" t="s">
        <v>182</v>
      </c>
      <c r="E187" s="3" t="s">
        <v>72</v>
      </c>
      <c r="F187" s="3">
        <v>3</v>
      </c>
      <c r="G187" s="9" t="s">
        <v>190</v>
      </c>
    </row>
    <row r="188" spans="2:7" ht="15">
      <c r="B188" s="17">
        <f>+IF(A188=1,1,B187+1)</f>
        <v>183</v>
      </c>
      <c r="C188" s="5">
        <v>46155</v>
      </c>
      <c r="D188" s="3" t="s">
        <v>182</v>
      </c>
      <c r="E188" s="3" t="s">
        <v>72</v>
      </c>
      <c r="F188" s="3">
        <v>1</v>
      </c>
      <c r="G188" s="9" t="s">
        <v>191</v>
      </c>
    </row>
    <row r="189" spans="2:7" ht="15">
      <c r="B189" s="17">
        <f>+IF(A189=1,1,B188+1)</f>
        <v>184</v>
      </c>
      <c r="C189" s="5">
        <v>46156</v>
      </c>
      <c r="D189" s="3" t="s">
        <v>182</v>
      </c>
      <c r="E189" s="3" t="s">
        <v>72</v>
      </c>
      <c r="F189" s="3">
        <v>2</v>
      </c>
      <c r="G189" s="9" t="s">
        <v>192</v>
      </c>
    </row>
    <row r="190" spans="2:7" ht="15">
      <c r="B190" s="17">
        <f>+IF(A190=1,1,B189+1)</f>
        <v>185</v>
      </c>
      <c r="C190" s="5">
        <v>46158</v>
      </c>
      <c r="D190" s="3" t="s">
        <v>182</v>
      </c>
      <c r="E190" s="3" t="s">
        <v>72</v>
      </c>
      <c r="F190" s="3">
        <v>1</v>
      </c>
      <c r="G190" s="9" t="s">
        <v>193</v>
      </c>
    </row>
    <row r="191" spans="2:7" ht="15">
      <c r="B191" s="17">
        <f>+IF(A191=1,1,B190+1)</f>
        <v>186</v>
      </c>
      <c r="C191" s="5">
        <v>46160</v>
      </c>
      <c r="D191" s="3" t="s">
        <v>182</v>
      </c>
      <c r="E191" s="3" t="s">
        <v>72</v>
      </c>
      <c r="F191" s="3">
        <v>2</v>
      </c>
      <c r="G191" s="9" t="s">
        <v>194</v>
      </c>
    </row>
    <row r="192" spans="2:7" ht="15">
      <c r="B192" s="17">
        <f>+IF(A192=1,1,B191+1)</f>
        <v>187</v>
      </c>
      <c r="C192" s="5">
        <v>46099</v>
      </c>
      <c r="D192" s="3" t="s">
        <v>182</v>
      </c>
      <c r="E192" s="3" t="s">
        <v>72</v>
      </c>
      <c r="F192" s="3">
        <v>3</v>
      </c>
      <c r="G192" s="9" t="s">
        <v>195</v>
      </c>
    </row>
    <row r="193" spans="2:7" ht="15">
      <c r="B193" s="17">
        <f>+IF(A193=1,1,B192+1)</f>
        <v>188</v>
      </c>
      <c r="C193" s="5">
        <v>46168</v>
      </c>
      <c r="D193" s="3" t="s">
        <v>182</v>
      </c>
      <c r="E193" s="3" t="s">
        <v>72</v>
      </c>
      <c r="F193" s="3">
        <v>3</v>
      </c>
      <c r="G193" s="9" t="s">
        <v>196</v>
      </c>
    </row>
    <row r="194" spans="2:7" ht="15">
      <c r="B194" s="17">
        <f t="shared" ref="B194:B201" si="10">+IF(A194=1,1,B193+1)</f>
        <v>189</v>
      </c>
      <c r="C194" s="5">
        <v>46098</v>
      </c>
      <c r="D194" s="3" t="s">
        <v>197</v>
      </c>
      <c r="E194" s="3" t="s">
        <v>72</v>
      </c>
      <c r="F194" s="3">
        <v>3</v>
      </c>
      <c r="G194" s="9" t="s">
        <v>176</v>
      </c>
    </row>
    <row r="195" spans="2:7" ht="15">
      <c r="B195" s="17">
        <f t="shared" si="10"/>
        <v>190</v>
      </c>
      <c r="C195" s="5">
        <v>46099</v>
      </c>
      <c r="D195" s="3" t="s">
        <v>197</v>
      </c>
      <c r="E195" s="3" t="s">
        <v>72</v>
      </c>
      <c r="F195" s="3">
        <v>3</v>
      </c>
      <c r="G195" s="9" t="s">
        <v>148</v>
      </c>
    </row>
    <row r="196" spans="2:7" ht="15">
      <c r="B196" s="17">
        <f t="shared" si="10"/>
        <v>191</v>
      </c>
      <c r="C196" s="5">
        <v>46147</v>
      </c>
      <c r="D196" s="3" t="s">
        <v>197</v>
      </c>
      <c r="E196" s="3" t="s">
        <v>72</v>
      </c>
      <c r="F196" s="3">
        <v>3</v>
      </c>
      <c r="G196" s="9" t="s">
        <v>198</v>
      </c>
    </row>
    <row r="197" spans="2:7" ht="15">
      <c r="B197" s="17">
        <f t="shared" si="10"/>
        <v>192</v>
      </c>
      <c r="C197" s="5">
        <v>46147</v>
      </c>
      <c r="D197" s="3" t="s">
        <v>197</v>
      </c>
      <c r="E197" s="3" t="s">
        <v>72</v>
      </c>
      <c r="F197" s="3">
        <v>3</v>
      </c>
      <c r="G197" s="9" t="s">
        <v>198</v>
      </c>
    </row>
    <row r="198" spans="2:7" ht="15">
      <c r="B198" s="17">
        <f t="shared" si="10"/>
        <v>193</v>
      </c>
      <c r="C198" s="5">
        <v>46154</v>
      </c>
      <c r="D198" s="3" t="s">
        <v>197</v>
      </c>
      <c r="E198" s="3" t="s">
        <v>72</v>
      </c>
      <c r="F198" s="3">
        <v>4</v>
      </c>
      <c r="G198" s="9" t="s">
        <v>179</v>
      </c>
    </row>
    <row r="199" spans="2:7" ht="15">
      <c r="B199" s="17">
        <f t="shared" si="10"/>
        <v>194</v>
      </c>
      <c r="C199" s="5">
        <v>46155</v>
      </c>
      <c r="D199" s="3" t="s">
        <v>197</v>
      </c>
      <c r="E199" s="3" t="s">
        <v>72</v>
      </c>
      <c r="F199" s="3">
        <v>6</v>
      </c>
      <c r="G199" s="9" t="s">
        <v>179</v>
      </c>
    </row>
    <row r="200" spans="2:7" ht="15">
      <c r="B200" s="17">
        <f t="shared" si="10"/>
        <v>195</v>
      </c>
      <c r="C200" s="5">
        <v>46156</v>
      </c>
      <c r="D200" s="3" t="s">
        <v>197</v>
      </c>
      <c r="E200" s="3" t="s">
        <v>72</v>
      </c>
      <c r="F200" s="3">
        <v>4</v>
      </c>
      <c r="G200" s="9" t="s">
        <v>199</v>
      </c>
    </row>
    <row r="201" spans="2:7" ht="15">
      <c r="B201" s="17">
        <f t="shared" si="10"/>
        <v>196</v>
      </c>
      <c r="C201" s="5">
        <v>46157</v>
      </c>
      <c r="D201" s="3" t="s">
        <v>197</v>
      </c>
      <c r="E201" s="3" t="s">
        <v>72</v>
      </c>
      <c r="F201" s="3">
        <v>4</v>
      </c>
      <c r="G201" s="9" t="s">
        <v>199</v>
      </c>
    </row>
    <row r="202" spans="2:7" ht="15">
      <c r="B202" s="17">
        <f>+IF(A202=1,1,B201+1)</f>
        <v>197</v>
      </c>
      <c r="C202" s="40">
        <v>46135</v>
      </c>
      <c r="D202" s="3" t="s">
        <v>200</v>
      </c>
      <c r="E202" s="3" t="s">
        <v>23</v>
      </c>
      <c r="F202" s="3">
        <v>1</v>
      </c>
      <c r="G202" s="9" t="s">
        <v>201</v>
      </c>
    </row>
    <row r="203" spans="2:7" ht="15">
      <c r="B203" s="17">
        <f>+IF(A203=1,1,B202+1)</f>
        <v>198</v>
      </c>
      <c r="C203" s="41">
        <v>46136</v>
      </c>
      <c r="D203" s="3" t="s">
        <v>200</v>
      </c>
      <c r="E203" s="3" t="s">
        <v>23</v>
      </c>
      <c r="F203" s="3">
        <v>3</v>
      </c>
      <c r="G203" s="9" t="s">
        <v>202</v>
      </c>
    </row>
    <row r="204" spans="2:7" ht="15">
      <c r="B204" s="17">
        <f>+IF(A204=1,1,B203+1)</f>
        <v>199</v>
      </c>
      <c r="C204" s="41">
        <v>46140</v>
      </c>
      <c r="D204" s="3" t="s">
        <v>200</v>
      </c>
      <c r="E204" s="3" t="s">
        <v>23</v>
      </c>
      <c r="F204" s="3">
        <v>2</v>
      </c>
      <c r="G204" s="9" t="s">
        <v>203</v>
      </c>
    </row>
    <row r="205" spans="2:7" ht="15">
      <c r="B205" s="17">
        <f>+IF(A205=1,1,B204+1)</f>
        <v>200</v>
      </c>
      <c r="C205" s="41">
        <v>46142</v>
      </c>
      <c r="D205" s="3" t="s">
        <v>200</v>
      </c>
      <c r="E205" s="3" t="s">
        <v>23</v>
      </c>
      <c r="F205" s="3">
        <v>10</v>
      </c>
      <c r="G205" s="9" t="s">
        <v>204</v>
      </c>
    </row>
    <row r="206" spans="2:7" ht="15">
      <c r="B206" s="17">
        <f>+IF(A206=1,1,B205+1)</f>
        <v>201</v>
      </c>
      <c r="C206" s="41">
        <v>46143</v>
      </c>
      <c r="D206" s="3" t="s">
        <v>200</v>
      </c>
      <c r="E206" s="3" t="s">
        <v>23</v>
      </c>
      <c r="F206" s="3">
        <v>1</v>
      </c>
      <c r="G206" s="9" t="s">
        <v>205</v>
      </c>
    </row>
    <row r="207" spans="2:7" ht="15">
      <c r="B207" s="17">
        <f>+IF(A207=1,1,B206+1)</f>
        <v>202</v>
      </c>
      <c r="C207" s="41">
        <v>46143</v>
      </c>
      <c r="D207" s="3" t="s">
        <v>200</v>
      </c>
      <c r="E207" s="3" t="s">
        <v>23</v>
      </c>
      <c r="F207" s="3">
        <v>2</v>
      </c>
      <c r="G207" s="9" t="s">
        <v>206</v>
      </c>
    </row>
    <row r="208" spans="2:7" ht="15">
      <c r="B208" s="17">
        <f>+IF(A208=1,1,B207+1)</f>
        <v>203</v>
      </c>
      <c r="C208" s="41">
        <v>46147</v>
      </c>
      <c r="D208" s="3" t="s">
        <v>200</v>
      </c>
      <c r="E208" s="3" t="s">
        <v>23</v>
      </c>
      <c r="F208" s="3">
        <v>1</v>
      </c>
      <c r="G208" s="9" t="s">
        <v>207</v>
      </c>
    </row>
    <row r="209" spans="2:7" ht="15">
      <c r="B209" s="17">
        <f>+IF(A209=1,1,B208+1)</f>
        <v>204</v>
      </c>
      <c r="C209" s="41">
        <v>46150</v>
      </c>
      <c r="D209" s="3" t="s">
        <v>200</v>
      </c>
      <c r="E209" s="3" t="s">
        <v>23</v>
      </c>
      <c r="F209" s="3">
        <v>2</v>
      </c>
      <c r="G209" s="9" t="s">
        <v>208</v>
      </c>
    </row>
    <row r="210" spans="2:7" ht="15">
      <c r="B210" s="17">
        <f>+IF(A210=1,1,B209+1)</f>
        <v>205</v>
      </c>
      <c r="C210" s="41">
        <v>46154</v>
      </c>
      <c r="D210" s="3" t="s">
        <v>200</v>
      </c>
      <c r="E210" s="3" t="s">
        <v>23</v>
      </c>
      <c r="F210" s="3">
        <v>2</v>
      </c>
      <c r="G210" s="9" t="s">
        <v>209</v>
      </c>
    </row>
    <row r="211" spans="2:7" ht="15">
      <c r="B211" s="17">
        <f>+IF(A211=1,1,B210+1)</f>
        <v>206</v>
      </c>
      <c r="C211" s="20">
        <v>46161</v>
      </c>
      <c r="D211" s="3" t="s">
        <v>200</v>
      </c>
      <c r="E211" s="3" t="s">
        <v>23</v>
      </c>
      <c r="F211" s="3">
        <v>2</v>
      </c>
      <c r="G211" s="9" t="s">
        <v>209</v>
      </c>
    </row>
    <row r="212" spans="2:7" ht="15">
      <c r="B212" s="21">
        <f>+IF(A212=1,1,B211+1)</f>
        <v>207</v>
      </c>
      <c r="C212" s="22">
        <v>46163</v>
      </c>
      <c r="D212" s="3" t="s">
        <v>200</v>
      </c>
      <c r="E212" s="3" t="s">
        <v>23</v>
      </c>
      <c r="F212" s="23">
        <v>4</v>
      </c>
      <c r="G212" s="29" t="s">
        <v>209</v>
      </c>
    </row>
    <row r="213" spans="2:7" ht="29.25">
      <c r="B213" s="17">
        <f>+IF(A213=1,1,B212+1)</f>
        <v>208</v>
      </c>
      <c r="C213" s="19">
        <v>46130</v>
      </c>
      <c r="D213" s="3" t="s">
        <v>210</v>
      </c>
      <c r="E213" s="3" t="s">
        <v>23</v>
      </c>
      <c r="F213" s="3">
        <v>1</v>
      </c>
      <c r="G213" s="9" t="s">
        <v>211</v>
      </c>
    </row>
    <row r="214" spans="2:7" ht="29.25">
      <c r="B214" s="17">
        <f>+IF(A214=1,1,B213+1)</f>
        <v>209</v>
      </c>
      <c r="C214" s="20">
        <v>46131</v>
      </c>
      <c r="D214" s="3" t="s">
        <v>210</v>
      </c>
      <c r="E214" s="3" t="s">
        <v>23</v>
      </c>
      <c r="F214" s="3">
        <v>1</v>
      </c>
      <c r="G214" s="9" t="s">
        <v>212</v>
      </c>
    </row>
    <row r="215" spans="2:7" ht="15">
      <c r="B215" s="17">
        <f>+IF(A215=1,1,B214+1)</f>
        <v>210</v>
      </c>
      <c r="C215" s="20">
        <v>46136</v>
      </c>
      <c r="D215" s="3" t="s">
        <v>210</v>
      </c>
      <c r="E215" s="3" t="s">
        <v>23</v>
      </c>
      <c r="F215" s="3">
        <v>2</v>
      </c>
      <c r="G215" s="9" t="s">
        <v>213</v>
      </c>
    </row>
    <row r="216" spans="2:7" ht="15">
      <c r="B216" s="17">
        <f>+IF(A216=1,1,B215+1)</f>
        <v>211</v>
      </c>
      <c r="C216" s="20">
        <v>46137</v>
      </c>
      <c r="D216" s="3" t="s">
        <v>210</v>
      </c>
      <c r="E216" s="3" t="s">
        <v>23</v>
      </c>
      <c r="F216" s="3">
        <v>1</v>
      </c>
      <c r="G216" s="9" t="s">
        <v>214</v>
      </c>
    </row>
    <row r="217" spans="2:7" ht="15">
      <c r="B217" s="17">
        <f>+IF(A217=1,1,B216+1)</f>
        <v>212</v>
      </c>
      <c r="C217" s="20">
        <v>46143</v>
      </c>
      <c r="D217" s="3" t="s">
        <v>210</v>
      </c>
      <c r="E217" s="3" t="s">
        <v>23</v>
      </c>
      <c r="F217" s="3">
        <v>1</v>
      </c>
      <c r="G217" s="9" t="s">
        <v>215</v>
      </c>
    </row>
    <row r="218" spans="2:7" ht="15">
      <c r="B218" s="17">
        <f>+IF(A218=1,1,B217+1)</f>
        <v>213</v>
      </c>
      <c r="C218" s="20">
        <v>46144</v>
      </c>
      <c r="D218" s="3" t="s">
        <v>210</v>
      </c>
      <c r="E218" s="3" t="s">
        <v>23</v>
      </c>
      <c r="F218" s="3">
        <v>1</v>
      </c>
      <c r="G218" s="9" t="s">
        <v>216</v>
      </c>
    </row>
    <row r="219" spans="2:7" ht="15">
      <c r="B219" s="17">
        <f>+IF(A219=1,1,B218+1)</f>
        <v>214</v>
      </c>
      <c r="C219" s="20">
        <v>46150</v>
      </c>
      <c r="D219" s="3" t="s">
        <v>210</v>
      </c>
      <c r="E219" s="3" t="s">
        <v>23</v>
      </c>
      <c r="F219" s="3">
        <v>1</v>
      </c>
      <c r="G219" s="9" t="s">
        <v>217</v>
      </c>
    </row>
    <row r="220" spans="2:7" ht="15">
      <c r="B220" s="17">
        <f>+IF(A220=1,1,B219+1)</f>
        <v>215</v>
      </c>
      <c r="C220" s="20">
        <v>46151</v>
      </c>
      <c r="D220" s="3" t="s">
        <v>210</v>
      </c>
      <c r="E220" s="3" t="s">
        <v>23</v>
      </c>
      <c r="F220" s="3">
        <v>1</v>
      </c>
      <c r="G220" s="9" t="s">
        <v>218</v>
      </c>
    </row>
    <row r="221" spans="2:7" ht="15">
      <c r="B221" s="17">
        <f>+IF(A221=1,1,B220+1)</f>
        <v>216</v>
      </c>
      <c r="C221" s="20">
        <v>46157</v>
      </c>
      <c r="D221" s="3" t="s">
        <v>210</v>
      </c>
      <c r="E221" s="3" t="s">
        <v>23</v>
      </c>
      <c r="F221" s="3">
        <v>2</v>
      </c>
      <c r="G221" s="9" t="s">
        <v>219</v>
      </c>
    </row>
    <row r="222" spans="2:7" ht="15">
      <c r="B222" s="17">
        <f>+IF(A222=1,1,B221+1)</f>
        <v>217</v>
      </c>
      <c r="C222" s="20">
        <v>46158</v>
      </c>
      <c r="D222" s="3" t="s">
        <v>210</v>
      </c>
      <c r="E222" s="3" t="s">
        <v>23</v>
      </c>
      <c r="F222" s="3">
        <v>1</v>
      </c>
      <c r="G222" s="9" t="s">
        <v>220</v>
      </c>
    </row>
    <row r="223" spans="2:7" ht="15">
      <c r="B223" s="17">
        <f>+IF(A223=1,1,B222+1)</f>
        <v>218</v>
      </c>
      <c r="C223" s="20">
        <v>46161</v>
      </c>
      <c r="D223" s="3" t="s">
        <v>210</v>
      </c>
      <c r="E223" s="3" t="s">
        <v>23</v>
      </c>
      <c r="F223" s="3">
        <v>3</v>
      </c>
      <c r="G223" s="9" t="s">
        <v>221</v>
      </c>
    </row>
    <row r="224" spans="2:7" ht="15">
      <c r="B224" s="17">
        <f>+IF(A224=1,1,B223+1)</f>
        <v>219</v>
      </c>
      <c r="C224" s="42">
        <v>46168</v>
      </c>
      <c r="D224" s="3" t="s">
        <v>210</v>
      </c>
      <c r="E224" s="3" t="s">
        <v>23</v>
      </c>
      <c r="F224" s="3">
        <v>2</v>
      </c>
      <c r="G224" s="9" t="s">
        <v>222</v>
      </c>
    </row>
    <row r="225" spans="2:7" ht="15">
      <c r="B225" s="21">
        <f>+IF(A225=1,1,B224+1)</f>
        <v>220</v>
      </c>
      <c r="C225" s="43">
        <v>46169</v>
      </c>
      <c r="D225" s="3" t="s">
        <v>210</v>
      </c>
      <c r="E225" s="3" t="s">
        <v>23</v>
      </c>
      <c r="F225" s="23">
        <v>3</v>
      </c>
      <c r="G225" s="29" t="s">
        <v>223</v>
      </c>
    </row>
    <row r="226" spans="2:7" ht="29.25">
      <c r="B226" s="17">
        <f>+IF(A226=1,1,B225+1)</f>
        <v>221</v>
      </c>
      <c r="C226" s="5">
        <v>46130</v>
      </c>
      <c r="D226" s="3" t="s">
        <v>224</v>
      </c>
      <c r="E226" s="3" t="s">
        <v>225</v>
      </c>
      <c r="F226" s="3">
        <v>2</v>
      </c>
      <c r="G226" s="9" t="s">
        <v>226</v>
      </c>
    </row>
    <row r="227" spans="2:7" ht="29.25">
      <c r="B227" s="17">
        <f>+IF(A227=1,1,B226+1)</f>
        <v>222</v>
      </c>
      <c r="C227" s="5">
        <v>46132</v>
      </c>
      <c r="D227" s="3" t="s">
        <v>224</v>
      </c>
      <c r="E227" s="3" t="s">
        <v>225</v>
      </c>
      <c r="F227" s="3">
        <v>2</v>
      </c>
      <c r="G227" s="9" t="s">
        <v>227</v>
      </c>
    </row>
    <row r="228" spans="2:7" ht="29.25">
      <c r="B228" s="17">
        <f>+IF(A228=1,1,B227+1)</f>
        <v>223</v>
      </c>
      <c r="C228" s="5">
        <v>46134</v>
      </c>
      <c r="D228" s="3" t="s">
        <v>224</v>
      </c>
      <c r="E228" s="3" t="s">
        <v>225</v>
      </c>
      <c r="F228" s="3">
        <v>1</v>
      </c>
      <c r="G228" s="9" t="s">
        <v>228</v>
      </c>
    </row>
    <row r="229" spans="2:7" ht="29.25">
      <c r="B229" s="17">
        <f>+IF(A229=1,1,B228+1)</f>
        <v>224</v>
      </c>
      <c r="C229" s="5">
        <v>46137</v>
      </c>
      <c r="D229" s="3" t="s">
        <v>224</v>
      </c>
      <c r="E229" s="3" t="s">
        <v>225</v>
      </c>
      <c r="F229" s="3">
        <v>2</v>
      </c>
      <c r="G229" s="9" t="s">
        <v>229</v>
      </c>
    </row>
    <row r="230" spans="2:7" ht="29.25">
      <c r="B230" s="17">
        <f>+IF(A230=1,1,B229+1)</f>
        <v>225</v>
      </c>
      <c r="C230" s="5">
        <v>46139</v>
      </c>
      <c r="D230" s="3" t="s">
        <v>224</v>
      </c>
      <c r="E230" s="3" t="s">
        <v>225</v>
      </c>
      <c r="F230" s="3">
        <v>2</v>
      </c>
      <c r="G230" s="9" t="s">
        <v>230</v>
      </c>
    </row>
    <row r="231" spans="2:7" ht="29.25">
      <c r="B231" s="17">
        <f>+IF(A231=1,1,B230+1)</f>
        <v>226</v>
      </c>
      <c r="C231" s="5">
        <v>46141</v>
      </c>
      <c r="D231" s="3" t="s">
        <v>224</v>
      </c>
      <c r="E231" s="3" t="s">
        <v>225</v>
      </c>
      <c r="F231" s="3">
        <v>1</v>
      </c>
      <c r="G231" s="9" t="s">
        <v>231</v>
      </c>
    </row>
    <row r="232" spans="2:7" ht="29.25">
      <c r="B232" s="17">
        <f>+IF(A232=1,1,B231+1)</f>
        <v>227</v>
      </c>
      <c r="C232" s="5">
        <v>46144</v>
      </c>
      <c r="D232" s="3" t="s">
        <v>224</v>
      </c>
      <c r="E232" s="3" t="s">
        <v>225</v>
      </c>
      <c r="F232" s="3">
        <v>2</v>
      </c>
      <c r="G232" s="9" t="s">
        <v>232</v>
      </c>
    </row>
    <row r="233" spans="2:7" ht="29.25">
      <c r="B233" s="17">
        <f>+IF(A233=1,1,B232+1)</f>
        <v>228</v>
      </c>
      <c r="C233" s="5">
        <v>46146</v>
      </c>
      <c r="D233" s="3" t="s">
        <v>224</v>
      </c>
      <c r="E233" s="3" t="s">
        <v>225</v>
      </c>
      <c r="F233" s="3">
        <v>2</v>
      </c>
      <c r="G233" s="9" t="s">
        <v>233</v>
      </c>
    </row>
    <row r="234" spans="2:7" ht="29.25">
      <c r="B234" s="17">
        <f>+IF(A234=1,1,B233+1)</f>
        <v>229</v>
      </c>
      <c r="C234" s="5">
        <v>46148</v>
      </c>
      <c r="D234" s="3" t="s">
        <v>224</v>
      </c>
      <c r="E234" s="3" t="s">
        <v>225</v>
      </c>
      <c r="F234" s="3">
        <v>1</v>
      </c>
      <c r="G234" s="9" t="s">
        <v>234</v>
      </c>
    </row>
    <row r="235" spans="2:7" ht="29.25">
      <c r="B235" s="17">
        <f>+IF(A235=1,1,B234+1)</f>
        <v>230</v>
      </c>
      <c r="C235" s="5">
        <v>46151</v>
      </c>
      <c r="D235" s="3" t="s">
        <v>224</v>
      </c>
      <c r="E235" s="3" t="s">
        <v>225</v>
      </c>
      <c r="F235" s="3">
        <v>2</v>
      </c>
      <c r="G235" s="9" t="s">
        <v>235</v>
      </c>
    </row>
    <row r="236" spans="2:7" ht="29.25">
      <c r="B236" s="17">
        <f>+IF(A236=1,1,B235+1)</f>
        <v>231</v>
      </c>
      <c r="C236" s="5">
        <v>46153</v>
      </c>
      <c r="D236" s="3" t="s">
        <v>224</v>
      </c>
      <c r="E236" s="3" t="s">
        <v>225</v>
      </c>
      <c r="F236" s="3">
        <v>2</v>
      </c>
      <c r="G236" s="9" t="s">
        <v>236</v>
      </c>
    </row>
    <row r="237" spans="2:7" ht="29.25">
      <c r="B237" s="17">
        <f>+IF(A237=1,1,B236+1)</f>
        <v>232</v>
      </c>
      <c r="C237" s="5">
        <v>46155</v>
      </c>
      <c r="D237" s="3" t="s">
        <v>224</v>
      </c>
      <c r="E237" s="3" t="s">
        <v>225</v>
      </c>
      <c r="F237" s="3">
        <v>1</v>
      </c>
      <c r="G237" s="9" t="s">
        <v>237</v>
      </c>
    </row>
    <row r="238" spans="2:7" ht="15">
      <c r="B238" s="17">
        <f t="shared" ref="B238:B239" si="11">+IF(A238=1,1,B237+1)</f>
        <v>233</v>
      </c>
      <c r="C238" s="5">
        <v>46167</v>
      </c>
      <c r="D238" s="3" t="s">
        <v>152</v>
      </c>
      <c r="E238" s="3" t="s">
        <v>153</v>
      </c>
      <c r="F238" s="3">
        <v>2</v>
      </c>
      <c r="G238" s="9" t="s">
        <v>238</v>
      </c>
    </row>
    <row r="239" spans="2:7" ht="15">
      <c r="B239" s="17">
        <f t="shared" si="11"/>
        <v>234</v>
      </c>
      <c r="C239" s="5">
        <v>46168</v>
      </c>
      <c r="D239" s="3" t="s">
        <v>152</v>
      </c>
      <c r="E239" s="3" t="s">
        <v>153</v>
      </c>
      <c r="F239" s="3">
        <v>5</v>
      </c>
      <c r="G239" s="9" t="s">
        <v>154</v>
      </c>
    </row>
    <row r="240" spans="2:7" ht="15">
      <c r="B240" s="17">
        <f>+IF(A240=1,1,B239+1)</f>
        <v>235</v>
      </c>
      <c r="C240" s="5">
        <v>46118</v>
      </c>
      <c r="D240" s="3" t="s">
        <v>239</v>
      </c>
      <c r="E240" s="3" t="s">
        <v>23</v>
      </c>
      <c r="F240" s="3">
        <v>1</v>
      </c>
      <c r="G240" s="9" t="s">
        <v>240</v>
      </c>
    </row>
    <row r="241" spans="2:7" ht="15">
      <c r="B241" s="17">
        <f>+IF(A241=1,1,B240+1)</f>
        <v>236</v>
      </c>
      <c r="C241" s="5">
        <v>46120</v>
      </c>
      <c r="D241" s="3" t="s">
        <v>239</v>
      </c>
      <c r="E241" s="3" t="s">
        <v>23</v>
      </c>
      <c r="F241" s="3">
        <v>1</v>
      </c>
      <c r="G241" s="9" t="s">
        <v>241</v>
      </c>
    </row>
    <row r="242" spans="2:7" ht="15">
      <c r="B242" s="17">
        <f>+IF(A242=1,1,B241+1)</f>
        <v>237</v>
      </c>
      <c r="C242" s="5">
        <v>46122</v>
      </c>
      <c r="D242" s="3" t="s">
        <v>239</v>
      </c>
      <c r="E242" s="3" t="s">
        <v>23</v>
      </c>
      <c r="F242" s="3">
        <v>2</v>
      </c>
      <c r="G242" s="9" t="s">
        <v>242</v>
      </c>
    </row>
    <row r="243" spans="2:7" ht="15">
      <c r="B243" s="17">
        <f>+IF(A243=1,1,B242+1)</f>
        <v>238</v>
      </c>
      <c r="C243" s="5">
        <v>46128</v>
      </c>
      <c r="D243" s="3" t="s">
        <v>239</v>
      </c>
      <c r="E243" s="3" t="s">
        <v>23</v>
      </c>
      <c r="F243" s="3">
        <v>2</v>
      </c>
      <c r="G243" s="9" t="s">
        <v>243</v>
      </c>
    </row>
    <row r="244" spans="2:7" ht="15">
      <c r="B244" s="17">
        <f>+IF(A244=1,1,B243+1)</f>
        <v>239</v>
      </c>
      <c r="C244" s="5">
        <v>46130</v>
      </c>
      <c r="D244" s="3" t="s">
        <v>239</v>
      </c>
      <c r="E244" s="3" t="s">
        <v>23</v>
      </c>
      <c r="F244" s="3">
        <v>2</v>
      </c>
      <c r="G244" s="9" t="s">
        <v>244</v>
      </c>
    </row>
    <row r="245" spans="2:7" ht="15">
      <c r="B245" s="17">
        <f>+IF(A245=1,1,B244+1)</f>
        <v>240</v>
      </c>
      <c r="C245" s="5">
        <v>46132</v>
      </c>
      <c r="D245" s="3" t="s">
        <v>239</v>
      </c>
      <c r="E245" s="3" t="s">
        <v>23</v>
      </c>
      <c r="F245" s="3">
        <v>2</v>
      </c>
      <c r="G245" s="9" t="s">
        <v>245</v>
      </c>
    </row>
    <row r="246" spans="2:7" ht="15">
      <c r="B246" s="17">
        <f>+IF(A246=1,1,B245+1)</f>
        <v>241</v>
      </c>
      <c r="C246" s="5">
        <v>46134</v>
      </c>
      <c r="D246" s="3" t="s">
        <v>239</v>
      </c>
      <c r="E246" s="3" t="s">
        <v>23</v>
      </c>
      <c r="F246" s="3">
        <v>2</v>
      </c>
      <c r="G246" s="9" t="s">
        <v>246</v>
      </c>
    </row>
    <row r="247" spans="2:7" ht="15">
      <c r="B247" s="17">
        <f>+IF(A247=1,1,B246+1)</f>
        <v>242</v>
      </c>
      <c r="C247" s="5">
        <v>46136</v>
      </c>
      <c r="D247" s="3" t="s">
        <v>239</v>
      </c>
      <c r="E247" s="3" t="s">
        <v>23</v>
      </c>
      <c r="F247" s="3">
        <v>1</v>
      </c>
      <c r="G247" s="9" t="s">
        <v>247</v>
      </c>
    </row>
    <row r="248" spans="2:7" ht="15">
      <c r="B248" s="17">
        <f>+IF(A248=1,1,B247+1)</f>
        <v>243</v>
      </c>
      <c r="C248" s="5">
        <v>46137</v>
      </c>
      <c r="D248" s="3" t="s">
        <v>239</v>
      </c>
      <c r="E248" s="3" t="s">
        <v>23</v>
      </c>
      <c r="F248" s="3">
        <v>2</v>
      </c>
      <c r="G248" s="9" t="s">
        <v>248</v>
      </c>
    </row>
    <row r="249" spans="2:7" ht="15">
      <c r="B249" s="17">
        <f>+IF(A249=1,1,B248+1)</f>
        <v>244</v>
      </c>
      <c r="C249" s="5">
        <v>46142</v>
      </c>
      <c r="D249" s="3" t="s">
        <v>239</v>
      </c>
      <c r="E249" s="3" t="s">
        <v>23</v>
      </c>
      <c r="F249" s="3">
        <v>2</v>
      </c>
      <c r="G249" s="9" t="s">
        <v>249</v>
      </c>
    </row>
    <row r="250" spans="2:7" ht="15">
      <c r="B250" s="17">
        <f>+IF(A250=1,1,B249+1)</f>
        <v>245</v>
      </c>
      <c r="C250" s="5">
        <v>46147</v>
      </c>
      <c r="D250" s="3" t="s">
        <v>239</v>
      </c>
      <c r="E250" s="3" t="s">
        <v>23</v>
      </c>
      <c r="F250" s="3">
        <v>1</v>
      </c>
      <c r="G250" s="9" t="s">
        <v>250</v>
      </c>
    </row>
    <row r="251" spans="2:7" ht="15">
      <c r="B251" s="17">
        <f>+IF(A251=1,1,B250+1)</f>
        <v>246</v>
      </c>
      <c r="C251" s="5">
        <v>46150</v>
      </c>
      <c r="D251" s="3" t="s">
        <v>239</v>
      </c>
      <c r="E251" s="3" t="s">
        <v>23</v>
      </c>
      <c r="F251" s="3">
        <v>1</v>
      </c>
      <c r="G251" s="9" t="s">
        <v>251</v>
      </c>
    </row>
    <row r="252" spans="2:7" ht="15">
      <c r="B252" s="17">
        <f>+IF(A252=1,1,B251+1)</f>
        <v>247</v>
      </c>
      <c r="C252" s="5">
        <v>46156</v>
      </c>
      <c r="D252" s="3" t="s">
        <v>239</v>
      </c>
      <c r="E252" s="3" t="s">
        <v>23</v>
      </c>
      <c r="F252" s="3">
        <v>1</v>
      </c>
      <c r="G252" s="9" t="s">
        <v>252</v>
      </c>
    </row>
    <row r="253" spans="2:7" ht="15">
      <c r="B253" s="17">
        <f>+IF(A253=1,1,B252+1)</f>
        <v>248</v>
      </c>
      <c r="C253" s="40">
        <v>46118</v>
      </c>
      <c r="D253" s="3" t="s">
        <v>253</v>
      </c>
      <c r="E253" s="3" t="s">
        <v>225</v>
      </c>
      <c r="F253" s="3">
        <v>2</v>
      </c>
      <c r="G253" s="9" t="s">
        <v>254</v>
      </c>
    </row>
    <row r="254" spans="2:7" ht="15">
      <c r="B254" s="17">
        <f>+IF(A254=1,1,B253+1)</f>
        <v>249</v>
      </c>
      <c r="C254" s="41">
        <v>46119</v>
      </c>
      <c r="D254" s="3" t="s">
        <v>253</v>
      </c>
      <c r="E254" s="3" t="s">
        <v>225</v>
      </c>
      <c r="F254" s="3">
        <v>1</v>
      </c>
      <c r="G254" s="9" t="s">
        <v>255</v>
      </c>
    </row>
    <row r="255" spans="2:7" ht="15">
      <c r="B255" s="17">
        <f>+IF(A255=1,1,B254+1)</f>
        <v>250</v>
      </c>
      <c r="C255" s="41">
        <v>46120</v>
      </c>
      <c r="D255" s="3" t="s">
        <v>253</v>
      </c>
      <c r="E255" s="3" t="s">
        <v>225</v>
      </c>
      <c r="F255" s="3">
        <v>1</v>
      </c>
      <c r="G255" s="9" t="s">
        <v>256</v>
      </c>
    </row>
    <row r="256" spans="2:7" ht="15">
      <c r="B256" s="17">
        <f>+IF(A256=1,1,B255+1)</f>
        <v>251</v>
      </c>
      <c r="C256" s="41">
        <v>46121</v>
      </c>
      <c r="D256" s="3" t="s">
        <v>253</v>
      </c>
      <c r="E256" s="3" t="s">
        <v>225</v>
      </c>
      <c r="F256" s="3">
        <v>2</v>
      </c>
      <c r="G256" s="9" t="s">
        <v>257</v>
      </c>
    </row>
    <row r="257" spans="2:7" ht="15">
      <c r="B257" s="17">
        <f>+IF(A257=1,1,B256+1)</f>
        <v>252</v>
      </c>
      <c r="C257" s="41">
        <v>46122</v>
      </c>
      <c r="D257" s="3" t="s">
        <v>253</v>
      </c>
      <c r="E257" s="3" t="s">
        <v>225</v>
      </c>
      <c r="F257" s="3">
        <v>1</v>
      </c>
      <c r="G257" s="9" t="s">
        <v>258</v>
      </c>
    </row>
    <row r="258" spans="2:7" ht="15">
      <c r="B258" s="17">
        <f>+IF(A258=1,1,B257+1)</f>
        <v>253</v>
      </c>
      <c r="C258" s="41">
        <v>46124</v>
      </c>
      <c r="D258" s="3" t="s">
        <v>253</v>
      </c>
      <c r="E258" s="3" t="s">
        <v>225</v>
      </c>
      <c r="F258" s="3">
        <v>1</v>
      </c>
      <c r="G258" s="9" t="s">
        <v>259</v>
      </c>
    </row>
    <row r="259" spans="2:7" ht="15">
      <c r="B259" s="17">
        <f>+IF(A259=1,1,B258+1)</f>
        <v>254</v>
      </c>
      <c r="C259" s="41">
        <v>46127</v>
      </c>
      <c r="D259" s="3" t="s">
        <v>253</v>
      </c>
      <c r="E259" s="3" t="s">
        <v>225</v>
      </c>
      <c r="F259" s="3">
        <v>2</v>
      </c>
      <c r="G259" s="9" t="s">
        <v>260</v>
      </c>
    </row>
    <row r="260" spans="2:7" ht="15">
      <c r="B260" s="17">
        <f>+IF(A260=1,1,B259+1)</f>
        <v>255</v>
      </c>
      <c r="C260" s="41">
        <v>46129</v>
      </c>
      <c r="D260" s="3" t="s">
        <v>253</v>
      </c>
      <c r="E260" s="3" t="s">
        <v>225</v>
      </c>
      <c r="F260" s="3">
        <v>1</v>
      </c>
      <c r="G260" s="9" t="s">
        <v>261</v>
      </c>
    </row>
    <row r="261" spans="2:7" ht="15">
      <c r="B261" s="17">
        <f>+IF(A261=1,1,B260+1)</f>
        <v>256</v>
      </c>
      <c r="C261" s="41">
        <v>46131</v>
      </c>
      <c r="D261" s="3" t="s">
        <v>253</v>
      </c>
      <c r="E261" s="3" t="s">
        <v>225</v>
      </c>
      <c r="F261" s="3">
        <v>1</v>
      </c>
      <c r="G261" s="9" t="s">
        <v>262</v>
      </c>
    </row>
    <row r="262" spans="2:7" ht="15">
      <c r="B262" s="17">
        <f>+IF(A262=1,1,B261+1)</f>
        <v>257</v>
      </c>
      <c r="C262" s="41">
        <v>46134</v>
      </c>
      <c r="D262" s="3" t="s">
        <v>253</v>
      </c>
      <c r="E262" s="3" t="s">
        <v>225</v>
      </c>
      <c r="F262" s="3">
        <v>2</v>
      </c>
      <c r="G262" s="9" t="s">
        <v>263</v>
      </c>
    </row>
    <row r="263" spans="2:7" ht="15">
      <c r="B263" s="17">
        <f>+IF(A263=1,1,B262+1)</f>
        <v>258</v>
      </c>
      <c r="C263" s="41">
        <v>46136</v>
      </c>
      <c r="D263" s="3" t="s">
        <v>253</v>
      </c>
      <c r="E263" s="3" t="s">
        <v>225</v>
      </c>
      <c r="F263" s="3">
        <v>1</v>
      </c>
      <c r="G263" s="9" t="s">
        <v>264</v>
      </c>
    </row>
    <row r="264" spans="2:7" ht="15">
      <c r="B264" s="17">
        <f>+IF(A264=1,1,B263+1)</f>
        <v>259</v>
      </c>
      <c r="C264" s="41">
        <v>46138</v>
      </c>
      <c r="D264" s="3" t="s">
        <v>253</v>
      </c>
      <c r="E264" s="3" t="s">
        <v>225</v>
      </c>
      <c r="F264" s="3">
        <v>1</v>
      </c>
      <c r="G264" s="9" t="s">
        <v>265</v>
      </c>
    </row>
    <row r="265" spans="2:7" ht="15">
      <c r="B265" s="17">
        <f>+IF(A265=1,1,B264+1)</f>
        <v>260</v>
      </c>
      <c r="C265" s="41">
        <v>46141</v>
      </c>
      <c r="D265" s="3" t="s">
        <v>253</v>
      </c>
      <c r="E265" s="3" t="s">
        <v>225</v>
      </c>
      <c r="F265" s="3">
        <v>2</v>
      </c>
      <c r="G265" s="9" t="s">
        <v>266</v>
      </c>
    </row>
    <row r="266" spans="2:7" ht="15">
      <c r="B266" s="17">
        <f>+IF(A266=1,1,B265+1)</f>
        <v>261</v>
      </c>
      <c r="C266" s="41">
        <v>46146</v>
      </c>
      <c r="D266" s="3" t="s">
        <v>253</v>
      </c>
      <c r="E266" s="3" t="s">
        <v>225</v>
      </c>
      <c r="F266" s="3">
        <v>1</v>
      </c>
      <c r="G266" s="9" t="s">
        <v>267</v>
      </c>
    </row>
    <row r="267" spans="2:7" ht="15">
      <c r="B267" s="17">
        <f>+IF(A267=1,1,B266+1)</f>
        <v>262</v>
      </c>
      <c r="C267" s="41">
        <v>46147</v>
      </c>
      <c r="D267" s="3" t="s">
        <v>253</v>
      </c>
      <c r="E267" s="3" t="s">
        <v>225</v>
      </c>
      <c r="F267" s="3">
        <v>1</v>
      </c>
      <c r="G267" s="9" t="s">
        <v>268</v>
      </c>
    </row>
    <row r="268" spans="2:7" ht="15">
      <c r="B268" s="17">
        <f>+IF(A268=1,1,B267+1)</f>
        <v>263</v>
      </c>
      <c r="C268" s="41">
        <v>46149</v>
      </c>
      <c r="D268" s="3" t="s">
        <v>253</v>
      </c>
      <c r="E268" s="3" t="s">
        <v>225</v>
      </c>
      <c r="F268" s="3">
        <v>2</v>
      </c>
      <c r="G268" s="9" t="s">
        <v>269</v>
      </c>
    </row>
    <row r="269" spans="2:7" ht="15">
      <c r="B269" s="17">
        <f>+IF(A269=1,1,B268+1)</f>
        <v>264</v>
      </c>
      <c r="C269" s="41">
        <v>46150</v>
      </c>
      <c r="D269" s="3" t="s">
        <v>253</v>
      </c>
      <c r="E269" s="3" t="s">
        <v>225</v>
      </c>
      <c r="F269" s="3">
        <v>1</v>
      </c>
      <c r="G269" s="9" t="s">
        <v>270</v>
      </c>
    </row>
    <row r="270" spans="2:7" ht="15">
      <c r="B270" s="17">
        <f>+IF(A270=1,1,B269+1)</f>
        <v>265</v>
      </c>
      <c r="C270" s="41">
        <v>46152</v>
      </c>
      <c r="D270" s="3" t="s">
        <v>253</v>
      </c>
      <c r="E270" s="3" t="s">
        <v>225</v>
      </c>
      <c r="F270" s="3">
        <v>1</v>
      </c>
      <c r="G270" s="9" t="s">
        <v>271</v>
      </c>
    </row>
    <row r="271" spans="2:7" ht="15">
      <c r="B271" s="17">
        <f>+IF(A271=1,1,B270+1)</f>
        <v>266</v>
      </c>
      <c r="C271" s="41">
        <v>46155</v>
      </c>
      <c r="D271" s="3" t="s">
        <v>253</v>
      </c>
      <c r="E271" s="3" t="s">
        <v>225</v>
      </c>
      <c r="F271" s="3">
        <v>2</v>
      </c>
      <c r="G271" s="9" t="s">
        <v>272</v>
      </c>
    </row>
    <row r="272" spans="2:7" ht="15">
      <c r="B272" s="17">
        <f>+IF(A272=1,1,B271+1)</f>
        <v>267</v>
      </c>
      <c r="C272" s="41">
        <v>46157</v>
      </c>
      <c r="D272" s="3" t="s">
        <v>253</v>
      </c>
      <c r="E272" s="3" t="s">
        <v>225</v>
      </c>
      <c r="F272" s="3">
        <v>1</v>
      </c>
      <c r="G272" s="9" t="s">
        <v>273</v>
      </c>
    </row>
    <row r="273" spans="2:7" ht="15">
      <c r="B273" s="17">
        <f>+IF(A273=1,1,B272+1)</f>
        <v>268</v>
      </c>
      <c r="C273" s="41">
        <v>46159</v>
      </c>
      <c r="D273" s="3" t="s">
        <v>253</v>
      </c>
      <c r="E273" s="3" t="s">
        <v>225</v>
      </c>
      <c r="F273" s="3">
        <v>1</v>
      </c>
      <c r="G273" s="9" t="s">
        <v>274</v>
      </c>
    </row>
    <row r="274" spans="2:7" ht="15">
      <c r="B274" s="17">
        <f>+IF(A274=1,1,B273+1)</f>
        <v>269</v>
      </c>
      <c r="C274" s="41">
        <v>46160</v>
      </c>
      <c r="D274" s="3" t="s">
        <v>253</v>
      </c>
      <c r="E274" s="3" t="s">
        <v>225</v>
      </c>
      <c r="F274" s="3">
        <v>2</v>
      </c>
      <c r="G274" s="9" t="s">
        <v>275</v>
      </c>
    </row>
    <row r="275" spans="2:7" ht="15">
      <c r="B275" s="17">
        <f>+IF(A275=1,1,B274+1)</f>
        <v>270</v>
      </c>
      <c r="C275" s="41">
        <v>46162</v>
      </c>
      <c r="D275" s="3" t="s">
        <v>253</v>
      </c>
      <c r="E275" s="3" t="s">
        <v>225</v>
      </c>
      <c r="F275" s="3">
        <v>2</v>
      </c>
      <c r="G275" s="9" t="s">
        <v>276</v>
      </c>
    </row>
    <row r="276" spans="2:7" ht="15">
      <c r="B276" s="21">
        <f>+IF(A276=1,1,B275+1)</f>
        <v>271</v>
      </c>
      <c r="C276" s="44">
        <v>46163</v>
      </c>
      <c r="D276" s="3" t="s">
        <v>253</v>
      </c>
      <c r="E276" s="3" t="s">
        <v>225</v>
      </c>
      <c r="F276" s="3">
        <v>1</v>
      </c>
      <c r="G276" s="29" t="s">
        <v>277</v>
      </c>
    </row>
    <row r="277" spans="2:7" ht="29.25">
      <c r="B277" s="21">
        <f>+IF(A277=1,1,B276+1)</f>
        <v>272</v>
      </c>
      <c r="C277" s="44">
        <v>46155</v>
      </c>
      <c r="D277" s="23" t="s">
        <v>278</v>
      </c>
      <c r="E277" s="23" t="s">
        <v>23</v>
      </c>
      <c r="F277" s="23">
        <v>4</v>
      </c>
      <c r="G277" s="29" t="s">
        <v>279</v>
      </c>
    </row>
  </sheetData>
  <mergeCells count="2">
    <mergeCell ref="B2:G2"/>
    <mergeCell ref="B3:G3"/>
  </mergeCells>
  <dataValidations count="6">
    <dataValidation type="date" operator="greaterThanOrEqual" allowBlank="1" showInputMessage="1" showErrorMessage="1" sqref="C6:C277" xr:uid="{2CE217B8-BB81-44C6-B462-7C26BC73D90A}">
      <formula1>45658</formula1>
    </dataValidation>
    <dataValidation type="list" allowBlank="1" showInputMessage="1" showErrorMessage="1" errorTitle="Estudiante Inexistente" error="Por favor elija entre el listado el estudiante becario que corresponda." sqref="D6:D277" xr:uid="{698C5D7D-4329-4CE6-B710-F2885BCD5AA9}">
      <formula1>Estudiantes</formula1>
    </dataValidation>
    <dataValidation type="decimal" allowBlank="1" showInputMessage="1" showErrorMessage="1" errorTitle="Cantidad No Valida" error="La cantidad de horas a registrar por dia debe ser superior a 0 y no mayor a las 8 horas." sqref="G6 F6:F77" xr:uid="{7D7A7D45-1670-484C-9726-8FEACC80FE64}">
      <formula1>0.1</formula1>
      <formula2>8</formula2>
    </dataValidation>
    <dataValidation type="textLength" operator="lessThan" allowBlank="1" showInputMessage="1" showErrorMessage="1" sqref="G7" xr:uid="{7E556882-3B55-46B0-A873-0A5A490AC1DC}">
      <formula1>1000</formula1>
    </dataValidation>
    <dataValidation operator="greaterThanOrEqual" allowBlank="1" showInputMessage="1" showErrorMessage="1" sqref="B6:B277" xr:uid="{9C85D7AB-03A7-4FB4-B496-6ECC9EC0FF3A}"/>
    <dataValidation type="list" allowBlank="1" showInputMessage="1" showErrorMessage="1" sqref="E6:E277" xr:uid="{2CF1BD63-1965-4C93-9D96-ADF5CF4BE5F2}">
      <formula1>Sub_Dependencia</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1E88B-58C4-4A5D-BAC3-EF94A17EE5E0}">
  <sheetPr codeName="Hoja2">
    <tabColor theme="5" tint="0.39997558519241921"/>
  </sheetPr>
  <dimension ref="B2:L41"/>
  <sheetViews>
    <sheetView showGridLines="0" topLeftCell="A4" zoomScale="90" zoomScaleNormal="90" workbookViewId="0">
      <selection activeCell="J6" sqref="J6"/>
    </sheetView>
  </sheetViews>
  <sheetFormatPr defaultColWidth="11.42578125" defaultRowHeight="14.25"/>
  <cols>
    <col min="2" max="2" width="18" bestFit="1" customWidth="1"/>
    <col min="3" max="3" width="43.5703125" customWidth="1"/>
    <col min="4" max="4" width="13.42578125" bestFit="1" customWidth="1"/>
    <col min="5" max="5" width="27.7109375" bestFit="1" customWidth="1"/>
    <col min="6" max="6" width="22.5703125" bestFit="1" customWidth="1"/>
    <col min="7" max="7" width="28.85546875" bestFit="1" customWidth="1"/>
    <col min="8" max="8" width="27.42578125" bestFit="1" customWidth="1"/>
    <col min="9" max="9" width="22.5703125" bestFit="1" customWidth="1"/>
    <col min="10" max="10" width="23.42578125" bestFit="1" customWidth="1"/>
    <col min="11" max="11" width="24" bestFit="1" customWidth="1"/>
    <col min="12" max="12" width="17.42578125" bestFit="1" customWidth="1"/>
  </cols>
  <sheetData>
    <row r="2" spans="2:12" ht="20.45" thickBot="1">
      <c r="B2" s="14" t="s">
        <v>280</v>
      </c>
      <c r="C2" s="14"/>
      <c r="D2" s="14"/>
      <c r="E2" s="14"/>
      <c r="F2" s="14"/>
      <c r="G2" s="14"/>
      <c r="H2" s="14"/>
      <c r="I2" s="14"/>
      <c r="J2" s="14"/>
      <c r="K2" s="14"/>
      <c r="L2" s="14"/>
    </row>
    <row r="3" spans="2:12" ht="31.15" customHeight="1" thickTop="1">
      <c r="B3" s="15" t="s">
        <v>281</v>
      </c>
      <c r="C3" s="15"/>
      <c r="D3" s="15"/>
      <c r="E3" s="15"/>
      <c r="F3" s="15"/>
      <c r="G3" s="15"/>
      <c r="H3" s="15"/>
      <c r="I3" s="15"/>
      <c r="J3" s="15"/>
      <c r="K3" s="15"/>
      <c r="L3" s="15"/>
    </row>
    <row r="5" spans="2:12">
      <c r="B5" s="1" t="s">
        <v>282</v>
      </c>
      <c r="C5" s="1" t="s">
        <v>18</v>
      </c>
      <c r="D5" s="1" t="s">
        <v>283</v>
      </c>
      <c r="E5" s="1" t="s">
        <v>284</v>
      </c>
      <c r="F5" s="1" t="s">
        <v>285</v>
      </c>
      <c r="G5" s="1" t="s">
        <v>286</v>
      </c>
      <c r="H5" s="1" t="s">
        <v>287</v>
      </c>
      <c r="I5" s="1" t="s">
        <v>288</v>
      </c>
      <c r="J5" s="1" t="s">
        <v>289</v>
      </c>
      <c r="K5" s="1" t="s">
        <v>290</v>
      </c>
      <c r="L5" s="1" t="s">
        <v>291</v>
      </c>
    </row>
    <row r="6" spans="2:12">
      <c r="B6" s="2">
        <f>+_xlfn.XLOOKUP(Estudiantes_Becados[[#This Row],[CÓDIGO]],Total_Estudiantes[CÓDIGO],Total_Estudiantes[ASPIRANTE_ID],"")</f>
        <v>91523</v>
      </c>
      <c r="C6" s="2" t="str">
        <f>+_xlfn.XLOOKUP(Estudiantes_Becados[[#This Row],[CÓDIGO]],Total_Estudiantes[CÓDIGO],Total_Estudiantes[NOMBRE],"")</f>
        <v>ANA MARÍA CADENA PÉREZ</v>
      </c>
      <c r="D6" s="1">
        <v>55826004</v>
      </c>
      <c r="E6" s="1" t="s">
        <v>292</v>
      </c>
      <c r="F6" s="1">
        <v>1</v>
      </c>
      <c r="G6" s="1" t="s">
        <v>292</v>
      </c>
      <c r="H6" s="1" t="s">
        <v>293</v>
      </c>
      <c r="I6" s="1">
        <v>20</v>
      </c>
      <c r="J6" s="2">
        <f>+SUMIF(Bitacora[ESTUDIANTE],Estudiantes_Becados[[#This Row],[ESTUDIANTE]],Bitacora[HORAS A REGISTRAR])</f>
        <v>20</v>
      </c>
      <c r="K6" s="2">
        <f>+IF(Estudiantes_Becados[[#This Row],[HORAS A REALIZAR]]-Estudiantes_Becados[[#This Row],[HORAS REALIZADAS]]&lt;0,0,Estudiantes_Becados[[#This Row],[HORAS A REALIZAR]]-Estudiantes_Becados[[#This Row],[HORAS REALIZADAS]])</f>
        <v>0</v>
      </c>
      <c r="L6"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7" spans="2:12">
      <c r="B7" s="2">
        <f>+_xlfn.XLOOKUP(Estudiantes_Becados[[#This Row],[CÓDIGO]],Total_Estudiantes[CÓDIGO],Total_Estudiantes[ASPIRANTE_ID],"")</f>
        <v>86088</v>
      </c>
      <c r="C7" s="2" t="str">
        <f>+_xlfn.XLOOKUP(Estudiantes_Becados[[#This Row],[CÓDIGO]],Total_Estudiantes[CÓDIGO],Total_Estudiantes[NOMBRE],"")</f>
        <v>ANA MARIA MORA ROJAS</v>
      </c>
      <c r="D7" s="1">
        <v>55824502</v>
      </c>
      <c r="E7" s="1" t="s">
        <v>292</v>
      </c>
      <c r="F7" s="1">
        <v>4</v>
      </c>
      <c r="G7" s="1" t="s">
        <v>292</v>
      </c>
      <c r="H7" s="1" t="s">
        <v>293</v>
      </c>
      <c r="I7" s="1">
        <v>30</v>
      </c>
      <c r="J7" s="2">
        <f>+SUMIF(Bitacora[ESTUDIANTE],Estudiantes_Becados[[#This Row],[ESTUDIANTE]],Bitacora[HORAS A REGISTRAR])</f>
        <v>30</v>
      </c>
      <c r="K7" s="2">
        <f>+IF(Estudiantes_Becados[[#This Row],[HORAS A REALIZAR]]-Estudiantes_Becados[[#This Row],[HORAS REALIZADAS]]&lt;0,0,Estudiantes_Becados[[#This Row],[HORAS A REALIZAR]]-Estudiantes_Becados[[#This Row],[HORAS REALIZADAS]])</f>
        <v>0</v>
      </c>
      <c r="L7"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8" spans="2:12">
      <c r="B8" s="2">
        <f>+_xlfn.XLOOKUP(Estudiantes_Becados[[#This Row],[CÓDIGO]],Total_Estudiantes[CÓDIGO],Total_Estudiantes[ASPIRANTE_ID],"")</f>
        <v>92384</v>
      </c>
      <c r="C8" s="2" t="str">
        <f>+_xlfn.XLOOKUP(Estudiantes_Becados[[#This Row],[CÓDIGO]],Total_Estudiantes[CÓDIGO],Total_Estudiantes[NOMBRE],"")</f>
        <v>ANGIE JULIANA MENDIVELSO MORENO</v>
      </c>
      <c r="D8" s="1">
        <v>55826023</v>
      </c>
      <c r="E8" s="1" t="s">
        <v>292</v>
      </c>
      <c r="F8" s="1">
        <v>1</v>
      </c>
      <c r="G8" s="1" t="s">
        <v>292</v>
      </c>
      <c r="H8" s="1" t="s">
        <v>293</v>
      </c>
      <c r="I8" s="1">
        <v>20</v>
      </c>
      <c r="J8" s="2">
        <f>+SUMIF(Bitacora[ESTUDIANTE],Estudiantes_Becados[[#This Row],[ESTUDIANTE]],Bitacora[HORAS A REGISTRAR])</f>
        <v>20</v>
      </c>
      <c r="K8" s="2">
        <f>+IF(Estudiantes_Becados[[#This Row],[HORAS A REALIZAR]]-Estudiantes_Becados[[#This Row],[HORAS REALIZADAS]]&lt;0,0,Estudiantes_Becados[[#This Row],[HORAS A REALIZAR]]-Estudiantes_Becados[[#This Row],[HORAS REALIZADAS]])</f>
        <v>0</v>
      </c>
      <c r="L8"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9" spans="2:12">
      <c r="B9" s="2">
        <f>+_xlfn.XLOOKUP(Estudiantes_Becados[[#This Row],[CÓDIGO]],Total_Estudiantes[CÓDIGO],Total_Estudiantes[ASPIRANTE_ID],"")</f>
        <v>90202</v>
      </c>
      <c r="C9" s="2" t="str">
        <f>+_xlfn.XLOOKUP(Estudiantes_Becados[[#This Row],[CÓDIGO]],Total_Estudiantes[CÓDIGO],Total_Estudiantes[NOMBRE],"")</f>
        <v>DANNA NICOLLE QUEMBA BARÓN</v>
      </c>
      <c r="D9" s="1">
        <v>55825504</v>
      </c>
      <c r="E9" s="1" t="s">
        <v>292</v>
      </c>
      <c r="F9" s="1">
        <v>2</v>
      </c>
      <c r="G9" s="1" t="s">
        <v>292</v>
      </c>
      <c r="H9" s="1" t="s">
        <v>293</v>
      </c>
      <c r="I9" s="1">
        <v>30</v>
      </c>
      <c r="J9" s="2">
        <f>+SUMIF(Bitacora[ESTUDIANTE],Estudiantes_Becados[[#This Row],[ESTUDIANTE]],Bitacora[HORAS A REGISTRAR])</f>
        <v>30</v>
      </c>
      <c r="K9" s="2">
        <f>+IF(Estudiantes_Becados[[#This Row],[HORAS A REALIZAR]]-Estudiantes_Becados[[#This Row],[HORAS REALIZADAS]]&lt;0,0,Estudiantes_Becados[[#This Row],[HORAS A REALIZAR]]-Estudiantes_Becados[[#This Row],[HORAS REALIZADAS]])</f>
        <v>0</v>
      </c>
      <c r="L9"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10" spans="2:12">
      <c r="B10" s="2">
        <f>+_xlfn.XLOOKUP(Estudiantes_Becados[[#This Row],[CÓDIGO]],Total_Estudiantes[CÓDIGO],Total_Estudiantes[ASPIRANTE_ID],"")</f>
        <v>92015</v>
      </c>
      <c r="C10" s="2" t="str">
        <f>+_xlfn.XLOOKUP(Estudiantes_Becados[[#This Row],[CÓDIGO]],Total_Estudiantes[CÓDIGO],Total_Estudiantes[NOMBRE],"")</f>
        <v>DAVID FERNANDO MARTINEZ RODRIGUEZ</v>
      </c>
      <c r="D10" s="1">
        <v>55826018</v>
      </c>
      <c r="E10" s="1" t="s">
        <v>292</v>
      </c>
      <c r="F10" s="1">
        <v>1</v>
      </c>
      <c r="G10" s="1" t="s">
        <v>292</v>
      </c>
      <c r="H10" s="1" t="s">
        <v>293</v>
      </c>
      <c r="I10" s="1">
        <v>20</v>
      </c>
      <c r="J10" s="2">
        <f>+SUMIF(Bitacora[ESTUDIANTE],Estudiantes_Becados[[#This Row],[ESTUDIANTE]],Bitacora[HORAS A REGISTRAR])</f>
        <v>20</v>
      </c>
      <c r="K10" s="2">
        <f>+IF(Estudiantes_Becados[[#This Row],[HORAS A REALIZAR]]-Estudiantes_Becados[[#This Row],[HORAS REALIZADAS]]&lt;0,0,Estudiantes_Becados[[#This Row],[HORAS A REALIZAR]]-Estudiantes_Becados[[#This Row],[HORAS REALIZADAS]])</f>
        <v>0</v>
      </c>
      <c r="L10"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11" spans="2:12">
      <c r="B11" s="2">
        <f>+_xlfn.XLOOKUP(Estudiantes_Becados[[#This Row],[CÓDIGO]],Total_Estudiantes[CÓDIGO],Total_Estudiantes[ASPIRANTE_ID],"")</f>
        <v>90555</v>
      </c>
      <c r="C11" s="2" t="str">
        <f>+_xlfn.XLOOKUP(Estudiantes_Becados[[#This Row],[CÓDIGO]],Total_Estudiantes[CÓDIGO],Total_Estudiantes[NOMBRE],"")</f>
        <v>DAVID FRANCISCO PINZÓN DÍAZ</v>
      </c>
      <c r="D11" s="1">
        <v>55825507</v>
      </c>
      <c r="E11" s="1" t="s">
        <v>292</v>
      </c>
      <c r="F11" s="1">
        <v>2</v>
      </c>
      <c r="G11" s="1" t="s">
        <v>292</v>
      </c>
      <c r="H11" s="1" t="s">
        <v>293</v>
      </c>
      <c r="I11" s="1">
        <v>20</v>
      </c>
      <c r="J11" s="2">
        <f>+SUMIF(Bitacora[ESTUDIANTE],Estudiantes_Becados[[#This Row],[ESTUDIANTE]],Bitacora[HORAS A REGISTRAR])</f>
        <v>20</v>
      </c>
      <c r="K11" s="2">
        <f>+IF(Estudiantes_Becados[[#This Row],[HORAS A REALIZAR]]-Estudiantes_Becados[[#This Row],[HORAS REALIZADAS]]&lt;0,0,Estudiantes_Becados[[#This Row],[HORAS A REALIZAR]]-Estudiantes_Becados[[#This Row],[HORAS REALIZADAS]])</f>
        <v>0</v>
      </c>
      <c r="L11"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12" spans="2:12">
      <c r="B12" s="2">
        <f>+_xlfn.XLOOKUP(Estudiantes_Becados[[#This Row],[CÓDIGO]],Total_Estudiantes[CÓDIGO],Total_Estudiantes[ASPIRANTE_ID],"")</f>
        <v>90331</v>
      </c>
      <c r="C12" s="2" t="str">
        <f>+_xlfn.XLOOKUP(Estudiantes_Becados[[#This Row],[CÓDIGO]],Total_Estudiantes[CÓDIGO],Total_Estudiantes[NOMBRE],"")</f>
        <v>DYLAN ANTONIO RUEDA ROCHA</v>
      </c>
      <c r="D12" s="1">
        <v>55825506</v>
      </c>
      <c r="E12" s="1" t="s">
        <v>292</v>
      </c>
      <c r="F12" s="1">
        <v>2</v>
      </c>
      <c r="G12" s="1" t="s">
        <v>292</v>
      </c>
      <c r="H12" s="1" t="s">
        <v>293</v>
      </c>
      <c r="I12" s="1">
        <v>20</v>
      </c>
      <c r="J12" s="2">
        <f>+SUMIF(Bitacora[ESTUDIANTE],Estudiantes_Becados[[#This Row],[ESTUDIANTE]],Bitacora[HORAS A REGISTRAR])</f>
        <v>20</v>
      </c>
      <c r="K12" s="2">
        <f>+IF(Estudiantes_Becados[[#This Row],[HORAS A REALIZAR]]-Estudiantes_Becados[[#This Row],[HORAS REALIZADAS]]&lt;0,0,Estudiantes_Becados[[#This Row],[HORAS A REALIZAR]]-Estudiantes_Becados[[#This Row],[HORAS REALIZADAS]])</f>
        <v>0</v>
      </c>
      <c r="L12"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13" spans="2:12">
      <c r="B13" s="2">
        <f>+_xlfn.XLOOKUP(Estudiantes_Becados[[#This Row],[CÓDIGO]],Total_Estudiantes[CÓDIGO],Total_Estudiantes[ASPIRANTE_ID],"")</f>
        <v>91414</v>
      </c>
      <c r="C13" s="2" t="str">
        <f>+_xlfn.XLOOKUP(Estudiantes_Becados[[#This Row],[CÓDIGO]],Total_Estudiantes[CÓDIGO],Total_Estudiantes[NOMBRE],"")</f>
        <v>ISABELLA GARCÍA MORA</v>
      </c>
      <c r="D13" s="1">
        <v>55826009</v>
      </c>
      <c r="E13" s="1" t="s">
        <v>292</v>
      </c>
      <c r="F13" s="1">
        <v>1</v>
      </c>
      <c r="G13" s="1" t="s">
        <v>292</v>
      </c>
      <c r="H13" s="1" t="s">
        <v>293</v>
      </c>
      <c r="I13" s="1">
        <v>20</v>
      </c>
      <c r="J13" s="2">
        <f>+SUMIF(Bitacora[ESTUDIANTE],Estudiantes_Becados[[#This Row],[ESTUDIANTE]],Bitacora[HORAS A REGISTRAR])</f>
        <v>20</v>
      </c>
      <c r="K13" s="2">
        <f>+IF(Estudiantes_Becados[[#This Row],[HORAS A REALIZAR]]-Estudiantes_Becados[[#This Row],[HORAS REALIZADAS]]&lt;0,0,Estudiantes_Becados[[#This Row],[HORAS A REALIZAR]]-Estudiantes_Becados[[#This Row],[HORAS REALIZADAS]])</f>
        <v>0</v>
      </c>
      <c r="L13"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14" spans="2:12">
      <c r="B14" s="2">
        <f>+_xlfn.XLOOKUP(Estudiantes_Becados[[#This Row],[CÓDIGO]],Total_Estudiantes[CÓDIGO],Total_Estudiantes[ASPIRANTE_ID],"")</f>
        <v>91824</v>
      </c>
      <c r="C14" s="2" t="str">
        <f>+_xlfn.XLOOKUP(Estudiantes_Becados[[#This Row],[CÓDIGO]],Total_Estudiantes[CÓDIGO],Total_Estudiantes[NOMBRE],"")</f>
        <v>JAVIER SANTIAGO LEÓN RICO</v>
      </c>
      <c r="D14" s="1">
        <v>55826013</v>
      </c>
      <c r="E14" s="1" t="s">
        <v>292</v>
      </c>
      <c r="F14" s="1">
        <v>1</v>
      </c>
      <c r="G14" s="1" t="s">
        <v>292</v>
      </c>
      <c r="H14" s="1" t="s">
        <v>293</v>
      </c>
      <c r="I14" s="1">
        <v>20</v>
      </c>
      <c r="J14" s="2">
        <f>+SUMIF(Bitacora[ESTUDIANTE],Estudiantes_Becados[[#This Row],[ESTUDIANTE]],Bitacora[HORAS A REGISTRAR])</f>
        <v>0</v>
      </c>
      <c r="K14" s="2">
        <f>+IF(Estudiantes_Becados[[#This Row],[HORAS A REALIZAR]]-Estudiantes_Becados[[#This Row],[HORAS REALIZADAS]]&lt;0,0,Estudiantes_Becados[[#This Row],[HORAS A REALIZAR]]-Estudiantes_Becados[[#This Row],[HORAS REALIZADAS]])</f>
        <v>20</v>
      </c>
      <c r="L14"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NO SE HA INICIADO</v>
      </c>
    </row>
    <row r="15" spans="2:12">
      <c r="B15" s="2">
        <f>+_xlfn.XLOOKUP(Estudiantes_Becados[[#This Row],[CÓDIGO]],Total_Estudiantes[CÓDIGO],Total_Estudiantes[ASPIRANTE_ID],"")</f>
        <v>92244</v>
      </c>
      <c r="C15" s="2" t="str">
        <f>+_xlfn.XLOOKUP(Estudiantes_Becados[[#This Row],[CÓDIGO]],Total_Estudiantes[CÓDIGO],Total_Estudiantes[NOMBRE],"")</f>
        <v>JOEL  ESTEBAN SOLANO LARGO</v>
      </c>
      <c r="D15" s="1">
        <v>55826021</v>
      </c>
      <c r="E15" s="1" t="s">
        <v>292</v>
      </c>
      <c r="F15" s="1">
        <v>1</v>
      </c>
      <c r="G15" s="1" t="s">
        <v>292</v>
      </c>
      <c r="H15" s="1" t="s">
        <v>293</v>
      </c>
      <c r="I15" s="1">
        <v>20</v>
      </c>
      <c r="J15" s="2">
        <f>+SUMIF(Bitacora[ESTUDIANTE],Estudiantes_Becados[[#This Row],[ESTUDIANTE]],Bitacora[HORAS A REGISTRAR])</f>
        <v>20</v>
      </c>
      <c r="K15" s="2">
        <f>+IF(Estudiantes_Becados[[#This Row],[HORAS A REALIZAR]]-Estudiantes_Becados[[#This Row],[HORAS REALIZADAS]]&lt;0,0,Estudiantes_Becados[[#This Row],[HORAS A REALIZAR]]-Estudiantes_Becados[[#This Row],[HORAS REALIZADAS]])</f>
        <v>0</v>
      </c>
      <c r="L15"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16" spans="2:12">
      <c r="B16" s="2">
        <f>+_xlfn.XLOOKUP(Estudiantes_Becados[[#This Row],[CÓDIGO]],Total_Estudiantes[CÓDIGO],Total_Estudiantes[ASPIRANTE_ID],"")</f>
        <v>86414</v>
      </c>
      <c r="C16" s="2" t="str">
        <f>+_xlfn.XLOOKUP(Estudiantes_Becados[[#This Row],[CÓDIGO]],Total_Estudiantes[CÓDIGO],Total_Estudiantes[NOMBRE],"")</f>
        <v>JOEL ESTEBAN BÁEZ TORRES</v>
      </c>
      <c r="D16" s="1">
        <v>55824503</v>
      </c>
      <c r="E16" s="1" t="s">
        <v>292</v>
      </c>
      <c r="F16" s="1">
        <v>4</v>
      </c>
      <c r="G16" s="1" t="s">
        <v>292</v>
      </c>
      <c r="H16" s="1" t="s">
        <v>293</v>
      </c>
      <c r="I16" s="1">
        <v>20</v>
      </c>
      <c r="J16" s="2">
        <f>+SUMIF(Bitacora[ESTUDIANTE],Estudiantes_Becados[[#This Row],[ESTUDIANTE]],Bitacora[HORAS A REGISTRAR])</f>
        <v>0</v>
      </c>
      <c r="K16" s="2">
        <f>+IF(Estudiantes_Becados[[#This Row],[HORAS A REALIZAR]]-Estudiantes_Becados[[#This Row],[HORAS REALIZADAS]]&lt;0,0,Estudiantes_Becados[[#This Row],[HORAS A REALIZAR]]-Estudiantes_Becados[[#This Row],[HORAS REALIZADAS]])</f>
        <v>20</v>
      </c>
      <c r="L16"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NO SE HA INICIADO</v>
      </c>
    </row>
    <row r="17" spans="2:12">
      <c r="B17" s="2">
        <f>+_xlfn.XLOOKUP(Estudiantes_Becados[[#This Row],[CÓDIGO]],Total_Estudiantes[CÓDIGO],Total_Estudiantes[ASPIRANTE_ID],"")</f>
        <v>89103</v>
      </c>
      <c r="C17" s="2" t="str">
        <f>+_xlfn.XLOOKUP(Estudiantes_Becados[[#This Row],[CÓDIGO]],Total_Estudiantes[CÓDIGO],Total_Estudiantes[NOMBRE],"")</f>
        <v>JUAN DAVID DÍAZ CASTELLANOS</v>
      </c>
      <c r="D17" s="1">
        <v>55825027</v>
      </c>
      <c r="E17" s="1" t="s">
        <v>292</v>
      </c>
      <c r="F17" s="1">
        <v>3</v>
      </c>
      <c r="G17" s="1" t="s">
        <v>292</v>
      </c>
      <c r="H17" s="1" t="s">
        <v>293</v>
      </c>
      <c r="I17" s="1">
        <v>30</v>
      </c>
      <c r="J17" s="2">
        <f>+SUMIF(Bitacora[ESTUDIANTE],Estudiantes_Becados[[#This Row],[ESTUDIANTE]],Bitacora[HORAS A REGISTRAR])</f>
        <v>30</v>
      </c>
      <c r="K17" s="2">
        <f>+IF(Estudiantes_Becados[[#This Row],[HORAS A REALIZAR]]-Estudiantes_Becados[[#This Row],[HORAS REALIZADAS]]&lt;0,0,Estudiantes_Becados[[#This Row],[HORAS A REALIZAR]]-Estudiantes_Becados[[#This Row],[HORAS REALIZADAS]])</f>
        <v>0</v>
      </c>
      <c r="L17"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18" spans="2:12" ht="15">
      <c r="B18" s="2">
        <f>+_xlfn.XLOOKUP(Estudiantes_Becados[[#This Row],[CÓDIGO]],Total_Estudiantes[CÓDIGO],Total_Estudiantes[ASPIRANTE_ID],"")</f>
        <v>91532</v>
      </c>
      <c r="C18" s="2" t="str">
        <f>+_xlfn.XLOOKUP(Estudiantes_Becados[[#This Row],[CÓDIGO]],Total_Estudiantes[CÓDIGO],Total_Estudiantes[NOMBRE],"")</f>
        <v>JUAN GUILLERMO RODRÍGUEZ NEIRA</v>
      </c>
      <c r="D18" s="1">
        <v>55826007</v>
      </c>
      <c r="E18" s="1" t="s">
        <v>292</v>
      </c>
      <c r="F18" s="1">
        <v>1</v>
      </c>
      <c r="G18" s="1" t="s">
        <v>292</v>
      </c>
      <c r="H18" s="1" t="s">
        <v>293</v>
      </c>
      <c r="I18" s="1">
        <v>20</v>
      </c>
      <c r="J18" s="2">
        <f>+SUMIF(Bitacora[ESTUDIANTE],Estudiantes_Becados[[#This Row],[ESTUDIANTE]],Bitacora[HORAS A REGISTRAR])</f>
        <v>20</v>
      </c>
      <c r="K18" s="2">
        <f>+IF(Estudiantes_Becados[[#This Row],[HORAS A REALIZAR]]-Estudiantes_Becados[[#This Row],[HORAS REALIZADAS]]&lt;0,0,Estudiantes_Becados[[#This Row],[HORAS A REALIZAR]]-Estudiantes_Becados[[#This Row],[HORAS REALIZADAS]])</f>
        <v>0</v>
      </c>
      <c r="L18"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19" spans="2:12" ht="15">
      <c r="B19" s="2">
        <f>+_xlfn.XLOOKUP(Estudiantes_Becados[[#This Row],[CÓDIGO]],Total_Estudiantes[CÓDIGO],Total_Estudiantes[ASPIRANTE_ID],"")</f>
        <v>91719</v>
      </c>
      <c r="C19" s="2" t="str">
        <f>+_xlfn.XLOOKUP(Estudiantes_Becados[[#This Row],[CÓDIGO]],Total_Estudiantes[CÓDIGO],Total_Estudiantes[NOMBRE],"")</f>
        <v>JUAN MANUEL ZABALA FRANCO</v>
      </c>
      <c r="D19" s="1">
        <v>55826012</v>
      </c>
      <c r="E19" s="1" t="s">
        <v>292</v>
      </c>
      <c r="F19" s="1">
        <v>1</v>
      </c>
      <c r="G19" s="1" t="s">
        <v>292</v>
      </c>
      <c r="H19" s="1" t="s">
        <v>293</v>
      </c>
      <c r="I19" s="1">
        <v>20</v>
      </c>
      <c r="J19" s="2">
        <f>+SUMIF(Bitacora[ESTUDIANTE],Estudiantes_Becados[[#This Row],[ESTUDIANTE]],Bitacora[HORAS A REGISTRAR])</f>
        <v>20</v>
      </c>
      <c r="K19" s="2">
        <f>+IF(Estudiantes_Becados[[#This Row],[HORAS A REALIZAR]]-Estudiantes_Becados[[#This Row],[HORAS REALIZADAS]]&lt;0,0,Estudiantes_Becados[[#This Row],[HORAS A REALIZAR]]-Estudiantes_Becados[[#This Row],[HORAS REALIZADAS]])</f>
        <v>0</v>
      </c>
      <c r="L19"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20" spans="2:12" ht="15">
      <c r="B20" s="2">
        <f>+_xlfn.XLOOKUP(Estudiantes_Becados[[#This Row],[CÓDIGO]],Total_Estudiantes[CÓDIGO],Total_Estudiantes[ASPIRANTE_ID],"")</f>
        <v>91525</v>
      </c>
      <c r="C20" s="2" t="str">
        <f>+_xlfn.XLOOKUP(Estudiantes_Becados[[#This Row],[CÓDIGO]],Total_Estudiantes[CÓDIGO],Total_Estudiantes[NOMBRE],"")</f>
        <v>JUAN PABLO GALINDO LÓPEZ</v>
      </c>
      <c r="D20" s="1">
        <v>55826008</v>
      </c>
      <c r="E20" s="1" t="s">
        <v>292</v>
      </c>
      <c r="F20" s="1">
        <v>1</v>
      </c>
      <c r="G20" s="1" t="s">
        <v>292</v>
      </c>
      <c r="H20" s="1" t="s">
        <v>293</v>
      </c>
      <c r="I20" s="1">
        <v>20</v>
      </c>
      <c r="J20" s="2">
        <f>+SUMIF(Bitacora[ESTUDIANTE],Estudiantes_Becados[[#This Row],[ESTUDIANTE]],Bitacora[HORAS A REGISTRAR])</f>
        <v>20</v>
      </c>
      <c r="K20" s="2">
        <f>+IF(Estudiantes_Becados[[#This Row],[HORAS A REALIZAR]]-Estudiantes_Becados[[#This Row],[HORAS REALIZADAS]]&lt;0,0,Estudiantes_Becados[[#This Row],[HORAS A REALIZAR]]-Estudiantes_Becados[[#This Row],[HORAS REALIZADAS]])</f>
        <v>0</v>
      </c>
      <c r="L20"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21" spans="2:12" ht="15">
      <c r="B21" s="2">
        <f>+_xlfn.XLOOKUP(Estudiantes_Becados[[#This Row],[CÓDIGO]],Total_Estudiantes[CÓDIGO],Total_Estudiantes[ASPIRANTE_ID],"")</f>
        <v>77060</v>
      </c>
      <c r="C21" s="2" t="str">
        <f>+_xlfn.XLOOKUP(Estudiantes_Becados[[#This Row],[CÓDIGO]],Total_Estudiantes[CÓDIGO],Total_Estudiantes[NOMBRE],"")</f>
        <v>JUAN SEBASTIÁN SANABRIA MENDIVELSO</v>
      </c>
      <c r="D21" s="1">
        <v>55822013</v>
      </c>
      <c r="E21" s="1" t="s">
        <v>292</v>
      </c>
      <c r="F21" s="1">
        <v>9</v>
      </c>
      <c r="G21" s="1" t="s">
        <v>292</v>
      </c>
      <c r="H21" s="1" t="s">
        <v>293</v>
      </c>
      <c r="I21" s="1">
        <v>30</v>
      </c>
      <c r="J21" s="2">
        <f>+SUMIF(Bitacora[ESTUDIANTE],Estudiantes_Becados[[#This Row],[ESTUDIANTE]],Bitacora[HORAS A REGISTRAR])</f>
        <v>3</v>
      </c>
      <c r="K21" s="2">
        <f>+IF(Estudiantes_Becados[[#This Row],[HORAS A REALIZAR]]-Estudiantes_Becados[[#This Row],[HORAS REALIZADAS]]&lt;0,0,Estudiantes_Becados[[#This Row],[HORAS A REALIZAR]]-Estudiantes_Becados[[#This Row],[HORAS REALIZADAS]])</f>
        <v>27</v>
      </c>
      <c r="L21"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EN PROCESO</v>
      </c>
    </row>
    <row r="22" spans="2:12" ht="15">
      <c r="B22" s="2">
        <f>+_xlfn.XLOOKUP(Estudiantes_Becados[[#This Row],[CÓDIGO]],Total_Estudiantes[CÓDIGO],Total_Estudiantes[ASPIRANTE_ID],"")</f>
        <v>92425</v>
      </c>
      <c r="C22" s="2" t="str">
        <f>+_xlfn.XLOOKUP(Estudiantes_Becados[[#This Row],[CÓDIGO]],Total_Estudiantes[CÓDIGO],Total_Estudiantes[NOMBRE],"")</f>
        <v>LAURA NATALIA CARO CASTELBLANCO</v>
      </c>
      <c r="D22" s="1">
        <v>55826025</v>
      </c>
      <c r="E22" s="1" t="s">
        <v>292</v>
      </c>
      <c r="F22" s="1">
        <v>1</v>
      </c>
      <c r="G22" s="1" t="s">
        <v>292</v>
      </c>
      <c r="H22" s="1" t="s">
        <v>293</v>
      </c>
      <c r="I22" s="1">
        <v>20</v>
      </c>
      <c r="J22" s="2">
        <f>+SUMIF(Bitacora[ESTUDIANTE],Estudiantes_Becados[[#This Row],[ESTUDIANTE]],Bitacora[HORAS A REGISTRAR])</f>
        <v>20</v>
      </c>
      <c r="K22" s="2">
        <f>+IF(Estudiantes_Becados[[#This Row],[HORAS A REALIZAR]]-Estudiantes_Becados[[#This Row],[HORAS REALIZADAS]]&lt;0,0,Estudiantes_Becados[[#This Row],[HORAS A REALIZAR]]-Estudiantes_Becados[[#This Row],[HORAS REALIZADAS]])</f>
        <v>0</v>
      </c>
      <c r="L22"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23" spans="2:12" ht="15">
      <c r="B23" s="2">
        <f>+_xlfn.XLOOKUP(Estudiantes_Becados[[#This Row],[CÓDIGO]],Total_Estudiantes[CÓDIGO],Total_Estudiantes[ASPIRANTE_ID],"")</f>
        <v>91722</v>
      </c>
      <c r="C23" s="2" t="str">
        <f>+_xlfn.XLOOKUP(Estudiantes_Becados[[#This Row],[CÓDIGO]],Total_Estudiantes[CÓDIGO],Total_Estudiantes[NOMBRE],"")</f>
        <v>LAURA VALENTINA QUIROGA MARTINEZ</v>
      </c>
      <c r="D23" s="1">
        <v>55826011</v>
      </c>
      <c r="E23" s="1" t="s">
        <v>292</v>
      </c>
      <c r="F23" s="1">
        <v>1</v>
      </c>
      <c r="G23" s="1" t="s">
        <v>292</v>
      </c>
      <c r="H23" s="1" t="s">
        <v>293</v>
      </c>
      <c r="I23" s="1">
        <v>20</v>
      </c>
      <c r="J23" s="2">
        <f>+SUMIF(Bitacora[ESTUDIANTE],Estudiantes_Becados[[#This Row],[ESTUDIANTE]],Bitacora[HORAS A REGISTRAR])</f>
        <v>4</v>
      </c>
      <c r="K23" s="2">
        <f>+IF(Estudiantes_Becados[[#This Row],[HORAS A REALIZAR]]-Estudiantes_Becados[[#This Row],[HORAS REALIZADAS]]&lt;0,0,Estudiantes_Becados[[#This Row],[HORAS A REALIZAR]]-Estudiantes_Becados[[#This Row],[HORAS REALIZADAS]])</f>
        <v>16</v>
      </c>
      <c r="L23"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EN PROCESO</v>
      </c>
    </row>
    <row r="24" spans="2:12" ht="15">
      <c r="B24" s="2">
        <f>+_xlfn.XLOOKUP(Estudiantes_Becados[[#This Row],[CÓDIGO]],Total_Estudiantes[CÓDIGO],Total_Estudiantes[ASPIRANTE_ID],"")</f>
        <v>92434</v>
      </c>
      <c r="C24" s="2" t="str">
        <f>+_xlfn.XLOOKUP(Estudiantes_Becados[[#This Row],[CÓDIGO]],Total_Estudiantes[CÓDIGO],Total_Estudiantes[NOMBRE],"")</f>
        <v>LILLI SARAHI RAMIREZ GAONA</v>
      </c>
      <c r="D24" s="1">
        <v>55826024</v>
      </c>
      <c r="E24" s="1" t="s">
        <v>292</v>
      </c>
      <c r="F24" s="1">
        <v>1</v>
      </c>
      <c r="G24" s="1" t="s">
        <v>292</v>
      </c>
      <c r="H24" s="1" t="s">
        <v>293</v>
      </c>
      <c r="I24" s="1">
        <v>20</v>
      </c>
      <c r="J24" s="2">
        <f>+SUMIF(Bitacora[ESTUDIANTE],Estudiantes_Becados[[#This Row],[ESTUDIANTE]],Bitacora[HORAS A REGISTRAR])</f>
        <v>0</v>
      </c>
      <c r="K24" s="2">
        <f>+IF(Estudiantes_Becados[[#This Row],[HORAS A REALIZAR]]-Estudiantes_Becados[[#This Row],[HORAS REALIZADAS]]&lt;0,0,Estudiantes_Becados[[#This Row],[HORAS A REALIZAR]]-Estudiantes_Becados[[#This Row],[HORAS REALIZADAS]])</f>
        <v>20</v>
      </c>
      <c r="L24"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NO SE HA INICIADO</v>
      </c>
    </row>
    <row r="25" spans="2:12" ht="15">
      <c r="B25" s="2">
        <f>+_xlfn.XLOOKUP(Estudiantes_Becados[[#This Row],[CÓDIGO]],Total_Estudiantes[CÓDIGO],Total_Estudiantes[ASPIRANTE_ID],"")</f>
        <v>92222</v>
      </c>
      <c r="C25" s="2" t="str">
        <f>+_xlfn.XLOOKUP(Estudiantes_Becados[[#This Row],[CÓDIGO]],Total_Estudiantes[CÓDIGO],Total_Estudiantes[NOMBRE],"")</f>
        <v>LIZETH CAROLINA BOHÓRQUEZ SOLER</v>
      </c>
      <c r="D25" s="1">
        <v>55826020</v>
      </c>
      <c r="E25" s="1" t="s">
        <v>292</v>
      </c>
      <c r="F25" s="1">
        <v>1</v>
      </c>
      <c r="G25" s="1" t="s">
        <v>292</v>
      </c>
      <c r="H25" s="1" t="s">
        <v>293</v>
      </c>
      <c r="I25" s="1">
        <v>30</v>
      </c>
      <c r="J25" s="2">
        <f>+SUMIF(Bitacora[ESTUDIANTE],Estudiantes_Becados[[#This Row],[ESTUDIANTE]],Bitacora[HORAS A REGISTRAR])</f>
        <v>30</v>
      </c>
      <c r="K25" s="2">
        <f>+IF(Estudiantes_Becados[[#This Row],[HORAS A REALIZAR]]-Estudiantes_Becados[[#This Row],[HORAS REALIZADAS]]&lt;0,0,Estudiantes_Becados[[#This Row],[HORAS A REALIZAR]]-Estudiantes_Becados[[#This Row],[HORAS REALIZADAS]])</f>
        <v>0</v>
      </c>
      <c r="L25"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26" spans="2:12" ht="15">
      <c r="B26" s="2">
        <f>+_xlfn.XLOOKUP(Estudiantes_Becados[[#This Row],[CÓDIGO]],Total_Estudiantes[CÓDIGO],Total_Estudiantes[ASPIRANTE_ID],"")</f>
        <v>90661</v>
      </c>
      <c r="C26" s="2" t="str">
        <f>+_xlfn.XLOOKUP(Estudiantes_Becados[[#This Row],[CÓDIGO]],Total_Estudiantes[CÓDIGO],Total_Estudiantes[NOMBRE],"")</f>
        <v>MARÍA CAMILA MORENO RODRÍGUEZ</v>
      </c>
      <c r="D26" s="1">
        <v>55825509</v>
      </c>
      <c r="E26" s="1" t="s">
        <v>292</v>
      </c>
      <c r="F26" s="1">
        <v>2</v>
      </c>
      <c r="G26" s="1" t="s">
        <v>292</v>
      </c>
      <c r="H26" s="1" t="s">
        <v>293</v>
      </c>
      <c r="I26" s="1">
        <v>20</v>
      </c>
      <c r="J26" s="2">
        <f>+SUMIF(Bitacora[ESTUDIANTE],Estudiantes_Becados[[#This Row],[ESTUDIANTE]],Bitacora[HORAS A REGISTRAR])</f>
        <v>20</v>
      </c>
      <c r="K26" s="2">
        <f>+IF(Estudiantes_Becados[[#This Row],[HORAS A REALIZAR]]-Estudiantes_Becados[[#This Row],[HORAS REALIZADAS]]&lt;0,0,Estudiantes_Becados[[#This Row],[HORAS A REALIZAR]]-Estudiantes_Becados[[#This Row],[HORAS REALIZADAS]])</f>
        <v>0</v>
      </c>
      <c r="L26"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27" spans="2:12" ht="15">
      <c r="B27" s="2">
        <f>+_xlfn.XLOOKUP(Estudiantes_Becados[[#This Row],[CÓDIGO]],Total_Estudiantes[CÓDIGO],Total_Estudiantes[ASPIRANTE_ID],"")</f>
        <v>86656</v>
      </c>
      <c r="C27" s="2" t="str">
        <f>+_xlfn.XLOOKUP(Estudiantes_Becados[[#This Row],[CÓDIGO]],Total_Estudiantes[CÓDIGO],Total_Estudiantes[NOMBRE],"")</f>
        <v>MARÍA JOSÉ MORALES LÓPEZ</v>
      </c>
      <c r="D27" s="1">
        <v>55824504</v>
      </c>
      <c r="E27" s="1" t="s">
        <v>292</v>
      </c>
      <c r="F27" s="1">
        <v>4</v>
      </c>
      <c r="G27" s="1" t="s">
        <v>292</v>
      </c>
      <c r="H27" s="1" t="s">
        <v>293</v>
      </c>
      <c r="I27" s="1">
        <v>30</v>
      </c>
      <c r="J27" s="2">
        <f>+SUMIF(Bitacora[ESTUDIANTE],Estudiantes_Becados[[#This Row],[ESTUDIANTE]],Bitacora[HORAS A REGISTRAR])</f>
        <v>30</v>
      </c>
      <c r="K27" s="2">
        <f>+IF(Estudiantes_Becados[[#This Row],[HORAS A REALIZAR]]-Estudiantes_Becados[[#This Row],[HORAS REALIZADAS]]&lt;0,0,Estudiantes_Becados[[#This Row],[HORAS A REALIZAR]]-Estudiantes_Becados[[#This Row],[HORAS REALIZADAS]])</f>
        <v>0</v>
      </c>
      <c r="L27"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28" spans="2:12" ht="15">
      <c r="B28" s="2">
        <f>+_xlfn.XLOOKUP(Estudiantes_Becados[[#This Row],[CÓDIGO]],Total_Estudiantes[CÓDIGO],Total_Estudiantes[ASPIRANTE_ID],"")</f>
        <v>91867</v>
      </c>
      <c r="C28" s="2" t="str">
        <f>+_xlfn.XLOOKUP(Estudiantes_Becados[[#This Row],[CÓDIGO]],Total_Estudiantes[CÓDIGO],Total_Estudiantes[NOMBRE],"")</f>
        <v>NICOLAS FELIPE PABON MARIN</v>
      </c>
      <c r="D28" s="1">
        <v>55826014</v>
      </c>
      <c r="E28" s="1" t="s">
        <v>292</v>
      </c>
      <c r="F28" s="1">
        <v>1</v>
      </c>
      <c r="G28" s="1" t="s">
        <v>292</v>
      </c>
      <c r="H28" s="1" t="s">
        <v>293</v>
      </c>
      <c r="I28" s="1">
        <v>20</v>
      </c>
      <c r="J28" s="2">
        <f>+SUMIF(Bitacora[ESTUDIANTE],Estudiantes_Becados[[#This Row],[ESTUDIANTE]],Bitacora[HORAS A REGISTRAR])</f>
        <v>20</v>
      </c>
      <c r="K28" s="2">
        <f>+IF(Estudiantes_Becados[[#This Row],[HORAS A REALIZAR]]-Estudiantes_Becados[[#This Row],[HORAS REALIZADAS]]&lt;0,0,Estudiantes_Becados[[#This Row],[HORAS A REALIZAR]]-Estudiantes_Becados[[#This Row],[HORAS REALIZADAS]])</f>
        <v>0</v>
      </c>
      <c r="L28"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29" spans="2:12" ht="15">
      <c r="B29" s="2">
        <f>+_xlfn.XLOOKUP(Estudiantes_Becados[[#This Row],[CÓDIGO]],Total_Estudiantes[CÓDIGO],Total_Estudiantes[ASPIRANTE_ID],"")</f>
        <v>86915</v>
      </c>
      <c r="C29" s="2" t="str">
        <f>+_xlfn.XLOOKUP(Estudiantes_Becados[[#This Row],[CÓDIGO]],Total_Estudiantes[CÓDIGO],Total_Estudiantes[NOMBRE],"")</f>
        <v>OSCAR FELIPE CRUZ ROJAS</v>
      </c>
      <c r="D29" s="1">
        <v>55824507</v>
      </c>
      <c r="E29" s="1" t="s">
        <v>292</v>
      </c>
      <c r="F29" s="1">
        <v>4</v>
      </c>
      <c r="G29" s="1" t="s">
        <v>292</v>
      </c>
      <c r="H29" s="1" t="s">
        <v>293</v>
      </c>
      <c r="I29" s="1">
        <v>20</v>
      </c>
      <c r="J29" s="2">
        <f>+SUMIF(Bitacora[ESTUDIANTE],Estudiantes_Becados[[#This Row],[ESTUDIANTE]],Bitacora[HORAS A REGISTRAR])</f>
        <v>20</v>
      </c>
      <c r="K29" s="2">
        <f>+IF(Estudiantes_Becados[[#This Row],[HORAS A REALIZAR]]-Estudiantes_Becados[[#This Row],[HORAS REALIZADAS]]&lt;0,0,Estudiantes_Becados[[#This Row],[HORAS A REALIZAR]]-Estudiantes_Becados[[#This Row],[HORAS REALIZADAS]])</f>
        <v>0</v>
      </c>
      <c r="L29"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30" spans="2:12" ht="15">
      <c r="B30" s="2">
        <f>+_xlfn.XLOOKUP(Estudiantes_Becados[[#This Row],[CÓDIGO]],Total_Estudiantes[CÓDIGO],Total_Estudiantes[ASPIRANTE_ID],"")</f>
        <v>91772</v>
      </c>
      <c r="C30" s="2" t="str">
        <f>+_xlfn.XLOOKUP(Estudiantes_Becados[[#This Row],[CÓDIGO]],Total_Estudiantes[CÓDIGO],Total_Estudiantes[NOMBRE],"")</f>
        <v>PAULA ANDREA PINILLA MENDOZA</v>
      </c>
      <c r="D30" s="1">
        <v>55826010</v>
      </c>
      <c r="E30" s="1" t="s">
        <v>292</v>
      </c>
      <c r="F30" s="1">
        <v>1</v>
      </c>
      <c r="G30" s="1" t="s">
        <v>292</v>
      </c>
      <c r="H30" s="1" t="s">
        <v>293</v>
      </c>
      <c r="I30" s="1">
        <v>20</v>
      </c>
      <c r="J30" s="2">
        <f>+SUMIF(Bitacora[ESTUDIANTE],Estudiantes_Becados[[#This Row],[ESTUDIANTE]],Bitacora[HORAS A REGISTRAR])</f>
        <v>22</v>
      </c>
      <c r="K30" s="2">
        <f>+IF(Estudiantes_Becados[[#This Row],[HORAS A REALIZAR]]-Estudiantes_Becados[[#This Row],[HORAS REALIZADAS]]&lt;0,0,Estudiantes_Becados[[#This Row],[HORAS A REALIZAR]]-Estudiantes_Becados[[#This Row],[HORAS REALIZADAS]])</f>
        <v>0</v>
      </c>
      <c r="L30"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31" spans="2:12" ht="15">
      <c r="B31" s="2">
        <f>+_xlfn.XLOOKUP(Estudiantes_Becados[[#This Row],[CÓDIGO]],Total_Estudiantes[CÓDIGO],Total_Estudiantes[ASPIRANTE_ID],"")</f>
        <v>84327</v>
      </c>
      <c r="C31" s="2" t="str">
        <f>+_xlfn.XLOOKUP(Estudiantes_Becados[[#This Row],[CÓDIGO]],Total_Estudiantes[CÓDIGO],Total_Estudiantes[NOMBRE],"")</f>
        <v>PAULA XIMENA ANTONIO FRANCO</v>
      </c>
      <c r="D31" s="1">
        <v>55824013</v>
      </c>
      <c r="E31" s="1" t="s">
        <v>292</v>
      </c>
      <c r="F31" s="1">
        <v>5</v>
      </c>
      <c r="G31" s="1" t="s">
        <v>292</v>
      </c>
      <c r="H31" s="1" t="s">
        <v>293</v>
      </c>
      <c r="I31" s="1">
        <v>20</v>
      </c>
      <c r="J31" s="2">
        <f>+SUMIF(Bitacora[ESTUDIANTE],Estudiantes_Becados[[#This Row],[ESTUDIANTE]],Bitacora[HORAS A REGISTRAR])</f>
        <v>0</v>
      </c>
      <c r="K31" s="2">
        <f>+IF(Estudiantes_Becados[[#This Row],[HORAS A REALIZAR]]-Estudiantes_Becados[[#This Row],[HORAS REALIZADAS]]&lt;0,0,Estudiantes_Becados[[#This Row],[HORAS A REALIZAR]]-Estudiantes_Becados[[#This Row],[HORAS REALIZADAS]])</f>
        <v>20</v>
      </c>
      <c r="L31"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NO SE HA INICIADO</v>
      </c>
    </row>
    <row r="32" spans="2:12" ht="15">
      <c r="B32" s="2">
        <f>+_xlfn.XLOOKUP(Estudiantes_Becados[[#This Row],[CÓDIGO]],Total_Estudiantes[CÓDIGO],Total_Estudiantes[ASPIRANTE_ID],"")</f>
        <v>89240</v>
      </c>
      <c r="C32" s="2" t="str">
        <f>+_xlfn.XLOOKUP(Estudiantes_Becados[[#This Row],[CÓDIGO]],Total_Estudiantes[CÓDIGO],Total_Estudiantes[NOMBRE],"")</f>
        <v>SAMUEL ALEJANDRO VALENCIA REYES</v>
      </c>
      <c r="D32" s="1">
        <v>55825030</v>
      </c>
      <c r="E32" s="1" t="s">
        <v>292</v>
      </c>
      <c r="F32" s="1">
        <v>3</v>
      </c>
      <c r="G32" s="1" t="s">
        <v>292</v>
      </c>
      <c r="H32" s="1" t="s">
        <v>293</v>
      </c>
      <c r="I32" s="1">
        <v>20</v>
      </c>
      <c r="J32" s="2">
        <f>+SUMIF(Bitacora[ESTUDIANTE],Estudiantes_Becados[[#This Row],[ESTUDIANTE]],Bitacora[HORAS A REGISTRAR])</f>
        <v>20</v>
      </c>
      <c r="K32" s="2">
        <f>+IF(Estudiantes_Becados[[#This Row],[HORAS A REALIZAR]]-Estudiantes_Becados[[#This Row],[HORAS REALIZADAS]]&lt;0,0,Estudiantes_Becados[[#This Row],[HORAS A REALIZAR]]-Estudiantes_Becados[[#This Row],[HORAS REALIZADAS]])</f>
        <v>0</v>
      </c>
      <c r="L32"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33" spans="2:12" ht="15">
      <c r="B33" s="2">
        <f>+_xlfn.XLOOKUP(Estudiantes_Becados[[#This Row],[CÓDIGO]],Total_Estudiantes[CÓDIGO],Total_Estudiantes[ASPIRANTE_ID],"")</f>
        <v>91617</v>
      </c>
      <c r="C33" s="2" t="str">
        <f>+_xlfn.XLOOKUP(Estudiantes_Becados[[#This Row],[CÓDIGO]],Total_Estudiantes[CÓDIGO],Total_Estudiantes[NOMBRE],"")</f>
        <v>SAMUEL JESÚS CÁRDENAS MORENO</v>
      </c>
      <c r="D33" s="1">
        <v>55826006</v>
      </c>
      <c r="E33" s="1" t="s">
        <v>292</v>
      </c>
      <c r="F33" s="1">
        <v>1</v>
      </c>
      <c r="G33" s="1" t="s">
        <v>292</v>
      </c>
      <c r="H33" s="1" t="s">
        <v>293</v>
      </c>
      <c r="I33" s="1">
        <v>20</v>
      </c>
      <c r="J33" s="2">
        <f>+SUMIF(Bitacora[ESTUDIANTE],Estudiantes_Becados[[#This Row],[ESTUDIANTE]],Bitacora[HORAS A REGISTRAR])</f>
        <v>20</v>
      </c>
      <c r="K33" s="2">
        <f>+IF(Estudiantes_Becados[[#This Row],[HORAS A REALIZAR]]-Estudiantes_Becados[[#This Row],[HORAS REALIZADAS]]&lt;0,0,Estudiantes_Becados[[#This Row],[HORAS A REALIZAR]]-Estudiantes_Becados[[#This Row],[HORAS REALIZADAS]])</f>
        <v>0</v>
      </c>
      <c r="L33"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34" spans="2:12" ht="15">
      <c r="B34" s="2">
        <f>+_xlfn.XLOOKUP(Estudiantes_Becados[[#This Row],[CÓDIGO]],Total_Estudiantes[CÓDIGO],Total_Estudiantes[ASPIRANTE_ID],"")</f>
        <v>91572</v>
      </c>
      <c r="C34" s="2" t="str">
        <f>+_xlfn.XLOOKUP(Estudiantes_Becados[[#This Row],[CÓDIGO]],Total_Estudiantes[CÓDIGO],Total_Estudiantes[NOMBRE],"")</f>
        <v>SARA LUCÍA CORTÉS PÉREZ</v>
      </c>
      <c r="D34" s="1">
        <v>55826005</v>
      </c>
      <c r="E34" s="1" t="s">
        <v>292</v>
      </c>
      <c r="F34" s="1">
        <v>1</v>
      </c>
      <c r="G34" s="1" t="s">
        <v>292</v>
      </c>
      <c r="H34" s="1" t="s">
        <v>293</v>
      </c>
      <c r="I34" s="1">
        <v>20</v>
      </c>
      <c r="J34" s="2">
        <f>+SUMIF(Bitacora[ESTUDIANTE],Estudiantes_Becados[[#This Row],[ESTUDIANTE]],Bitacora[HORAS A REGISTRAR])</f>
        <v>20</v>
      </c>
      <c r="K34" s="2">
        <f>+IF(Estudiantes_Becados[[#This Row],[HORAS A REALIZAR]]-Estudiantes_Becados[[#This Row],[HORAS REALIZADAS]]&lt;0,0,Estudiantes_Becados[[#This Row],[HORAS A REALIZAR]]-Estudiantes_Becados[[#This Row],[HORAS REALIZADAS]])</f>
        <v>0</v>
      </c>
      <c r="L34"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35" spans="2:12" ht="15">
      <c r="B35" s="2">
        <f>+_xlfn.XLOOKUP(Estudiantes_Becados[[#This Row],[CÓDIGO]],Total_Estudiantes[CÓDIGO],Total_Estudiantes[ASPIRANTE_ID],"")</f>
        <v>80305</v>
      </c>
      <c r="C35" s="2" t="str">
        <f>+_xlfn.XLOOKUP(Estudiantes_Becados[[#This Row],[CÓDIGO]],Total_Estudiantes[CÓDIGO],Total_Estudiantes[NOMBRE],"")</f>
        <v>SARA SOFÍA MORENO CASTRO</v>
      </c>
      <c r="D35" s="1">
        <v>55823001</v>
      </c>
      <c r="E35" s="1" t="s">
        <v>292</v>
      </c>
      <c r="F35" s="1">
        <v>7</v>
      </c>
      <c r="G35" s="1" t="s">
        <v>292</v>
      </c>
      <c r="H35" s="1" t="s">
        <v>293</v>
      </c>
      <c r="I35" s="1">
        <v>30</v>
      </c>
      <c r="J35" s="2">
        <f>+SUMIF(Bitacora[ESTUDIANTE],Estudiantes_Becados[[#This Row],[ESTUDIANTE]],Bitacora[HORAS A REGISTRAR])</f>
        <v>33</v>
      </c>
      <c r="K35" s="2">
        <f>+IF(Estudiantes_Becados[[#This Row],[HORAS A REALIZAR]]-Estudiantes_Becados[[#This Row],[HORAS REALIZADAS]]&lt;0,0,Estudiantes_Becados[[#This Row],[HORAS A REALIZAR]]-Estudiantes_Becados[[#This Row],[HORAS REALIZADAS]])</f>
        <v>0</v>
      </c>
      <c r="L35"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36" spans="2:12" ht="15">
      <c r="B36" s="2">
        <f>+_xlfn.XLOOKUP(Estudiantes_Becados[[#This Row],[CÓDIGO]],Total_Estudiantes[CÓDIGO],Total_Estudiantes[ASPIRANTE_ID],"")</f>
        <v>84843</v>
      </c>
      <c r="C36" s="2" t="str">
        <f>+_xlfn.XLOOKUP(Estudiantes_Becados[[#This Row],[CÓDIGO]],Total_Estudiantes[CÓDIGO],Total_Estudiantes[NOMBRE],"")</f>
        <v>SARA SOFÍA TELLEZ SALAMANCA</v>
      </c>
      <c r="D36" s="1">
        <v>55824020</v>
      </c>
      <c r="E36" s="1" t="s">
        <v>292</v>
      </c>
      <c r="F36" s="1">
        <v>5</v>
      </c>
      <c r="G36" s="1" t="s">
        <v>292</v>
      </c>
      <c r="H36" s="1" t="s">
        <v>293</v>
      </c>
      <c r="I36" s="1">
        <v>20</v>
      </c>
      <c r="J36" s="2">
        <f>+SUMIF(Bitacora[ESTUDIANTE],Estudiantes_Becados[[#This Row],[ESTUDIANTE]],Bitacora[HORAS A REGISTRAR])</f>
        <v>20</v>
      </c>
      <c r="K36" s="2">
        <f>+IF(Estudiantes_Becados[[#This Row],[HORAS A REALIZAR]]-Estudiantes_Becados[[#This Row],[HORAS REALIZADAS]]&lt;0,0,Estudiantes_Becados[[#This Row],[HORAS A REALIZAR]]-Estudiantes_Becados[[#This Row],[HORAS REALIZADAS]])</f>
        <v>0</v>
      </c>
      <c r="L36"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37" spans="2:12" ht="15">
      <c r="B37" s="2">
        <f>+_xlfn.XLOOKUP(Estudiantes_Becados[[#This Row],[CÓDIGO]],Total_Estudiantes[CÓDIGO],Total_Estudiantes[ASPIRANTE_ID],"")</f>
        <v>88412</v>
      </c>
      <c r="C37" s="2" t="str">
        <f>+_xlfn.XLOOKUP(Estudiantes_Becados[[#This Row],[CÓDIGO]],Total_Estudiantes[CÓDIGO],Total_Estudiantes[NOMBRE],"")</f>
        <v>SEBASTIAN RAFAEL RODRIGUEZ SUAREZ</v>
      </c>
      <c r="D37" s="1">
        <v>55825010</v>
      </c>
      <c r="E37" s="1" t="s">
        <v>292</v>
      </c>
      <c r="F37" s="1">
        <v>3</v>
      </c>
      <c r="G37" s="1" t="s">
        <v>292</v>
      </c>
      <c r="H37" s="1" t="s">
        <v>293</v>
      </c>
      <c r="I37" s="1">
        <v>20</v>
      </c>
      <c r="J37" s="2">
        <f>+SUMIF(Bitacora[ESTUDIANTE],Estudiantes_Becados[[#This Row],[ESTUDIANTE]],Bitacora[HORAS A REGISTRAR])</f>
        <v>20</v>
      </c>
      <c r="K37" s="2">
        <f>+IF(Estudiantes_Becados[[#This Row],[HORAS A REALIZAR]]-Estudiantes_Becados[[#This Row],[HORAS REALIZADAS]]&lt;0,0,Estudiantes_Becados[[#This Row],[HORAS A REALIZAR]]-Estudiantes_Becados[[#This Row],[HORAS REALIZADAS]])</f>
        <v>0</v>
      </c>
      <c r="L37"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38" spans="2:12" ht="15">
      <c r="B38" s="2">
        <f>+_xlfn.XLOOKUP(Estudiantes_Becados[[#This Row],[CÓDIGO]],Total_Estudiantes[CÓDIGO],Total_Estudiantes[ASPIRANTE_ID],"")</f>
        <v>89949</v>
      </c>
      <c r="C38" s="2" t="str">
        <f>+_xlfn.XLOOKUP(Estudiantes_Becados[[#This Row],[CÓDIGO]],Total_Estudiantes[CÓDIGO],Total_Estudiantes[NOMBRE],"")</f>
        <v>TATIANA CAROLINA CANO RAMIREZ</v>
      </c>
      <c r="D38" s="1">
        <v>55825503</v>
      </c>
      <c r="E38" s="1" t="s">
        <v>292</v>
      </c>
      <c r="F38" s="1">
        <v>2</v>
      </c>
      <c r="G38" s="1" t="s">
        <v>292</v>
      </c>
      <c r="H38" s="1" t="s">
        <v>293</v>
      </c>
      <c r="I38" s="1">
        <v>20</v>
      </c>
      <c r="J38" s="2">
        <f>+SUMIF(Bitacora[ESTUDIANTE],Estudiantes_Becados[[#This Row],[ESTUDIANTE]],Bitacora[HORAS A REGISTRAR])</f>
        <v>20</v>
      </c>
      <c r="K38" s="2">
        <f>+IF(Estudiantes_Becados[[#This Row],[HORAS A REALIZAR]]-Estudiantes_Becados[[#This Row],[HORAS REALIZADAS]]&lt;0,0,Estudiantes_Becados[[#This Row],[HORAS A REALIZAR]]-Estudiantes_Becados[[#This Row],[HORAS REALIZADAS]])</f>
        <v>0</v>
      </c>
      <c r="L38"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39" spans="2:12" ht="15">
      <c r="B39" s="2">
        <f>+_xlfn.XLOOKUP(Estudiantes_Becados[[#This Row],[CÓDIGO]],Total_Estudiantes[CÓDIGO],Total_Estudiantes[ASPIRANTE_ID],"")</f>
        <v>92299</v>
      </c>
      <c r="C39" s="2" t="str">
        <f>+_xlfn.XLOOKUP(Estudiantes_Becados[[#This Row],[CÓDIGO]],Total_Estudiantes[CÓDIGO],Total_Estudiantes[NOMBRE],"")</f>
        <v>YAMIT ALEXANDER SANCHEZ VALENZUELA</v>
      </c>
      <c r="D39" s="1">
        <v>55826022</v>
      </c>
      <c r="E39" s="1" t="s">
        <v>292</v>
      </c>
      <c r="F39" s="1">
        <v>1</v>
      </c>
      <c r="G39" s="1" t="s">
        <v>292</v>
      </c>
      <c r="H39" s="1" t="s">
        <v>293</v>
      </c>
      <c r="I39" s="1">
        <v>20</v>
      </c>
      <c r="J39" s="2">
        <f>+SUMIF(Bitacora[ESTUDIANTE],Estudiantes_Becados[[#This Row],[ESTUDIANTE]],Bitacora[HORAS A REGISTRAR])</f>
        <v>20</v>
      </c>
      <c r="K39" s="2">
        <f>+IF(Estudiantes_Becados[[#This Row],[HORAS A REALIZAR]]-Estudiantes_Becados[[#This Row],[HORAS REALIZADAS]]&lt;0,0,Estudiantes_Becados[[#This Row],[HORAS A REALIZAR]]-Estudiantes_Becados[[#This Row],[HORAS REALIZADAS]])</f>
        <v>0</v>
      </c>
      <c r="L39"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40" spans="2:12" ht="15">
      <c r="B40" s="2">
        <f>+_xlfn.XLOOKUP(Estudiantes_Becados[[#This Row],[CÓDIGO]],Total_Estudiantes[CÓDIGO],Total_Estudiantes[ASPIRANTE_ID],"")</f>
        <v>83276</v>
      </c>
      <c r="C40" s="2" t="str">
        <f>+_xlfn.XLOOKUP(Estudiantes_Becados[[#This Row],[CÓDIGO]],Total_Estudiantes[CÓDIGO],Total_Estudiantes[NOMBRE],"")</f>
        <v>ZARY TATIANA MÉNDEZ DÍAZ</v>
      </c>
      <c r="D40" s="1">
        <v>55823511</v>
      </c>
      <c r="E40" s="1" t="s">
        <v>292</v>
      </c>
      <c r="F40" s="1">
        <v>6</v>
      </c>
      <c r="G40" s="1" t="s">
        <v>292</v>
      </c>
      <c r="H40" s="1" t="s">
        <v>293</v>
      </c>
      <c r="I40" s="1">
        <v>30</v>
      </c>
      <c r="J40" s="2">
        <f>+SUMIF(Bitacora[ESTUDIANTE],Estudiantes_Becados[[#This Row],[ESTUDIANTE]],Bitacora[HORAS A REGISTRAR])</f>
        <v>30</v>
      </c>
      <c r="K40" s="2">
        <f>+IF(Estudiantes_Becados[[#This Row],[HORAS A REALIZAR]]-Estudiantes_Becados[[#This Row],[HORAS REALIZADAS]]&lt;0,0,Estudiantes_Becados[[#This Row],[HORAS A REALIZAR]]-Estudiantes_Becados[[#This Row],[HORAS REALIZADAS]])</f>
        <v>0</v>
      </c>
      <c r="L40" s="2" t="str">
        <f>IF(Estudiantes_Becados[[#This Row],[HORAS REALIZADAS]]=0,"NO SE HA INICIADO",IF(AND(Estudiantes_Becados[[#This Row],[HORAS REALIZADAS]]&gt;0,Estudiantes_Becados[[#This Row],[HORAS PENDIENTES]]&gt;0),"EN PROCESO",IF(AND(Estudiantes_Becados[[#This Row],[HORAS REALIZADAS]]&gt;0,Estudiantes_Becados[[#This Row],[HORAS PENDIENTES]]=0),"FINALIZADO")))</f>
        <v>FINALIZADO</v>
      </c>
    </row>
    <row r="41" spans="2:12" ht="15"/>
  </sheetData>
  <sheetProtection algorithmName="SHA-512" hashValue="zw3PTw1K/NZR6BrrCyXcXtRAe3cjmInNvTTzmdhWonBB1xUXdpPnz3D/Ewq0VBsjNIoK4GhSeWoZQdwVar8lDA==" saltValue="sEU0lF9jADjlaCKgz7x0aA==" spinCount="100000" sheet="1" formatCells="0" formatColumns="0" formatRows="0" sort="0" autoFilter="0"/>
  <mergeCells count="2">
    <mergeCell ref="B2:L2"/>
    <mergeCell ref="B3:L3"/>
  </mergeCells>
  <phoneticPr fontId="2" type="noConversion"/>
  <conditionalFormatting sqref="B6:L40">
    <cfRule type="expression" dxfId="31" priority="10">
      <formula>$L6="FINALIZADO"</formula>
    </cfRule>
  </conditionalFormatting>
  <dataValidations count="4">
    <dataValidation type="list" allowBlank="1" showInputMessage="1" showErrorMessage="1" sqref="E6:E40" xr:uid="{3A727280-F088-42EF-9E9D-57B9000220AD}">
      <formula1>Total_Dependencias</formula1>
    </dataValidation>
    <dataValidation type="list" allowBlank="1" showInputMessage="1" showErrorMessage="1" sqref="G6:G40" xr:uid="{51891C7D-7206-4ADB-9FA9-00FAD7335708}">
      <formula1>Dependencia</formula1>
    </dataValidation>
    <dataValidation type="whole" allowBlank="1" showInputMessage="1" showErrorMessage="1" sqref="F6:F40" xr:uid="{ED170086-E1D0-451C-A25D-8DBF9ABC4B82}">
      <formula1>1</formula1>
      <formula2>12</formula2>
    </dataValidation>
    <dataValidation type="list" allowBlank="1" showInputMessage="1" showErrorMessage="1" sqref="H6:H40" xr:uid="{06260A45-F4C6-425E-9B05-BFD4CA38E193}">
      <formula1>Responsables</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DE8A-19D4-400E-B013-7C380EDB1490}">
  <sheetPr codeName="Hoja3">
    <tabColor theme="5" tint="0.39997558519241921"/>
  </sheetPr>
  <dimension ref="B2:E6"/>
  <sheetViews>
    <sheetView showGridLines="0" zoomScale="90" zoomScaleNormal="90" workbookViewId="0">
      <selection activeCell="D6" sqref="D6"/>
    </sheetView>
  </sheetViews>
  <sheetFormatPr defaultColWidth="11.42578125" defaultRowHeight="14.25"/>
  <cols>
    <col min="1" max="1" width="5.85546875" style="1" customWidth="1"/>
    <col min="2" max="2" width="50.28515625" style="1" customWidth="1"/>
    <col min="3" max="3" width="21.28515625" style="1" bestFit="1" customWidth="1"/>
    <col min="4" max="4" width="50.28515625" style="1" customWidth="1"/>
    <col min="5" max="5" width="23.28515625" style="1" bestFit="1" customWidth="1"/>
    <col min="6" max="16384" width="11.42578125" style="1"/>
  </cols>
  <sheetData>
    <row r="2" spans="2:5" ht="20.45" thickBot="1">
      <c r="B2" s="14" t="s">
        <v>294</v>
      </c>
      <c r="C2" s="14"/>
      <c r="D2" s="14"/>
      <c r="E2" s="14"/>
    </row>
    <row r="3" spans="2:5" ht="15" thickTop="1">
      <c r="B3" s="15" t="s">
        <v>295</v>
      </c>
      <c r="C3" s="15"/>
      <c r="D3" s="15"/>
      <c r="E3" s="15"/>
    </row>
    <row r="5" spans="2:5">
      <c r="B5" s="1" t="s">
        <v>296</v>
      </c>
      <c r="C5" s="1" t="s">
        <v>297</v>
      </c>
      <c r="D5" s="1" t="s">
        <v>298</v>
      </c>
      <c r="E5" s="1" t="s">
        <v>299</v>
      </c>
    </row>
    <row r="6" spans="2:5">
      <c r="B6" s="1" t="s">
        <v>292</v>
      </c>
      <c r="C6" s="2">
        <f>+_xlfn.XLOOKUP(Dependencias_Asignadas[[#This Row],[PROGRAMA O DEPENDENCIA]],Dependencias_Totales[NOMBRE],Dependencias_Totales[DEPENDENCIA_ID],"")</f>
        <v>296</v>
      </c>
      <c r="D6" s="3" t="s">
        <v>293</v>
      </c>
      <c r="E6" s="2">
        <f>+_xlfn.XLOOKUP(Dependencias_Asignadas[[#This Row],[JEFE / DIRECTOR]],Total_Funcionarios[NOMBRE],Total_Funcionarios[FUNCIONARIO_ID],"")</f>
        <v>890</v>
      </c>
    </row>
  </sheetData>
  <sheetProtection algorithmName="SHA-512" hashValue="EkOJwEcIRUQE7dq0VnKNA7mC0x0xgMe6knAlCBwoZKFOmGdJypuF5LkxVrtBAfQA7MfSCwZftLCojGItSKKJNg==" saltValue="I71Eeg8lwAiZ1ZDblyVuug==" spinCount="100000" sheet="1" objects="1" scenarios="1"/>
  <mergeCells count="2">
    <mergeCell ref="B2:E2"/>
    <mergeCell ref="B3:E3"/>
  </mergeCells>
  <dataValidations count="2">
    <dataValidation type="list" allowBlank="1" showInputMessage="1" showErrorMessage="1" sqref="D6" xr:uid="{CFFCB3EA-5B84-4BB8-84A5-EC97598FC454}">
      <formula1>Funcionarios</formula1>
    </dataValidation>
    <dataValidation type="list" allowBlank="1" showInputMessage="1" showErrorMessage="1" sqref="B6" xr:uid="{3A349E09-AA11-4F72-8BFF-24D6E1E9FDCD}">
      <formula1>Total_Dependencias</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23E88-E6FC-4F87-9682-FDB739098C6E}">
  <sheetPr codeName="Hoja4"/>
  <dimension ref="A2:E262"/>
  <sheetViews>
    <sheetView showGridLines="0" workbookViewId="0">
      <selection activeCell="C18" sqref="C18"/>
    </sheetView>
  </sheetViews>
  <sheetFormatPr defaultColWidth="11.42578125" defaultRowHeight="14.25"/>
  <cols>
    <col min="1" max="1" width="11.42578125" style="1"/>
    <col min="2" max="2" width="20.140625" style="1" bestFit="1" customWidth="1"/>
    <col min="3" max="3" width="133.7109375" style="1" bestFit="1" customWidth="1"/>
    <col min="4" max="4" width="11.42578125" style="1"/>
    <col min="5" max="5" width="26.7109375" style="1" bestFit="1" customWidth="1"/>
    <col min="6" max="16384" width="11.42578125" style="1"/>
  </cols>
  <sheetData>
    <row r="2" spans="1:5">
      <c r="B2" s="1" t="s">
        <v>300</v>
      </c>
      <c r="C2" s="1" t="s">
        <v>301</v>
      </c>
      <c r="E2" s="1" t="s">
        <v>302</v>
      </c>
    </row>
    <row r="3" spans="1:5">
      <c r="A3" s="6">
        <v>1</v>
      </c>
      <c r="B3" s="1">
        <v>27</v>
      </c>
      <c r="C3" s="1" t="s">
        <v>303</v>
      </c>
      <c r="E3" s="1" t="s">
        <v>225</v>
      </c>
    </row>
    <row r="4" spans="1:5">
      <c r="B4" s="1">
        <v>186</v>
      </c>
      <c r="C4" s="1" t="s">
        <v>304</v>
      </c>
      <c r="E4" s="1" t="s">
        <v>23</v>
      </c>
    </row>
    <row r="5" spans="1:5">
      <c r="B5" s="1">
        <v>307</v>
      </c>
      <c r="C5" s="1" t="s">
        <v>305</v>
      </c>
      <c r="E5" s="1" t="s">
        <v>72</v>
      </c>
    </row>
    <row r="6" spans="1:5">
      <c r="B6" s="1">
        <v>98</v>
      </c>
      <c r="C6" s="1" t="s">
        <v>306</v>
      </c>
      <c r="E6" s="1" t="s">
        <v>26</v>
      </c>
    </row>
    <row r="7" spans="1:5">
      <c r="B7" s="1">
        <v>249</v>
      </c>
      <c r="C7" s="1" t="s">
        <v>307</v>
      </c>
      <c r="E7" s="1" t="s">
        <v>153</v>
      </c>
    </row>
    <row r="8" spans="1:5">
      <c r="B8" s="1">
        <v>39</v>
      </c>
      <c r="C8" s="1" t="s">
        <v>308</v>
      </c>
      <c r="E8" s="1" t="s">
        <v>309</v>
      </c>
    </row>
    <row r="9" spans="1:5">
      <c r="B9" s="1">
        <v>179</v>
      </c>
      <c r="C9" s="1" t="s">
        <v>310</v>
      </c>
      <c r="E9" s="1" t="s">
        <v>311</v>
      </c>
    </row>
    <row r="10" spans="1:5">
      <c r="B10" s="1">
        <v>85</v>
      </c>
      <c r="C10" s="1" t="s">
        <v>312</v>
      </c>
      <c r="E10" s="1" t="s">
        <v>313</v>
      </c>
    </row>
    <row r="11" spans="1:5">
      <c r="B11" s="1">
        <v>338</v>
      </c>
      <c r="C11" s="1" t="s">
        <v>314</v>
      </c>
      <c r="E11" s="1" t="s">
        <v>315</v>
      </c>
    </row>
    <row r="12" spans="1:5">
      <c r="B12" s="1">
        <v>229</v>
      </c>
      <c r="C12" s="1" t="s">
        <v>316</v>
      </c>
      <c r="E12" s="1" t="s">
        <v>317</v>
      </c>
    </row>
    <row r="13" spans="1:5">
      <c r="B13" s="1">
        <v>231</v>
      </c>
      <c r="C13" s="1" t="s">
        <v>318</v>
      </c>
    </row>
    <row r="14" spans="1:5">
      <c r="B14" s="1">
        <v>87</v>
      </c>
      <c r="C14" s="1" t="s">
        <v>319</v>
      </c>
    </row>
    <row r="15" spans="1:5">
      <c r="B15" s="1">
        <v>272</v>
      </c>
      <c r="C15" s="1" t="s">
        <v>320</v>
      </c>
    </row>
    <row r="16" spans="1:5">
      <c r="B16" s="1">
        <v>260</v>
      </c>
      <c r="C16" s="1" t="s">
        <v>321</v>
      </c>
    </row>
    <row r="17" spans="2:3">
      <c r="B17" s="1">
        <v>349</v>
      </c>
      <c r="C17" s="1" t="s">
        <v>322</v>
      </c>
    </row>
    <row r="18" spans="2:3">
      <c r="B18" s="1">
        <v>348</v>
      </c>
      <c r="C18" s="1" t="s">
        <v>323</v>
      </c>
    </row>
    <row r="19" spans="2:3">
      <c r="B19" s="1">
        <v>330</v>
      </c>
      <c r="C19" s="1" t="s">
        <v>324</v>
      </c>
    </row>
    <row r="20" spans="2:3">
      <c r="B20" s="1">
        <v>339</v>
      </c>
      <c r="C20" s="1" t="s">
        <v>325</v>
      </c>
    </row>
    <row r="21" spans="2:3">
      <c r="B21" s="1">
        <v>207</v>
      </c>
      <c r="C21" s="1" t="s">
        <v>326</v>
      </c>
    </row>
    <row r="22" spans="2:3">
      <c r="B22" s="1">
        <v>221</v>
      </c>
      <c r="C22" s="1" t="s">
        <v>327</v>
      </c>
    </row>
    <row r="23" spans="2:3">
      <c r="B23" s="1">
        <v>75</v>
      </c>
      <c r="C23" s="1" t="s">
        <v>328</v>
      </c>
    </row>
    <row r="24" spans="2:3">
      <c r="B24" s="1">
        <v>318</v>
      </c>
      <c r="C24" s="1" t="s">
        <v>329</v>
      </c>
    </row>
    <row r="25" spans="2:3">
      <c r="B25" s="1">
        <v>6</v>
      </c>
      <c r="C25" s="1" t="s">
        <v>330</v>
      </c>
    </row>
    <row r="26" spans="2:3">
      <c r="B26" s="1">
        <v>274</v>
      </c>
      <c r="C26" s="1" t="s">
        <v>331</v>
      </c>
    </row>
    <row r="27" spans="2:3">
      <c r="B27" s="1">
        <v>275</v>
      </c>
      <c r="C27" s="1" t="s">
        <v>332</v>
      </c>
    </row>
    <row r="28" spans="2:3">
      <c r="B28" s="1">
        <v>317</v>
      </c>
      <c r="C28" s="1" t="s">
        <v>333</v>
      </c>
    </row>
    <row r="29" spans="2:3">
      <c r="B29" s="1">
        <v>345</v>
      </c>
      <c r="C29" s="1" t="s">
        <v>334</v>
      </c>
    </row>
    <row r="30" spans="2:3">
      <c r="B30" s="1">
        <v>155</v>
      </c>
      <c r="C30" s="1" t="s">
        <v>335</v>
      </c>
    </row>
    <row r="31" spans="2:3">
      <c r="B31" s="1">
        <v>350</v>
      </c>
      <c r="C31" s="1" t="s">
        <v>336</v>
      </c>
    </row>
    <row r="32" spans="2:3">
      <c r="B32" s="1">
        <v>378</v>
      </c>
      <c r="C32" s="1" t="s">
        <v>337</v>
      </c>
    </row>
    <row r="33" spans="2:3">
      <c r="B33" s="1">
        <v>334</v>
      </c>
      <c r="C33" s="1" t="s">
        <v>338</v>
      </c>
    </row>
    <row r="34" spans="2:3">
      <c r="B34" s="1">
        <v>343</v>
      </c>
      <c r="C34" s="1" t="s">
        <v>339</v>
      </c>
    </row>
    <row r="35" spans="2:3">
      <c r="B35" s="1">
        <v>351</v>
      </c>
      <c r="C35" s="1" t="s">
        <v>340</v>
      </c>
    </row>
    <row r="36" spans="2:3">
      <c r="B36" s="1">
        <v>341</v>
      </c>
      <c r="C36" s="1" t="s">
        <v>341</v>
      </c>
    </row>
    <row r="37" spans="2:3">
      <c r="B37" s="1">
        <v>29</v>
      </c>
      <c r="C37" s="1" t="s">
        <v>342</v>
      </c>
    </row>
    <row r="38" spans="2:3">
      <c r="B38" s="1">
        <v>4</v>
      </c>
      <c r="C38" s="1" t="s">
        <v>343</v>
      </c>
    </row>
    <row r="39" spans="2:3">
      <c r="B39" s="1">
        <v>1</v>
      </c>
      <c r="C39" s="1" t="s">
        <v>344</v>
      </c>
    </row>
    <row r="40" spans="2:3">
      <c r="B40" s="1">
        <v>2</v>
      </c>
      <c r="C40" s="1" t="s">
        <v>345</v>
      </c>
    </row>
    <row r="41" spans="2:3">
      <c r="B41" s="1">
        <v>81</v>
      </c>
      <c r="C41" s="1" t="s">
        <v>346</v>
      </c>
    </row>
    <row r="42" spans="2:3">
      <c r="B42" s="1">
        <v>336</v>
      </c>
      <c r="C42" s="1" t="s">
        <v>347</v>
      </c>
    </row>
    <row r="43" spans="2:3">
      <c r="B43" s="1">
        <v>28</v>
      </c>
      <c r="C43" s="1" t="s">
        <v>348</v>
      </c>
    </row>
    <row r="44" spans="2:3">
      <c r="B44" s="1">
        <v>325</v>
      </c>
      <c r="C44" s="1" t="s">
        <v>349</v>
      </c>
    </row>
    <row r="45" spans="2:3">
      <c r="B45" s="1">
        <v>386</v>
      </c>
      <c r="C45" s="1" t="s">
        <v>350</v>
      </c>
    </row>
    <row r="46" spans="2:3">
      <c r="B46" s="1">
        <v>373</v>
      </c>
      <c r="C46" s="1" t="s">
        <v>351</v>
      </c>
    </row>
    <row r="47" spans="2:3">
      <c r="B47" s="1">
        <v>371</v>
      </c>
      <c r="C47" s="1" t="s">
        <v>352</v>
      </c>
    </row>
    <row r="48" spans="2:3">
      <c r="B48" s="1">
        <v>375</v>
      </c>
      <c r="C48" s="1" t="s">
        <v>353</v>
      </c>
    </row>
    <row r="49" spans="2:3">
      <c r="B49" s="1">
        <v>299</v>
      </c>
      <c r="C49" s="1" t="s">
        <v>354</v>
      </c>
    </row>
    <row r="50" spans="2:3">
      <c r="B50" s="1">
        <v>369</v>
      </c>
      <c r="C50" s="1" t="s">
        <v>355</v>
      </c>
    </row>
    <row r="51" spans="2:3">
      <c r="B51" s="1">
        <v>175</v>
      </c>
      <c r="C51" s="1" t="s">
        <v>356</v>
      </c>
    </row>
    <row r="52" spans="2:3">
      <c r="B52" s="1">
        <v>368</v>
      </c>
      <c r="C52" s="1" t="s">
        <v>357</v>
      </c>
    </row>
    <row r="53" spans="2:3">
      <c r="B53" s="1">
        <v>353</v>
      </c>
      <c r="C53" s="1" t="s">
        <v>358</v>
      </c>
    </row>
    <row r="54" spans="2:3">
      <c r="B54" s="1">
        <v>370</v>
      </c>
      <c r="C54" s="1" t="s">
        <v>359</v>
      </c>
    </row>
    <row r="55" spans="2:3">
      <c r="B55" s="1">
        <v>374</v>
      </c>
      <c r="C55" s="1" t="s">
        <v>360</v>
      </c>
    </row>
    <row r="56" spans="2:3">
      <c r="B56" s="1">
        <v>328</v>
      </c>
      <c r="C56" s="1" t="s">
        <v>361</v>
      </c>
    </row>
    <row r="57" spans="2:3">
      <c r="B57" s="1">
        <v>329</v>
      </c>
      <c r="C57" s="1" t="s">
        <v>362</v>
      </c>
    </row>
    <row r="58" spans="2:3">
      <c r="B58" s="1">
        <v>327</v>
      </c>
      <c r="C58" s="1" t="s">
        <v>363</v>
      </c>
    </row>
    <row r="59" spans="2:3">
      <c r="B59" s="1">
        <v>161</v>
      </c>
      <c r="C59" s="1" t="s">
        <v>364</v>
      </c>
    </row>
    <row r="60" spans="2:3">
      <c r="B60" s="1">
        <v>102</v>
      </c>
      <c r="C60" s="1" t="s">
        <v>365</v>
      </c>
    </row>
    <row r="61" spans="2:3">
      <c r="B61" s="1">
        <v>111</v>
      </c>
      <c r="C61" s="1" t="s">
        <v>366</v>
      </c>
    </row>
    <row r="62" spans="2:3">
      <c r="B62" s="1">
        <v>110</v>
      </c>
      <c r="C62" s="1" t="s">
        <v>367</v>
      </c>
    </row>
    <row r="63" spans="2:3">
      <c r="B63" s="1">
        <v>107</v>
      </c>
      <c r="C63" s="1" t="s">
        <v>368</v>
      </c>
    </row>
    <row r="64" spans="2:3">
      <c r="B64" s="1">
        <v>106</v>
      </c>
      <c r="C64" s="1" t="s">
        <v>369</v>
      </c>
    </row>
    <row r="65" spans="2:3">
      <c r="B65" s="1">
        <v>104</v>
      </c>
      <c r="C65" s="1" t="s">
        <v>370</v>
      </c>
    </row>
    <row r="66" spans="2:3">
      <c r="B66" s="1">
        <v>105</v>
      </c>
      <c r="C66" s="1" t="s">
        <v>371</v>
      </c>
    </row>
    <row r="67" spans="2:3">
      <c r="B67" s="1">
        <v>113</v>
      </c>
      <c r="C67" s="1" t="s">
        <v>372</v>
      </c>
    </row>
    <row r="68" spans="2:3">
      <c r="B68" s="1">
        <v>115</v>
      </c>
      <c r="C68" s="1" t="s">
        <v>373</v>
      </c>
    </row>
    <row r="69" spans="2:3">
      <c r="B69" s="1">
        <v>313</v>
      </c>
      <c r="C69" s="1" t="s">
        <v>374</v>
      </c>
    </row>
    <row r="70" spans="2:3">
      <c r="B70" s="1">
        <v>225</v>
      </c>
      <c r="C70" s="1" t="s">
        <v>375</v>
      </c>
    </row>
    <row r="71" spans="2:3">
      <c r="B71" s="1">
        <v>311</v>
      </c>
      <c r="C71" s="1" t="s">
        <v>376</v>
      </c>
    </row>
    <row r="72" spans="2:3">
      <c r="B72" s="1">
        <v>114</v>
      </c>
      <c r="C72" s="1" t="s">
        <v>377</v>
      </c>
    </row>
    <row r="73" spans="2:3">
      <c r="B73" s="1">
        <v>62</v>
      </c>
      <c r="C73" s="1" t="s">
        <v>378</v>
      </c>
    </row>
    <row r="74" spans="2:3">
      <c r="B74" s="1">
        <v>277</v>
      </c>
      <c r="C74" s="1" t="s">
        <v>379</v>
      </c>
    </row>
    <row r="75" spans="2:3">
      <c r="B75" s="1">
        <v>103</v>
      </c>
      <c r="C75" s="1" t="s">
        <v>380</v>
      </c>
    </row>
    <row r="76" spans="2:3">
      <c r="B76" s="1">
        <v>112</v>
      </c>
      <c r="C76" s="1" t="s">
        <v>381</v>
      </c>
    </row>
    <row r="77" spans="2:3">
      <c r="B77" s="1">
        <v>109</v>
      </c>
      <c r="C77" s="1" t="s">
        <v>382</v>
      </c>
    </row>
    <row r="78" spans="2:3">
      <c r="B78" s="1">
        <v>181</v>
      </c>
      <c r="C78" s="1" t="s">
        <v>383</v>
      </c>
    </row>
    <row r="79" spans="2:3">
      <c r="B79" s="1">
        <v>108</v>
      </c>
      <c r="C79" s="1" t="s">
        <v>384</v>
      </c>
    </row>
    <row r="80" spans="2:3">
      <c r="B80" s="1">
        <v>312</v>
      </c>
      <c r="C80" s="1" t="s">
        <v>385</v>
      </c>
    </row>
    <row r="81" spans="2:3">
      <c r="B81" s="1">
        <v>30</v>
      </c>
      <c r="C81" s="1" t="s">
        <v>386</v>
      </c>
    </row>
    <row r="82" spans="2:3">
      <c r="B82" s="1">
        <v>178</v>
      </c>
      <c r="C82" s="1" t="s">
        <v>387</v>
      </c>
    </row>
    <row r="83" spans="2:3">
      <c r="B83" s="1">
        <v>354</v>
      </c>
      <c r="C83" s="1" t="s">
        <v>388</v>
      </c>
    </row>
    <row r="84" spans="2:3">
      <c r="B84" s="1">
        <v>331</v>
      </c>
      <c r="C84" s="1" t="s">
        <v>389</v>
      </c>
    </row>
    <row r="85" spans="2:3">
      <c r="B85" s="1">
        <v>117</v>
      </c>
      <c r="C85" s="1" t="s">
        <v>390</v>
      </c>
    </row>
    <row r="86" spans="2:3">
      <c r="B86" s="1">
        <v>212</v>
      </c>
      <c r="C86" s="1" t="s">
        <v>391</v>
      </c>
    </row>
    <row r="87" spans="2:3">
      <c r="B87" s="1">
        <v>335</v>
      </c>
      <c r="C87" s="1" t="s">
        <v>392</v>
      </c>
    </row>
    <row r="88" spans="2:3">
      <c r="B88" s="1">
        <v>224</v>
      </c>
      <c r="C88" s="1" t="s">
        <v>393</v>
      </c>
    </row>
    <row r="89" spans="2:3">
      <c r="B89" s="1">
        <v>210</v>
      </c>
      <c r="C89" s="1" t="s">
        <v>394</v>
      </c>
    </row>
    <row r="90" spans="2:3">
      <c r="B90" s="1">
        <v>209</v>
      </c>
      <c r="C90" s="1" t="s">
        <v>395</v>
      </c>
    </row>
    <row r="91" spans="2:3">
      <c r="B91" s="1">
        <v>166</v>
      </c>
      <c r="C91" s="1" t="s">
        <v>396</v>
      </c>
    </row>
    <row r="92" spans="2:3">
      <c r="B92" s="1">
        <v>298</v>
      </c>
      <c r="C92" s="1" t="s">
        <v>397</v>
      </c>
    </row>
    <row r="93" spans="2:3">
      <c r="B93" s="1">
        <v>381</v>
      </c>
      <c r="C93" s="1" t="s">
        <v>398</v>
      </c>
    </row>
    <row r="94" spans="2:3">
      <c r="B94" s="1">
        <v>206</v>
      </c>
      <c r="C94" s="1" t="s">
        <v>399</v>
      </c>
    </row>
    <row r="95" spans="2:3">
      <c r="B95" s="1">
        <v>337</v>
      </c>
      <c r="C95" s="1" t="s">
        <v>400</v>
      </c>
    </row>
    <row r="96" spans="2:3">
      <c r="B96" s="1">
        <v>211</v>
      </c>
      <c r="C96" s="1" t="s">
        <v>401</v>
      </c>
    </row>
    <row r="97" spans="2:3">
      <c r="B97" s="1">
        <v>222</v>
      </c>
      <c r="C97" s="1" t="s">
        <v>402</v>
      </c>
    </row>
    <row r="98" spans="2:3">
      <c r="B98" s="1">
        <v>310</v>
      </c>
      <c r="C98" s="1" t="s">
        <v>403</v>
      </c>
    </row>
    <row r="99" spans="2:3">
      <c r="B99" s="1">
        <v>238</v>
      </c>
      <c r="C99" s="1" t="s">
        <v>404</v>
      </c>
    </row>
    <row r="100" spans="2:3">
      <c r="B100" s="1">
        <v>365</v>
      </c>
      <c r="C100" s="1" t="s">
        <v>405</v>
      </c>
    </row>
    <row r="101" spans="2:3">
      <c r="B101" s="1">
        <v>326</v>
      </c>
      <c r="C101" s="1" t="s">
        <v>406</v>
      </c>
    </row>
    <row r="102" spans="2:3">
      <c r="B102" s="1">
        <v>240</v>
      </c>
      <c r="C102" s="1" t="s">
        <v>407</v>
      </c>
    </row>
    <row r="103" spans="2:3">
      <c r="B103" s="1">
        <v>239</v>
      </c>
      <c r="C103" s="1" t="s">
        <v>408</v>
      </c>
    </row>
    <row r="104" spans="2:3">
      <c r="B104" s="1">
        <v>315</v>
      </c>
      <c r="C104" s="1" t="s">
        <v>409</v>
      </c>
    </row>
    <row r="105" spans="2:3">
      <c r="B105" s="1">
        <v>319</v>
      </c>
      <c r="C105" s="1" t="s">
        <v>410</v>
      </c>
    </row>
    <row r="106" spans="2:3">
      <c r="B106" s="1">
        <v>258</v>
      </c>
      <c r="C106" s="1" t="s">
        <v>411</v>
      </c>
    </row>
    <row r="107" spans="2:3">
      <c r="B107" s="1">
        <v>332</v>
      </c>
      <c r="C107" s="1" t="s">
        <v>412</v>
      </c>
    </row>
    <row r="108" spans="2:3">
      <c r="B108" s="1">
        <v>219</v>
      </c>
      <c r="C108" s="1" t="s">
        <v>413</v>
      </c>
    </row>
    <row r="109" spans="2:3">
      <c r="B109" s="1">
        <v>176</v>
      </c>
      <c r="C109" s="1" t="s">
        <v>414</v>
      </c>
    </row>
    <row r="110" spans="2:3">
      <c r="B110" s="1">
        <v>352</v>
      </c>
      <c r="C110" s="1" t="s">
        <v>415</v>
      </c>
    </row>
    <row r="111" spans="2:3">
      <c r="B111" s="1">
        <v>40</v>
      </c>
      <c r="C111" s="1" t="s">
        <v>416</v>
      </c>
    </row>
    <row r="112" spans="2:3">
      <c r="B112" s="1">
        <v>235</v>
      </c>
      <c r="C112" s="1" t="s">
        <v>417</v>
      </c>
    </row>
    <row r="113" spans="2:3">
      <c r="B113" s="1">
        <v>69</v>
      </c>
      <c r="C113" s="1" t="s">
        <v>418</v>
      </c>
    </row>
    <row r="114" spans="2:3">
      <c r="B114" s="1">
        <v>13</v>
      </c>
      <c r="C114" s="1" t="s">
        <v>419</v>
      </c>
    </row>
    <row r="115" spans="2:3">
      <c r="B115" s="1">
        <v>199</v>
      </c>
      <c r="C115" s="1" t="s">
        <v>420</v>
      </c>
    </row>
    <row r="116" spans="2:3">
      <c r="B116" s="1">
        <v>203</v>
      </c>
      <c r="C116" s="1" t="s">
        <v>421</v>
      </c>
    </row>
    <row r="117" spans="2:3">
      <c r="B117" s="1">
        <v>342</v>
      </c>
      <c r="C117" s="1" t="s">
        <v>422</v>
      </c>
    </row>
    <row r="118" spans="2:3">
      <c r="B118" s="1">
        <v>148</v>
      </c>
      <c r="C118" s="1" t="s">
        <v>423</v>
      </c>
    </row>
    <row r="119" spans="2:3">
      <c r="B119" s="1">
        <v>121</v>
      </c>
      <c r="C119" s="1" t="s">
        <v>424</v>
      </c>
    </row>
    <row r="120" spans="2:3">
      <c r="B120" s="1">
        <v>316</v>
      </c>
      <c r="C120" s="1" t="s">
        <v>425</v>
      </c>
    </row>
    <row r="121" spans="2:3">
      <c r="B121" s="1">
        <v>130</v>
      </c>
      <c r="C121" s="1" t="s">
        <v>426</v>
      </c>
    </row>
    <row r="122" spans="2:3">
      <c r="B122" s="1">
        <v>314</v>
      </c>
      <c r="C122" s="1" t="s">
        <v>427</v>
      </c>
    </row>
    <row r="123" spans="2:3">
      <c r="B123" s="1">
        <v>367</v>
      </c>
      <c r="C123" s="1" t="s">
        <v>428</v>
      </c>
    </row>
    <row r="124" spans="2:3">
      <c r="B124" s="1">
        <v>8</v>
      </c>
      <c r="C124" s="1" t="s">
        <v>429</v>
      </c>
    </row>
    <row r="125" spans="2:3">
      <c r="B125" s="1">
        <v>200</v>
      </c>
      <c r="C125" s="1" t="s">
        <v>430</v>
      </c>
    </row>
    <row r="126" spans="2:3">
      <c r="B126" s="1">
        <v>205</v>
      </c>
      <c r="C126" s="1" t="s">
        <v>431</v>
      </c>
    </row>
    <row r="127" spans="2:3">
      <c r="B127" s="1">
        <v>72</v>
      </c>
      <c r="C127" s="1" t="s">
        <v>432</v>
      </c>
    </row>
    <row r="128" spans="2:3">
      <c r="B128" s="1">
        <v>9</v>
      </c>
      <c r="C128" s="1" t="s">
        <v>433</v>
      </c>
    </row>
    <row r="129" spans="2:3">
      <c r="B129" s="1">
        <v>293</v>
      </c>
      <c r="C129" s="1" t="s">
        <v>434</v>
      </c>
    </row>
    <row r="130" spans="2:3">
      <c r="B130" s="1">
        <v>64</v>
      </c>
      <c r="C130" s="1" t="s">
        <v>435</v>
      </c>
    </row>
    <row r="131" spans="2:3">
      <c r="B131" s="1">
        <v>65</v>
      </c>
      <c r="C131" s="1" t="s">
        <v>436</v>
      </c>
    </row>
    <row r="132" spans="2:3">
      <c r="B132" s="1">
        <v>197</v>
      </c>
      <c r="C132" s="1" t="s">
        <v>437</v>
      </c>
    </row>
    <row r="133" spans="2:3">
      <c r="B133" s="1">
        <v>281</v>
      </c>
      <c r="C133" s="1" t="s">
        <v>438</v>
      </c>
    </row>
    <row r="134" spans="2:3">
      <c r="B134" s="1">
        <v>58</v>
      </c>
      <c r="C134" s="1" t="s">
        <v>439</v>
      </c>
    </row>
    <row r="135" spans="2:3">
      <c r="B135" s="1">
        <v>134</v>
      </c>
      <c r="C135" s="1" t="s">
        <v>440</v>
      </c>
    </row>
    <row r="136" spans="2:3">
      <c r="B136" s="1">
        <v>49</v>
      </c>
      <c r="C136" s="1" t="s">
        <v>441</v>
      </c>
    </row>
    <row r="137" spans="2:3">
      <c r="B137" s="1">
        <v>355</v>
      </c>
      <c r="C137" s="1" t="s">
        <v>442</v>
      </c>
    </row>
    <row r="138" spans="2:3">
      <c r="B138" s="1">
        <v>55</v>
      </c>
      <c r="C138" s="1" t="s">
        <v>443</v>
      </c>
    </row>
    <row r="139" spans="2:3">
      <c r="B139" s="1">
        <v>53</v>
      </c>
      <c r="C139" s="1" t="s">
        <v>444</v>
      </c>
    </row>
    <row r="140" spans="2:3">
      <c r="B140" s="1">
        <v>46</v>
      </c>
      <c r="C140" s="1" t="s">
        <v>445</v>
      </c>
    </row>
    <row r="141" spans="2:3">
      <c r="B141" s="1">
        <v>188</v>
      </c>
      <c r="C141" s="1" t="s">
        <v>446</v>
      </c>
    </row>
    <row r="142" spans="2:3">
      <c r="B142" s="1">
        <v>226</v>
      </c>
      <c r="C142" s="1" t="s">
        <v>447</v>
      </c>
    </row>
    <row r="143" spans="2:3">
      <c r="B143" s="1">
        <v>217</v>
      </c>
      <c r="C143" s="1" t="s">
        <v>448</v>
      </c>
    </row>
    <row r="144" spans="2:3">
      <c r="B144" s="1">
        <v>288</v>
      </c>
      <c r="C144" s="1" t="s">
        <v>449</v>
      </c>
    </row>
    <row r="145" spans="2:3">
      <c r="B145" s="1">
        <v>259</v>
      </c>
      <c r="C145" s="1" t="s">
        <v>450</v>
      </c>
    </row>
    <row r="146" spans="2:3">
      <c r="B146" s="1">
        <v>201</v>
      </c>
      <c r="C146" s="1" t="s">
        <v>451</v>
      </c>
    </row>
    <row r="147" spans="2:3">
      <c r="B147" s="1">
        <v>168</v>
      </c>
      <c r="C147" s="1" t="s">
        <v>452</v>
      </c>
    </row>
    <row r="148" spans="2:3">
      <c r="B148" s="1">
        <v>290</v>
      </c>
      <c r="C148" s="1" t="s">
        <v>453</v>
      </c>
    </row>
    <row r="149" spans="2:3">
      <c r="B149" s="1">
        <v>286</v>
      </c>
      <c r="C149" s="1" t="s">
        <v>454</v>
      </c>
    </row>
    <row r="150" spans="2:3">
      <c r="B150" s="1">
        <v>182</v>
      </c>
      <c r="C150" s="1" t="s">
        <v>455</v>
      </c>
    </row>
    <row r="151" spans="2:3">
      <c r="B151" s="1">
        <v>248</v>
      </c>
      <c r="C151" s="1" t="s">
        <v>456</v>
      </c>
    </row>
    <row r="152" spans="2:3">
      <c r="B152" s="1">
        <v>21</v>
      </c>
      <c r="C152" s="1" t="s">
        <v>457</v>
      </c>
    </row>
    <row r="153" spans="2:3">
      <c r="B153" s="1">
        <v>17</v>
      </c>
      <c r="C153" s="1" t="s">
        <v>458</v>
      </c>
    </row>
    <row r="154" spans="2:3">
      <c r="B154" s="1">
        <v>20</v>
      </c>
      <c r="C154" s="1" t="s">
        <v>459</v>
      </c>
    </row>
    <row r="155" spans="2:3">
      <c r="B155" s="1">
        <v>19</v>
      </c>
      <c r="C155" s="1" t="s">
        <v>460</v>
      </c>
    </row>
    <row r="156" spans="2:3">
      <c r="B156" s="1">
        <v>131</v>
      </c>
      <c r="C156" s="1" t="s">
        <v>461</v>
      </c>
    </row>
    <row r="157" spans="2:3">
      <c r="B157" s="1">
        <v>18</v>
      </c>
      <c r="C157" s="1" t="s">
        <v>462</v>
      </c>
    </row>
    <row r="158" spans="2:3">
      <c r="B158" s="1">
        <v>128</v>
      </c>
      <c r="C158" s="1" t="s">
        <v>463</v>
      </c>
    </row>
    <row r="159" spans="2:3">
      <c r="B159" s="1">
        <v>22</v>
      </c>
      <c r="C159" s="1" t="s">
        <v>464</v>
      </c>
    </row>
    <row r="160" spans="2:3">
      <c r="B160" s="1">
        <v>35</v>
      </c>
      <c r="C160" s="1" t="s">
        <v>465</v>
      </c>
    </row>
    <row r="161" spans="2:3">
      <c r="B161" s="1">
        <v>163</v>
      </c>
      <c r="C161" s="1" t="s">
        <v>466</v>
      </c>
    </row>
    <row r="162" spans="2:3">
      <c r="B162" s="1">
        <v>177</v>
      </c>
      <c r="C162" s="1" t="s">
        <v>467</v>
      </c>
    </row>
    <row r="163" spans="2:3">
      <c r="B163" s="1">
        <v>297</v>
      </c>
      <c r="C163" s="1" t="s">
        <v>468</v>
      </c>
    </row>
    <row r="164" spans="2:3">
      <c r="B164" s="1">
        <v>32</v>
      </c>
      <c r="C164" s="1" t="s">
        <v>469</v>
      </c>
    </row>
    <row r="165" spans="2:3">
      <c r="B165" s="1">
        <v>296</v>
      </c>
      <c r="C165" s="1" t="s">
        <v>292</v>
      </c>
    </row>
    <row r="166" spans="2:3">
      <c r="B166" s="1">
        <v>33</v>
      </c>
      <c r="C166" s="1" t="s">
        <v>470</v>
      </c>
    </row>
    <row r="167" spans="2:3">
      <c r="B167" s="1">
        <v>333</v>
      </c>
      <c r="C167" s="1" t="s">
        <v>471</v>
      </c>
    </row>
    <row r="168" spans="2:3">
      <c r="B168" s="1">
        <v>223</v>
      </c>
      <c r="C168" s="1" t="s">
        <v>472</v>
      </c>
    </row>
    <row r="169" spans="2:3">
      <c r="B169" s="1">
        <v>167</v>
      </c>
      <c r="C169" s="1" t="s">
        <v>473</v>
      </c>
    </row>
    <row r="170" spans="2:3">
      <c r="B170" s="1">
        <v>31</v>
      </c>
      <c r="C170" s="1" t="s">
        <v>474</v>
      </c>
    </row>
    <row r="171" spans="2:3">
      <c r="B171" s="1">
        <v>358</v>
      </c>
      <c r="C171" s="1" t="s">
        <v>475</v>
      </c>
    </row>
    <row r="172" spans="2:3">
      <c r="B172" s="1">
        <v>36</v>
      </c>
      <c r="C172" s="1" t="s">
        <v>476</v>
      </c>
    </row>
    <row r="173" spans="2:3">
      <c r="B173" s="1">
        <v>236</v>
      </c>
      <c r="C173" s="1" t="s">
        <v>477</v>
      </c>
    </row>
    <row r="174" spans="2:3">
      <c r="B174" s="1">
        <v>237</v>
      </c>
      <c r="C174" s="1" t="s">
        <v>478</v>
      </c>
    </row>
    <row r="175" spans="2:3">
      <c r="B175" s="1">
        <v>241</v>
      </c>
      <c r="C175" s="1" t="s">
        <v>479</v>
      </c>
    </row>
    <row r="176" spans="2:3">
      <c r="B176" s="1">
        <v>78</v>
      </c>
      <c r="C176" s="1" t="s">
        <v>480</v>
      </c>
    </row>
    <row r="177" spans="2:3">
      <c r="B177" s="1">
        <v>156</v>
      </c>
      <c r="C177" s="1" t="s">
        <v>481</v>
      </c>
    </row>
    <row r="178" spans="2:3">
      <c r="B178" s="1">
        <v>77</v>
      </c>
      <c r="C178" s="1" t="s">
        <v>482</v>
      </c>
    </row>
    <row r="179" spans="2:3">
      <c r="B179" s="1">
        <v>82</v>
      </c>
      <c r="C179" s="1" t="s">
        <v>483</v>
      </c>
    </row>
    <row r="180" spans="2:3">
      <c r="B180" s="1">
        <v>278</v>
      </c>
      <c r="C180" s="1" t="s">
        <v>484</v>
      </c>
    </row>
    <row r="181" spans="2:3">
      <c r="B181" s="1">
        <v>242</v>
      </c>
      <c r="C181" s="1" t="s">
        <v>485</v>
      </c>
    </row>
    <row r="182" spans="2:3">
      <c r="B182" s="1">
        <v>346</v>
      </c>
      <c r="C182" s="1" t="s">
        <v>486</v>
      </c>
    </row>
    <row r="183" spans="2:3">
      <c r="B183" s="1">
        <v>262</v>
      </c>
      <c r="C183" s="1" t="s">
        <v>487</v>
      </c>
    </row>
    <row r="184" spans="2:3">
      <c r="B184" s="1">
        <v>84</v>
      </c>
      <c r="C184" s="1" t="s">
        <v>488</v>
      </c>
    </row>
    <row r="185" spans="2:3">
      <c r="B185" s="1">
        <v>80</v>
      </c>
      <c r="C185" s="1" t="s">
        <v>489</v>
      </c>
    </row>
    <row r="186" spans="2:3">
      <c r="B186" s="1">
        <v>276</v>
      </c>
      <c r="C186" s="1" t="s">
        <v>490</v>
      </c>
    </row>
    <row r="187" spans="2:3">
      <c r="B187" s="1">
        <v>76</v>
      </c>
      <c r="C187" s="1" t="s">
        <v>491</v>
      </c>
    </row>
    <row r="188" spans="2:3">
      <c r="B188" s="1">
        <v>266</v>
      </c>
      <c r="C188" s="1" t="s">
        <v>492</v>
      </c>
    </row>
    <row r="189" spans="2:3">
      <c r="B189" s="1">
        <v>271</v>
      </c>
      <c r="C189" s="1" t="s">
        <v>493</v>
      </c>
    </row>
    <row r="190" spans="2:3">
      <c r="B190" s="1">
        <v>291</v>
      </c>
      <c r="C190" s="1" t="s">
        <v>494</v>
      </c>
    </row>
    <row r="191" spans="2:3">
      <c r="B191" s="1">
        <v>243</v>
      </c>
      <c r="C191" s="1" t="s">
        <v>495</v>
      </c>
    </row>
    <row r="192" spans="2:3">
      <c r="B192" s="1">
        <v>269</v>
      </c>
      <c r="C192" s="1" t="s">
        <v>496</v>
      </c>
    </row>
    <row r="193" spans="2:3">
      <c r="B193" s="1">
        <v>270</v>
      </c>
      <c r="C193" s="1" t="s">
        <v>497</v>
      </c>
    </row>
    <row r="194" spans="2:3">
      <c r="B194" s="1">
        <v>267</v>
      </c>
      <c r="C194" s="1" t="s">
        <v>498</v>
      </c>
    </row>
    <row r="195" spans="2:3">
      <c r="B195" s="1">
        <v>79</v>
      </c>
      <c r="C195" s="1" t="s">
        <v>499</v>
      </c>
    </row>
    <row r="196" spans="2:3">
      <c r="B196" s="1">
        <v>83</v>
      </c>
      <c r="C196" s="1" t="s">
        <v>500</v>
      </c>
    </row>
    <row r="197" spans="2:3">
      <c r="B197" s="1">
        <v>268</v>
      </c>
      <c r="C197" s="1" t="s">
        <v>501</v>
      </c>
    </row>
    <row r="198" spans="2:3">
      <c r="B198" s="1">
        <v>273</v>
      </c>
      <c r="C198" s="1" t="s">
        <v>502</v>
      </c>
    </row>
    <row r="199" spans="2:3">
      <c r="B199" s="1">
        <v>376</v>
      </c>
      <c r="C199" s="1" t="s">
        <v>503</v>
      </c>
    </row>
    <row r="200" spans="2:3">
      <c r="B200" s="1">
        <v>377</v>
      </c>
      <c r="C200" s="1" t="s">
        <v>504</v>
      </c>
    </row>
    <row r="201" spans="2:3">
      <c r="B201" s="1">
        <v>247</v>
      </c>
      <c r="C201" s="1" t="s">
        <v>505</v>
      </c>
    </row>
    <row r="202" spans="2:3">
      <c r="B202" s="1">
        <v>220</v>
      </c>
      <c r="C202" s="1" t="s">
        <v>506</v>
      </c>
    </row>
    <row r="203" spans="2:3">
      <c r="B203" s="1">
        <v>380</v>
      </c>
      <c r="C203" s="1" t="s">
        <v>507</v>
      </c>
    </row>
    <row r="204" spans="2:3">
      <c r="B204" s="1">
        <v>283</v>
      </c>
      <c r="C204" s="1" t="s">
        <v>508</v>
      </c>
    </row>
    <row r="205" spans="2:3">
      <c r="B205" s="1">
        <v>382</v>
      </c>
      <c r="C205" s="1" t="s">
        <v>509</v>
      </c>
    </row>
    <row r="206" spans="2:3">
      <c r="B206" s="1">
        <v>279</v>
      </c>
      <c r="C206" s="1" t="s">
        <v>510</v>
      </c>
    </row>
    <row r="207" spans="2:3">
      <c r="B207" s="1">
        <v>387</v>
      </c>
      <c r="C207" s="1" t="s">
        <v>511</v>
      </c>
    </row>
    <row r="208" spans="2:3">
      <c r="B208" s="1">
        <v>379</v>
      </c>
      <c r="C208" s="1" t="s">
        <v>512</v>
      </c>
    </row>
    <row r="209" spans="2:3">
      <c r="B209" s="1">
        <v>263</v>
      </c>
      <c r="C209" s="1" t="s">
        <v>513</v>
      </c>
    </row>
    <row r="210" spans="2:3">
      <c r="B210" s="1">
        <v>280</v>
      </c>
      <c r="C210" s="1" t="s">
        <v>514</v>
      </c>
    </row>
    <row r="211" spans="2:3">
      <c r="B211" s="1">
        <v>196</v>
      </c>
      <c r="C211" s="1" t="s">
        <v>515</v>
      </c>
    </row>
    <row r="212" spans="2:3">
      <c r="B212" s="1">
        <v>38</v>
      </c>
      <c r="C212" s="1" t="s">
        <v>516</v>
      </c>
    </row>
    <row r="213" spans="2:3">
      <c r="B213" s="1">
        <v>230</v>
      </c>
      <c r="C213" s="1" t="s">
        <v>517</v>
      </c>
    </row>
    <row r="214" spans="2:3">
      <c r="B214" s="1">
        <v>385</v>
      </c>
      <c r="C214" s="1" t="s">
        <v>518</v>
      </c>
    </row>
    <row r="215" spans="2:3">
      <c r="B215" s="1">
        <v>12</v>
      </c>
      <c r="C215" s="1" t="s">
        <v>519</v>
      </c>
    </row>
    <row r="216" spans="2:3">
      <c r="B216" s="1">
        <v>204</v>
      </c>
      <c r="C216" s="1" t="s">
        <v>520</v>
      </c>
    </row>
    <row r="217" spans="2:3">
      <c r="B217" s="1">
        <v>14</v>
      </c>
      <c r="C217" s="1" t="s">
        <v>521</v>
      </c>
    </row>
    <row r="218" spans="2:3">
      <c r="B218" s="1">
        <v>154</v>
      </c>
      <c r="C218" s="1" t="s">
        <v>522</v>
      </c>
    </row>
    <row r="219" spans="2:3">
      <c r="B219" s="1">
        <v>151</v>
      </c>
      <c r="C219" s="1" t="s">
        <v>523</v>
      </c>
    </row>
    <row r="220" spans="2:3">
      <c r="B220" s="1">
        <v>152</v>
      </c>
      <c r="C220" s="1" t="s">
        <v>524</v>
      </c>
    </row>
    <row r="221" spans="2:3">
      <c r="B221" s="1">
        <v>150</v>
      </c>
      <c r="C221" s="1" t="s">
        <v>525</v>
      </c>
    </row>
    <row r="222" spans="2:3">
      <c r="B222" s="1">
        <v>149</v>
      </c>
      <c r="C222" s="1" t="s">
        <v>526</v>
      </c>
    </row>
    <row r="223" spans="2:3">
      <c r="B223" s="1">
        <v>153</v>
      </c>
      <c r="C223" s="1" t="s">
        <v>527</v>
      </c>
    </row>
    <row r="224" spans="2:3">
      <c r="B224" s="1">
        <v>244</v>
      </c>
      <c r="C224" s="1" t="s">
        <v>528</v>
      </c>
    </row>
    <row r="225" spans="2:3">
      <c r="B225" s="1">
        <v>228</v>
      </c>
      <c r="C225" s="1" t="s">
        <v>529</v>
      </c>
    </row>
    <row r="226" spans="2:3">
      <c r="B226" s="1">
        <v>132</v>
      </c>
      <c r="C226" s="1" t="s">
        <v>530</v>
      </c>
    </row>
    <row r="227" spans="2:3">
      <c r="B227" s="1">
        <v>187</v>
      </c>
      <c r="C227" s="1" t="s">
        <v>531</v>
      </c>
    </row>
    <row r="228" spans="2:3">
      <c r="B228" s="1">
        <v>5</v>
      </c>
      <c r="C228" s="1" t="s">
        <v>532</v>
      </c>
    </row>
    <row r="229" spans="2:3">
      <c r="B229" s="1">
        <v>3</v>
      </c>
      <c r="C229" s="1" t="s">
        <v>533</v>
      </c>
    </row>
    <row r="230" spans="2:3">
      <c r="B230" s="1">
        <v>372</v>
      </c>
      <c r="C230" s="1" t="s">
        <v>534</v>
      </c>
    </row>
    <row r="231" spans="2:3">
      <c r="B231" s="1">
        <v>308</v>
      </c>
      <c r="C231" s="1" t="s">
        <v>535</v>
      </c>
    </row>
    <row r="232" spans="2:3">
      <c r="B232" s="1">
        <v>245</v>
      </c>
      <c r="C232" s="1" t="s">
        <v>536</v>
      </c>
    </row>
    <row r="233" spans="2:3">
      <c r="B233" s="1">
        <v>10</v>
      </c>
      <c r="C233" s="1" t="s">
        <v>537</v>
      </c>
    </row>
    <row r="234" spans="2:3">
      <c r="B234" s="1">
        <v>70</v>
      </c>
      <c r="C234" s="1" t="s">
        <v>538</v>
      </c>
    </row>
    <row r="235" spans="2:3">
      <c r="B235" s="1">
        <v>232</v>
      </c>
      <c r="C235" s="1" t="s">
        <v>539</v>
      </c>
    </row>
    <row r="236" spans="2:3">
      <c r="B236" s="1">
        <v>67</v>
      </c>
      <c r="C236" s="1" t="s">
        <v>540</v>
      </c>
    </row>
    <row r="237" spans="2:3">
      <c r="B237" s="1">
        <v>233</v>
      </c>
      <c r="C237" s="1" t="s">
        <v>541</v>
      </c>
    </row>
    <row r="238" spans="2:3">
      <c r="B238" s="1">
        <v>234</v>
      </c>
      <c r="C238" s="1" t="s">
        <v>542</v>
      </c>
    </row>
    <row r="239" spans="2:3">
      <c r="B239" s="1">
        <v>294</v>
      </c>
      <c r="C239" s="1" t="s">
        <v>543</v>
      </c>
    </row>
    <row r="240" spans="2:3">
      <c r="B240" s="1">
        <v>216</v>
      </c>
      <c r="C240" s="1" t="s">
        <v>544</v>
      </c>
    </row>
    <row r="241" spans="2:3">
      <c r="B241" s="1">
        <v>359</v>
      </c>
      <c r="C241" s="1" t="s">
        <v>545</v>
      </c>
    </row>
    <row r="242" spans="2:3">
      <c r="B242" s="1">
        <v>360</v>
      </c>
      <c r="C242" s="1" t="s">
        <v>546</v>
      </c>
    </row>
    <row r="243" spans="2:3">
      <c r="B243" s="1">
        <v>295</v>
      </c>
      <c r="C243" s="1" t="s">
        <v>547</v>
      </c>
    </row>
    <row r="244" spans="2:3">
      <c r="B244" s="1">
        <v>73</v>
      </c>
      <c r="C244" s="1" t="s">
        <v>548</v>
      </c>
    </row>
    <row r="245" spans="2:3">
      <c r="B245" s="1">
        <v>66</v>
      </c>
      <c r="C245" s="1" t="s">
        <v>549</v>
      </c>
    </row>
    <row r="246" spans="2:3">
      <c r="B246" s="1">
        <v>164</v>
      </c>
      <c r="C246" s="1" t="s">
        <v>550</v>
      </c>
    </row>
    <row r="247" spans="2:3">
      <c r="B247" s="1">
        <v>11</v>
      </c>
      <c r="C247" s="1" t="s">
        <v>551</v>
      </c>
    </row>
    <row r="248" spans="2:3">
      <c r="B248" s="1">
        <v>261</v>
      </c>
      <c r="C248" s="1" t="s">
        <v>552</v>
      </c>
    </row>
    <row r="249" spans="2:3">
      <c r="B249" s="1">
        <v>74</v>
      </c>
      <c r="C249" s="1" t="s">
        <v>553</v>
      </c>
    </row>
    <row r="250" spans="2:3">
      <c r="B250" s="1">
        <v>71</v>
      </c>
      <c r="C250" s="1" t="s">
        <v>554</v>
      </c>
    </row>
    <row r="251" spans="2:3">
      <c r="B251" s="1">
        <v>292</v>
      </c>
      <c r="C251" s="1" t="s">
        <v>555</v>
      </c>
    </row>
    <row r="252" spans="2:3">
      <c r="B252" s="1">
        <v>68</v>
      </c>
      <c r="C252" s="1" t="s">
        <v>556</v>
      </c>
    </row>
    <row r="253" spans="2:3">
      <c r="B253" s="1">
        <v>361</v>
      </c>
      <c r="C253" s="1" t="s">
        <v>557</v>
      </c>
    </row>
    <row r="254" spans="2:3">
      <c r="B254" s="1">
        <v>246</v>
      </c>
      <c r="C254" s="1" t="s">
        <v>558</v>
      </c>
    </row>
    <row r="255" spans="2:3">
      <c r="B255" s="1">
        <v>309</v>
      </c>
      <c r="C255" s="1" t="s">
        <v>559</v>
      </c>
    </row>
    <row r="256" spans="2:3">
      <c r="B256" s="1">
        <v>7</v>
      </c>
      <c r="C256" s="1" t="s">
        <v>560</v>
      </c>
    </row>
    <row r="257" spans="2:3">
      <c r="B257" s="1">
        <v>37</v>
      </c>
      <c r="C257" s="1" t="s">
        <v>561</v>
      </c>
    </row>
    <row r="258" spans="2:3">
      <c r="B258" s="1">
        <v>357</v>
      </c>
      <c r="C258" s="1" t="s">
        <v>562</v>
      </c>
    </row>
    <row r="259" spans="2:3">
      <c r="B259" s="1">
        <v>15</v>
      </c>
      <c r="C259" s="1" t="s">
        <v>563</v>
      </c>
    </row>
    <row r="260" spans="2:3">
      <c r="B260" s="1">
        <v>16</v>
      </c>
      <c r="C260" s="1" t="s">
        <v>564</v>
      </c>
    </row>
    <row r="261" spans="2:3">
      <c r="B261" s="1">
        <v>174</v>
      </c>
      <c r="C261" s="1" t="s">
        <v>565</v>
      </c>
    </row>
    <row r="262" spans="2:3">
      <c r="B262" s="1">
        <v>192</v>
      </c>
      <c r="C262" s="1" t="s">
        <v>566</v>
      </c>
    </row>
  </sheetData>
  <sheetProtection algorithmName="SHA-512" hashValue="CYNXhn9H/PgaNnguj3heQhhe+fMWesPfNIfb5oYsLo/ZFDtaxnNQTrCpdThRdSx+8gbQgKifOvYCPfErlsQ/9Q==" saltValue="Kh3xB7mtqQYFqh92HtnBZQ==" spinCount="100000" sheet="1" objects="1" scenarios="1"/>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8F560-652F-4452-9093-EC76C5FF0332}">
  <sheetPr codeName="Hoja5"/>
  <dimension ref="B2:C53"/>
  <sheetViews>
    <sheetView showGridLines="0" topLeftCell="A21" workbookViewId="0">
      <selection activeCell="C39" sqref="C39"/>
    </sheetView>
  </sheetViews>
  <sheetFormatPr defaultColWidth="11.42578125" defaultRowHeight="14.25"/>
  <cols>
    <col min="1" max="1" width="11.42578125" style="1"/>
    <col min="2" max="2" width="20.140625" style="1" bestFit="1" customWidth="1"/>
    <col min="3" max="3" width="35.28515625" style="1" bestFit="1" customWidth="1"/>
    <col min="4" max="16384" width="11.42578125" style="1"/>
  </cols>
  <sheetData>
    <row r="2" spans="2:3">
      <c r="B2" s="1" t="s">
        <v>567</v>
      </c>
      <c r="C2" s="1" t="s">
        <v>301</v>
      </c>
    </row>
    <row r="3" spans="2:3">
      <c r="B3" s="1">
        <v>177</v>
      </c>
      <c r="C3" s="1" t="s">
        <v>568</v>
      </c>
    </row>
    <row r="4" spans="2:3">
      <c r="B4" s="1">
        <v>377</v>
      </c>
      <c r="C4" s="1" t="s">
        <v>569</v>
      </c>
    </row>
    <row r="5" spans="2:3">
      <c r="B5" s="1">
        <v>502</v>
      </c>
      <c r="C5" s="1" t="s">
        <v>570</v>
      </c>
    </row>
    <row r="6" spans="2:3">
      <c r="B6" s="1">
        <v>736</v>
      </c>
      <c r="C6" s="1" t="s">
        <v>571</v>
      </c>
    </row>
    <row r="7" spans="2:3">
      <c r="B7" s="1">
        <v>804</v>
      </c>
      <c r="C7" s="1" t="s">
        <v>572</v>
      </c>
    </row>
    <row r="8" spans="2:3">
      <c r="B8" s="1">
        <v>890</v>
      </c>
      <c r="C8" s="1" t="s">
        <v>293</v>
      </c>
    </row>
    <row r="9" spans="2:3">
      <c r="B9" s="1">
        <v>912</v>
      </c>
      <c r="C9" s="1" t="s">
        <v>573</v>
      </c>
    </row>
    <row r="10" spans="2:3">
      <c r="B10" s="1">
        <v>1053</v>
      </c>
      <c r="C10" s="1" t="s">
        <v>574</v>
      </c>
    </row>
    <row r="11" spans="2:3">
      <c r="B11" s="1">
        <v>1637</v>
      </c>
      <c r="C11" s="1" t="s">
        <v>575</v>
      </c>
    </row>
    <row r="12" spans="2:3">
      <c r="B12" s="1">
        <v>1694</v>
      </c>
      <c r="C12" s="1" t="s">
        <v>576</v>
      </c>
    </row>
    <row r="13" spans="2:3">
      <c r="B13" s="1">
        <v>1699</v>
      </c>
      <c r="C13" s="1" t="s">
        <v>577</v>
      </c>
    </row>
    <row r="14" spans="2:3">
      <c r="B14" s="1">
        <v>1748</v>
      </c>
      <c r="C14" s="1" t="s">
        <v>578</v>
      </c>
    </row>
    <row r="15" spans="2:3">
      <c r="B15" s="1">
        <v>2219</v>
      </c>
      <c r="C15" s="1" t="s">
        <v>579</v>
      </c>
    </row>
    <row r="16" spans="2:3">
      <c r="B16" s="1">
        <v>2393</v>
      </c>
      <c r="C16" s="1" t="s">
        <v>580</v>
      </c>
    </row>
    <row r="17" spans="2:3">
      <c r="B17" s="1">
        <v>2442</v>
      </c>
      <c r="C17" s="1" t="s">
        <v>581</v>
      </c>
    </row>
    <row r="18" spans="2:3">
      <c r="B18" s="1">
        <v>2450</v>
      </c>
      <c r="C18" s="1" t="s">
        <v>582</v>
      </c>
    </row>
    <row r="19" spans="2:3">
      <c r="B19" s="1">
        <v>2482</v>
      </c>
      <c r="C19" s="1" t="s">
        <v>583</v>
      </c>
    </row>
    <row r="20" spans="2:3">
      <c r="B20" s="1">
        <v>2537</v>
      </c>
      <c r="C20" s="1" t="s">
        <v>584</v>
      </c>
    </row>
    <row r="21" spans="2:3">
      <c r="B21" s="1">
        <v>2593</v>
      </c>
      <c r="C21" s="1" t="s">
        <v>585</v>
      </c>
    </row>
    <row r="22" spans="2:3">
      <c r="B22" s="1">
        <v>2666</v>
      </c>
      <c r="C22" s="1" t="s">
        <v>586</v>
      </c>
    </row>
    <row r="23" spans="2:3">
      <c r="B23" s="1">
        <v>2680</v>
      </c>
      <c r="C23" s="1" t="s">
        <v>587</v>
      </c>
    </row>
    <row r="24" spans="2:3">
      <c r="B24" s="1">
        <v>2684</v>
      </c>
      <c r="C24" s="1" t="s">
        <v>588</v>
      </c>
    </row>
    <row r="25" spans="2:3">
      <c r="B25" s="1">
        <v>2954</v>
      </c>
      <c r="C25" s="1" t="s">
        <v>589</v>
      </c>
    </row>
    <row r="26" spans="2:3">
      <c r="B26" s="1">
        <v>3122</v>
      </c>
      <c r="C26" s="1" t="s">
        <v>590</v>
      </c>
    </row>
    <row r="27" spans="2:3">
      <c r="B27" s="1">
        <v>3124</v>
      </c>
      <c r="C27" s="1" t="s">
        <v>591</v>
      </c>
    </row>
    <row r="28" spans="2:3">
      <c r="B28" s="1">
        <v>3218</v>
      </c>
      <c r="C28" s="1" t="s">
        <v>592</v>
      </c>
    </row>
    <row r="29" spans="2:3">
      <c r="B29" s="1">
        <v>3457</v>
      </c>
      <c r="C29" s="1" t="s">
        <v>593</v>
      </c>
    </row>
    <row r="30" spans="2:3">
      <c r="B30" s="1">
        <v>3496</v>
      </c>
      <c r="C30" s="1" t="s">
        <v>594</v>
      </c>
    </row>
    <row r="31" spans="2:3">
      <c r="B31" s="1">
        <v>3510</v>
      </c>
      <c r="C31" s="1" t="s">
        <v>595</v>
      </c>
    </row>
    <row r="32" spans="2:3">
      <c r="B32" s="1">
        <v>3521</v>
      </c>
      <c r="C32" s="1" t="s">
        <v>596</v>
      </c>
    </row>
    <row r="33" spans="2:3">
      <c r="B33" s="1">
        <v>3588</v>
      </c>
      <c r="C33" s="1" t="s">
        <v>597</v>
      </c>
    </row>
    <row r="34" spans="2:3">
      <c r="B34" s="1">
        <v>3785</v>
      </c>
      <c r="C34" s="1" t="s">
        <v>598</v>
      </c>
    </row>
    <row r="35" spans="2:3">
      <c r="B35" s="1">
        <v>3818</v>
      </c>
      <c r="C35" s="1" t="s">
        <v>599</v>
      </c>
    </row>
    <row r="36" spans="2:3">
      <c r="B36" s="1">
        <v>3833</v>
      </c>
      <c r="C36" s="1" t="s">
        <v>600</v>
      </c>
    </row>
    <row r="37" spans="2:3">
      <c r="B37" s="1">
        <v>3967</v>
      </c>
      <c r="C37" s="1" t="s">
        <v>601</v>
      </c>
    </row>
    <row r="38" spans="2:3">
      <c r="B38" s="1">
        <v>4020</v>
      </c>
      <c r="C38" s="1" t="s">
        <v>602</v>
      </c>
    </row>
    <row r="39" spans="2:3">
      <c r="B39" s="1">
        <v>4147</v>
      </c>
      <c r="C39" s="1" t="s">
        <v>603</v>
      </c>
    </row>
    <row r="40" spans="2:3">
      <c r="B40" s="1">
        <v>4343</v>
      </c>
      <c r="C40" s="1" t="s">
        <v>604</v>
      </c>
    </row>
    <row r="41" spans="2:3">
      <c r="B41" s="1">
        <v>4442</v>
      </c>
      <c r="C41" s="1" t="s">
        <v>605</v>
      </c>
    </row>
    <row r="42" spans="2:3">
      <c r="B42" s="1">
        <v>4527</v>
      </c>
      <c r="C42" s="1" t="s">
        <v>606</v>
      </c>
    </row>
    <row r="43" spans="2:3">
      <c r="B43" s="1">
        <v>4558</v>
      </c>
      <c r="C43" s="1" t="s">
        <v>607</v>
      </c>
    </row>
    <row r="44" spans="2:3">
      <c r="B44" s="1">
        <v>4571</v>
      </c>
      <c r="C44" s="1" t="s">
        <v>608</v>
      </c>
    </row>
    <row r="45" spans="2:3">
      <c r="B45" s="1">
        <v>4666</v>
      </c>
      <c r="C45" s="1" t="s">
        <v>609</v>
      </c>
    </row>
    <row r="46" spans="2:3">
      <c r="B46" s="1">
        <v>4918</v>
      </c>
      <c r="C46" s="1" t="s">
        <v>610</v>
      </c>
    </row>
    <row r="47" spans="2:3">
      <c r="B47" s="1">
        <v>5207</v>
      </c>
      <c r="C47" s="1" t="s">
        <v>611</v>
      </c>
    </row>
    <row r="48" spans="2:3">
      <c r="B48" s="1">
        <v>5223</v>
      </c>
      <c r="C48" s="1" t="s">
        <v>612</v>
      </c>
    </row>
    <row r="49" spans="2:3">
      <c r="B49" s="1">
        <v>5784</v>
      </c>
      <c r="C49" s="1" t="s">
        <v>613</v>
      </c>
    </row>
    <row r="50" spans="2:3">
      <c r="B50" s="1">
        <v>5950</v>
      </c>
      <c r="C50" s="1" t="s">
        <v>614</v>
      </c>
    </row>
    <row r="51" spans="2:3">
      <c r="C51" s="1" t="s">
        <v>615</v>
      </c>
    </row>
    <row r="52" spans="2:3">
      <c r="B52" s="1">
        <v>5094</v>
      </c>
      <c r="C52" s="1" t="s">
        <v>616</v>
      </c>
    </row>
    <row r="53" spans="2:3">
      <c r="B53" s="1">
        <v>3150</v>
      </c>
      <c r="C53" s="1" t="s">
        <v>617</v>
      </c>
    </row>
  </sheetData>
  <sheetProtection algorithmName="SHA-512" hashValue="MJBH5/rS2X2wR3SUgEkii8+/YQJjyZ57T/l+gAGTPD+UhPLMqnqQCQfCUQsqC60shLrMupCNyJ0brboc8VqNDw==" saltValue="0XmIYi/c/OTQ9LtkGa06pg==" spinCount="100000" sheet="1" objects="1" scenarios="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DE169-3DEB-457E-B20C-E6C6BD8B914D}">
  <sheetPr codeName="Hoja6"/>
  <dimension ref="B2:F1089"/>
  <sheetViews>
    <sheetView showGridLines="0" workbookViewId="0">
      <selection activeCell="E3" sqref="E3:E1089"/>
    </sheetView>
  </sheetViews>
  <sheetFormatPr defaultColWidth="11.42578125" defaultRowHeight="14.25"/>
  <cols>
    <col min="2" max="2" width="16.28515625" bestFit="1" customWidth="1"/>
    <col min="3" max="3" width="48.42578125" bestFit="1" customWidth="1"/>
    <col min="4" max="4" width="10.42578125" bestFit="1" customWidth="1"/>
    <col min="5" max="5" width="21" bestFit="1" customWidth="1"/>
    <col min="6" max="6" width="125.42578125" bestFit="1" customWidth="1"/>
  </cols>
  <sheetData>
    <row r="2" spans="2:6">
      <c r="B2" t="s">
        <v>618</v>
      </c>
      <c r="C2" t="s">
        <v>301</v>
      </c>
      <c r="D2" t="s">
        <v>283</v>
      </c>
      <c r="E2" t="s">
        <v>619</v>
      </c>
      <c r="F2" t="s">
        <v>620</v>
      </c>
    </row>
    <row r="3" spans="2:6">
      <c r="B3">
        <v>83520</v>
      </c>
      <c r="C3" t="s">
        <v>621</v>
      </c>
      <c r="D3">
        <v>11323509</v>
      </c>
      <c r="E3">
        <v>81283</v>
      </c>
      <c r="F3" t="s">
        <v>622</v>
      </c>
    </row>
    <row r="4" spans="2:6">
      <c r="B4">
        <v>86961</v>
      </c>
      <c r="C4" t="s">
        <v>623</v>
      </c>
      <c r="D4">
        <v>11324502</v>
      </c>
      <c r="E4">
        <v>80616</v>
      </c>
      <c r="F4" t="s">
        <v>624</v>
      </c>
    </row>
    <row r="5" spans="2:6">
      <c r="B5">
        <v>82643</v>
      </c>
      <c r="C5" t="s">
        <v>625</v>
      </c>
      <c r="D5">
        <v>11323501</v>
      </c>
      <c r="E5">
        <v>79950</v>
      </c>
      <c r="F5" t="s">
        <v>622</v>
      </c>
    </row>
    <row r="6" spans="2:6">
      <c r="B6">
        <v>82629</v>
      </c>
      <c r="C6" t="s">
        <v>626</v>
      </c>
      <c r="D6">
        <v>11323502</v>
      </c>
      <c r="E6">
        <v>80985</v>
      </c>
      <c r="F6" t="s">
        <v>624</v>
      </c>
    </row>
    <row r="7" spans="2:6">
      <c r="B7">
        <v>83041</v>
      </c>
      <c r="C7" t="s">
        <v>627</v>
      </c>
      <c r="D7">
        <v>11323506</v>
      </c>
      <c r="E7">
        <v>81039</v>
      </c>
      <c r="F7" t="s">
        <v>622</v>
      </c>
    </row>
    <row r="8" spans="2:6">
      <c r="B8">
        <v>81114</v>
      </c>
      <c r="C8" t="s">
        <v>628</v>
      </c>
      <c r="D8">
        <v>11323006</v>
      </c>
      <c r="E8">
        <v>81585</v>
      </c>
      <c r="F8" t="s">
        <v>629</v>
      </c>
    </row>
    <row r="9" spans="2:6">
      <c r="B9">
        <v>90237</v>
      </c>
      <c r="C9" t="s">
        <v>630</v>
      </c>
      <c r="D9">
        <v>11825503</v>
      </c>
      <c r="E9">
        <v>81038</v>
      </c>
      <c r="F9" t="s">
        <v>631</v>
      </c>
    </row>
    <row r="10" spans="2:6">
      <c r="B10">
        <v>82562</v>
      </c>
      <c r="C10" t="s">
        <v>632</v>
      </c>
      <c r="D10">
        <v>11823501</v>
      </c>
      <c r="E10">
        <v>80405</v>
      </c>
      <c r="F10" t="s">
        <v>622</v>
      </c>
    </row>
    <row r="11" spans="2:6">
      <c r="B11">
        <v>83262</v>
      </c>
      <c r="C11" t="s">
        <v>633</v>
      </c>
      <c r="D11">
        <v>11823508</v>
      </c>
      <c r="E11">
        <v>80578</v>
      </c>
      <c r="F11" t="s">
        <v>622</v>
      </c>
    </row>
    <row r="12" spans="2:6">
      <c r="B12">
        <v>89390</v>
      </c>
      <c r="C12" t="s">
        <v>634</v>
      </c>
      <c r="D12">
        <v>11825022</v>
      </c>
      <c r="E12">
        <v>80375</v>
      </c>
      <c r="F12" t="s">
        <v>631</v>
      </c>
    </row>
    <row r="13" spans="2:6">
      <c r="B13">
        <v>90587</v>
      </c>
      <c r="C13" t="s">
        <v>635</v>
      </c>
      <c r="D13">
        <v>11825505</v>
      </c>
      <c r="E13">
        <v>81011</v>
      </c>
      <c r="F13" t="s">
        <v>624</v>
      </c>
    </row>
    <row r="14" spans="2:6">
      <c r="B14">
        <v>92039</v>
      </c>
      <c r="C14" t="s">
        <v>636</v>
      </c>
      <c r="D14">
        <v>11826003</v>
      </c>
      <c r="E14">
        <v>80947</v>
      </c>
      <c r="F14" t="s">
        <v>631</v>
      </c>
    </row>
    <row r="15" spans="2:6">
      <c r="B15">
        <v>91898</v>
      </c>
      <c r="C15" t="s">
        <v>637</v>
      </c>
      <c r="D15">
        <v>11826006</v>
      </c>
      <c r="E15">
        <v>81391</v>
      </c>
      <c r="F15" t="s">
        <v>631</v>
      </c>
    </row>
    <row r="16" spans="2:6">
      <c r="B16">
        <v>88429</v>
      </c>
      <c r="C16" t="s">
        <v>638</v>
      </c>
      <c r="D16">
        <v>11825010</v>
      </c>
      <c r="E16">
        <v>80271</v>
      </c>
      <c r="F16" t="s">
        <v>622</v>
      </c>
    </row>
    <row r="17" spans="2:6">
      <c r="B17">
        <v>92087</v>
      </c>
      <c r="C17" t="s">
        <v>639</v>
      </c>
      <c r="D17">
        <v>11826005</v>
      </c>
      <c r="E17">
        <v>81303</v>
      </c>
      <c r="F17" t="s">
        <v>622</v>
      </c>
    </row>
    <row r="18" spans="2:6">
      <c r="B18">
        <v>86205</v>
      </c>
      <c r="C18" t="s">
        <v>640</v>
      </c>
      <c r="D18">
        <v>11824501</v>
      </c>
      <c r="E18">
        <v>80309</v>
      </c>
      <c r="F18" t="s">
        <v>624</v>
      </c>
    </row>
    <row r="19" spans="2:6">
      <c r="B19">
        <v>78674</v>
      </c>
      <c r="C19" t="s">
        <v>641</v>
      </c>
      <c r="D19">
        <v>11822504</v>
      </c>
      <c r="E19">
        <v>81008</v>
      </c>
      <c r="F19" t="s">
        <v>624</v>
      </c>
    </row>
    <row r="20" spans="2:6">
      <c r="B20">
        <v>81366</v>
      </c>
      <c r="C20" t="s">
        <v>642</v>
      </c>
      <c r="D20">
        <v>11823013</v>
      </c>
      <c r="E20">
        <v>80598</v>
      </c>
      <c r="F20" t="s">
        <v>622</v>
      </c>
    </row>
    <row r="21" spans="2:6">
      <c r="B21">
        <v>80290</v>
      </c>
      <c r="C21" t="s">
        <v>643</v>
      </c>
      <c r="D21">
        <v>11823001</v>
      </c>
      <c r="E21">
        <v>81422</v>
      </c>
      <c r="F21" t="s">
        <v>624</v>
      </c>
    </row>
    <row r="22" spans="2:6">
      <c r="B22">
        <v>92169</v>
      </c>
      <c r="C22" t="s">
        <v>644</v>
      </c>
      <c r="D22">
        <v>11826007</v>
      </c>
      <c r="E22">
        <v>81466</v>
      </c>
      <c r="F22" t="s">
        <v>631</v>
      </c>
    </row>
    <row r="23" spans="2:6">
      <c r="B23">
        <v>81223</v>
      </c>
      <c r="C23" t="s">
        <v>645</v>
      </c>
      <c r="D23">
        <v>11823011</v>
      </c>
      <c r="E23">
        <v>80609</v>
      </c>
      <c r="F23" t="s">
        <v>622</v>
      </c>
    </row>
    <row r="24" spans="2:6">
      <c r="B24">
        <v>88404</v>
      </c>
      <c r="C24" t="s">
        <v>646</v>
      </c>
      <c r="D24">
        <v>11825011</v>
      </c>
      <c r="E24">
        <v>80386</v>
      </c>
      <c r="F24" t="s">
        <v>622</v>
      </c>
    </row>
    <row r="25" spans="2:6">
      <c r="B25">
        <v>92330</v>
      </c>
      <c r="C25" t="s">
        <v>647</v>
      </c>
      <c r="D25">
        <v>11826009</v>
      </c>
      <c r="E25">
        <v>81603</v>
      </c>
      <c r="F25" t="s">
        <v>622</v>
      </c>
    </row>
    <row r="26" spans="2:6">
      <c r="B26">
        <v>86312</v>
      </c>
      <c r="C26" t="s">
        <v>648</v>
      </c>
      <c r="D26">
        <v>11824502</v>
      </c>
      <c r="E26">
        <v>80655</v>
      </c>
      <c r="F26" t="s">
        <v>631</v>
      </c>
    </row>
    <row r="27" spans="2:6">
      <c r="B27">
        <v>83370</v>
      </c>
      <c r="C27" t="s">
        <v>649</v>
      </c>
      <c r="D27">
        <v>11823509</v>
      </c>
      <c r="E27">
        <v>80565</v>
      </c>
      <c r="F27" t="s">
        <v>624</v>
      </c>
    </row>
    <row r="28" spans="2:6">
      <c r="B28">
        <v>91654</v>
      </c>
      <c r="C28" t="s">
        <v>650</v>
      </c>
      <c r="D28">
        <v>11826001</v>
      </c>
      <c r="E28">
        <v>79813</v>
      </c>
      <c r="F28" t="s">
        <v>651</v>
      </c>
    </row>
    <row r="29" spans="2:6">
      <c r="B29">
        <v>92777</v>
      </c>
      <c r="C29" t="s">
        <v>652</v>
      </c>
      <c r="D29">
        <v>11826016</v>
      </c>
      <c r="E29">
        <v>81892</v>
      </c>
      <c r="F29" t="s">
        <v>622</v>
      </c>
    </row>
    <row r="30" spans="2:6">
      <c r="B30">
        <v>81157</v>
      </c>
      <c r="C30" t="s">
        <v>653</v>
      </c>
      <c r="D30">
        <v>11823010</v>
      </c>
      <c r="E30">
        <v>80683</v>
      </c>
      <c r="F30" t="s">
        <v>629</v>
      </c>
    </row>
    <row r="31" spans="2:6">
      <c r="B31">
        <v>81247</v>
      </c>
      <c r="C31" t="s">
        <v>654</v>
      </c>
      <c r="D31">
        <v>11823012</v>
      </c>
      <c r="E31">
        <v>80812</v>
      </c>
      <c r="F31" t="s">
        <v>631</v>
      </c>
    </row>
    <row r="32" spans="2:6">
      <c r="B32">
        <v>78296</v>
      </c>
      <c r="C32" t="s">
        <v>655</v>
      </c>
      <c r="D32">
        <v>11822501</v>
      </c>
      <c r="E32">
        <v>80969</v>
      </c>
      <c r="F32" t="s">
        <v>656</v>
      </c>
    </row>
    <row r="33" spans="2:6">
      <c r="B33">
        <v>82910</v>
      </c>
      <c r="C33" t="s">
        <v>657</v>
      </c>
      <c r="D33">
        <v>11823504</v>
      </c>
      <c r="E33">
        <v>80895</v>
      </c>
      <c r="F33" t="s">
        <v>622</v>
      </c>
    </row>
    <row r="34" spans="2:6">
      <c r="B34">
        <v>92740</v>
      </c>
      <c r="C34" t="s">
        <v>658</v>
      </c>
      <c r="D34">
        <v>11826015</v>
      </c>
      <c r="E34">
        <v>81872</v>
      </c>
      <c r="F34" t="s">
        <v>631</v>
      </c>
    </row>
    <row r="35" spans="2:6">
      <c r="B35">
        <v>89468</v>
      </c>
      <c r="C35" t="s">
        <v>659</v>
      </c>
      <c r="D35">
        <v>11825023</v>
      </c>
      <c r="E35">
        <v>80897</v>
      </c>
      <c r="F35" t="s">
        <v>631</v>
      </c>
    </row>
    <row r="36" spans="2:6">
      <c r="B36">
        <v>88426</v>
      </c>
      <c r="C36" t="s">
        <v>660</v>
      </c>
      <c r="D36">
        <v>11825008</v>
      </c>
      <c r="E36">
        <v>80221</v>
      </c>
      <c r="F36" t="s">
        <v>622</v>
      </c>
    </row>
    <row r="37" spans="2:6">
      <c r="B37">
        <v>91634</v>
      </c>
      <c r="C37" t="s">
        <v>661</v>
      </c>
      <c r="D37">
        <v>11826008</v>
      </c>
      <c r="E37">
        <v>81480</v>
      </c>
      <c r="F37" t="s">
        <v>631</v>
      </c>
    </row>
    <row r="38" spans="2:6">
      <c r="B38">
        <v>91977</v>
      </c>
      <c r="C38" t="s">
        <v>662</v>
      </c>
      <c r="D38">
        <v>11826002</v>
      </c>
      <c r="E38">
        <v>80822</v>
      </c>
      <c r="F38" t="s">
        <v>631</v>
      </c>
    </row>
    <row r="39" spans="2:6">
      <c r="B39">
        <v>92472</v>
      </c>
      <c r="C39" t="s">
        <v>663</v>
      </c>
      <c r="D39">
        <v>11826012</v>
      </c>
      <c r="E39">
        <v>81835</v>
      </c>
      <c r="F39" t="s">
        <v>622</v>
      </c>
    </row>
    <row r="40" spans="2:6">
      <c r="B40">
        <v>87142</v>
      </c>
      <c r="C40" t="s">
        <v>664</v>
      </c>
      <c r="D40">
        <v>11824508</v>
      </c>
      <c r="E40">
        <v>80670</v>
      </c>
      <c r="F40" t="s">
        <v>665</v>
      </c>
    </row>
    <row r="41" spans="2:6">
      <c r="B41">
        <v>78608</v>
      </c>
      <c r="C41" t="s">
        <v>666</v>
      </c>
      <c r="D41">
        <v>11722504</v>
      </c>
      <c r="E41">
        <v>81425</v>
      </c>
      <c r="F41" t="s">
        <v>624</v>
      </c>
    </row>
    <row r="42" spans="2:6">
      <c r="B42">
        <v>91828</v>
      </c>
      <c r="C42" t="s">
        <v>667</v>
      </c>
      <c r="D42">
        <v>11726009</v>
      </c>
      <c r="E42">
        <v>81266</v>
      </c>
      <c r="F42" t="s">
        <v>622</v>
      </c>
    </row>
    <row r="43" spans="2:6">
      <c r="B43">
        <v>84992</v>
      </c>
      <c r="C43" t="s">
        <v>668</v>
      </c>
      <c r="D43">
        <v>11724010</v>
      </c>
      <c r="E43">
        <v>80230</v>
      </c>
      <c r="F43" t="s">
        <v>624</v>
      </c>
    </row>
    <row r="44" spans="2:6">
      <c r="B44">
        <v>92340</v>
      </c>
      <c r="C44" t="s">
        <v>669</v>
      </c>
      <c r="D44">
        <v>11726016</v>
      </c>
      <c r="E44">
        <v>81686</v>
      </c>
      <c r="F44" t="s">
        <v>631</v>
      </c>
    </row>
    <row r="45" spans="2:6">
      <c r="B45">
        <v>86250</v>
      </c>
      <c r="C45" t="s">
        <v>670</v>
      </c>
      <c r="D45">
        <v>11724503</v>
      </c>
      <c r="E45">
        <v>80353</v>
      </c>
      <c r="F45" t="s">
        <v>624</v>
      </c>
    </row>
    <row r="46" spans="2:6">
      <c r="B46">
        <v>83180</v>
      </c>
      <c r="C46" t="s">
        <v>671</v>
      </c>
      <c r="D46">
        <v>11723514</v>
      </c>
      <c r="E46">
        <v>80819</v>
      </c>
      <c r="F46" t="s">
        <v>656</v>
      </c>
    </row>
    <row r="47" spans="2:6">
      <c r="B47">
        <v>91852</v>
      </c>
      <c r="C47" t="s">
        <v>672</v>
      </c>
      <c r="D47">
        <v>11726005</v>
      </c>
      <c r="E47">
        <v>80590</v>
      </c>
      <c r="F47" t="s">
        <v>631</v>
      </c>
    </row>
    <row r="48" spans="2:6">
      <c r="B48">
        <v>92417</v>
      </c>
      <c r="C48" t="s">
        <v>673</v>
      </c>
      <c r="D48">
        <v>11726018</v>
      </c>
      <c r="E48">
        <v>81713</v>
      </c>
      <c r="F48" t="s">
        <v>622</v>
      </c>
    </row>
    <row r="49" spans="2:6">
      <c r="B49">
        <v>89115</v>
      </c>
      <c r="C49" t="s">
        <v>674</v>
      </c>
      <c r="D49">
        <v>11725016</v>
      </c>
      <c r="E49">
        <v>80752</v>
      </c>
      <c r="F49" t="s">
        <v>651</v>
      </c>
    </row>
    <row r="50" spans="2:6">
      <c r="B50">
        <v>88526</v>
      </c>
      <c r="C50" t="s">
        <v>675</v>
      </c>
      <c r="D50">
        <v>11725007</v>
      </c>
      <c r="E50">
        <v>80575</v>
      </c>
      <c r="F50" t="s">
        <v>622</v>
      </c>
    </row>
    <row r="51" spans="2:6">
      <c r="B51">
        <v>92070</v>
      </c>
      <c r="C51" t="s">
        <v>676</v>
      </c>
      <c r="D51">
        <v>11726011</v>
      </c>
      <c r="E51">
        <v>81401</v>
      </c>
      <c r="F51" t="s">
        <v>665</v>
      </c>
    </row>
    <row r="52" spans="2:6">
      <c r="B52">
        <v>91855</v>
      </c>
      <c r="C52" t="s">
        <v>677</v>
      </c>
      <c r="D52">
        <v>11726006</v>
      </c>
      <c r="E52">
        <v>80725</v>
      </c>
      <c r="F52" t="s">
        <v>622</v>
      </c>
    </row>
    <row r="53" spans="2:6">
      <c r="B53">
        <v>92323</v>
      </c>
      <c r="C53" t="s">
        <v>678</v>
      </c>
      <c r="D53">
        <v>11726015</v>
      </c>
      <c r="E53">
        <v>81660</v>
      </c>
      <c r="F53" t="s">
        <v>656</v>
      </c>
    </row>
    <row r="54" spans="2:6">
      <c r="B54">
        <v>88475</v>
      </c>
      <c r="C54" t="s">
        <v>679</v>
      </c>
      <c r="D54">
        <v>11725011</v>
      </c>
      <c r="E54">
        <v>80117</v>
      </c>
      <c r="F54" t="s">
        <v>680</v>
      </c>
    </row>
    <row r="55" spans="2:6">
      <c r="B55">
        <v>80750</v>
      </c>
      <c r="C55" t="s">
        <v>681</v>
      </c>
      <c r="D55">
        <v>11723009</v>
      </c>
      <c r="E55">
        <v>80098</v>
      </c>
      <c r="F55" t="s">
        <v>631</v>
      </c>
    </row>
    <row r="56" spans="2:6">
      <c r="B56">
        <v>90206</v>
      </c>
      <c r="C56" t="s">
        <v>682</v>
      </c>
      <c r="D56">
        <v>11725510</v>
      </c>
      <c r="E56">
        <v>80485</v>
      </c>
      <c r="F56" t="s">
        <v>622</v>
      </c>
    </row>
    <row r="57" spans="2:6">
      <c r="B57">
        <v>91539</v>
      </c>
      <c r="C57" t="s">
        <v>683</v>
      </c>
      <c r="D57">
        <v>11726003</v>
      </c>
      <c r="E57">
        <v>79736</v>
      </c>
      <c r="F57" t="s">
        <v>631</v>
      </c>
    </row>
    <row r="58" spans="2:6">
      <c r="B58">
        <v>91838</v>
      </c>
      <c r="C58" t="s">
        <v>684</v>
      </c>
      <c r="D58">
        <v>11726008</v>
      </c>
      <c r="E58">
        <v>80844</v>
      </c>
      <c r="F58" t="s">
        <v>622</v>
      </c>
    </row>
    <row r="59" spans="2:6">
      <c r="B59">
        <v>80235</v>
      </c>
      <c r="C59" t="s">
        <v>685</v>
      </c>
      <c r="D59">
        <v>11723001</v>
      </c>
      <c r="E59">
        <v>80481</v>
      </c>
      <c r="F59" t="s">
        <v>665</v>
      </c>
    </row>
    <row r="60" spans="2:6">
      <c r="B60">
        <v>88400</v>
      </c>
      <c r="C60" t="s">
        <v>686</v>
      </c>
      <c r="D60">
        <v>11725005</v>
      </c>
      <c r="E60">
        <v>81365</v>
      </c>
      <c r="F60" t="s">
        <v>622</v>
      </c>
    </row>
    <row r="61" spans="2:6">
      <c r="B61">
        <v>90749</v>
      </c>
      <c r="C61" t="s">
        <v>687</v>
      </c>
      <c r="D61">
        <v>11725521</v>
      </c>
      <c r="E61">
        <v>81284</v>
      </c>
      <c r="F61" t="s">
        <v>688</v>
      </c>
    </row>
    <row r="62" spans="2:6">
      <c r="B62">
        <v>91604</v>
      </c>
      <c r="C62" t="s">
        <v>689</v>
      </c>
      <c r="D62">
        <v>11726002</v>
      </c>
      <c r="E62">
        <v>79734</v>
      </c>
      <c r="F62" t="s">
        <v>622</v>
      </c>
    </row>
    <row r="63" spans="2:6">
      <c r="B63">
        <v>90340</v>
      </c>
      <c r="C63" t="s">
        <v>690</v>
      </c>
      <c r="D63">
        <v>11725512</v>
      </c>
      <c r="E63">
        <v>80439</v>
      </c>
      <c r="F63" t="s">
        <v>651</v>
      </c>
    </row>
    <row r="64" spans="2:6">
      <c r="B64">
        <v>80641</v>
      </c>
      <c r="C64" t="s">
        <v>691</v>
      </c>
      <c r="D64">
        <v>11723004</v>
      </c>
      <c r="E64">
        <v>80128</v>
      </c>
      <c r="F64" t="s">
        <v>665</v>
      </c>
    </row>
    <row r="65" spans="2:6">
      <c r="B65">
        <v>92078</v>
      </c>
      <c r="C65" t="s">
        <v>692</v>
      </c>
      <c r="D65">
        <v>11726012</v>
      </c>
      <c r="E65">
        <v>81493</v>
      </c>
      <c r="F65" t="s">
        <v>622</v>
      </c>
    </row>
    <row r="66" spans="2:6">
      <c r="B66">
        <v>90420</v>
      </c>
      <c r="C66" t="s">
        <v>693</v>
      </c>
      <c r="D66">
        <v>11725520</v>
      </c>
      <c r="E66">
        <v>81256</v>
      </c>
      <c r="F66" t="s">
        <v>651</v>
      </c>
    </row>
    <row r="67" spans="2:6">
      <c r="B67">
        <v>91472</v>
      </c>
      <c r="C67" t="s">
        <v>694</v>
      </c>
      <c r="D67">
        <v>11726010</v>
      </c>
      <c r="E67">
        <v>81343</v>
      </c>
      <c r="F67" t="s">
        <v>631</v>
      </c>
    </row>
    <row r="68" spans="2:6">
      <c r="B68">
        <v>88223</v>
      </c>
      <c r="C68" t="s">
        <v>695</v>
      </c>
      <c r="D68">
        <v>11725004</v>
      </c>
      <c r="E68">
        <v>80615</v>
      </c>
      <c r="F68" t="s">
        <v>622</v>
      </c>
    </row>
    <row r="69" spans="2:6">
      <c r="B69">
        <v>88572</v>
      </c>
      <c r="C69" t="s">
        <v>696</v>
      </c>
      <c r="D69">
        <v>11725006</v>
      </c>
      <c r="E69">
        <v>81288</v>
      </c>
      <c r="F69" t="s">
        <v>665</v>
      </c>
    </row>
    <row r="70" spans="2:6">
      <c r="B70">
        <v>91818</v>
      </c>
      <c r="C70" t="s">
        <v>697</v>
      </c>
      <c r="D70">
        <v>11726007</v>
      </c>
      <c r="E70">
        <v>80834</v>
      </c>
      <c r="F70" t="s">
        <v>631</v>
      </c>
    </row>
    <row r="71" spans="2:6">
      <c r="B71">
        <v>84339</v>
      </c>
      <c r="C71" t="s">
        <v>698</v>
      </c>
      <c r="D71">
        <v>11724006</v>
      </c>
      <c r="E71">
        <v>81195</v>
      </c>
      <c r="F71" t="s">
        <v>651</v>
      </c>
    </row>
    <row r="72" spans="2:6">
      <c r="B72">
        <v>89918</v>
      </c>
      <c r="C72" t="s">
        <v>699</v>
      </c>
      <c r="D72">
        <v>11725505</v>
      </c>
      <c r="E72">
        <v>81356</v>
      </c>
      <c r="F72" t="s">
        <v>631</v>
      </c>
    </row>
    <row r="73" spans="2:6">
      <c r="B73">
        <v>91455</v>
      </c>
      <c r="C73" t="s">
        <v>700</v>
      </c>
      <c r="D73">
        <v>11726004</v>
      </c>
      <c r="E73">
        <v>79800</v>
      </c>
      <c r="F73" t="s">
        <v>665</v>
      </c>
    </row>
    <row r="74" spans="2:6">
      <c r="B74">
        <v>89950</v>
      </c>
      <c r="C74" t="s">
        <v>701</v>
      </c>
      <c r="D74">
        <v>11725504</v>
      </c>
      <c r="E74">
        <v>81212</v>
      </c>
      <c r="F74" t="s">
        <v>631</v>
      </c>
    </row>
    <row r="75" spans="2:6">
      <c r="B75">
        <v>88134</v>
      </c>
      <c r="C75" t="s">
        <v>702</v>
      </c>
      <c r="D75">
        <v>11725003</v>
      </c>
      <c r="E75">
        <v>81217</v>
      </c>
      <c r="F75" t="s">
        <v>703</v>
      </c>
    </row>
    <row r="76" spans="2:6">
      <c r="B76">
        <v>91623</v>
      </c>
      <c r="C76" t="s">
        <v>704</v>
      </c>
      <c r="D76">
        <v>11726001</v>
      </c>
      <c r="E76">
        <v>79723</v>
      </c>
      <c r="F76" t="s">
        <v>631</v>
      </c>
    </row>
    <row r="77" spans="2:6">
      <c r="B77">
        <v>92595</v>
      </c>
      <c r="C77" t="s">
        <v>705</v>
      </c>
      <c r="D77">
        <v>11726020</v>
      </c>
      <c r="E77">
        <v>81922</v>
      </c>
      <c r="F77" t="s">
        <v>622</v>
      </c>
    </row>
    <row r="78" spans="2:6">
      <c r="B78">
        <v>92552</v>
      </c>
      <c r="C78" t="s">
        <v>706</v>
      </c>
      <c r="D78">
        <v>11726019</v>
      </c>
      <c r="E78">
        <v>81807</v>
      </c>
      <c r="F78" t="s">
        <v>622</v>
      </c>
    </row>
    <row r="79" spans="2:6">
      <c r="B79">
        <v>87964</v>
      </c>
      <c r="C79" t="s">
        <v>707</v>
      </c>
      <c r="D79">
        <v>77125006</v>
      </c>
      <c r="E79">
        <v>80525</v>
      </c>
      <c r="F79" t="s">
        <v>624</v>
      </c>
    </row>
    <row r="80" spans="2:6">
      <c r="B80">
        <v>78407</v>
      </c>
      <c r="C80" t="s">
        <v>708</v>
      </c>
      <c r="D80">
        <v>77122503</v>
      </c>
      <c r="E80">
        <v>81380</v>
      </c>
      <c r="F80" t="s">
        <v>624</v>
      </c>
    </row>
    <row r="81" spans="2:6">
      <c r="B81">
        <v>92131</v>
      </c>
      <c r="C81" t="s">
        <v>709</v>
      </c>
      <c r="D81">
        <v>77126009</v>
      </c>
      <c r="E81">
        <v>81287</v>
      </c>
      <c r="F81" t="s">
        <v>631</v>
      </c>
    </row>
    <row r="82" spans="2:6">
      <c r="B82">
        <v>91945</v>
      </c>
      <c r="C82" t="s">
        <v>710</v>
      </c>
      <c r="D82">
        <v>77126008</v>
      </c>
      <c r="E82">
        <v>80845</v>
      </c>
      <c r="F82" t="s">
        <v>631</v>
      </c>
    </row>
    <row r="83" spans="2:6">
      <c r="B83">
        <v>91353</v>
      </c>
      <c r="C83" t="s">
        <v>711</v>
      </c>
      <c r="D83">
        <v>77126002</v>
      </c>
      <c r="E83">
        <v>79708</v>
      </c>
      <c r="F83" t="s">
        <v>656</v>
      </c>
    </row>
    <row r="84" spans="2:6">
      <c r="B84">
        <v>87878</v>
      </c>
      <c r="C84" t="s">
        <v>712</v>
      </c>
      <c r="D84">
        <v>77125004</v>
      </c>
      <c r="E84">
        <v>80494</v>
      </c>
      <c r="F84" t="s">
        <v>622</v>
      </c>
    </row>
    <row r="85" spans="2:6">
      <c r="B85">
        <v>88367</v>
      </c>
      <c r="C85" t="s">
        <v>713</v>
      </c>
      <c r="D85">
        <v>77125011</v>
      </c>
      <c r="E85">
        <v>81125</v>
      </c>
      <c r="F85" t="s">
        <v>622</v>
      </c>
    </row>
    <row r="86" spans="2:6">
      <c r="B86">
        <v>91625</v>
      </c>
      <c r="C86" t="s">
        <v>714</v>
      </c>
      <c r="D86">
        <v>77126005</v>
      </c>
      <c r="E86">
        <v>80626</v>
      </c>
      <c r="F86" t="s">
        <v>622</v>
      </c>
    </row>
    <row r="87" spans="2:6">
      <c r="B87">
        <v>85116</v>
      </c>
      <c r="C87" t="s">
        <v>715</v>
      </c>
      <c r="D87">
        <v>77124019</v>
      </c>
      <c r="E87">
        <v>80171</v>
      </c>
      <c r="F87" t="s">
        <v>624</v>
      </c>
    </row>
    <row r="88" spans="2:6">
      <c r="B88">
        <v>87905</v>
      </c>
      <c r="C88" t="s">
        <v>716</v>
      </c>
      <c r="D88">
        <v>77125005</v>
      </c>
      <c r="E88">
        <v>80526</v>
      </c>
      <c r="F88" t="s">
        <v>622</v>
      </c>
    </row>
    <row r="89" spans="2:6">
      <c r="B89">
        <v>92189</v>
      </c>
      <c r="C89" t="s">
        <v>717</v>
      </c>
      <c r="D89">
        <v>77126010</v>
      </c>
      <c r="E89">
        <v>81482</v>
      </c>
      <c r="F89" t="s">
        <v>631</v>
      </c>
    </row>
    <row r="90" spans="2:6">
      <c r="B90">
        <v>92146</v>
      </c>
      <c r="C90" t="s">
        <v>718</v>
      </c>
      <c r="D90">
        <v>77126011</v>
      </c>
      <c r="E90">
        <v>81527</v>
      </c>
      <c r="F90" t="s">
        <v>631</v>
      </c>
    </row>
    <row r="91" spans="2:6">
      <c r="B91">
        <v>82593</v>
      </c>
      <c r="C91" t="s">
        <v>719</v>
      </c>
      <c r="D91">
        <v>77123505</v>
      </c>
      <c r="E91">
        <v>81112</v>
      </c>
      <c r="F91" t="s">
        <v>624</v>
      </c>
    </row>
    <row r="92" spans="2:6">
      <c r="B92">
        <v>92429</v>
      </c>
      <c r="C92" t="s">
        <v>720</v>
      </c>
      <c r="D92">
        <v>77126013</v>
      </c>
      <c r="E92">
        <v>81783</v>
      </c>
      <c r="F92" t="s">
        <v>622</v>
      </c>
    </row>
    <row r="93" spans="2:6">
      <c r="B93">
        <v>88380</v>
      </c>
      <c r="C93" t="s">
        <v>721</v>
      </c>
      <c r="D93">
        <v>77125016</v>
      </c>
      <c r="E93">
        <v>80470</v>
      </c>
      <c r="F93" t="s">
        <v>651</v>
      </c>
    </row>
    <row r="94" spans="2:6">
      <c r="B94">
        <v>91359</v>
      </c>
      <c r="C94" t="s">
        <v>722</v>
      </c>
      <c r="D94">
        <v>77126001</v>
      </c>
      <c r="E94">
        <v>79619</v>
      </c>
      <c r="F94" t="s">
        <v>622</v>
      </c>
    </row>
    <row r="95" spans="2:6">
      <c r="B95">
        <v>92313</v>
      </c>
      <c r="C95" t="s">
        <v>723</v>
      </c>
      <c r="D95">
        <v>77126012</v>
      </c>
      <c r="E95">
        <v>81650</v>
      </c>
      <c r="F95" t="s">
        <v>631</v>
      </c>
    </row>
    <row r="96" spans="2:6">
      <c r="B96">
        <v>88110</v>
      </c>
      <c r="C96" t="s">
        <v>724</v>
      </c>
      <c r="D96">
        <v>77125022</v>
      </c>
      <c r="E96">
        <v>81043</v>
      </c>
      <c r="F96" t="s">
        <v>665</v>
      </c>
    </row>
    <row r="97" spans="2:6">
      <c r="B97">
        <v>80941</v>
      </c>
      <c r="C97" t="s">
        <v>725</v>
      </c>
      <c r="D97">
        <v>77123012</v>
      </c>
      <c r="E97">
        <v>81161</v>
      </c>
      <c r="F97" t="s">
        <v>651</v>
      </c>
    </row>
    <row r="98" spans="2:6">
      <c r="B98">
        <v>81406</v>
      </c>
      <c r="C98" t="s">
        <v>726</v>
      </c>
      <c r="D98">
        <v>77423014</v>
      </c>
      <c r="E98">
        <v>81481</v>
      </c>
      <c r="F98" t="s">
        <v>651</v>
      </c>
    </row>
    <row r="99" spans="2:6">
      <c r="B99">
        <v>78172</v>
      </c>
      <c r="C99" t="s">
        <v>727</v>
      </c>
      <c r="D99">
        <v>77422034</v>
      </c>
      <c r="E99">
        <v>80313</v>
      </c>
      <c r="F99" t="s">
        <v>622</v>
      </c>
    </row>
    <row r="100" spans="2:6">
      <c r="B100">
        <v>92274</v>
      </c>
      <c r="C100" t="s">
        <v>728</v>
      </c>
      <c r="D100">
        <v>77426006</v>
      </c>
      <c r="E100">
        <v>81601</v>
      </c>
      <c r="F100" t="s">
        <v>622</v>
      </c>
    </row>
    <row r="101" spans="2:6">
      <c r="B101">
        <v>81116</v>
      </c>
      <c r="C101" t="s">
        <v>729</v>
      </c>
      <c r="D101">
        <v>77423010</v>
      </c>
      <c r="E101">
        <v>80959</v>
      </c>
      <c r="F101" t="s">
        <v>622</v>
      </c>
    </row>
    <row r="102" spans="2:6">
      <c r="B102">
        <v>73328</v>
      </c>
      <c r="C102" t="s">
        <v>730</v>
      </c>
      <c r="D102">
        <v>77421003</v>
      </c>
      <c r="E102">
        <v>80814</v>
      </c>
      <c r="F102" t="s">
        <v>622</v>
      </c>
    </row>
    <row r="103" spans="2:6">
      <c r="B103">
        <v>91995</v>
      </c>
      <c r="C103" t="s">
        <v>731</v>
      </c>
      <c r="D103">
        <v>77426003</v>
      </c>
      <c r="E103">
        <v>80931</v>
      </c>
      <c r="F103" t="s">
        <v>631</v>
      </c>
    </row>
    <row r="104" spans="2:6">
      <c r="B104">
        <v>91685</v>
      </c>
      <c r="C104" t="s">
        <v>732</v>
      </c>
      <c r="D104">
        <v>77426009</v>
      </c>
      <c r="E104">
        <v>81785</v>
      </c>
      <c r="F104" t="s">
        <v>733</v>
      </c>
    </row>
    <row r="105" spans="2:6">
      <c r="B105">
        <v>85572</v>
      </c>
      <c r="C105" t="s">
        <v>734</v>
      </c>
      <c r="D105">
        <v>77424021</v>
      </c>
      <c r="E105">
        <v>80443</v>
      </c>
      <c r="F105" t="s">
        <v>622</v>
      </c>
    </row>
    <row r="106" spans="2:6">
      <c r="B106">
        <v>81203</v>
      </c>
      <c r="C106" t="s">
        <v>735</v>
      </c>
      <c r="D106">
        <v>77423011</v>
      </c>
      <c r="E106">
        <v>80153</v>
      </c>
      <c r="F106" t="s">
        <v>631</v>
      </c>
    </row>
    <row r="107" spans="2:6">
      <c r="B107">
        <v>77568</v>
      </c>
      <c r="C107" t="s">
        <v>736</v>
      </c>
      <c r="D107">
        <v>77422025</v>
      </c>
      <c r="E107">
        <v>79900</v>
      </c>
      <c r="F107" t="s">
        <v>665</v>
      </c>
    </row>
    <row r="108" spans="2:6">
      <c r="B108">
        <v>83029</v>
      </c>
      <c r="C108" t="s">
        <v>737</v>
      </c>
      <c r="D108">
        <v>77423507</v>
      </c>
      <c r="E108">
        <v>80662</v>
      </c>
      <c r="F108" t="s">
        <v>624</v>
      </c>
    </row>
    <row r="109" spans="2:6">
      <c r="B109">
        <v>73374</v>
      </c>
      <c r="C109" t="s">
        <v>738</v>
      </c>
      <c r="D109">
        <v>77421004</v>
      </c>
      <c r="E109">
        <v>81005</v>
      </c>
      <c r="F109" t="s">
        <v>631</v>
      </c>
    </row>
    <row r="110" spans="2:6">
      <c r="B110">
        <v>84856</v>
      </c>
      <c r="C110" t="s">
        <v>739</v>
      </c>
      <c r="D110">
        <v>77424502</v>
      </c>
      <c r="E110">
        <v>79963</v>
      </c>
      <c r="F110" t="s">
        <v>665</v>
      </c>
    </row>
    <row r="111" spans="2:6">
      <c r="B111">
        <v>81367</v>
      </c>
      <c r="C111" t="s">
        <v>740</v>
      </c>
      <c r="D111">
        <v>77423016</v>
      </c>
      <c r="E111">
        <v>80619</v>
      </c>
      <c r="F111" t="s">
        <v>651</v>
      </c>
    </row>
    <row r="112" spans="2:6">
      <c r="B112">
        <v>80851</v>
      </c>
      <c r="C112" t="s">
        <v>741</v>
      </c>
      <c r="D112">
        <v>77423007</v>
      </c>
      <c r="E112">
        <v>80170</v>
      </c>
      <c r="F112" t="s">
        <v>631</v>
      </c>
    </row>
    <row r="113" spans="2:6">
      <c r="B113">
        <v>73766</v>
      </c>
      <c r="C113" t="s">
        <v>742</v>
      </c>
      <c r="D113">
        <v>77421502</v>
      </c>
      <c r="E113">
        <v>81012</v>
      </c>
      <c r="F113" t="s">
        <v>622</v>
      </c>
    </row>
    <row r="114" spans="2:6">
      <c r="B114">
        <v>91545</v>
      </c>
      <c r="C114" t="s">
        <v>743</v>
      </c>
      <c r="D114">
        <v>77426001</v>
      </c>
      <c r="E114">
        <v>79732</v>
      </c>
      <c r="F114" t="s">
        <v>631</v>
      </c>
    </row>
    <row r="115" spans="2:6">
      <c r="B115">
        <v>79470</v>
      </c>
      <c r="C115" t="s">
        <v>744</v>
      </c>
      <c r="D115">
        <v>77423001</v>
      </c>
      <c r="E115">
        <v>81325</v>
      </c>
      <c r="F115" t="s">
        <v>629</v>
      </c>
    </row>
    <row r="116" spans="2:6">
      <c r="B116">
        <v>81376</v>
      </c>
      <c r="C116" t="s">
        <v>745</v>
      </c>
      <c r="D116">
        <v>77423015</v>
      </c>
      <c r="E116">
        <v>80125</v>
      </c>
      <c r="F116" t="s">
        <v>631</v>
      </c>
    </row>
    <row r="117" spans="2:6">
      <c r="B117">
        <v>90511</v>
      </c>
      <c r="C117" t="s">
        <v>746</v>
      </c>
      <c r="D117">
        <v>77425509</v>
      </c>
      <c r="E117">
        <v>81118</v>
      </c>
      <c r="F117" t="s">
        <v>622</v>
      </c>
    </row>
    <row r="118" spans="2:6">
      <c r="B118">
        <v>90034</v>
      </c>
      <c r="C118" t="s">
        <v>747</v>
      </c>
      <c r="D118">
        <v>77425502</v>
      </c>
      <c r="E118">
        <v>81428</v>
      </c>
      <c r="F118" t="s">
        <v>622</v>
      </c>
    </row>
    <row r="119" spans="2:6">
      <c r="B119">
        <v>90227</v>
      </c>
      <c r="C119" t="s">
        <v>748</v>
      </c>
      <c r="D119">
        <v>77425504</v>
      </c>
      <c r="E119">
        <v>80770</v>
      </c>
      <c r="F119" t="s">
        <v>631</v>
      </c>
    </row>
    <row r="120" spans="2:6">
      <c r="B120">
        <v>88216</v>
      </c>
      <c r="C120" t="s">
        <v>749</v>
      </c>
      <c r="D120">
        <v>77425007</v>
      </c>
      <c r="E120">
        <v>80396</v>
      </c>
      <c r="F120" t="s">
        <v>622</v>
      </c>
    </row>
    <row r="121" spans="2:6">
      <c r="B121">
        <v>77069</v>
      </c>
      <c r="C121" t="s">
        <v>750</v>
      </c>
      <c r="D121">
        <v>77422012</v>
      </c>
      <c r="E121">
        <v>81159</v>
      </c>
      <c r="F121" t="s">
        <v>622</v>
      </c>
    </row>
    <row r="122" spans="2:6">
      <c r="B122">
        <v>77343</v>
      </c>
      <c r="C122" t="s">
        <v>751</v>
      </c>
      <c r="D122">
        <v>77422016</v>
      </c>
      <c r="E122">
        <v>79868</v>
      </c>
      <c r="F122" t="s">
        <v>622</v>
      </c>
    </row>
    <row r="123" spans="2:6">
      <c r="B123">
        <v>77588</v>
      </c>
      <c r="C123" t="s">
        <v>752</v>
      </c>
      <c r="D123">
        <v>77422024</v>
      </c>
      <c r="E123">
        <v>79879</v>
      </c>
      <c r="F123" t="s">
        <v>622</v>
      </c>
    </row>
    <row r="124" spans="2:6">
      <c r="B124">
        <v>85892</v>
      </c>
      <c r="C124" t="s">
        <v>753</v>
      </c>
      <c r="D124">
        <v>77424022</v>
      </c>
      <c r="E124">
        <v>80195</v>
      </c>
      <c r="F124" t="s">
        <v>624</v>
      </c>
    </row>
    <row r="125" spans="2:6">
      <c r="B125">
        <v>90406</v>
      </c>
      <c r="C125" t="s">
        <v>754</v>
      </c>
      <c r="D125">
        <v>77425507</v>
      </c>
      <c r="E125">
        <v>81234</v>
      </c>
      <c r="F125" t="s">
        <v>622</v>
      </c>
    </row>
    <row r="126" spans="2:6">
      <c r="B126">
        <v>83091</v>
      </c>
      <c r="C126" t="s">
        <v>755</v>
      </c>
      <c r="D126">
        <v>77423508</v>
      </c>
      <c r="E126">
        <v>79969</v>
      </c>
      <c r="F126" t="s">
        <v>665</v>
      </c>
    </row>
    <row r="127" spans="2:6">
      <c r="B127">
        <v>92391</v>
      </c>
      <c r="C127" t="s">
        <v>756</v>
      </c>
      <c r="D127">
        <v>77426007</v>
      </c>
      <c r="E127">
        <v>81864</v>
      </c>
      <c r="F127" t="s">
        <v>631</v>
      </c>
    </row>
    <row r="128" spans="2:6">
      <c r="B128">
        <v>75590</v>
      </c>
      <c r="C128" t="s">
        <v>757</v>
      </c>
      <c r="D128">
        <v>77421511</v>
      </c>
      <c r="E128">
        <v>81123</v>
      </c>
      <c r="F128" t="s">
        <v>651</v>
      </c>
    </row>
    <row r="129" spans="2:6">
      <c r="B129">
        <v>88807</v>
      </c>
      <c r="C129" t="s">
        <v>758</v>
      </c>
      <c r="D129">
        <v>77425009</v>
      </c>
      <c r="E129">
        <v>80044</v>
      </c>
      <c r="F129" t="s">
        <v>631</v>
      </c>
    </row>
    <row r="130" spans="2:6">
      <c r="B130">
        <v>90190</v>
      </c>
      <c r="C130" t="s">
        <v>759</v>
      </c>
      <c r="D130">
        <v>77425505</v>
      </c>
      <c r="E130">
        <v>81232</v>
      </c>
      <c r="F130" t="s">
        <v>622</v>
      </c>
    </row>
    <row r="131" spans="2:6">
      <c r="B131">
        <v>84613</v>
      </c>
      <c r="C131" t="s">
        <v>760</v>
      </c>
      <c r="D131">
        <v>77424005</v>
      </c>
      <c r="E131">
        <v>80462</v>
      </c>
      <c r="F131" t="s">
        <v>622</v>
      </c>
    </row>
    <row r="132" spans="2:6">
      <c r="B132">
        <v>78333</v>
      </c>
      <c r="C132" t="s">
        <v>761</v>
      </c>
      <c r="D132">
        <v>77422501</v>
      </c>
      <c r="E132">
        <v>80358</v>
      </c>
      <c r="F132" t="s">
        <v>624</v>
      </c>
    </row>
    <row r="133" spans="2:6">
      <c r="B133">
        <v>91816</v>
      </c>
      <c r="C133" t="s">
        <v>762</v>
      </c>
      <c r="D133">
        <v>77426002</v>
      </c>
      <c r="E133">
        <v>80604</v>
      </c>
      <c r="F133" t="s">
        <v>622</v>
      </c>
    </row>
    <row r="134" spans="2:6">
      <c r="B134">
        <v>91910</v>
      </c>
      <c r="C134" t="s">
        <v>763</v>
      </c>
      <c r="D134">
        <v>77426005</v>
      </c>
      <c r="E134">
        <v>81423</v>
      </c>
      <c r="F134" t="s">
        <v>622</v>
      </c>
    </row>
    <row r="135" spans="2:6">
      <c r="B135">
        <v>92112</v>
      </c>
      <c r="C135" t="s">
        <v>764</v>
      </c>
      <c r="D135">
        <v>77426004</v>
      </c>
      <c r="E135">
        <v>81300</v>
      </c>
      <c r="F135" t="s">
        <v>631</v>
      </c>
    </row>
    <row r="136" spans="2:6">
      <c r="B136">
        <v>84717</v>
      </c>
      <c r="C136" t="s">
        <v>765</v>
      </c>
      <c r="D136">
        <v>77424006</v>
      </c>
      <c r="E136">
        <v>80402</v>
      </c>
      <c r="F136" t="s">
        <v>622</v>
      </c>
    </row>
    <row r="137" spans="2:6">
      <c r="B137">
        <v>76694</v>
      </c>
      <c r="C137" t="s">
        <v>766</v>
      </c>
      <c r="D137">
        <v>77422007</v>
      </c>
      <c r="E137">
        <v>79872</v>
      </c>
      <c r="F137" t="s">
        <v>622</v>
      </c>
    </row>
    <row r="138" spans="2:6">
      <c r="B138">
        <v>88973</v>
      </c>
      <c r="C138" t="s">
        <v>767</v>
      </c>
      <c r="D138">
        <v>77425014</v>
      </c>
      <c r="E138">
        <v>80075</v>
      </c>
      <c r="F138" t="s">
        <v>665</v>
      </c>
    </row>
    <row r="139" spans="2:6">
      <c r="B139">
        <v>76682</v>
      </c>
      <c r="C139" t="s">
        <v>768</v>
      </c>
      <c r="D139">
        <v>66522018</v>
      </c>
      <c r="E139">
        <v>80268</v>
      </c>
      <c r="F139" t="s">
        <v>680</v>
      </c>
    </row>
    <row r="140" spans="2:6">
      <c r="B140">
        <v>73151</v>
      </c>
      <c r="C140" t="s">
        <v>769</v>
      </c>
      <c r="D140">
        <v>66521005</v>
      </c>
      <c r="E140">
        <v>80461</v>
      </c>
      <c r="F140" t="s">
        <v>624</v>
      </c>
    </row>
    <row r="141" spans="2:6">
      <c r="B141">
        <v>80522</v>
      </c>
      <c r="C141" t="s">
        <v>770</v>
      </c>
      <c r="D141">
        <v>66523018</v>
      </c>
      <c r="E141">
        <v>79905</v>
      </c>
      <c r="F141" t="s">
        <v>631</v>
      </c>
    </row>
    <row r="142" spans="2:6">
      <c r="B142">
        <v>88461</v>
      </c>
      <c r="C142" t="s">
        <v>771</v>
      </c>
      <c r="D142">
        <v>66525019</v>
      </c>
      <c r="E142">
        <v>80553</v>
      </c>
      <c r="F142" t="s">
        <v>624</v>
      </c>
    </row>
    <row r="143" spans="2:6">
      <c r="B143">
        <v>90432</v>
      </c>
      <c r="C143" t="s">
        <v>772</v>
      </c>
      <c r="D143">
        <v>66525516</v>
      </c>
      <c r="E143">
        <v>80981</v>
      </c>
      <c r="F143" t="s">
        <v>622</v>
      </c>
    </row>
    <row r="144" spans="2:6">
      <c r="B144">
        <v>90513</v>
      </c>
      <c r="C144" t="s">
        <v>773</v>
      </c>
      <c r="D144">
        <v>66525515</v>
      </c>
      <c r="E144">
        <v>80886</v>
      </c>
      <c r="F144" t="s">
        <v>622</v>
      </c>
    </row>
    <row r="145" spans="2:6">
      <c r="B145">
        <v>92067</v>
      </c>
      <c r="C145" t="s">
        <v>774</v>
      </c>
      <c r="D145">
        <v>66526014</v>
      </c>
      <c r="E145">
        <v>81342</v>
      </c>
      <c r="F145" t="s">
        <v>631</v>
      </c>
    </row>
    <row r="146" spans="2:6">
      <c r="B146">
        <v>84087</v>
      </c>
      <c r="C146" t="s">
        <v>775</v>
      </c>
      <c r="D146">
        <v>66524005</v>
      </c>
      <c r="E146">
        <v>79983</v>
      </c>
      <c r="F146" t="s">
        <v>622</v>
      </c>
    </row>
    <row r="147" spans="2:6">
      <c r="B147">
        <v>91715</v>
      </c>
      <c r="C147" t="s">
        <v>776</v>
      </c>
      <c r="D147">
        <v>66526015</v>
      </c>
      <c r="E147">
        <v>81363</v>
      </c>
      <c r="F147" t="s">
        <v>622</v>
      </c>
    </row>
    <row r="148" spans="2:6">
      <c r="B148">
        <v>86141</v>
      </c>
      <c r="C148" t="s">
        <v>777</v>
      </c>
      <c r="D148">
        <v>66524506</v>
      </c>
      <c r="E148">
        <v>81174</v>
      </c>
      <c r="F148" t="s">
        <v>651</v>
      </c>
    </row>
    <row r="149" spans="2:6">
      <c r="B149">
        <v>92436</v>
      </c>
      <c r="C149" t="s">
        <v>778</v>
      </c>
      <c r="D149">
        <v>66526020</v>
      </c>
      <c r="E149">
        <v>81697</v>
      </c>
      <c r="F149" t="s">
        <v>631</v>
      </c>
    </row>
    <row r="150" spans="2:6">
      <c r="B150">
        <v>91480</v>
      </c>
      <c r="C150" t="s">
        <v>779</v>
      </c>
      <c r="D150">
        <v>66526004</v>
      </c>
      <c r="E150">
        <v>79804</v>
      </c>
      <c r="F150" t="s">
        <v>622</v>
      </c>
    </row>
    <row r="151" spans="2:6">
      <c r="B151">
        <v>84116</v>
      </c>
      <c r="C151" t="s">
        <v>780</v>
      </c>
      <c r="D151">
        <v>66524009</v>
      </c>
      <c r="E151">
        <v>80560</v>
      </c>
      <c r="F151" t="s">
        <v>680</v>
      </c>
    </row>
    <row r="152" spans="2:6">
      <c r="B152">
        <v>75479</v>
      </c>
      <c r="C152" t="s">
        <v>781</v>
      </c>
      <c r="D152">
        <v>66521531</v>
      </c>
      <c r="E152">
        <v>79858</v>
      </c>
      <c r="F152" t="s">
        <v>622</v>
      </c>
    </row>
    <row r="153" spans="2:6">
      <c r="B153">
        <v>79589</v>
      </c>
      <c r="C153" t="s">
        <v>782</v>
      </c>
      <c r="D153">
        <v>66522545</v>
      </c>
      <c r="E153">
        <v>81203</v>
      </c>
      <c r="F153" t="s">
        <v>622</v>
      </c>
    </row>
    <row r="154" spans="2:6">
      <c r="B154">
        <v>91997</v>
      </c>
      <c r="C154" t="s">
        <v>783</v>
      </c>
      <c r="D154">
        <v>66526016</v>
      </c>
      <c r="E154">
        <v>81395</v>
      </c>
      <c r="F154" t="s">
        <v>622</v>
      </c>
    </row>
    <row r="155" spans="2:6">
      <c r="B155">
        <v>75170</v>
      </c>
      <c r="C155" t="s">
        <v>784</v>
      </c>
      <c r="D155">
        <v>66521515</v>
      </c>
      <c r="E155">
        <v>79853</v>
      </c>
      <c r="F155" t="s">
        <v>631</v>
      </c>
    </row>
    <row r="156" spans="2:6">
      <c r="B156">
        <v>92007</v>
      </c>
      <c r="C156" t="s">
        <v>785</v>
      </c>
      <c r="D156">
        <v>66526018</v>
      </c>
      <c r="E156">
        <v>81591</v>
      </c>
      <c r="F156" t="s">
        <v>631</v>
      </c>
    </row>
    <row r="157" spans="2:6">
      <c r="B157">
        <v>75222</v>
      </c>
      <c r="C157" t="s">
        <v>786</v>
      </c>
      <c r="D157">
        <v>66521521</v>
      </c>
      <c r="E157">
        <v>79857</v>
      </c>
      <c r="F157" t="s">
        <v>651</v>
      </c>
    </row>
    <row r="158" spans="2:6">
      <c r="B158">
        <v>91865</v>
      </c>
      <c r="C158" t="s">
        <v>787</v>
      </c>
      <c r="D158">
        <v>66526013</v>
      </c>
      <c r="E158">
        <v>80945</v>
      </c>
      <c r="F158" t="s">
        <v>622</v>
      </c>
    </row>
    <row r="159" spans="2:6">
      <c r="B159">
        <v>89776</v>
      </c>
      <c r="C159" t="s">
        <v>788</v>
      </c>
      <c r="D159">
        <v>66525503</v>
      </c>
      <c r="E159">
        <v>80318</v>
      </c>
      <c r="F159" t="s">
        <v>631</v>
      </c>
    </row>
    <row r="160" spans="2:6">
      <c r="B160">
        <v>90597</v>
      </c>
      <c r="C160" t="s">
        <v>789</v>
      </c>
      <c r="D160">
        <v>66525518</v>
      </c>
      <c r="E160">
        <v>81124</v>
      </c>
      <c r="F160" t="s">
        <v>622</v>
      </c>
    </row>
    <row r="161" spans="2:6">
      <c r="B161">
        <v>81342</v>
      </c>
      <c r="C161" t="s">
        <v>790</v>
      </c>
      <c r="D161">
        <v>66523049</v>
      </c>
      <c r="E161">
        <v>79943</v>
      </c>
      <c r="F161" t="s">
        <v>622</v>
      </c>
    </row>
    <row r="162" spans="2:6">
      <c r="B162">
        <v>89851</v>
      </c>
      <c r="C162" t="s">
        <v>791</v>
      </c>
      <c r="D162">
        <v>66525507</v>
      </c>
      <c r="E162">
        <v>80250</v>
      </c>
      <c r="F162" t="s">
        <v>631</v>
      </c>
    </row>
    <row r="163" spans="2:6">
      <c r="B163">
        <v>77043</v>
      </c>
      <c r="C163" t="s">
        <v>792</v>
      </c>
      <c r="D163">
        <v>66522037</v>
      </c>
      <c r="E163">
        <v>79859</v>
      </c>
      <c r="F163" t="s">
        <v>631</v>
      </c>
    </row>
    <row r="164" spans="2:6">
      <c r="B164">
        <v>83696</v>
      </c>
      <c r="C164" t="s">
        <v>793</v>
      </c>
      <c r="D164">
        <v>66523540</v>
      </c>
      <c r="E164">
        <v>80527</v>
      </c>
      <c r="F164" t="s">
        <v>624</v>
      </c>
    </row>
    <row r="165" spans="2:6">
      <c r="B165">
        <v>78429</v>
      </c>
      <c r="C165" t="s">
        <v>794</v>
      </c>
      <c r="D165">
        <v>66522501</v>
      </c>
      <c r="E165">
        <v>80163</v>
      </c>
      <c r="F165" t="s">
        <v>651</v>
      </c>
    </row>
    <row r="166" spans="2:6">
      <c r="B166">
        <v>89866</v>
      </c>
      <c r="C166" t="s">
        <v>795</v>
      </c>
      <c r="D166">
        <v>66525508</v>
      </c>
      <c r="E166">
        <v>80227</v>
      </c>
      <c r="F166" t="s">
        <v>624</v>
      </c>
    </row>
    <row r="167" spans="2:6">
      <c r="B167">
        <v>77044</v>
      </c>
      <c r="C167" t="s">
        <v>796</v>
      </c>
      <c r="D167">
        <v>66522035</v>
      </c>
      <c r="E167">
        <v>80891</v>
      </c>
      <c r="F167" t="s">
        <v>665</v>
      </c>
    </row>
    <row r="168" spans="2:6">
      <c r="B168">
        <v>77783</v>
      </c>
      <c r="C168" t="s">
        <v>797</v>
      </c>
      <c r="D168">
        <v>66522072</v>
      </c>
      <c r="E168">
        <v>80365</v>
      </c>
      <c r="F168" t="s">
        <v>798</v>
      </c>
    </row>
    <row r="169" spans="2:6">
      <c r="B169">
        <v>92466</v>
      </c>
      <c r="C169" t="s">
        <v>799</v>
      </c>
      <c r="D169">
        <v>66526024</v>
      </c>
      <c r="E169">
        <v>81831</v>
      </c>
      <c r="F169" t="s">
        <v>631</v>
      </c>
    </row>
    <row r="170" spans="2:6">
      <c r="B170">
        <v>80778</v>
      </c>
      <c r="C170" t="s">
        <v>800</v>
      </c>
      <c r="D170">
        <v>66523029</v>
      </c>
      <c r="E170">
        <v>80956</v>
      </c>
      <c r="F170" t="s">
        <v>651</v>
      </c>
    </row>
    <row r="171" spans="2:6">
      <c r="B171">
        <v>91619</v>
      </c>
      <c r="C171" t="s">
        <v>801</v>
      </c>
      <c r="D171">
        <v>66526003</v>
      </c>
      <c r="E171">
        <v>79801</v>
      </c>
      <c r="F171" t="s">
        <v>631</v>
      </c>
    </row>
    <row r="172" spans="2:6">
      <c r="B172">
        <v>91674</v>
      </c>
      <c r="C172" t="s">
        <v>802</v>
      </c>
      <c r="D172">
        <v>66526009</v>
      </c>
      <c r="E172">
        <v>80736</v>
      </c>
      <c r="F172" t="s">
        <v>631</v>
      </c>
    </row>
    <row r="173" spans="2:6">
      <c r="B173">
        <v>91845</v>
      </c>
      <c r="C173" t="s">
        <v>803</v>
      </c>
      <c r="D173">
        <v>66526006</v>
      </c>
      <c r="E173">
        <v>80551</v>
      </c>
      <c r="F173" t="s">
        <v>622</v>
      </c>
    </row>
    <row r="174" spans="2:6">
      <c r="B174">
        <v>86295</v>
      </c>
      <c r="C174" t="s">
        <v>804</v>
      </c>
      <c r="D174">
        <v>66524519</v>
      </c>
      <c r="E174">
        <v>81135</v>
      </c>
      <c r="F174" t="s">
        <v>624</v>
      </c>
    </row>
    <row r="175" spans="2:6">
      <c r="B175">
        <v>91465</v>
      </c>
      <c r="C175" t="s">
        <v>805</v>
      </c>
      <c r="D175">
        <v>66526001</v>
      </c>
      <c r="E175">
        <v>79675</v>
      </c>
      <c r="F175" t="s">
        <v>622</v>
      </c>
    </row>
    <row r="176" spans="2:6">
      <c r="B176">
        <v>91965</v>
      </c>
      <c r="C176" t="s">
        <v>806</v>
      </c>
      <c r="D176">
        <v>66526010</v>
      </c>
      <c r="E176">
        <v>80739</v>
      </c>
      <c r="F176" t="s">
        <v>622</v>
      </c>
    </row>
    <row r="177" spans="2:6">
      <c r="B177">
        <v>91506</v>
      </c>
      <c r="C177" t="s">
        <v>807</v>
      </c>
      <c r="D177">
        <v>66526005</v>
      </c>
      <c r="E177">
        <v>80540</v>
      </c>
      <c r="F177" t="s">
        <v>622</v>
      </c>
    </row>
    <row r="178" spans="2:6">
      <c r="B178">
        <v>88217</v>
      </c>
      <c r="C178" t="s">
        <v>808</v>
      </c>
      <c r="D178">
        <v>66525020</v>
      </c>
      <c r="E178">
        <v>80207</v>
      </c>
      <c r="F178" t="s">
        <v>631</v>
      </c>
    </row>
    <row r="179" spans="2:6">
      <c r="B179">
        <v>75694</v>
      </c>
      <c r="C179" t="s">
        <v>809</v>
      </c>
      <c r="D179">
        <v>66521536</v>
      </c>
      <c r="E179">
        <v>79991</v>
      </c>
      <c r="F179" t="s">
        <v>680</v>
      </c>
    </row>
    <row r="180" spans="2:6">
      <c r="B180">
        <v>84122</v>
      </c>
      <c r="C180" t="s">
        <v>810</v>
      </c>
      <c r="D180">
        <v>66524010</v>
      </c>
      <c r="E180">
        <v>79976</v>
      </c>
      <c r="F180" t="s">
        <v>651</v>
      </c>
    </row>
    <row r="181" spans="2:6">
      <c r="B181">
        <v>92399</v>
      </c>
      <c r="C181" t="s">
        <v>811</v>
      </c>
      <c r="D181">
        <v>66526021</v>
      </c>
      <c r="E181">
        <v>81826</v>
      </c>
      <c r="F181" t="s">
        <v>703</v>
      </c>
    </row>
    <row r="182" spans="2:6">
      <c r="B182">
        <v>77534</v>
      </c>
      <c r="C182" t="s">
        <v>812</v>
      </c>
      <c r="D182">
        <v>66522057</v>
      </c>
      <c r="E182">
        <v>79875</v>
      </c>
      <c r="F182" t="s">
        <v>651</v>
      </c>
    </row>
    <row r="183" spans="2:6">
      <c r="B183">
        <v>77117</v>
      </c>
      <c r="C183" t="s">
        <v>813</v>
      </c>
      <c r="D183">
        <v>66522038</v>
      </c>
      <c r="E183">
        <v>79878</v>
      </c>
      <c r="F183" t="s">
        <v>651</v>
      </c>
    </row>
    <row r="184" spans="2:6">
      <c r="B184">
        <v>91975</v>
      </c>
      <c r="C184" t="s">
        <v>814</v>
      </c>
      <c r="D184">
        <v>66526012</v>
      </c>
      <c r="E184">
        <v>80860</v>
      </c>
      <c r="F184" t="s">
        <v>631</v>
      </c>
    </row>
    <row r="185" spans="2:6">
      <c r="B185">
        <v>85095</v>
      </c>
      <c r="C185" t="s">
        <v>815</v>
      </c>
      <c r="D185">
        <v>66524050</v>
      </c>
      <c r="E185">
        <v>81051</v>
      </c>
      <c r="F185" t="s">
        <v>680</v>
      </c>
    </row>
    <row r="186" spans="2:6">
      <c r="B186">
        <v>92214</v>
      </c>
      <c r="C186" t="s">
        <v>816</v>
      </c>
      <c r="D186">
        <v>66526017</v>
      </c>
      <c r="E186">
        <v>81497</v>
      </c>
      <c r="F186" t="s">
        <v>631</v>
      </c>
    </row>
    <row r="187" spans="2:6">
      <c r="B187">
        <v>82490</v>
      </c>
      <c r="C187" t="s">
        <v>817</v>
      </c>
      <c r="D187">
        <v>33223501</v>
      </c>
      <c r="E187">
        <v>80765</v>
      </c>
      <c r="F187" t="s">
        <v>631</v>
      </c>
    </row>
    <row r="188" spans="2:6">
      <c r="B188">
        <v>76870</v>
      </c>
      <c r="C188" t="s">
        <v>818</v>
      </c>
      <c r="D188">
        <v>33222006</v>
      </c>
      <c r="E188">
        <v>81229</v>
      </c>
      <c r="F188" t="s">
        <v>622</v>
      </c>
    </row>
    <row r="189" spans="2:6">
      <c r="B189">
        <v>91878</v>
      </c>
      <c r="C189" t="s">
        <v>819</v>
      </c>
      <c r="D189">
        <v>33226002</v>
      </c>
      <c r="E189">
        <v>80120</v>
      </c>
      <c r="F189" t="s">
        <v>622</v>
      </c>
    </row>
    <row r="190" spans="2:6">
      <c r="B190">
        <v>85244</v>
      </c>
      <c r="C190" t="s">
        <v>820</v>
      </c>
      <c r="D190">
        <v>33224014</v>
      </c>
      <c r="E190">
        <v>81847</v>
      </c>
      <c r="F190" t="s">
        <v>821</v>
      </c>
    </row>
    <row r="191" spans="2:6">
      <c r="B191">
        <v>89036</v>
      </c>
      <c r="C191" t="s">
        <v>822</v>
      </c>
      <c r="D191">
        <v>33225018</v>
      </c>
      <c r="E191">
        <v>80040</v>
      </c>
      <c r="F191" t="s">
        <v>622</v>
      </c>
    </row>
    <row r="192" spans="2:6">
      <c r="B192">
        <v>77072</v>
      </c>
      <c r="C192" t="s">
        <v>823</v>
      </c>
      <c r="D192">
        <v>33222011</v>
      </c>
      <c r="E192">
        <v>81199</v>
      </c>
      <c r="F192" t="s">
        <v>651</v>
      </c>
    </row>
    <row r="193" spans="2:6">
      <c r="B193">
        <v>86431</v>
      </c>
      <c r="C193" t="s">
        <v>824</v>
      </c>
      <c r="D193">
        <v>33224505</v>
      </c>
      <c r="E193">
        <v>80679</v>
      </c>
      <c r="F193" t="s">
        <v>631</v>
      </c>
    </row>
    <row r="194" spans="2:6">
      <c r="B194">
        <v>82895</v>
      </c>
      <c r="C194" t="s">
        <v>825</v>
      </c>
      <c r="D194">
        <v>33223510</v>
      </c>
      <c r="E194">
        <v>81708</v>
      </c>
      <c r="F194" t="s">
        <v>622</v>
      </c>
    </row>
    <row r="195" spans="2:6">
      <c r="B195">
        <v>88309</v>
      </c>
      <c r="C195" t="s">
        <v>826</v>
      </c>
      <c r="D195">
        <v>33225006</v>
      </c>
      <c r="E195">
        <v>80927</v>
      </c>
      <c r="F195" t="s">
        <v>624</v>
      </c>
    </row>
    <row r="196" spans="2:6">
      <c r="B196">
        <v>92390</v>
      </c>
      <c r="C196" t="s">
        <v>827</v>
      </c>
      <c r="D196">
        <v>33226010</v>
      </c>
      <c r="E196">
        <v>81617</v>
      </c>
      <c r="F196" t="s">
        <v>622</v>
      </c>
    </row>
    <row r="197" spans="2:6">
      <c r="B197">
        <v>84179</v>
      </c>
      <c r="C197" t="s">
        <v>828</v>
      </c>
      <c r="D197">
        <v>33224004</v>
      </c>
      <c r="E197">
        <v>81010</v>
      </c>
      <c r="F197" t="s">
        <v>631</v>
      </c>
    </row>
    <row r="198" spans="2:6">
      <c r="B198">
        <v>81732</v>
      </c>
      <c r="C198" t="s">
        <v>829</v>
      </c>
      <c r="D198">
        <v>33223017</v>
      </c>
      <c r="E198">
        <v>81144</v>
      </c>
      <c r="F198" t="s">
        <v>665</v>
      </c>
    </row>
    <row r="199" spans="2:6">
      <c r="B199">
        <v>90124</v>
      </c>
      <c r="C199" t="s">
        <v>830</v>
      </c>
      <c r="D199">
        <v>33225502</v>
      </c>
      <c r="E199">
        <v>79994</v>
      </c>
      <c r="F199" t="s">
        <v>651</v>
      </c>
    </row>
    <row r="200" spans="2:6">
      <c r="B200">
        <v>86807</v>
      </c>
      <c r="C200" t="s">
        <v>831</v>
      </c>
      <c r="D200">
        <v>33224508</v>
      </c>
      <c r="E200">
        <v>81489</v>
      </c>
      <c r="F200" t="s">
        <v>624</v>
      </c>
    </row>
    <row r="201" spans="2:6">
      <c r="B201">
        <v>88453</v>
      </c>
      <c r="C201" t="s">
        <v>832</v>
      </c>
      <c r="D201">
        <v>33225009</v>
      </c>
      <c r="E201">
        <v>81106</v>
      </c>
      <c r="F201" t="s">
        <v>624</v>
      </c>
    </row>
    <row r="202" spans="2:6">
      <c r="B202">
        <v>92185</v>
      </c>
      <c r="C202" t="s">
        <v>833</v>
      </c>
      <c r="D202">
        <v>33226009</v>
      </c>
      <c r="E202">
        <v>81377</v>
      </c>
      <c r="F202" t="s">
        <v>631</v>
      </c>
    </row>
    <row r="203" spans="2:6">
      <c r="B203">
        <v>77517</v>
      </c>
      <c r="C203" t="s">
        <v>834</v>
      </c>
      <c r="D203">
        <v>33222020</v>
      </c>
      <c r="E203">
        <v>81030</v>
      </c>
      <c r="F203" t="s">
        <v>631</v>
      </c>
    </row>
    <row r="204" spans="2:6">
      <c r="B204">
        <v>80932</v>
      </c>
      <c r="C204" t="s">
        <v>835</v>
      </c>
      <c r="D204">
        <v>33223009</v>
      </c>
      <c r="E204">
        <v>80425</v>
      </c>
      <c r="F204" t="s">
        <v>624</v>
      </c>
    </row>
    <row r="205" spans="2:6">
      <c r="B205">
        <v>91665</v>
      </c>
      <c r="C205" t="s">
        <v>836</v>
      </c>
      <c r="D205">
        <v>33226001</v>
      </c>
      <c r="E205">
        <v>79727</v>
      </c>
      <c r="F205" t="s">
        <v>622</v>
      </c>
    </row>
    <row r="206" spans="2:6">
      <c r="B206">
        <v>79347</v>
      </c>
      <c r="C206" t="s">
        <v>837</v>
      </c>
      <c r="D206">
        <v>33222514</v>
      </c>
      <c r="E206">
        <v>79917</v>
      </c>
      <c r="F206" t="s">
        <v>651</v>
      </c>
    </row>
    <row r="207" spans="2:6">
      <c r="B207">
        <v>88105</v>
      </c>
      <c r="C207" t="s">
        <v>838</v>
      </c>
      <c r="D207">
        <v>33225005</v>
      </c>
      <c r="E207">
        <v>80651</v>
      </c>
      <c r="F207" t="s">
        <v>651</v>
      </c>
    </row>
    <row r="208" spans="2:6">
      <c r="B208">
        <v>82607</v>
      </c>
      <c r="C208" t="s">
        <v>839</v>
      </c>
      <c r="D208">
        <v>33223505</v>
      </c>
      <c r="E208">
        <v>80564</v>
      </c>
      <c r="F208" t="s">
        <v>651</v>
      </c>
    </row>
    <row r="209" spans="2:6">
      <c r="B209">
        <v>80838</v>
      </c>
      <c r="C209" t="s">
        <v>840</v>
      </c>
      <c r="D209">
        <v>33223005</v>
      </c>
      <c r="E209">
        <v>80437</v>
      </c>
      <c r="F209" t="s">
        <v>680</v>
      </c>
    </row>
    <row r="210" spans="2:6">
      <c r="B210">
        <v>90763</v>
      </c>
      <c r="C210" t="s">
        <v>841</v>
      </c>
      <c r="D210">
        <v>33225512</v>
      </c>
      <c r="E210">
        <v>80664</v>
      </c>
      <c r="F210" t="s">
        <v>631</v>
      </c>
    </row>
    <row r="211" spans="2:6">
      <c r="B211">
        <v>76488</v>
      </c>
      <c r="C211" t="s">
        <v>842</v>
      </c>
      <c r="D211">
        <v>33222001</v>
      </c>
      <c r="E211">
        <v>80997</v>
      </c>
      <c r="F211" t="s">
        <v>624</v>
      </c>
    </row>
    <row r="212" spans="2:6">
      <c r="B212">
        <v>91813</v>
      </c>
      <c r="C212" t="s">
        <v>843</v>
      </c>
      <c r="D212">
        <v>33226003</v>
      </c>
      <c r="E212">
        <v>80417</v>
      </c>
      <c r="F212" t="s">
        <v>631</v>
      </c>
    </row>
    <row r="213" spans="2:6">
      <c r="B213">
        <v>91954</v>
      </c>
      <c r="C213" t="s">
        <v>844</v>
      </c>
      <c r="D213">
        <v>33226007</v>
      </c>
      <c r="E213">
        <v>80928</v>
      </c>
      <c r="F213" t="s">
        <v>631</v>
      </c>
    </row>
    <row r="214" spans="2:6">
      <c r="B214">
        <v>83097</v>
      </c>
      <c r="C214" t="s">
        <v>845</v>
      </c>
      <c r="D214">
        <v>33223512</v>
      </c>
      <c r="E214">
        <v>81474</v>
      </c>
      <c r="F214" t="s">
        <v>631</v>
      </c>
    </row>
    <row r="215" spans="2:6">
      <c r="B215">
        <v>85043</v>
      </c>
      <c r="C215" t="s">
        <v>846</v>
      </c>
      <c r="D215">
        <v>33224012</v>
      </c>
      <c r="E215">
        <v>81129</v>
      </c>
      <c r="F215" t="s">
        <v>622</v>
      </c>
    </row>
    <row r="216" spans="2:6">
      <c r="B216">
        <v>78966</v>
      </c>
      <c r="C216" t="s">
        <v>847</v>
      </c>
      <c r="D216">
        <v>33222508</v>
      </c>
      <c r="E216">
        <v>80094</v>
      </c>
      <c r="F216" t="s">
        <v>622</v>
      </c>
    </row>
    <row r="217" spans="2:6">
      <c r="B217">
        <v>82729</v>
      </c>
      <c r="C217" t="s">
        <v>848</v>
      </c>
      <c r="D217">
        <v>33223507</v>
      </c>
      <c r="E217">
        <v>80820</v>
      </c>
      <c r="F217" t="s">
        <v>631</v>
      </c>
    </row>
    <row r="218" spans="2:6">
      <c r="B218">
        <v>84210</v>
      </c>
      <c r="C218" t="s">
        <v>849</v>
      </c>
      <c r="D218">
        <v>33224003</v>
      </c>
      <c r="E218">
        <v>80605</v>
      </c>
      <c r="F218" t="s">
        <v>631</v>
      </c>
    </row>
    <row r="219" spans="2:6">
      <c r="B219">
        <v>84631</v>
      </c>
      <c r="C219" t="s">
        <v>850</v>
      </c>
      <c r="D219">
        <v>33124014</v>
      </c>
      <c r="E219">
        <v>81242</v>
      </c>
      <c r="F219" t="s">
        <v>665</v>
      </c>
    </row>
    <row r="220" spans="2:6">
      <c r="B220">
        <v>75282</v>
      </c>
      <c r="C220" t="s">
        <v>851</v>
      </c>
      <c r="D220">
        <v>33121507</v>
      </c>
      <c r="E220">
        <v>81895</v>
      </c>
      <c r="F220" t="s">
        <v>821</v>
      </c>
    </row>
    <row r="221" spans="2:6">
      <c r="B221">
        <v>89753</v>
      </c>
      <c r="C221" t="s">
        <v>852</v>
      </c>
      <c r="D221">
        <v>33125502</v>
      </c>
      <c r="E221">
        <v>80074</v>
      </c>
      <c r="F221" t="s">
        <v>651</v>
      </c>
    </row>
    <row r="222" spans="2:6">
      <c r="B222">
        <v>90775</v>
      </c>
      <c r="C222" t="s">
        <v>853</v>
      </c>
      <c r="D222">
        <v>33125507</v>
      </c>
      <c r="E222">
        <v>80663</v>
      </c>
      <c r="F222" t="s">
        <v>622</v>
      </c>
    </row>
    <row r="223" spans="2:6">
      <c r="B223">
        <v>77241</v>
      </c>
      <c r="C223" t="s">
        <v>854</v>
      </c>
      <c r="D223">
        <v>33122015</v>
      </c>
      <c r="E223">
        <v>80241</v>
      </c>
      <c r="F223" t="s">
        <v>665</v>
      </c>
    </row>
    <row r="224" spans="2:6">
      <c r="B224">
        <v>86437</v>
      </c>
      <c r="C224" t="s">
        <v>855</v>
      </c>
      <c r="D224">
        <v>33124505</v>
      </c>
      <c r="E224">
        <v>80666</v>
      </c>
      <c r="F224" t="s">
        <v>733</v>
      </c>
    </row>
    <row r="225" spans="2:6">
      <c r="B225">
        <v>77302</v>
      </c>
      <c r="C225" t="s">
        <v>856</v>
      </c>
      <c r="D225">
        <v>33122014</v>
      </c>
      <c r="E225">
        <v>80686</v>
      </c>
      <c r="F225" t="s">
        <v>631</v>
      </c>
    </row>
    <row r="226" spans="2:6">
      <c r="B226">
        <v>85613</v>
      </c>
      <c r="C226" t="s">
        <v>857</v>
      </c>
      <c r="D226">
        <v>33124031</v>
      </c>
      <c r="E226">
        <v>81032</v>
      </c>
      <c r="F226" t="s">
        <v>631</v>
      </c>
    </row>
    <row r="227" spans="2:6">
      <c r="B227">
        <v>88986</v>
      </c>
      <c r="C227" t="s">
        <v>858</v>
      </c>
      <c r="D227">
        <v>33125019</v>
      </c>
      <c r="E227">
        <v>80093</v>
      </c>
      <c r="F227" t="s">
        <v>651</v>
      </c>
    </row>
    <row r="228" spans="2:6">
      <c r="B228">
        <v>91361</v>
      </c>
      <c r="C228" t="s">
        <v>859</v>
      </c>
      <c r="D228">
        <v>33126003</v>
      </c>
      <c r="E228">
        <v>79693</v>
      </c>
      <c r="F228" t="s">
        <v>860</v>
      </c>
    </row>
    <row r="229" spans="2:6">
      <c r="B229">
        <v>82627</v>
      </c>
      <c r="C229" t="s">
        <v>861</v>
      </c>
      <c r="D229">
        <v>33123502</v>
      </c>
      <c r="E229">
        <v>81712</v>
      </c>
      <c r="F229" t="s">
        <v>624</v>
      </c>
    </row>
    <row r="230" spans="2:6">
      <c r="B230">
        <v>91664</v>
      </c>
      <c r="C230" t="s">
        <v>862</v>
      </c>
      <c r="D230">
        <v>33126004</v>
      </c>
      <c r="E230">
        <v>79739</v>
      </c>
      <c r="F230" t="s">
        <v>798</v>
      </c>
    </row>
    <row r="231" spans="2:6">
      <c r="B231">
        <v>80544</v>
      </c>
      <c r="C231" t="s">
        <v>863</v>
      </c>
      <c r="D231">
        <v>33123005</v>
      </c>
      <c r="E231">
        <v>80267</v>
      </c>
      <c r="F231" t="s">
        <v>629</v>
      </c>
    </row>
    <row r="232" spans="2:6">
      <c r="B232">
        <v>75161</v>
      </c>
      <c r="C232" t="s">
        <v>864</v>
      </c>
      <c r="D232">
        <v>33121504</v>
      </c>
      <c r="E232">
        <v>80191</v>
      </c>
      <c r="F232" t="s">
        <v>680</v>
      </c>
    </row>
    <row r="233" spans="2:6">
      <c r="B233">
        <v>75245</v>
      </c>
      <c r="C233" t="s">
        <v>865</v>
      </c>
      <c r="D233">
        <v>33121503</v>
      </c>
      <c r="E233">
        <v>80813</v>
      </c>
      <c r="F233" t="s">
        <v>622</v>
      </c>
    </row>
    <row r="234" spans="2:6">
      <c r="B234">
        <v>85614</v>
      </c>
      <c r="C234" t="s">
        <v>866</v>
      </c>
      <c r="D234">
        <v>33124030</v>
      </c>
      <c r="E234">
        <v>81168</v>
      </c>
      <c r="F234" t="s">
        <v>651</v>
      </c>
    </row>
    <row r="235" spans="2:6">
      <c r="B235">
        <v>81103</v>
      </c>
      <c r="C235" t="s">
        <v>867</v>
      </c>
      <c r="D235">
        <v>33123020</v>
      </c>
      <c r="E235">
        <v>80583</v>
      </c>
      <c r="F235" t="s">
        <v>680</v>
      </c>
    </row>
    <row r="236" spans="2:6">
      <c r="B236">
        <v>88726</v>
      </c>
      <c r="C236" t="s">
        <v>868</v>
      </c>
      <c r="D236">
        <v>33125016</v>
      </c>
      <c r="E236">
        <v>80754</v>
      </c>
      <c r="F236" t="s">
        <v>798</v>
      </c>
    </row>
    <row r="237" spans="2:6">
      <c r="B237">
        <v>86192</v>
      </c>
      <c r="C237" t="s">
        <v>869</v>
      </c>
      <c r="D237">
        <v>33124502</v>
      </c>
      <c r="E237">
        <v>80310</v>
      </c>
      <c r="F237" t="s">
        <v>622</v>
      </c>
    </row>
    <row r="238" spans="2:6">
      <c r="B238">
        <v>82749</v>
      </c>
      <c r="C238" t="s">
        <v>870</v>
      </c>
      <c r="D238">
        <v>33123507</v>
      </c>
      <c r="E238">
        <v>80987</v>
      </c>
      <c r="F238" t="s">
        <v>631</v>
      </c>
    </row>
    <row r="239" spans="2:6">
      <c r="B239">
        <v>90050</v>
      </c>
      <c r="C239" t="s">
        <v>871</v>
      </c>
      <c r="D239">
        <v>33125504</v>
      </c>
      <c r="E239">
        <v>80756</v>
      </c>
      <c r="F239" t="s">
        <v>622</v>
      </c>
    </row>
    <row r="240" spans="2:6">
      <c r="B240">
        <v>74879</v>
      </c>
      <c r="C240" t="s">
        <v>872</v>
      </c>
      <c r="D240">
        <v>33121501</v>
      </c>
      <c r="E240">
        <v>80354</v>
      </c>
      <c r="F240" t="s">
        <v>651</v>
      </c>
    </row>
    <row r="241" spans="2:6">
      <c r="B241">
        <v>85191</v>
      </c>
      <c r="C241" t="s">
        <v>873</v>
      </c>
      <c r="D241">
        <v>33124022</v>
      </c>
      <c r="E241">
        <v>80209</v>
      </c>
      <c r="F241" t="s">
        <v>631</v>
      </c>
    </row>
    <row r="242" spans="2:6">
      <c r="B242">
        <v>87313</v>
      </c>
      <c r="C242" t="s">
        <v>874</v>
      </c>
      <c r="D242">
        <v>33124517</v>
      </c>
      <c r="E242">
        <v>80898</v>
      </c>
      <c r="F242" t="s">
        <v>631</v>
      </c>
    </row>
    <row r="243" spans="2:6">
      <c r="B243">
        <v>80891</v>
      </c>
      <c r="C243" t="s">
        <v>875</v>
      </c>
      <c r="D243">
        <v>33123014</v>
      </c>
      <c r="E243">
        <v>80372</v>
      </c>
      <c r="F243" t="s">
        <v>798</v>
      </c>
    </row>
    <row r="244" spans="2:6">
      <c r="B244">
        <v>88321</v>
      </c>
      <c r="C244" t="s">
        <v>876</v>
      </c>
      <c r="D244">
        <v>33125012</v>
      </c>
      <c r="E244">
        <v>80581</v>
      </c>
      <c r="F244" t="s">
        <v>651</v>
      </c>
    </row>
    <row r="245" spans="2:6">
      <c r="B245">
        <v>87248</v>
      </c>
      <c r="C245" t="s">
        <v>877</v>
      </c>
      <c r="D245">
        <v>33124516</v>
      </c>
      <c r="E245">
        <v>80459</v>
      </c>
      <c r="F245" t="s">
        <v>624</v>
      </c>
    </row>
    <row r="246" spans="2:6">
      <c r="B246">
        <v>90264</v>
      </c>
      <c r="C246" t="s">
        <v>878</v>
      </c>
      <c r="D246">
        <v>33125505</v>
      </c>
      <c r="E246">
        <v>80193</v>
      </c>
      <c r="F246" t="s">
        <v>624</v>
      </c>
    </row>
    <row r="247" spans="2:6">
      <c r="B247">
        <v>92114</v>
      </c>
      <c r="C247" t="s">
        <v>879</v>
      </c>
      <c r="D247">
        <v>33126007</v>
      </c>
      <c r="E247">
        <v>81426</v>
      </c>
      <c r="F247" t="s">
        <v>631</v>
      </c>
    </row>
    <row r="248" spans="2:6">
      <c r="B248">
        <v>77265</v>
      </c>
      <c r="C248" t="s">
        <v>880</v>
      </c>
      <c r="D248">
        <v>33122013</v>
      </c>
      <c r="E248">
        <v>80960</v>
      </c>
      <c r="F248" t="s">
        <v>798</v>
      </c>
    </row>
    <row r="249" spans="2:6">
      <c r="B249">
        <v>92370</v>
      </c>
      <c r="C249" t="s">
        <v>881</v>
      </c>
      <c r="D249">
        <v>33126009</v>
      </c>
      <c r="E249">
        <v>81600</v>
      </c>
      <c r="F249" t="s">
        <v>622</v>
      </c>
    </row>
    <row r="250" spans="2:6">
      <c r="B250">
        <v>91381</v>
      </c>
      <c r="C250" t="s">
        <v>882</v>
      </c>
      <c r="D250">
        <v>33126002</v>
      </c>
      <c r="E250">
        <v>79690</v>
      </c>
      <c r="F250" t="s">
        <v>622</v>
      </c>
    </row>
    <row r="251" spans="2:6">
      <c r="B251">
        <v>92265</v>
      </c>
      <c r="C251" t="s">
        <v>883</v>
      </c>
      <c r="D251">
        <v>33126008</v>
      </c>
      <c r="E251">
        <v>81525</v>
      </c>
      <c r="F251" t="s">
        <v>622</v>
      </c>
    </row>
    <row r="252" spans="2:6">
      <c r="B252">
        <v>91921</v>
      </c>
      <c r="C252" t="s">
        <v>884</v>
      </c>
      <c r="D252">
        <v>33126005</v>
      </c>
      <c r="E252">
        <v>80709</v>
      </c>
      <c r="F252" t="s">
        <v>622</v>
      </c>
    </row>
    <row r="253" spans="2:6">
      <c r="B253">
        <v>91504</v>
      </c>
      <c r="C253" t="s">
        <v>885</v>
      </c>
      <c r="D253">
        <v>33126001</v>
      </c>
      <c r="E253">
        <v>79638</v>
      </c>
      <c r="F253" t="s">
        <v>622</v>
      </c>
    </row>
    <row r="254" spans="2:6">
      <c r="B254">
        <v>88296</v>
      </c>
      <c r="C254" t="s">
        <v>886</v>
      </c>
      <c r="D254">
        <v>33125007</v>
      </c>
      <c r="E254">
        <v>81201</v>
      </c>
      <c r="F254" t="s">
        <v>631</v>
      </c>
    </row>
    <row r="255" spans="2:6">
      <c r="B255">
        <v>88385</v>
      </c>
      <c r="C255" t="s">
        <v>887</v>
      </c>
      <c r="D255">
        <v>33125011</v>
      </c>
      <c r="E255">
        <v>80964</v>
      </c>
      <c r="F255" t="s">
        <v>622</v>
      </c>
    </row>
    <row r="256" spans="2:6">
      <c r="B256">
        <v>86582</v>
      </c>
      <c r="C256" t="s">
        <v>888</v>
      </c>
      <c r="D256">
        <v>33124506</v>
      </c>
      <c r="E256">
        <v>81265</v>
      </c>
      <c r="F256" t="s">
        <v>631</v>
      </c>
    </row>
    <row r="257" spans="2:6">
      <c r="B257">
        <v>77814</v>
      </c>
      <c r="C257" t="s">
        <v>889</v>
      </c>
      <c r="D257">
        <v>33122026</v>
      </c>
      <c r="E257">
        <v>80691</v>
      </c>
      <c r="F257" t="s">
        <v>651</v>
      </c>
    </row>
    <row r="258" spans="2:6">
      <c r="B258">
        <v>77061</v>
      </c>
      <c r="C258" t="s">
        <v>890</v>
      </c>
      <c r="D258">
        <v>33122006</v>
      </c>
      <c r="E258">
        <v>80900</v>
      </c>
      <c r="F258" t="s">
        <v>624</v>
      </c>
    </row>
    <row r="259" spans="2:6">
      <c r="B259">
        <v>85669</v>
      </c>
      <c r="C259" t="s">
        <v>891</v>
      </c>
      <c r="D259">
        <v>33324038</v>
      </c>
      <c r="E259">
        <v>80769</v>
      </c>
      <c r="F259" t="s">
        <v>622</v>
      </c>
    </row>
    <row r="260" spans="2:6">
      <c r="B260">
        <v>79119</v>
      </c>
      <c r="C260" t="s">
        <v>892</v>
      </c>
      <c r="D260">
        <v>33322515</v>
      </c>
      <c r="E260">
        <v>81581</v>
      </c>
      <c r="F260" t="s">
        <v>631</v>
      </c>
    </row>
    <row r="261" spans="2:6">
      <c r="B261">
        <v>82782</v>
      </c>
      <c r="C261" t="s">
        <v>893</v>
      </c>
      <c r="D261">
        <v>33323508</v>
      </c>
      <c r="E261">
        <v>80713</v>
      </c>
      <c r="F261" t="s">
        <v>622</v>
      </c>
    </row>
    <row r="262" spans="2:6">
      <c r="B262">
        <v>88389</v>
      </c>
      <c r="C262" t="s">
        <v>894</v>
      </c>
      <c r="D262">
        <v>33325008</v>
      </c>
      <c r="E262">
        <v>80701</v>
      </c>
      <c r="F262" t="s">
        <v>624</v>
      </c>
    </row>
    <row r="263" spans="2:6">
      <c r="B263">
        <v>79328</v>
      </c>
      <c r="C263" t="s">
        <v>895</v>
      </c>
      <c r="D263">
        <v>33322518</v>
      </c>
      <c r="E263">
        <v>80913</v>
      </c>
      <c r="F263" t="s">
        <v>624</v>
      </c>
    </row>
    <row r="264" spans="2:6">
      <c r="B264">
        <v>84571</v>
      </c>
      <c r="C264" t="s">
        <v>896</v>
      </c>
      <c r="D264">
        <v>33324014</v>
      </c>
      <c r="E264">
        <v>80866</v>
      </c>
      <c r="F264" t="s">
        <v>622</v>
      </c>
    </row>
    <row r="265" spans="2:6">
      <c r="B265">
        <v>78437</v>
      </c>
      <c r="C265" t="s">
        <v>897</v>
      </c>
      <c r="D265">
        <v>33322506</v>
      </c>
      <c r="E265">
        <v>80751</v>
      </c>
      <c r="F265" t="s">
        <v>622</v>
      </c>
    </row>
    <row r="266" spans="2:6">
      <c r="B266">
        <v>92738</v>
      </c>
      <c r="C266" t="s">
        <v>898</v>
      </c>
      <c r="D266">
        <v>33326021</v>
      </c>
      <c r="E266">
        <v>81879</v>
      </c>
      <c r="F266" t="s">
        <v>622</v>
      </c>
    </row>
    <row r="267" spans="2:6">
      <c r="B267">
        <v>85286</v>
      </c>
      <c r="C267" t="s">
        <v>899</v>
      </c>
      <c r="D267">
        <v>33324030</v>
      </c>
      <c r="E267">
        <v>80962</v>
      </c>
      <c r="F267" t="s">
        <v>622</v>
      </c>
    </row>
    <row r="268" spans="2:6">
      <c r="B268">
        <v>84669</v>
      </c>
      <c r="C268" t="s">
        <v>900</v>
      </c>
      <c r="D268">
        <v>33324017</v>
      </c>
      <c r="E268">
        <v>80965</v>
      </c>
      <c r="F268" t="s">
        <v>622</v>
      </c>
    </row>
    <row r="269" spans="2:6">
      <c r="B269">
        <v>92211</v>
      </c>
      <c r="C269" t="s">
        <v>901</v>
      </c>
      <c r="D269">
        <v>33326008</v>
      </c>
      <c r="E269">
        <v>81305</v>
      </c>
      <c r="F269" t="s">
        <v>631</v>
      </c>
    </row>
    <row r="270" spans="2:6">
      <c r="B270">
        <v>84864</v>
      </c>
      <c r="C270" t="s">
        <v>902</v>
      </c>
      <c r="D270">
        <v>33324022</v>
      </c>
      <c r="E270">
        <v>80972</v>
      </c>
      <c r="F270" t="s">
        <v>622</v>
      </c>
    </row>
    <row r="271" spans="2:6">
      <c r="B271">
        <v>79647</v>
      </c>
      <c r="C271" t="s">
        <v>903</v>
      </c>
      <c r="D271">
        <v>33322525</v>
      </c>
      <c r="E271">
        <v>80514</v>
      </c>
      <c r="F271" t="s">
        <v>622</v>
      </c>
    </row>
    <row r="272" spans="2:6">
      <c r="B272">
        <v>85399</v>
      </c>
      <c r="C272" t="s">
        <v>904</v>
      </c>
      <c r="D272">
        <v>33324033</v>
      </c>
      <c r="E272">
        <v>81156</v>
      </c>
      <c r="F272" t="s">
        <v>622</v>
      </c>
    </row>
    <row r="273" spans="2:6">
      <c r="B273">
        <v>92273</v>
      </c>
      <c r="C273" t="s">
        <v>905</v>
      </c>
      <c r="D273">
        <v>33326015</v>
      </c>
      <c r="E273">
        <v>81568</v>
      </c>
      <c r="F273" t="s">
        <v>631</v>
      </c>
    </row>
    <row r="274" spans="2:6">
      <c r="B274">
        <v>86302</v>
      </c>
      <c r="C274" t="s">
        <v>906</v>
      </c>
      <c r="D274">
        <v>33324504</v>
      </c>
      <c r="E274">
        <v>80922</v>
      </c>
      <c r="F274" t="s">
        <v>622</v>
      </c>
    </row>
    <row r="275" spans="2:6">
      <c r="B275">
        <v>91978</v>
      </c>
      <c r="C275" t="s">
        <v>907</v>
      </c>
      <c r="D275">
        <v>33326004</v>
      </c>
      <c r="E275">
        <v>80919</v>
      </c>
      <c r="F275" t="s">
        <v>622</v>
      </c>
    </row>
    <row r="276" spans="2:6">
      <c r="B276">
        <v>86533</v>
      </c>
      <c r="C276" t="s">
        <v>908</v>
      </c>
      <c r="D276">
        <v>33324507</v>
      </c>
      <c r="E276">
        <v>80724</v>
      </c>
      <c r="F276" t="s">
        <v>631</v>
      </c>
    </row>
    <row r="277" spans="2:6">
      <c r="B277">
        <v>91683</v>
      </c>
      <c r="C277" t="s">
        <v>909</v>
      </c>
      <c r="D277">
        <v>33326001</v>
      </c>
      <c r="E277">
        <v>79884</v>
      </c>
      <c r="F277" t="s">
        <v>622</v>
      </c>
    </row>
    <row r="278" spans="2:6">
      <c r="B278">
        <v>86596</v>
      </c>
      <c r="C278" t="s">
        <v>910</v>
      </c>
      <c r="D278">
        <v>33324508</v>
      </c>
      <c r="E278">
        <v>81416</v>
      </c>
      <c r="F278" t="s">
        <v>624</v>
      </c>
    </row>
    <row r="279" spans="2:6">
      <c r="B279">
        <v>92315</v>
      </c>
      <c r="C279" t="s">
        <v>911</v>
      </c>
      <c r="D279">
        <v>33326016</v>
      </c>
      <c r="E279">
        <v>81589</v>
      </c>
      <c r="F279" t="s">
        <v>631</v>
      </c>
    </row>
    <row r="280" spans="2:6">
      <c r="B280">
        <v>92148</v>
      </c>
      <c r="C280" t="s">
        <v>912</v>
      </c>
      <c r="D280">
        <v>33326014</v>
      </c>
      <c r="E280">
        <v>81479</v>
      </c>
      <c r="F280" t="s">
        <v>622</v>
      </c>
    </row>
    <row r="281" spans="2:6">
      <c r="B281">
        <v>89206</v>
      </c>
      <c r="C281" t="s">
        <v>913</v>
      </c>
      <c r="D281">
        <v>33122509</v>
      </c>
      <c r="E281">
        <v>81154</v>
      </c>
      <c r="F281" t="s">
        <v>651</v>
      </c>
    </row>
    <row r="282" spans="2:6">
      <c r="B282">
        <v>81165</v>
      </c>
      <c r="C282" t="s">
        <v>914</v>
      </c>
      <c r="D282">
        <v>33323026</v>
      </c>
      <c r="E282">
        <v>80804</v>
      </c>
      <c r="F282" t="s">
        <v>622</v>
      </c>
    </row>
    <row r="283" spans="2:6">
      <c r="B283">
        <v>92418</v>
      </c>
      <c r="C283" t="s">
        <v>915</v>
      </c>
      <c r="D283">
        <v>33326017</v>
      </c>
      <c r="E283">
        <v>81683</v>
      </c>
      <c r="F283" t="s">
        <v>631</v>
      </c>
    </row>
    <row r="284" spans="2:6">
      <c r="B284">
        <v>92195</v>
      </c>
      <c r="C284" t="s">
        <v>916</v>
      </c>
      <c r="D284">
        <v>33326013</v>
      </c>
      <c r="E284">
        <v>81470</v>
      </c>
      <c r="F284" t="s">
        <v>622</v>
      </c>
    </row>
    <row r="285" spans="2:6">
      <c r="B285">
        <v>92193</v>
      </c>
      <c r="C285" t="s">
        <v>917</v>
      </c>
      <c r="D285">
        <v>33326010</v>
      </c>
      <c r="E285">
        <v>81375</v>
      </c>
      <c r="F285" t="s">
        <v>631</v>
      </c>
    </row>
    <row r="286" spans="2:6">
      <c r="B286">
        <v>90651</v>
      </c>
      <c r="C286" t="s">
        <v>918</v>
      </c>
      <c r="D286">
        <v>33325508</v>
      </c>
      <c r="E286">
        <v>80496</v>
      </c>
      <c r="F286" t="s">
        <v>631</v>
      </c>
    </row>
    <row r="287" spans="2:6">
      <c r="B287">
        <v>76977</v>
      </c>
      <c r="C287" t="s">
        <v>919</v>
      </c>
      <c r="D287">
        <v>33322006</v>
      </c>
      <c r="E287">
        <v>81316</v>
      </c>
      <c r="F287" t="s">
        <v>798</v>
      </c>
    </row>
    <row r="288" spans="2:6">
      <c r="B288">
        <v>90061</v>
      </c>
      <c r="C288" t="s">
        <v>920</v>
      </c>
      <c r="D288">
        <v>33325503</v>
      </c>
      <c r="E288">
        <v>80370</v>
      </c>
      <c r="F288" t="s">
        <v>651</v>
      </c>
    </row>
    <row r="289" spans="2:6">
      <c r="B289">
        <v>78858</v>
      </c>
      <c r="C289" t="s">
        <v>921</v>
      </c>
      <c r="D289">
        <v>33322510</v>
      </c>
      <c r="E289">
        <v>80797</v>
      </c>
      <c r="F289" t="s">
        <v>622</v>
      </c>
    </row>
    <row r="290" spans="2:6">
      <c r="B290">
        <v>88605</v>
      </c>
      <c r="C290" t="s">
        <v>922</v>
      </c>
      <c r="D290">
        <v>33325010</v>
      </c>
      <c r="E290">
        <v>81109</v>
      </c>
      <c r="F290" t="s">
        <v>622</v>
      </c>
    </row>
    <row r="291" spans="2:6">
      <c r="B291">
        <v>84648</v>
      </c>
      <c r="C291" t="s">
        <v>923</v>
      </c>
      <c r="D291">
        <v>33324012</v>
      </c>
      <c r="E291">
        <v>81013</v>
      </c>
      <c r="F291" t="s">
        <v>651</v>
      </c>
    </row>
    <row r="292" spans="2:6">
      <c r="B292">
        <v>86855</v>
      </c>
      <c r="C292" t="s">
        <v>924</v>
      </c>
      <c r="D292">
        <v>33324510</v>
      </c>
      <c r="E292">
        <v>80638</v>
      </c>
      <c r="F292" t="s">
        <v>622</v>
      </c>
    </row>
    <row r="293" spans="2:6">
      <c r="B293">
        <v>81348</v>
      </c>
      <c r="C293" t="s">
        <v>925</v>
      </c>
      <c r="D293">
        <v>33323027</v>
      </c>
      <c r="E293">
        <v>81219</v>
      </c>
      <c r="F293" t="s">
        <v>622</v>
      </c>
    </row>
    <row r="294" spans="2:6">
      <c r="B294">
        <v>77388</v>
      </c>
      <c r="C294" t="s">
        <v>926</v>
      </c>
      <c r="D294">
        <v>33322012</v>
      </c>
      <c r="E294">
        <v>81290</v>
      </c>
      <c r="F294" t="s">
        <v>624</v>
      </c>
    </row>
    <row r="295" spans="2:6">
      <c r="B295">
        <v>90159</v>
      </c>
      <c r="C295" t="s">
        <v>927</v>
      </c>
      <c r="D295">
        <v>33325506</v>
      </c>
      <c r="E295">
        <v>80413</v>
      </c>
      <c r="F295" t="s">
        <v>622</v>
      </c>
    </row>
    <row r="296" spans="2:6">
      <c r="B296">
        <v>92480</v>
      </c>
      <c r="C296" t="s">
        <v>928</v>
      </c>
      <c r="D296">
        <v>33326019</v>
      </c>
      <c r="E296">
        <v>81739</v>
      </c>
      <c r="F296" t="s">
        <v>631</v>
      </c>
    </row>
    <row r="297" spans="2:6">
      <c r="B297">
        <v>91942</v>
      </c>
      <c r="C297" t="s">
        <v>929</v>
      </c>
      <c r="D297">
        <v>33326002</v>
      </c>
      <c r="E297">
        <v>80641</v>
      </c>
      <c r="F297" t="s">
        <v>622</v>
      </c>
    </row>
    <row r="298" spans="2:6">
      <c r="B298">
        <v>90071</v>
      </c>
      <c r="C298" t="s">
        <v>930</v>
      </c>
      <c r="D298">
        <v>33325502</v>
      </c>
      <c r="E298">
        <v>80381</v>
      </c>
      <c r="F298" t="s">
        <v>624</v>
      </c>
    </row>
    <row r="299" spans="2:6">
      <c r="B299">
        <v>76156</v>
      </c>
      <c r="C299" t="s">
        <v>931</v>
      </c>
      <c r="D299">
        <v>33321515</v>
      </c>
      <c r="E299">
        <v>80906</v>
      </c>
      <c r="F299" t="s">
        <v>631</v>
      </c>
    </row>
    <row r="300" spans="2:6">
      <c r="B300">
        <v>78081</v>
      </c>
      <c r="C300" t="s">
        <v>932</v>
      </c>
      <c r="D300">
        <v>33322027</v>
      </c>
      <c r="E300">
        <v>81163</v>
      </c>
      <c r="F300" t="s">
        <v>622</v>
      </c>
    </row>
    <row r="301" spans="2:6">
      <c r="B301">
        <v>92090</v>
      </c>
      <c r="C301" t="s">
        <v>933</v>
      </c>
      <c r="D301">
        <v>33326005</v>
      </c>
      <c r="E301">
        <v>81021</v>
      </c>
      <c r="F301" t="s">
        <v>631</v>
      </c>
    </row>
    <row r="302" spans="2:6">
      <c r="B302">
        <v>88292</v>
      </c>
      <c r="C302" t="s">
        <v>934</v>
      </c>
      <c r="D302">
        <v>33325005</v>
      </c>
      <c r="E302">
        <v>80991</v>
      </c>
      <c r="F302" t="s">
        <v>622</v>
      </c>
    </row>
    <row r="303" spans="2:6">
      <c r="B303">
        <v>88511</v>
      </c>
      <c r="C303" t="s">
        <v>935</v>
      </c>
      <c r="D303">
        <v>33325007</v>
      </c>
      <c r="E303">
        <v>80902</v>
      </c>
      <c r="F303" t="s">
        <v>622</v>
      </c>
    </row>
    <row r="304" spans="2:6">
      <c r="B304">
        <v>80540</v>
      </c>
      <c r="C304" t="s">
        <v>936</v>
      </c>
      <c r="D304">
        <v>33323006</v>
      </c>
      <c r="E304">
        <v>81384</v>
      </c>
      <c r="F304" t="s">
        <v>798</v>
      </c>
    </row>
    <row r="305" spans="2:6">
      <c r="B305">
        <v>83307</v>
      </c>
      <c r="C305" t="s">
        <v>937</v>
      </c>
      <c r="D305">
        <v>33323518</v>
      </c>
      <c r="E305">
        <v>80468</v>
      </c>
      <c r="F305" t="s">
        <v>624</v>
      </c>
    </row>
    <row r="306" spans="2:6">
      <c r="B306">
        <v>80207</v>
      </c>
      <c r="C306" t="s">
        <v>938</v>
      </c>
      <c r="D306">
        <v>33323001</v>
      </c>
      <c r="E306">
        <v>81140</v>
      </c>
      <c r="F306" t="s">
        <v>629</v>
      </c>
    </row>
    <row r="307" spans="2:6">
      <c r="B307">
        <v>91999</v>
      </c>
      <c r="C307" t="s">
        <v>939</v>
      </c>
      <c r="D307">
        <v>33326003</v>
      </c>
      <c r="E307">
        <v>80737</v>
      </c>
      <c r="F307" t="s">
        <v>631</v>
      </c>
    </row>
    <row r="308" spans="2:6">
      <c r="B308">
        <v>92091</v>
      </c>
      <c r="C308" t="s">
        <v>940</v>
      </c>
      <c r="D308">
        <v>33326012</v>
      </c>
      <c r="E308">
        <v>81442</v>
      </c>
      <c r="F308" t="s">
        <v>622</v>
      </c>
    </row>
    <row r="309" spans="2:6">
      <c r="B309">
        <v>75295</v>
      </c>
      <c r="C309" t="s">
        <v>941</v>
      </c>
      <c r="D309">
        <v>33321502</v>
      </c>
      <c r="E309">
        <v>80554</v>
      </c>
      <c r="F309" t="s">
        <v>624</v>
      </c>
    </row>
    <row r="310" spans="2:6">
      <c r="B310">
        <v>90324</v>
      </c>
      <c r="C310" t="s">
        <v>942</v>
      </c>
      <c r="D310">
        <v>33326020</v>
      </c>
      <c r="E310">
        <v>81877</v>
      </c>
      <c r="F310" t="s">
        <v>631</v>
      </c>
    </row>
    <row r="311" spans="2:6">
      <c r="B311">
        <v>92432</v>
      </c>
      <c r="C311" t="s">
        <v>943</v>
      </c>
      <c r="D311">
        <v>33326018</v>
      </c>
      <c r="E311">
        <v>81720</v>
      </c>
      <c r="F311" t="s">
        <v>622</v>
      </c>
    </row>
    <row r="312" spans="2:6">
      <c r="B312">
        <v>88854</v>
      </c>
      <c r="C312" t="s">
        <v>944</v>
      </c>
      <c r="D312">
        <v>33325015</v>
      </c>
      <c r="E312">
        <v>81184</v>
      </c>
      <c r="F312" t="s">
        <v>622</v>
      </c>
    </row>
    <row r="313" spans="2:6">
      <c r="B313">
        <v>92226</v>
      </c>
      <c r="C313" t="s">
        <v>882</v>
      </c>
      <c r="D313">
        <v>33326009</v>
      </c>
      <c r="E313">
        <v>81350</v>
      </c>
      <c r="F313" t="s">
        <v>622</v>
      </c>
    </row>
    <row r="314" spans="2:6">
      <c r="B314">
        <v>91890</v>
      </c>
      <c r="C314" t="s">
        <v>945</v>
      </c>
      <c r="D314">
        <v>33326011</v>
      </c>
      <c r="E314">
        <v>81430</v>
      </c>
      <c r="F314" t="s">
        <v>622</v>
      </c>
    </row>
    <row r="315" spans="2:6">
      <c r="B315">
        <v>84685</v>
      </c>
      <c r="C315" t="s">
        <v>946</v>
      </c>
      <c r="D315">
        <v>33324019</v>
      </c>
      <c r="E315">
        <v>80767</v>
      </c>
      <c r="F315" t="s">
        <v>622</v>
      </c>
    </row>
    <row r="316" spans="2:6">
      <c r="B316">
        <v>78411</v>
      </c>
      <c r="C316" t="s">
        <v>947</v>
      </c>
      <c r="D316">
        <v>33322505</v>
      </c>
      <c r="E316">
        <v>80576</v>
      </c>
      <c r="F316" t="s">
        <v>622</v>
      </c>
    </row>
    <row r="317" spans="2:6">
      <c r="B317">
        <v>84724</v>
      </c>
      <c r="C317" t="s">
        <v>948</v>
      </c>
      <c r="D317">
        <v>33324018</v>
      </c>
      <c r="E317">
        <v>81262</v>
      </c>
      <c r="F317" t="s">
        <v>688</v>
      </c>
    </row>
    <row r="318" spans="2:6">
      <c r="B318">
        <v>78028</v>
      </c>
      <c r="C318" t="s">
        <v>949</v>
      </c>
      <c r="D318">
        <v>33322025</v>
      </c>
      <c r="E318">
        <v>80853</v>
      </c>
      <c r="F318" t="s">
        <v>622</v>
      </c>
    </row>
    <row r="319" spans="2:6">
      <c r="B319">
        <v>87029</v>
      </c>
      <c r="C319" t="s">
        <v>950</v>
      </c>
      <c r="D319">
        <v>33324514</v>
      </c>
      <c r="E319">
        <v>81354</v>
      </c>
      <c r="F319" t="s">
        <v>631</v>
      </c>
    </row>
    <row r="320" spans="2:6">
      <c r="B320">
        <v>84969</v>
      </c>
      <c r="C320" t="s">
        <v>951</v>
      </c>
      <c r="D320">
        <v>33324023</v>
      </c>
      <c r="E320">
        <v>80362</v>
      </c>
      <c r="F320" t="s">
        <v>622</v>
      </c>
    </row>
    <row r="321" spans="2:6">
      <c r="B321">
        <v>89932</v>
      </c>
      <c r="C321" t="s">
        <v>952</v>
      </c>
      <c r="D321">
        <v>33325501</v>
      </c>
      <c r="E321">
        <v>80409</v>
      </c>
      <c r="F321" t="s">
        <v>622</v>
      </c>
    </row>
    <row r="322" spans="2:6">
      <c r="B322">
        <v>88378</v>
      </c>
      <c r="C322" t="s">
        <v>953</v>
      </c>
      <c r="D322">
        <v>33325009</v>
      </c>
      <c r="E322">
        <v>80584</v>
      </c>
      <c r="F322" t="s">
        <v>622</v>
      </c>
    </row>
    <row r="323" spans="2:6">
      <c r="B323">
        <v>85663</v>
      </c>
      <c r="C323" t="s">
        <v>954</v>
      </c>
      <c r="D323">
        <v>33324039</v>
      </c>
      <c r="E323">
        <v>80976</v>
      </c>
      <c r="F323" t="s">
        <v>651</v>
      </c>
    </row>
    <row r="324" spans="2:6">
      <c r="B324">
        <v>91496</v>
      </c>
      <c r="C324" t="s">
        <v>955</v>
      </c>
      <c r="D324">
        <v>77226007</v>
      </c>
      <c r="E324">
        <v>81267</v>
      </c>
      <c r="F324" t="s">
        <v>622</v>
      </c>
    </row>
    <row r="325" spans="2:6">
      <c r="B325">
        <v>89818</v>
      </c>
      <c r="C325" t="s">
        <v>956</v>
      </c>
      <c r="D325">
        <v>77225503</v>
      </c>
      <c r="E325">
        <v>81682</v>
      </c>
      <c r="F325" t="s">
        <v>631</v>
      </c>
    </row>
    <row r="326" spans="2:6">
      <c r="B326">
        <v>80395</v>
      </c>
      <c r="C326" t="s">
        <v>957</v>
      </c>
      <c r="D326">
        <v>77223006</v>
      </c>
      <c r="E326">
        <v>80431</v>
      </c>
      <c r="F326" t="s">
        <v>622</v>
      </c>
    </row>
    <row r="327" spans="2:6">
      <c r="B327">
        <v>91389</v>
      </c>
      <c r="C327" t="s">
        <v>958</v>
      </c>
      <c r="D327">
        <v>77226003</v>
      </c>
      <c r="E327">
        <v>79631</v>
      </c>
      <c r="F327" t="s">
        <v>631</v>
      </c>
    </row>
    <row r="328" spans="2:6">
      <c r="B328">
        <v>92467</v>
      </c>
      <c r="C328" t="s">
        <v>959</v>
      </c>
      <c r="D328">
        <v>77226019</v>
      </c>
      <c r="E328">
        <v>81784</v>
      </c>
      <c r="F328" t="s">
        <v>622</v>
      </c>
    </row>
    <row r="329" spans="2:6">
      <c r="B329">
        <v>91953</v>
      </c>
      <c r="C329" t="s">
        <v>960</v>
      </c>
      <c r="D329">
        <v>77226008</v>
      </c>
      <c r="E329">
        <v>81394</v>
      </c>
      <c r="F329" t="s">
        <v>651</v>
      </c>
    </row>
    <row r="330" spans="2:6">
      <c r="B330">
        <v>91877</v>
      </c>
      <c r="C330" t="s">
        <v>961</v>
      </c>
      <c r="D330">
        <v>77226016</v>
      </c>
      <c r="E330">
        <v>81602</v>
      </c>
      <c r="F330" t="s">
        <v>631</v>
      </c>
    </row>
    <row r="331" spans="2:6">
      <c r="B331">
        <v>80426</v>
      </c>
      <c r="C331" t="s">
        <v>962</v>
      </c>
      <c r="D331">
        <v>77223012</v>
      </c>
      <c r="E331">
        <v>81274</v>
      </c>
      <c r="F331" t="s">
        <v>631</v>
      </c>
    </row>
    <row r="332" spans="2:6">
      <c r="B332">
        <v>88886</v>
      </c>
      <c r="C332" t="s">
        <v>963</v>
      </c>
      <c r="D332">
        <v>77225027</v>
      </c>
      <c r="E332">
        <v>80035</v>
      </c>
      <c r="F332" t="s">
        <v>964</v>
      </c>
    </row>
    <row r="333" spans="2:6">
      <c r="B333">
        <v>91562</v>
      </c>
      <c r="C333" t="s">
        <v>965</v>
      </c>
      <c r="D333">
        <v>77226005</v>
      </c>
      <c r="E333">
        <v>79699</v>
      </c>
      <c r="F333" t="s">
        <v>631</v>
      </c>
    </row>
    <row r="334" spans="2:6">
      <c r="B334">
        <v>84495</v>
      </c>
      <c r="C334" t="s">
        <v>966</v>
      </c>
      <c r="D334">
        <v>77224015</v>
      </c>
      <c r="E334">
        <v>81476</v>
      </c>
      <c r="F334" t="s">
        <v>622</v>
      </c>
    </row>
    <row r="335" spans="2:6">
      <c r="B335">
        <v>84349</v>
      </c>
      <c r="C335" t="s">
        <v>967</v>
      </c>
      <c r="D335">
        <v>77224012</v>
      </c>
      <c r="E335">
        <v>81240</v>
      </c>
      <c r="F335" t="s">
        <v>680</v>
      </c>
    </row>
    <row r="336" spans="2:6">
      <c r="B336">
        <v>84960</v>
      </c>
      <c r="C336" t="s">
        <v>968</v>
      </c>
      <c r="D336">
        <v>77224021</v>
      </c>
      <c r="E336">
        <v>79977</v>
      </c>
      <c r="F336" t="s">
        <v>622</v>
      </c>
    </row>
    <row r="337" spans="2:6">
      <c r="B337">
        <v>84035</v>
      </c>
      <c r="C337" t="s">
        <v>969</v>
      </c>
      <c r="D337">
        <v>77224004</v>
      </c>
      <c r="E337">
        <v>80202</v>
      </c>
      <c r="F337" t="s">
        <v>798</v>
      </c>
    </row>
    <row r="338" spans="2:6">
      <c r="B338">
        <v>82293</v>
      </c>
      <c r="C338" t="s">
        <v>970</v>
      </c>
      <c r="D338">
        <v>77223502</v>
      </c>
      <c r="E338">
        <v>80441</v>
      </c>
      <c r="F338" t="s">
        <v>631</v>
      </c>
    </row>
    <row r="339" spans="2:6">
      <c r="B339">
        <v>92210</v>
      </c>
      <c r="C339" t="s">
        <v>971</v>
      </c>
      <c r="D339">
        <v>77226013</v>
      </c>
      <c r="E339">
        <v>81548</v>
      </c>
      <c r="F339" t="s">
        <v>622</v>
      </c>
    </row>
    <row r="340" spans="2:6">
      <c r="B340">
        <v>92308</v>
      </c>
      <c r="C340" t="s">
        <v>972</v>
      </c>
      <c r="D340">
        <v>77226017</v>
      </c>
      <c r="E340">
        <v>81615</v>
      </c>
      <c r="F340" t="s">
        <v>622</v>
      </c>
    </row>
    <row r="341" spans="2:6">
      <c r="B341">
        <v>89769</v>
      </c>
      <c r="C341" t="s">
        <v>973</v>
      </c>
      <c r="D341">
        <v>77225502</v>
      </c>
      <c r="E341">
        <v>79984</v>
      </c>
      <c r="F341" t="s">
        <v>665</v>
      </c>
    </row>
    <row r="342" spans="2:6">
      <c r="B342">
        <v>92206</v>
      </c>
      <c r="C342" t="s">
        <v>974</v>
      </c>
      <c r="D342">
        <v>77226011</v>
      </c>
      <c r="E342">
        <v>81507</v>
      </c>
      <c r="F342" t="s">
        <v>622</v>
      </c>
    </row>
    <row r="343" spans="2:6">
      <c r="B343">
        <v>89847</v>
      </c>
      <c r="C343" t="s">
        <v>975</v>
      </c>
      <c r="D343">
        <v>77225506</v>
      </c>
      <c r="E343">
        <v>81200</v>
      </c>
      <c r="F343" t="s">
        <v>631</v>
      </c>
    </row>
    <row r="344" spans="2:6">
      <c r="B344">
        <v>80588</v>
      </c>
      <c r="C344" t="s">
        <v>976</v>
      </c>
      <c r="D344">
        <v>77223013</v>
      </c>
      <c r="E344">
        <v>81374</v>
      </c>
      <c r="F344" t="s">
        <v>624</v>
      </c>
    </row>
    <row r="345" spans="2:6">
      <c r="B345">
        <v>86320</v>
      </c>
      <c r="C345" t="s">
        <v>977</v>
      </c>
      <c r="D345">
        <v>77224516</v>
      </c>
      <c r="E345">
        <v>81026</v>
      </c>
      <c r="F345" t="s">
        <v>680</v>
      </c>
    </row>
    <row r="346" spans="2:6">
      <c r="B346">
        <v>83535</v>
      </c>
      <c r="C346" t="s">
        <v>978</v>
      </c>
      <c r="D346">
        <v>77223525</v>
      </c>
      <c r="E346">
        <v>81610</v>
      </c>
      <c r="F346" t="s">
        <v>631</v>
      </c>
    </row>
    <row r="347" spans="2:6">
      <c r="B347">
        <v>86070</v>
      </c>
      <c r="C347" t="s">
        <v>979</v>
      </c>
      <c r="D347">
        <v>77224506</v>
      </c>
      <c r="E347">
        <v>80810</v>
      </c>
      <c r="F347" t="s">
        <v>656</v>
      </c>
    </row>
    <row r="348" spans="2:6">
      <c r="B348">
        <v>80701</v>
      </c>
      <c r="C348" t="s">
        <v>980</v>
      </c>
      <c r="D348">
        <v>77223025</v>
      </c>
      <c r="E348">
        <v>81496</v>
      </c>
      <c r="F348" t="s">
        <v>631</v>
      </c>
    </row>
    <row r="349" spans="2:6">
      <c r="B349">
        <v>90610</v>
      </c>
      <c r="C349" t="s">
        <v>981</v>
      </c>
      <c r="D349">
        <v>77225517</v>
      </c>
      <c r="E349">
        <v>80779</v>
      </c>
      <c r="F349" t="s">
        <v>631</v>
      </c>
    </row>
    <row r="350" spans="2:6">
      <c r="B350">
        <v>82774</v>
      </c>
      <c r="C350" t="s">
        <v>982</v>
      </c>
      <c r="D350">
        <v>77223511</v>
      </c>
      <c r="E350">
        <v>80231</v>
      </c>
      <c r="F350" t="s">
        <v>651</v>
      </c>
    </row>
    <row r="351" spans="2:6">
      <c r="B351">
        <v>90224</v>
      </c>
      <c r="C351" t="s">
        <v>983</v>
      </c>
      <c r="D351">
        <v>77225510</v>
      </c>
      <c r="E351">
        <v>80730</v>
      </c>
      <c r="F351" t="s">
        <v>624</v>
      </c>
    </row>
    <row r="352" spans="2:6">
      <c r="B352">
        <v>84314</v>
      </c>
      <c r="C352" t="s">
        <v>984</v>
      </c>
      <c r="D352">
        <v>77224009</v>
      </c>
      <c r="E352">
        <v>80162</v>
      </c>
      <c r="F352" t="s">
        <v>798</v>
      </c>
    </row>
    <row r="353" spans="2:6">
      <c r="B353">
        <v>84348</v>
      </c>
      <c r="C353" t="s">
        <v>985</v>
      </c>
      <c r="D353">
        <v>77224010</v>
      </c>
      <c r="E353">
        <v>79987</v>
      </c>
      <c r="F353" t="s">
        <v>986</v>
      </c>
    </row>
    <row r="354" spans="2:6">
      <c r="B354">
        <v>81059</v>
      </c>
      <c r="C354" t="s">
        <v>987</v>
      </c>
      <c r="D354">
        <v>77223035</v>
      </c>
      <c r="E354">
        <v>80958</v>
      </c>
      <c r="F354" t="s">
        <v>631</v>
      </c>
    </row>
    <row r="355" spans="2:6">
      <c r="B355">
        <v>90809</v>
      </c>
      <c r="C355" t="s">
        <v>988</v>
      </c>
      <c r="D355">
        <v>77225519</v>
      </c>
      <c r="E355">
        <v>80716</v>
      </c>
      <c r="F355" t="s">
        <v>622</v>
      </c>
    </row>
    <row r="356" spans="2:6">
      <c r="B356">
        <v>82316</v>
      </c>
      <c r="C356" t="s">
        <v>989</v>
      </c>
      <c r="D356">
        <v>77223501</v>
      </c>
      <c r="E356">
        <v>81244</v>
      </c>
      <c r="F356" t="s">
        <v>665</v>
      </c>
    </row>
    <row r="357" spans="2:6">
      <c r="B357">
        <v>90238</v>
      </c>
      <c r="C357" t="s">
        <v>990</v>
      </c>
      <c r="D357">
        <v>77225509</v>
      </c>
      <c r="E357">
        <v>80412</v>
      </c>
      <c r="F357" t="s">
        <v>821</v>
      </c>
    </row>
    <row r="358" spans="2:6">
      <c r="B358">
        <v>88261</v>
      </c>
      <c r="C358" t="s">
        <v>991</v>
      </c>
      <c r="D358">
        <v>77225006</v>
      </c>
      <c r="E358">
        <v>81264</v>
      </c>
      <c r="F358" t="s">
        <v>624</v>
      </c>
    </row>
    <row r="359" spans="2:6">
      <c r="B359">
        <v>91885</v>
      </c>
      <c r="C359" t="s">
        <v>992</v>
      </c>
      <c r="D359">
        <v>77226014</v>
      </c>
      <c r="E359">
        <v>81572</v>
      </c>
      <c r="F359" t="s">
        <v>622</v>
      </c>
    </row>
    <row r="360" spans="2:6">
      <c r="B360">
        <v>85049</v>
      </c>
      <c r="C360" t="s">
        <v>993</v>
      </c>
      <c r="D360">
        <v>77224024</v>
      </c>
      <c r="E360">
        <v>80228</v>
      </c>
      <c r="F360" t="s">
        <v>631</v>
      </c>
    </row>
    <row r="361" spans="2:6">
      <c r="B361">
        <v>92566</v>
      </c>
      <c r="C361" t="s">
        <v>994</v>
      </c>
      <c r="D361">
        <v>77226020</v>
      </c>
      <c r="E361">
        <v>81815</v>
      </c>
      <c r="F361" t="s">
        <v>622</v>
      </c>
    </row>
    <row r="362" spans="2:6">
      <c r="B362">
        <v>91453</v>
      </c>
      <c r="C362" t="s">
        <v>995</v>
      </c>
      <c r="D362">
        <v>77226004</v>
      </c>
      <c r="E362">
        <v>79689</v>
      </c>
      <c r="F362" t="s">
        <v>631</v>
      </c>
    </row>
    <row r="363" spans="2:6">
      <c r="B363">
        <v>92332</v>
      </c>
      <c r="C363" t="s">
        <v>996</v>
      </c>
      <c r="D363">
        <v>77226015</v>
      </c>
      <c r="E363">
        <v>81596</v>
      </c>
      <c r="F363" t="s">
        <v>631</v>
      </c>
    </row>
    <row r="364" spans="2:6">
      <c r="B364">
        <v>88248</v>
      </c>
      <c r="C364" t="s">
        <v>997</v>
      </c>
      <c r="D364">
        <v>77225005</v>
      </c>
      <c r="E364">
        <v>80854</v>
      </c>
      <c r="F364" t="s">
        <v>622</v>
      </c>
    </row>
    <row r="365" spans="2:6">
      <c r="B365">
        <v>82798</v>
      </c>
      <c r="C365" t="s">
        <v>998</v>
      </c>
      <c r="D365">
        <v>77223520</v>
      </c>
      <c r="E365">
        <v>81408</v>
      </c>
      <c r="F365" t="s">
        <v>629</v>
      </c>
    </row>
    <row r="366" spans="2:6">
      <c r="B366">
        <v>77074</v>
      </c>
      <c r="C366" t="s">
        <v>999</v>
      </c>
      <c r="D366">
        <v>77222014</v>
      </c>
      <c r="E366">
        <v>80628</v>
      </c>
      <c r="F366" t="s">
        <v>622</v>
      </c>
    </row>
    <row r="367" spans="2:6">
      <c r="B367">
        <v>92794</v>
      </c>
      <c r="C367" t="s">
        <v>1000</v>
      </c>
      <c r="D367">
        <v>77226022</v>
      </c>
      <c r="E367">
        <v>81908</v>
      </c>
      <c r="F367" t="s">
        <v>631</v>
      </c>
    </row>
    <row r="368" spans="2:6">
      <c r="B368">
        <v>89877</v>
      </c>
      <c r="C368" t="s">
        <v>1001</v>
      </c>
      <c r="D368">
        <v>77225505</v>
      </c>
      <c r="E368">
        <v>79927</v>
      </c>
      <c r="F368" t="s">
        <v>622</v>
      </c>
    </row>
    <row r="369" spans="2:6">
      <c r="B369">
        <v>91814</v>
      </c>
      <c r="C369" t="s">
        <v>1002</v>
      </c>
      <c r="D369">
        <v>77226009</v>
      </c>
      <c r="E369">
        <v>80825</v>
      </c>
      <c r="F369" t="s">
        <v>631</v>
      </c>
    </row>
    <row r="370" spans="2:6">
      <c r="B370">
        <v>86062</v>
      </c>
      <c r="C370" t="s">
        <v>1003</v>
      </c>
      <c r="D370">
        <v>77224504</v>
      </c>
      <c r="E370">
        <v>80791</v>
      </c>
      <c r="F370" t="s">
        <v>680</v>
      </c>
    </row>
    <row r="371" spans="2:6">
      <c r="B371">
        <v>90332</v>
      </c>
      <c r="C371" t="s">
        <v>1004</v>
      </c>
      <c r="D371">
        <v>77225513</v>
      </c>
      <c r="E371">
        <v>80732</v>
      </c>
      <c r="F371" t="s">
        <v>622</v>
      </c>
    </row>
    <row r="372" spans="2:6">
      <c r="B372">
        <v>91311</v>
      </c>
      <c r="C372" t="s">
        <v>1005</v>
      </c>
      <c r="D372">
        <v>77226001</v>
      </c>
      <c r="E372">
        <v>79608</v>
      </c>
      <c r="F372" t="s">
        <v>622</v>
      </c>
    </row>
    <row r="373" spans="2:6">
      <c r="B373">
        <v>90994</v>
      </c>
      <c r="C373" t="s">
        <v>1006</v>
      </c>
      <c r="D373">
        <v>77226002</v>
      </c>
      <c r="E373">
        <v>79867</v>
      </c>
      <c r="F373" t="s">
        <v>1007</v>
      </c>
    </row>
    <row r="374" spans="2:6">
      <c r="B374">
        <v>86061</v>
      </c>
      <c r="C374" t="s">
        <v>1008</v>
      </c>
      <c r="D374">
        <v>77224503</v>
      </c>
      <c r="E374">
        <v>80033</v>
      </c>
      <c r="F374" t="s">
        <v>680</v>
      </c>
    </row>
    <row r="375" spans="2:6">
      <c r="B375">
        <v>92285</v>
      </c>
      <c r="C375" t="s">
        <v>1009</v>
      </c>
      <c r="D375">
        <v>66626071</v>
      </c>
      <c r="E375">
        <v>81636</v>
      </c>
      <c r="F375" t="s">
        <v>631</v>
      </c>
    </row>
    <row r="376" spans="2:6">
      <c r="B376">
        <v>91615</v>
      </c>
      <c r="C376" t="s">
        <v>1010</v>
      </c>
      <c r="D376">
        <v>66626024</v>
      </c>
      <c r="E376">
        <v>79812</v>
      </c>
      <c r="F376" t="s">
        <v>631</v>
      </c>
    </row>
    <row r="377" spans="2:6">
      <c r="B377">
        <v>90095</v>
      </c>
      <c r="C377" t="s">
        <v>1011</v>
      </c>
      <c r="D377">
        <v>66625530</v>
      </c>
      <c r="E377">
        <v>80058</v>
      </c>
      <c r="F377" t="s">
        <v>622</v>
      </c>
    </row>
    <row r="378" spans="2:6">
      <c r="B378">
        <v>90119</v>
      </c>
      <c r="C378" t="s">
        <v>1012</v>
      </c>
      <c r="D378">
        <v>66625528</v>
      </c>
      <c r="E378">
        <v>80258</v>
      </c>
      <c r="F378" t="s">
        <v>624</v>
      </c>
    </row>
    <row r="379" spans="2:6">
      <c r="B379">
        <v>91448</v>
      </c>
      <c r="C379" t="s">
        <v>1013</v>
      </c>
      <c r="D379">
        <v>66626025</v>
      </c>
      <c r="E379">
        <v>79843</v>
      </c>
      <c r="F379" t="s">
        <v>631</v>
      </c>
    </row>
    <row r="380" spans="2:6">
      <c r="B380">
        <v>91393</v>
      </c>
      <c r="C380" t="s">
        <v>1014</v>
      </c>
      <c r="D380">
        <v>66626021</v>
      </c>
      <c r="E380">
        <v>79709</v>
      </c>
      <c r="F380" t="s">
        <v>622</v>
      </c>
    </row>
    <row r="381" spans="2:6">
      <c r="B381">
        <v>92197</v>
      </c>
      <c r="C381" t="s">
        <v>1015</v>
      </c>
      <c r="D381">
        <v>66626048</v>
      </c>
      <c r="E381">
        <v>81298</v>
      </c>
      <c r="F381" t="s">
        <v>651</v>
      </c>
    </row>
    <row r="382" spans="2:6">
      <c r="B382">
        <v>91466</v>
      </c>
      <c r="C382" t="s">
        <v>1016</v>
      </c>
      <c r="D382">
        <v>66626017</v>
      </c>
      <c r="E382">
        <v>79691</v>
      </c>
      <c r="F382" t="s">
        <v>631</v>
      </c>
    </row>
    <row r="383" spans="2:6">
      <c r="B383">
        <v>91356</v>
      </c>
      <c r="C383" t="s">
        <v>1017</v>
      </c>
      <c r="D383">
        <v>66626028</v>
      </c>
      <c r="E383">
        <v>80542</v>
      </c>
      <c r="F383" t="s">
        <v>622</v>
      </c>
    </row>
    <row r="384" spans="2:6">
      <c r="B384">
        <v>91923</v>
      </c>
      <c r="C384" t="s">
        <v>1018</v>
      </c>
      <c r="D384">
        <v>66626036</v>
      </c>
      <c r="E384">
        <v>80829</v>
      </c>
      <c r="F384" t="s">
        <v>631</v>
      </c>
    </row>
    <row r="385" spans="2:6">
      <c r="B385">
        <v>89806</v>
      </c>
      <c r="C385" t="s">
        <v>1019</v>
      </c>
      <c r="D385">
        <v>66626022</v>
      </c>
      <c r="E385">
        <v>79710</v>
      </c>
      <c r="F385" t="s">
        <v>622</v>
      </c>
    </row>
    <row r="386" spans="2:6">
      <c r="B386">
        <v>91474</v>
      </c>
      <c r="C386" t="s">
        <v>1020</v>
      </c>
      <c r="D386">
        <v>66626010</v>
      </c>
      <c r="E386">
        <v>79658</v>
      </c>
      <c r="F386" t="s">
        <v>622</v>
      </c>
    </row>
    <row r="387" spans="2:6">
      <c r="B387">
        <v>80370</v>
      </c>
      <c r="C387" t="s">
        <v>1021</v>
      </c>
      <c r="D387">
        <v>66623018</v>
      </c>
      <c r="E387">
        <v>79827</v>
      </c>
      <c r="F387" t="s">
        <v>622</v>
      </c>
    </row>
    <row r="388" spans="2:6">
      <c r="B388">
        <v>92001</v>
      </c>
      <c r="C388" t="s">
        <v>1022</v>
      </c>
      <c r="D388">
        <v>66626064</v>
      </c>
      <c r="E388">
        <v>81565</v>
      </c>
      <c r="F388" t="s">
        <v>622</v>
      </c>
    </row>
    <row r="389" spans="2:6">
      <c r="B389">
        <v>92017</v>
      </c>
      <c r="C389" t="s">
        <v>1023</v>
      </c>
      <c r="D389">
        <v>66626062</v>
      </c>
      <c r="E389">
        <v>81545</v>
      </c>
      <c r="F389" t="s">
        <v>622</v>
      </c>
    </row>
    <row r="390" spans="2:6">
      <c r="B390">
        <v>91559</v>
      </c>
      <c r="C390" t="s">
        <v>1024</v>
      </c>
      <c r="D390">
        <v>66626015</v>
      </c>
      <c r="E390">
        <v>79686</v>
      </c>
      <c r="F390" t="s">
        <v>631</v>
      </c>
    </row>
    <row r="391" spans="2:6">
      <c r="B391">
        <v>92462</v>
      </c>
      <c r="C391" t="s">
        <v>1025</v>
      </c>
      <c r="D391">
        <v>66626079</v>
      </c>
      <c r="E391">
        <v>81735</v>
      </c>
      <c r="F391" t="s">
        <v>631</v>
      </c>
    </row>
    <row r="392" spans="2:6">
      <c r="B392">
        <v>82998</v>
      </c>
      <c r="C392" t="s">
        <v>1026</v>
      </c>
      <c r="D392">
        <v>66623545</v>
      </c>
      <c r="E392">
        <v>80596</v>
      </c>
      <c r="F392" t="s">
        <v>798</v>
      </c>
    </row>
    <row r="393" spans="2:6">
      <c r="B393">
        <v>91460</v>
      </c>
      <c r="C393" t="s">
        <v>1027</v>
      </c>
      <c r="D393">
        <v>66626019</v>
      </c>
      <c r="E393">
        <v>79694</v>
      </c>
      <c r="F393" t="s">
        <v>631</v>
      </c>
    </row>
    <row r="394" spans="2:6">
      <c r="B394">
        <v>90523</v>
      </c>
      <c r="C394" t="s">
        <v>1028</v>
      </c>
      <c r="D394">
        <v>66625546</v>
      </c>
      <c r="E394">
        <v>80233</v>
      </c>
      <c r="F394" t="s">
        <v>631</v>
      </c>
    </row>
    <row r="395" spans="2:6">
      <c r="B395">
        <v>91544</v>
      </c>
      <c r="C395" t="s">
        <v>1029</v>
      </c>
      <c r="D395">
        <v>66626051</v>
      </c>
      <c r="E395">
        <v>81347</v>
      </c>
      <c r="F395" t="s">
        <v>631</v>
      </c>
    </row>
    <row r="396" spans="2:6">
      <c r="B396">
        <v>90208</v>
      </c>
      <c r="C396" t="s">
        <v>1030</v>
      </c>
      <c r="D396">
        <v>66625531</v>
      </c>
      <c r="E396">
        <v>80562</v>
      </c>
      <c r="F396" t="s">
        <v>622</v>
      </c>
    </row>
    <row r="397" spans="2:6">
      <c r="B397">
        <v>92179</v>
      </c>
      <c r="C397" t="s">
        <v>1031</v>
      </c>
      <c r="D397">
        <v>66626058</v>
      </c>
      <c r="E397">
        <v>81498</v>
      </c>
      <c r="F397" t="s">
        <v>631</v>
      </c>
    </row>
    <row r="398" spans="2:6">
      <c r="B398">
        <v>91306</v>
      </c>
      <c r="C398" t="s">
        <v>1032</v>
      </c>
      <c r="D398">
        <v>66626012</v>
      </c>
      <c r="E398">
        <v>79679</v>
      </c>
      <c r="F398" t="s">
        <v>733</v>
      </c>
    </row>
    <row r="399" spans="2:6">
      <c r="B399">
        <v>91993</v>
      </c>
      <c r="C399" t="s">
        <v>1033</v>
      </c>
      <c r="D399">
        <v>66626037</v>
      </c>
      <c r="E399">
        <v>80862</v>
      </c>
      <c r="F399" t="s">
        <v>631</v>
      </c>
    </row>
    <row r="400" spans="2:6">
      <c r="B400">
        <v>83236</v>
      </c>
      <c r="C400" t="s">
        <v>1034</v>
      </c>
      <c r="D400">
        <v>66623560</v>
      </c>
      <c r="E400">
        <v>81286</v>
      </c>
      <c r="F400" t="s">
        <v>651</v>
      </c>
    </row>
    <row r="401" spans="2:6">
      <c r="B401">
        <v>79332</v>
      </c>
      <c r="C401" t="s">
        <v>1035</v>
      </c>
      <c r="D401">
        <v>66622593</v>
      </c>
      <c r="E401">
        <v>79897</v>
      </c>
      <c r="F401" t="s">
        <v>622</v>
      </c>
    </row>
    <row r="402" spans="2:6">
      <c r="B402">
        <v>91636</v>
      </c>
      <c r="C402" t="s">
        <v>1036</v>
      </c>
      <c r="D402">
        <v>66626027</v>
      </c>
      <c r="E402">
        <v>80127</v>
      </c>
      <c r="F402" t="s">
        <v>622</v>
      </c>
    </row>
    <row r="403" spans="2:6">
      <c r="B403">
        <v>92108</v>
      </c>
      <c r="C403" t="s">
        <v>1037</v>
      </c>
      <c r="D403">
        <v>66626059</v>
      </c>
      <c r="E403">
        <v>81508</v>
      </c>
      <c r="F403" t="s">
        <v>631</v>
      </c>
    </row>
    <row r="404" spans="2:6">
      <c r="B404">
        <v>92507</v>
      </c>
      <c r="C404" t="s">
        <v>1038</v>
      </c>
      <c r="D404">
        <v>66626083</v>
      </c>
      <c r="E404">
        <v>81801</v>
      </c>
      <c r="F404" t="s">
        <v>631</v>
      </c>
    </row>
    <row r="405" spans="2:6">
      <c r="B405">
        <v>92192</v>
      </c>
      <c r="C405" t="s">
        <v>1039</v>
      </c>
      <c r="D405">
        <v>66626078</v>
      </c>
      <c r="E405">
        <v>81728</v>
      </c>
      <c r="F405" t="s">
        <v>622</v>
      </c>
    </row>
    <row r="406" spans="2:6">
      <c r="B406">
        <v>89886</v>
      </c>
      <c r="C406" t="s">
        <v>1040</v>
      </c>
      <c r="D406">
        <v>66625512</v>
      </c>
      <c r="E406">
        <v>81215</v>
      </c>
      <c r="F406" t="s">
        <v>622</v>
      </c>
    </row>
    <row r="407" spans="2:6">
      <c r="B407">
        <v>92097</v>
      </c>
      <c r="C407" t="s">
        <v>1041</v>
      </c>
      <c r="D407">
        <v>66626063</v>
      </c>
      <c r="E407">
        <v>81549</v>
      </c>
      <c r="F407" t="s">
        <v>622</v>
      </c>
    </row>
    <row r="408" spans="2:6">
      <c r="B408">
        <v>86580</v>
      </c>
      <c r="C408" t="s">
        <v>1042</v>
      </c>
      <c r="D408">
        <v>66624548</v>
      </c>
      <c r="E408">
        <v>80142</v>
      </c>
      <c r="F408" t="s">
        <v>622</v>
      </c>
    </row>
    <row r="409" spans="2:6">
      <c r="B409">
        <v>91292</v>
      </c>
      <c r="C409" t="s">
        <v>1043</v>
      </c>
      <c r="D409">
        <v>66626014</v>
      </c>
      <c r="E409">
        <v>79729</v>
      </c>
      <c r="F409" t="s">
        <v>631</v>
      </c>
    </row>
    <row r="410" spans="2:6">
      <c r="B410">
        <v>88935</v>
      </c>
      <c r="C410" t="s">
        <v>1044</v>
      </c>
      <c r="D410">
        <v>66625054</v>
      </c>
      <c r="E410">
        <v>81281</v>
      </c>
      <c r="F410" t="s">
        <v>624</v>
      </c>
    </row>
    <row r="411" spans="2:6">
      <c r="B411">
        <v>92027</v>
      </c>
      <c r="C411" t="s">
        <v>1045</v>
      </c>
      <c r="D411">
        <v>66626040</v>
      </c>
      <c r="E411">
        <v>80998</v>
      </c>
      <c r="F411" t="s">
        <v>622</v>
      </c>
    </row>
    <row r="412" spans="2:6">
      <c r="B412">
        <v>91701</v>
      </c>
      <c r="C412" t="s">
        <v>1046</v>
      </c>
      <c r="D412">
        <v>66626026</v>
      </c>
      <c r="E412">
        <v>79887</v>
      </c>
      <c r="F412" t="s">
        <v>631</v>
      </c>
    </row>
    <row r="413" spans="2:6">
      <c r="B413">
        <v>92085</v>
      </c>
      <c r="C413" t="s">
        <v>1047</v>
      </c>
      <c r="D413">
        <v>66626069</v>
      </c>
      <c r="E413">
        <v>81597</v>
      </c>
      <c r="F413" t="s">
        <v>631</v>
      </c>
    </row>
    <row r="414" spans="2:6">
      <c r="B414">
        <v>92181</v>
      </c>
      <c r="C414" t="s">
        <v>1048</v>
      </c>
      <c r="D414">
        <v>66626073</v>
      </c>
      <c r="E414">
        <v>81674</v>
      </c>
      <c r="F414" t="s">
        <v>798</v>
      </c>
    </row>
    <row r="415" spans="2:6">
      <c r="B415">
        <v>91509</v>
      </c>
      <c r="C415" t="s">
        <v>1049</v>
      </c>
      <c r="D415">
        <v>66626030</v>
      </c>
      <c r="E415">
        <v>80552</v>
      </c>
      <c r="F415" t="s">
        <v>631</v>
      </c>
    </row>
    <row r="416" spans="2:6">
      <c r="B416">
        <v>79084</v>
      </c>
      <c r="C416" t="s">
        <v>1050</v>
      </c>
      <c r="D416">
        <v>66622566</v>
      </c>
      <c r="E416">
        <v>80283</v>
      </c>
      <c r="F416" t="s">
        <v>622</v>
      </c>
    </row>
    <row r="417" spans="2:6">
      <c r="B417">
        <v>90305</v>
      </c>
      <c r="C417" t="s">
        <v>1051</v>
      </c>
      <c r="D417">
        <v>66625539</v>
      </c>
      <c r="E417">
        <v>80917</v>
      </c>
      <c r="F417" t="s">
        <v>622</v>
      </c>
    </row>
    <row r="418" spans="2:6">
      <c r="B418">
        <v>84169</v>
      </c>
      <c r="C418" t="s">
        <v>1052</v>
      </c>
      <c r="D418">
        <v>66624028</v>
      </c>
      <c r="E418">
        <v>80961</v>
      </c>
      <c r="F418" t="s">
        <v>624</v>
      </c>
    </row>
    <row r="419" spans="2:6">
      <c r="B419">
        <v>91279</v>
      </c>
      <c r="C419" t="s">
        <v>1053</v>
      </c>
      <c r="D419">
        <v>66626001</v>
      </c>
      <c r="E419">
        <v>79602</v>
      </c>
      <c r="F419" t="s">
        <v>622</v>
      </c>
    </row>
    <row r="420" spans="2:6">
      <c r="B420">
        <v>91820</v>
      </c>
      <c r="C420" t="s">
        <v>1054</v>
      </c>
      <c r="D420">
        <v>66626052</v>
      </c>
      <c r="E420">
        <v>81389</v>
      </c>
      <c r="F420" t="s">
        <v>631</v>
      </c>
    </row>
    <row r="421" spans="2:6">
      <c r="B421">
        <v>91963</v>
      </c>
      <c r="C421" t="s">
        <v>1055</v>
      </c>
      <c r="D421">
        <v>66626047</v>
      </c>
      <c r="E421">
        <v>81191</v>
      </c>
      <c r="F421" t="s">
        <v>622</v>
      </c>
    </row>
    <row r="422" spans="2:6">
      <c r="B422">
        <v>91442</v>
      </c>
      <c r="C422" t="s">
        <v>1056</v>
      </c>
      <c r="D422">
        <v>66626006</v>
      </c>
      <c r="E422">
        <v>79629</v>
      </c>
      <c r="F422" t="s">
        <v>622</v>
      </c>
    </row>
    <row r="423" spans="2:6">
      <c r="B423">
        <v>91507</v>
      </c>
      <c r="C423" t="s">
        <v>1057</v>
      </c>
      <c r="D423">
        <v>66626009</v>
      </c>
      <c r="E423">
        <v>79645</v>
      </c>
      <c r="F423" t="s">
        <v>622</v>
      </c>
    </row>
    <row r="424" spans="2:6">
      <c r="B424">
        <v>92431</v>
      </c>
      <c r="C424" t="s">
        <v>1058</v>
      </c>
      <c r="D424">
        <v>66626082</v>
      </c>
      <c r="E424">
        <v>81799</v>
      </c>
      <c r="F424" t="s">
        <v>631</v>
      </c>
    </row>
    <row r="425" spans="2:6">
      <c r="B425">
        <v>78542</v>
      </c>
      <c r="C425" t="s">
        <v>1059</v>
      </c>
      <c r="D425">
        <v>66622522</v>
      </c>
      <c r="E425">
        <v>80177</v>
      </c>
      <c r="F425" t="s">
        <v>629</v>
      </c>
    </row>
    <row r="426" spans="2:6">
      <c r="B426">
        <v>92058</v>
      </c>
      <c r="C426" t="s">
        <v>1060</v>
      </c>
      <c r="D426">
        <v>66626042</v>
      </c>
      <c r="E426">
        <v>81019</v>
      </c>
      <c r="F426" t="s">
        <v>631</v>
      </c>
    </row>
    <row r="427" spans="2:6">
      <c r="B427">
        <v>92035</v>
      </c>
      <c r="C427" t="s">
        <v>1061</v>
      </c>
      <c r="D427">
        <v>66626045</v>
      </c>
      <c r="E427">
        <v>81179</v>
      </c>
      <c r="F427" t="s">
        <v>622</v>
      </c>
    </row>
    <row r="428" spans="2:6">
      <c r="B428">
        <v>87064</v>
      </c>
      <c r="C428" t="s">
        <v>1062</v>
      </c>
      <c r="D428">
        <v>66624569</v>
      </c>
      <c r="E428">
        <v>80215</v>
      </c>
      <c r="F428" t="s">
        <v>688</v>
      </c>
    </row>
    <row r="429" spans="2:6">
      <c r="B429">
        <v>92354</v>
      </c>
      <c r="C429" t="s">
        <v>1063</v>
      </c>
      <c r="D429">
        <v>66626075</v>
      </c>
      <c r="E429">
        <v>81685</v>
      </c>
      <c r="F429" t="s">
        <v>631</v>
      </c>
    </row>
    <row r="430" spans="2:6">
      <c r="B430">
        <v>92156</v>
      </c>
      <c r="C430" t="s">
        <v>1064</v>
      </c>
      <c r="D430">
        <v>66626074</v>
      </c>
      <c r="E430">
        <v>81671</v>
      </c>
      <c r="F430" t="s">
        <v>622</v>
      </c>
    </row>
    <row r="431" spans="2:6">
      <c r="B431">
        <v>92301</v>
      </c>
      <c r="C431" t="s">
        <v>1065</v>
      </c>
      <c r="D431">
        <v>66626060</v>
      </c>
      <c r="E431">
        <v>81526</v>
      </c>
      <c r="F431" t="s">
        <v>631</v>
      </c>
    </row>
    <row r="432" spans="2:6">
      <c r="B432">
        <v>91716</v>
      </c>
      <c r="C432" t="s">
        <v>1066</v>
      </c>
      <c r="D432">
        <v>66626039</v>
      </c>
      <c r="E432">
        <v>80934</v>
      </c>
      <c r="F432" t="s">
        <v>622</v>
      </c>
    </row>
    <row r="433" spans="2:6">
      <c r="B433">
        <v>92386</v>
      </c>
      <c r="C433" t="s">
        <v>1067</v>
      </c>
      <c r="D433">
        <v>66626085</v>
      </c>
      <c r="E433">
        <v>81839</v>
      </c>
      <c r="F433" t="s">
        <v>631</v>
      </c>
    </row>
    <row r="434" spans="2:6">
      <c r="B434">
        <v>91231</v>
      </c>
      <c r="C434" t="s">
        <v>1068</v>
      </c>
      <c r="D434">
        <v>66626007</v>
      </c>
      <c r="E434">
        <v>79635</v>
      </c>
      <c r="F434" t="s">
        <v>622</v>
      </c>
    </row>
    <row r="435" spans="2:6">
      <c r="B435">
        <v>91714</v>
      </c>
      <c r="C435" t="s">
        <v>1069</v>
      </c>
      <c r="D435">
        <v>66626033</v>
      </c>
      <c r="E435">
        <v>80645</v>
      </c>
      <c r="F435" t="s">
        <v>622</v>
      </c>
    </row>
    <row r="436" spans="2:6">
      <c r="B436">
        <v>91232</v>
      </c>
      <c r="C436" t="s">
        <v>1070</v>
      </c>
      <c r="D436">
        <v>66626004</v>
      </c>
      <c r="E436">
        <v>79616</v>
      </c>
      <c r="F436" t="s">
        <v>622</v>
      </c>
    </row>
    <row r="437" spans="2:6">
      <c r="B437">
        <v>92013</v>
      </c>
      <c r="C437" t="s">
        <v>1071</v>
      </c>
      <c r="D437">
        <v>66626053</v>
      </c>
      <c r="E437">
        <v>81400</v>
      </c>
      <c r="F437" t="s">
        <v>631</v>
      </c>
    </row>
    <row r="438" spans="2:6">
      <c r="B438">
        <v>91703</v>
      </c>
      <c r="C438" t="s">
        <v>1072</v>
      </c>
      <c r="D438">
        <v>66626044</v>
      </c>
      <c r="E438">
        <v>81040</v>
      </c>
      <c r="F438" t="s">
        <v>631</v>
      </c>
    </row>
    <row r="439" spans="2:6">
      <c r="B439">
        <v>92320</v>
      </c>
      <c r="C439" t="s">
        <v>1073</v>
      </c>
      <c r="D439">
        <v>66626076</v>
      </c>
      <c r="E439">
        <v>81714</v>
      </c>
      <c r="F439" t="s">
        <v>622</v>
      </c>
    </row>
    <row r="440" spans="2:6">
      <c r="B440">
        <v>92293</v>
      </c>
      <c r="C440" t="s">
        <v>1074</v>
      </c>
      <c r="D440">
        <v>66626080</v>
      </c>
      <c r="E440">
        <v>81765</v>
      </c>
      <c r="F440" t="s">
        <v>631</v>
      </c>
    </row>
    <row r="441" spans="2:6">
      <c r="B441">
        <v>90491</v>
      </c>
      <c r="C441" t="s">
        <v>1075</v>
      </c>
      <c r="D441">
        <v>66625544</v>
      </c>
      <c r="E441">
        <v>80200</v>
      </c>
      <c r="F441" t="s">
        <v>631</v>
      </c>
    </row>
    <row r="442" spans="2:6">
      <c r="B442">
        <v>79298</v>
      </c>
      <c r="C442" t="s">
        <v>1076</v>
      </c>
      <c r="D442">
        <v>66622586</v>
      </c>
      <c r="E442">
        <v>79909</v>
      </c>
      <c r="F442" t="s">
        <v>651</v>
      </c>
    </row>
    <row r="443" spans="2:6">
      <c r="B443">
        <v>91286</v>
      </c>
      <c r="C443" t="s">
        <v>1077</v>
      </c>
      <c r="D443">
        <v>66626003</v>
      </c>
      <c r="E443">
        <v>79612</v>
      </c>
      <c r="F443" t="s">
        <v>622</v>
      </c>
    </row>
    <row r="444" spans="2:6">
      <c r="B444">
        <v>92028</v>
      </c>
      <c r="C444" t="s">
        <v>1078</v>
      </c>
      <c r="D444">
        <v>66626077</v>
      </c>
      <c r="E444">
        <v>81715</v>
      </c>
      <c r="F444" t="s">
        <v>622</v>
      </c>
    </row>
    <row r="445" spans="2:6">
      <c r="B445">
        <v>92082</v>
      </c>
      <c r="C445" t="s">
        <v>1079</v>
      </c>
      <c r="D445">
        <v>66626068</v>
      </c>
      <c r="E445">
        <v>81592</v>
      </c>
      <c r="F445" t="s">
        <v>622</v>
      </c>
    </row>
    <row r="446" spans="2:6">
      <c r="B446">
        <v>91937</v>
      </c>
      <c r="C446" t="s">
        <v>1080</v>
      </c>
      <c r="D446">
        <v>66626032</v>
      </c>
      <c r="E446">
        <v>80632</v>
      </c>
      <c r="F446" t="s">
        <v>631</v>
      </c>
    </row>
    <row r="447" spans="2:6">
      <c r="B447">
        <v>91321</v>
      </c>
      <c r="C447" t="s">
        <v>1081</v>
      </c>
      <c r="D447">
        <v>66626002</v>
      </c>
      <c r="E447">
        <v>79603</v>
      </c>
      <c r="F447" t="s">
        <v>631</v>
      </c>
    </row>
    <row r="448" spans="2:6">
      <c r="B448">
        <v>91454</v>
      </c>
      <c r="C448" t="s">
        <v>1082</v>
      </c>
      <c r="D448">
        <v>66626038</v>
      </c>
      <c r="E448">
        <v>80923</v>
      </c>
      <c r="F448" t="s">
        <v>631</v>
      </c>
    </row>
    <row r="449" spans="2:6">
      <c r="B449">
        <v>92006</v>
      </c>
      <c r="C449" t="s">
        <v>1083</v>
      </c>
      <c r="D449">
        <v>66626041</v>
      </c>
      <c r="E449">
        <v>81014</v>
      </c>
      <c r="F449" t="s">
        <v>631</v>
      </c>
    </row>
    <row r="450" spans="2:6">
      <c r="B450">
        <v>87800</v>
      </c>
      <c r="C450" t="s">
        <v>1084</v>
      </c>
      <c r="D450">
        <v>66625006</v>
      </c>
      <c r="E450">
        <v>79870</v>
      </c>
      <c r="F450" t="s">
        <v>631</v>
      </c>
    </row>
    <row r="451" spans="2:6">
      <c r="B451">
        <v>86763</v>
      </c>
      <c r="C451" t="s">
        <v>1085</v>
      </c>
      <c r="D451">
        <v>66624555</v>
      </c>
      <c r="E451">
        <v>80399</v>
      </c>
      <c r="F451" t="s">
        <v>624</v>
      </c>
    </row>
    <row r="452" spans="2:6">
      <c r="B452">
        <v>91385</v>
      </c>
      <c r="C452" t="s">
        <v>1086</v>
      </c>
      <c r="D452">
        <v>66626020</v>
      </c>
      <c r="E452">
        <v>79695</v>
      </c>
      <c r="F452" t="s">
        <v>622</v>
      </c>
    </row>
    <row r="453" spans="2:6">
      <c r="B453">
        <v>91951</v>
      </c>
      <c r="C453" t="s">
        <v>1087</v>
      </c>
      <c r="D453">
        <v>66626070</v>
      </c>
      <c r="E453">
        <v>81605</v>
      </c>
      <c r="F453" t="s">
        <v>622</v>
      </c>
    </row>
    <row r="454" spans="2:6">
      <c r="B454">
        <v>91720</v>
      </c>
      <c r="C454" t="s">
        <v>1088</v>
      </c>
      <c r="D454">
        <v>66626034</v>
      </c>
      <c r="E454">
        <v>80740</v>
      </c>
      <c r="F454" t="s">
        <v>622</v>
      </c>
    </row>
    <row r="455" spans="2:6">
      <c r="B455">
        <v>91786</v>
      </c>
      <c r="C455" t="s">
        <v>1089</v>
      </c>
      <c r="D455">
        <v>66626029</v>
      </c>
      <c r="E455">
        <v>80549</v>
      </c>
      <c r="F455" t="s">
        <v>622</v>
      </c>
    </row>
    <row r="456" spans="2:6">
      <c r="B456">
        <v>91281</v>
      </c>
      <c r="C456" t="s">
        <v>1090</v>
      </c>
      <c r="D456">
        <v>66626008</v>
      </c>
      <c r="E456">
        <v>79637</v>
      </c>
      <c r="F456" t="s">
        <v>622</v>
      </c>
    </row>
    <row r="457" spans="2:6">
      <c r="B457">
        <v>91970</v>
      </c>
      <c r="C457" t="s">
        <v>1091</v>
      </c>
      <c r="D457">
        <v>66626043</v>
      </c>
      <c r="E457">
        <v>81035</v>
      </c>
      <c r="F457" t="s">
        <v>622</v>
      </c>
    </row>
    <row r="458" spans="2:6">
      <c r="B458">
        <v>91336</v>
      </c>
      <c r="C458" t="s">
        <v>1092</v>
      </c>
      <c r="D458">
        <v>66626005</v>
      </c>
      <c r="E458">
        <v>79626</v>
      </c>
      <c r="F458" t="s">
        <v>631</v>
      </c>
    </row>
    <row r="459" spans="2:6">
      <c r="B459">
        <v>92002</v>
      </c>
      <c r="C459" t="s">
        <v>1093</v>
      </c>
      <c r="D459">
        <v>66626061</v>
      </c>
      <c r="E459">
        <v>81535</v>
      </c>
      <c r="F459" t="s">
        <v>631</v>
      </c>
    </row>
    <row r="460" spans="2:6">
      <c r="B460">
        <v>91611</v>
      </c>
      <c r="C460" t="s">
        <v>1094</v>
      </c>
      <c r="D460">
        <v>66626046</v>
      </c>
      <c r="E460">
        <v>81188</v>
      </c>
      <c r="F460" t="s">
        <v>631</v>
      </c>
    </row>
    <row r="461" spans="2:6">
      <c r="B461">
        <v>91924</v>
      </c>
      <c r="C461" t="s">
        <v>1095</v>
      </c>
      <c r="D461">
        <v>66626055</v>
      </c>
      <c r="E461">
        <v>81444</v>
      </c>
      <c r="F461" t="s">
        <v>622</v>
      </c>
    </row>
    <row r="462" spans="2:6">
      <c r="B462">
        <v>84174</v>
      </c>
      <c r="C462" t="s">
        <v>1096</v>
      </c>
      <c r="D462">
        <v>66124011</v>
      </c>
      <c r="E462">
        <v>80920</v>
      </c>
      <c r="F462" t="s">
        <v>624</v>
      </c>
    </row>
    <row r="463" spans="2:6">
      <c r="B463">
        <v>92350</v>
      </c>
      <c r="C463" t="s">
        <v>1097</v>
      </c>
      <c r="D463">
        <v>66126080</v>
      </c>
      <c r="E463">
        <v>81743</v>
      </c>
      <c r="F463" t="s">
        <v>631</v>
      </c>
    </row>
    <row r="464" spans="2:6">
      <c r="B464">
        <v>89834</v>
      </c>
      <c r="C464" t="s">
        <v>1098</v>
      </c>
      <c r="D464">
        <v>66125506</v>
      </c>
      <c r="E464">
        <v>80078</v>
      </c>
      <c r="F464" t="s">
        <v>631</v>
      </c>
    </row>
    <row r="465" spans="2:6">
      <c r="B465">
        <v>90185</v>
      </c>
      <c r="C465" t="s">
        <v>1099</v>
      </c>
      <c r="D465">
        <v>66125527</v>
      </c>
      <c r="E465">
        <v>80254</v>
      </c>
      <c r="F465" t="s">
        <v>622</v>
      </c>
    </row>
    <row r="466" spans="2:6">
      <c r="B466">
        <v>91869</v>
      </c>
      <c r="C466" t="s">
        <v>1100</v>
      </c>
      <c r="D466">
        <v>66126026</v>
      </c>
      <c r="E466">
        <v>80545</v>
      </c>
      <c r="F466" t="s">
        <v>622</v>
      </c>
    </row>
    <row r="467" spans="2:6">
      <c r="B467">
        <v>91230</v>
      </c>
      <c r="C467" t="s">
        <v>1101</v>
      </c>
      <c r="D467">
        <v>66126005</v>
      </c>
      <c r="E467">
        <v>79621</v>
      </c>
      <c r="F467" t="s">
        <v>631</v>
      </c>
    </row>
    <row r="468" spans="2:6">
      <c r="B468">
        <v>76535</v>
      </c>
      <c r="C468" t="s">
        <v>1102</v>
      </c>
      <c r="D468">
        <v>66122008</v>
      </c>
      <c r="E468">
        <v>80213</v>
      </c>
      <c r="F468" t="s">
        <v>651</v>
      </c>
    </row>
    <row r="469" spans="2:6">
      <c r="B469">
        <v>78467</v>
      </c>
      <c r="C469" t="s">
        <v>1103</v>
      </c>
      <c r="D469">
        <v>66122530</v>
      </c>
      <c r="E469">
        <v>79851</v>
      </c>
      <c r="F469" t="s">
        <v>622</v>
      </c>
    </row>
    <row r="470" spans="2:6">
      <c r="B470">
        <v>91887</v>
      </c>
      <c r="C470" t="s">
        <v>1104</v>
      </c>
      <c r="D470">
        <v>66126046</v>
      </c>
      <c r="E470">
        <v>81189</v>
      </c>
      <c r="F470" t="s">
        <v>631</v>
      </c>
    </row>
    <row r="471" spans="2:6">
      <c r="B471">
        <v>78540</v>
      </c>
      <c r="C471" t="s">
        <v>1105</v>
      </c>
      <c r="D471">
        <v>66122513</v>
      </c>
      <c r="E471">
        <v>80621</v>
      </c>
      <c r="F471" t="s">
        <v>680</v>
      </c>
    </row>
    <row r="472" spans="2:6">
      <c r="B472">
        <v>86900</v>
      </c>
      <c r="C472" t="s">
        <v>1106</v>
      </c>
      <c r="D472">
        <v>66124552</v>
      </c>
      <c r="E472">
        <v>80482</v>
      </c>
      <c r="F472" t="s">
        <v>622</v>
      </c>
    </row>
    <row r="473" spans="2:6">
      <c r="B473">
        <v>91792</v>
      </c>
      <c r="C473" t="s">
        <v>1107</v>
      </c>
      <c r="D473">
        <v>66126028</v>
      </c>
      <c r="E473">
        <v>80568</v>
      </c>
      <c r="F473" t="s">
        <v>622</v>
      </c>
    </row>
    <row r="474" spans="2:6">
      <c r="B474">
        <v>91729</v>
      </c>
      <c r="C474" t="s">
        <v>1108</v>
      </c>
      <c r="D474">
        <v>66126031</v>
      </c>
      <c r="E474">
        <v>80649</v>
      </c>
      <c r="F474" t="s">
        <v>622</v>
      </c>
    </row>
    <row r="475" spans="2:6">
      <c r="B475">
        <v>90901</v>
      </c>
      <c r="C475" t="s">
        <v>1109</v>
      </c>
      <c r="D475">
        <v>66126001</v>
      </c>
      <c r="E475">
        <v>79597</v>
      </c>
      <c r="F475" t="s">
        <v>622</v>
      </c>
    </row>
    <row r="476" spans="2:6">
      <c r="B476">
        <v>79289</v>
      </c>
      <c r="C476" t="s">
        <v>1110</v>
      </c>
      <c r="D476">
        <v>66122561</v>
      </c>
      <c r="E476">
        <v>81116</v>
      </c>
      <c r="F476" t="s">
        <v>622</v>
      </c>
    </row>
    <row r="477" spans="2:6">
      <c r="B477">
        <v>92240</v>
      </c>
      <c r="C477" t="s">
        <v>1111</v>
      </c>
      <c r="D477">
        <v>66126061</v>
      </c>
      <c r="E477">
        <v>81557</v>
      </c>
      <c r="F477" t="s">
        <v>622</v>
      </c>
    </row>
    <row r="478" spans="2:6">
      <c r="B478">
        <v>91706</v>
      </c>
      <c r="C478" t="s">
        <v>1112</v>
      </c>
      <c r="D478">
        <v>66126021</v>
      </c>
      <c r="E478">
        <v>79964</v>
      </c>
      <c r="F478" t="s">
        <v>622</v>
      </c>
    </row>
    <row r="479" spans="2:6">
      <c r="B479">
        <v>92157</v>
      </c>
      <c r="C479" t="s">
        <v>1113</v>
      </c>
      <c r="D479">
        <v>66126073</v>
      </c>
      <c r="E479">
        <v>81630</v>
      </c>
      <c r="F479" t="s">
        <v>622</v>
      </c>
    </row>
    <row r="480" spans="2:6">
      <c r="B480">
        <v>91724</v>
      </c>
      <c r="C480" t="s">
        <v>1114</v>
      </c>
      <c r="D480">
        <v>66126020</v>
      </c>
      <c r="E480">
        <v>79953</v>
      </c>
      <c r="F480" t="s">
        <v>622</v>
      </c>
    </row>
    <row r="481" spans="2:6">
      <c r="B481">
        <v>91301</v>
      </c>
      <c r="C481" t="s">
        <v>1115</v>
      </c>
      <c r="D481">
        <v>66126012</v>
      </c>
      <c r="E481">
        <v>79742</v>
      </c>
      <c r="F481" t="s">
        <v>622</v>
      </c>
    </row>
    <row r="482" spans="2:6">
      <c r="B482">
        <v>84042</v>
      </c>
      <c r="C482" t="s">
        <v>1116</v>
      </c>
      <c r="D482">
        <v>66124005</v>
      </c>
      <c r="E482">
        <v>80173</v>
      </c>
      <c r="F482" t="s">
        <v>622</v>
      </c>
    </row>
    <row r="483" spans="2:6">
      <c r="B483">
        <v>92415</v>
      </c>
      <c r="C483" t="s">
        <v>1117</v>
      </c>
      <c r="D483">
        <v>66126087</v>
      </c>
      <c r="E483">
        <v>81843</v>
      </c>
      <c r="F483" t="s">
        <v>631</v>
      </c>
    </row>
    <row r="484" spans="2:6">
      <c r="B484">
        <v>90592</v>
      </c>
      <c r="C484" t="s">
        <v>1118</v>
      </c>
      <c r="D484">
        <v>66125547</v>
      </c>
      <c r="E484">
        <v>80925</v>
      </c>
      <c r="F484" t="s">
        <v>798</v>
      </c>
    </row>
    <row r="485" spans="2:6">
      <c r="B485">
        <v>91516</v>
      </c>
      <c r="C485" t="s">
        <v>1119</v>
      </c>
      <c r="D485">
        <v>66126039</v>
      </c>
      <c r="E485">
        <v>80835</v>
      </c>
      <c r="F485" t="s">
        <v>631</v>
      </c>
    </row>
    <row r="486" spans="2:6">
      <c r="B486">
        <v>80378</v>
      </c>
      <c r="C486" t="s">
        <v>1120</v>
      </c>
      <c r="D486">
        <v>66123013</v>
      </c>
      <c r="E486">
        <v>81309</v>
      </c>
      <c r="F486" t="s">
        <v>680</v>
      </c>
    </row>
    <row r="487" spans="2:6">
      <c r="B487">
        <v>91883</v>
      </c>
      <c r="C487" t="s">
        <v>1121</v>
      </c>
      <c r="D487">
        <v>66126059</v>
      </c>
      <c r="E487">
        <v>81519</v>
      </c>
      <c r="F487" t="s">
        <v>622</v>
      </c>
    </row>
    <row r="488" spans="2:6">
      <c r="B488">
        <v>92141</v>
      </c>
      <c r="C488" t="s">
        <v>1122</v>
      </c>
      <c r="D488">
        <v>66126077</v>
      </c>
      <c r="E488">
        <v>81716</v>
      </c>
      <c r="F488" t="s">
        <v>622</v>
      </c>
    </row>
    <row r="489" spans="2:6">
      <c r="B489">
        <v>92394</v>
      </c>
      <c r="C489" t="s">
        <v>1123</v>
      </c>
      <c r="D489">
        <v>66126079</v>
      </c>
      <c r="E489">
        <v>81770</v>
      </c>
      <c r="F489" t="s">
        <v>631</v>
      </c>
    </row>
    <row r="490" spans="2:6">
      <c r="B490">
        <v>91263</v>
      </c>
      <c r="C490" t="s">
        <v>1124</v>
      </c>
      <c r="D490">
        <v>66126032</v>
      </c>
      <c r="E490">
        <v>80704</v>
      </c>
      <c r="F490" t="s">
        <v>622</v>
      </c>
    </row>
    <row r="491" spans="2:6">
      <c r="B491">
        <v>91827</v>
      </c>
      <c r="C491" t="s">
        <v>1125</v>
      </c>
      <c r="D491">
        <v>66126035</v>
      </c>
      <c r="E491">
        <v>80726</v>
      </c>
      <c r="F491" t="s">
        <v>622</v>
      </c>
    </row>
    <row r="492" spans="2:6">
      <c r="B492">
        <v>78463</v>
      </c>
      <c r="C492" t="s">
        <v>1126</v>
      </c>
      <c r="D492">
        <v>66122524</v>
      </c>
      <c r="E492">
        <v>80761</v>
      </c>
      <c r="F492" t="s">
        <v>665</v>
      </c>
    </row>
    <row r="493" spans="2:6">
      <c r="B493">
        <v>91303</v>
      </c>
      <c r="C493" t="s">
        <v>1127</v>
      </c>
      <c r="D493">
        <v>66126041</v>
      </c>
      <c r="E493">
        <v>80930</v>
      </c>
      <c r="F493" t="s">
        <v>631</v>
      </c>
    </row>
    <row r="494" spans="2:6">
      <c r="B494">
        <v>91457</v>
      </c>
      <c r="C494" t="s">
        <v>1128</v>
      </c>
      <c r="D494">
        <v>66126043</v>
      </c>
      <c r="E494">
        <v>81002</v>
      </c>
      <c r="F494" t="s">
        <v>631</v>
      </c>
    </row>
    <row r="495" spans="2:6">
      <c r="B495">
        <v>92118</v>
      </c>
      <c r="C495" t="s">
        <v>1129</v>
      </c>
      <c r="D495">
        <v>66126072</v>
      </c>
      <c r="E495">
        <v>81622</v>
      </c>
      <c r="F495" t="s">
        <v>622</v>
      </c>
    </row>
    <row r="496" spans="2:6">
      <c r="B496">
        <v>91985</v>
      </c>
      <c r="C496" t="s">
        <v>1130</v>
      </c>
      <c r="D496">
        <v>66126068</v>
      </c>
      <c r="E496">
        <v>81607</v>
      </c>
      <c r="F496" t="s">
        <v>622</v>
      </c>
    </row>
    <row r="497" spans="2:6">
      <c r="B497">
        <v>92465</v>
      </c>
      <c r="C497" t="s">
        <v>1131</v>
      </c>
      <c r="D497">
        <v>66126083</v>
      </c>
      <c r="E497">
        <v>81786</v>
      </c>
      <c r="F497" t="s">
        <v>631</v>
      </c>
    </row>
    <row r="498" spans="2:6">
      <c r="B498">
        <v>92110</v>
      </c>
      <c r="C498" t="s">
        <v>1132</v>
      </c>
      <c r="D498">
        <v>66126062</v>
      </c>
      <c r="E498">
        <v>81558</v>
      </c>
      <c r="F498" t="s">
        <v>631</v>
      </c>
    </row>
    <row r="499" spans="2:6">
      <c r="B499">
        <v>91320</v>
      </c>
      <c r="C499" t="s">
        <v>1133</v>
      </c>
      <c r="D499">
        <v>66126010</v>
      </c>
      <c r="E499">
        <v>79692</v>
      </c>
      <c r="F499" t="s">
        <v>622</v>
      </c>
    </row>
    <row r="500" spans="2:6">
      <c r="B500">
        <v>80966</v>
      </c>
      <c r="C500" t="s">
        <v>1134</v>
      </c>
      <c r="D500">
        <v>66123040</v>
      </c>
      <c r="E500">
        <v>80401</v>
      </c>
      <c r="F500" t="s">
        <v>631</v>
      </c>
    </row>
    <row r="501" spans="2:6">
      <c r="B501">
        <v>82452</v>
      </c>
      <c r="C501" t="s">
        <v>1135</v>
      </c>
      <c r="D501">
        <v>66123508</v>
      </c>
      <c r="E501">
        <v>80685</v>
      </c>
      <c r="F501" t="s">
        <v>622</v>
      </c>
    </row>
    <row r="502" spans="2:6">
      <c r="B502">
        <v>91986</v>
      </c>
      <c r="C502" t="s">
        <v>1136</v>
      </c>
      <c r="D502">
        <v>66126048</v>
      </c>
      <c r="E502">
        <v>81273</v>
      </c>
      <c r="F502" t="s">
        <v>798</v>
      </c>
    </row>
    <row r="503" spans="2:6">
      <c r="B503">
        <v>92496</v>
      </c>
      <c r="C503" t="s">
        <v>1137</v>
      </c>
      <c r="D503">
        <v>66126085</v>
      </c>
      <c r="E503">
        <v>81827</v>
      </c>
      <c r="F503" t="s">
        <v>631</v>
      </c>
    </row>
    <row r="504" spans="2:6">
      <c r="B504">
        <v>91708</v>
      </c>
      <c r="C504" t="s">
        <v>1138</v>
      </c>
      <c r="D504">
        <v>66126047</v>
      </c>
      <c r="E504">
        <v>81190</v>
      </c>
      <c r="F504" t="s">
        <v>631</v>
      </c>
    </row>
    <row r="505" spans="2:6">
      <c r="B505">
        <v>82523</v>
      </c>
      <c r="C505" t="s">
        <v>1139</v>
      </c>
      <c r="D505">
        <v>66123514</v>
      </c>
      <c r="E505">
        <v>80262</v>
      </c>
      <c r="F505" t="s">
        <v>624</v>
      </c>
    </row>
    <row r="506" spans="2:6">
      <c r="B506">
        <v>90123</v>
      </c>
      <c r="C506" t="s">
        <v>1140</v>
      </c>
      <c r="D506">
        <v>66125529</v>
      </c>
      <c r="E506">
        <v>80469</v>
      </c>
      <c r="F506" t="s">
        <v>631</v>
      </c>
    </row>
    <row r="507" spans="2:6">
      <c r="B507">
        <v>82379</v>
      </c>
      <c r="C507" t="s">
        <v>1141</v>
      </c>
      <c r="D507">
        <v>66123507</v>
      </c>
      <c r="E507">
        <v>80483</v>
      </c>
      <c r="F507" t="s">
        <v>651</v>
      </c>
    </row>
    <row r="508" spans="2:6">
      <c r="B508">
        <v>91268</v>
      </c>
      <c r="C508" t="s">
        <v>1142</v>
      </c>
      <c r="D508">
        <v>66126004</v>
      </c>
      <c r="E508">
        <v>79611</v>
      </c>
      <c r="F508" t="s">
        <v>622</v>
      </c>
    </row>
    <row r="509" spans="2:6">
      <c r="B509">
        <v>91360</v>
      </c>
      <c r="C509" t="s">
        <v>1143</v>
      </c>
      <c r="D509">
        <v>66126008</v>
      </c>
      <c r="E509">
        <v>79634</v>
      </c>
      <c r="F509" t="s">
        <v>622</v>
      </c>
    </row>
    <row r="510" spans="2:6">
      <c r="B510">
        <v>88106</v>
      </c>
      <c r="C510" t="s">
        <v>1144</v>
      </c>
      <c r="D510">
        <v>66125018</v>
      </c>
      <c r="E510">
        <v>80729</v>
      </c>
      <c r="F510" t="s">
        <v>624</v>
      </c>
    </row>
    <row r="511" spans="2:6">
      <c r="B511">
        <v>92168</v>
      </c>
      <c r="C511" t="s">
        <v>1145</v>
      </c>
      <c r="D511">
        <v>66126067</v>
      </c>
      <c r="E511">
        <v>81594</v>
      </c>
      <c r="F511" t="s">
        <v>622</v>
      </c>
    </row>
    <row r="512" spans="2:6">
      <c r="B512">
        <v>91396</v>
      </c>
      <c r="C512" t="s">
        <v>1146</v>
      </c>
      <c r="D512">
        <v>66126024</v>
      </c>
      <c r="E512">
        <v>80135</v>
      </c>
      <c r="F512" t="s">
        <v>631</v>
      </c>
    </row>
    <row r="513" spans="2:6">
      <c r="B513">
        <v>88427</v>
      </c>
      <c r="C513" t="s">
        <v>1147</v>
      </c>
      <c r="D513">
        <v>66126036</v>
      </c>
      <c r="E513">
        <v>81285</v>
      </c>
      <c r="F513" t="s">
        <v>631</v>
      </c>
    </row>
    <row r="514" spans="2:6">
      <c r="B514">
        <v>82348</v>
      </c>
      <c r="C514" t="s">
        <v>1148</v>
      </c>
      <c r="D514">
        <v>66123504</v>
      </c>
      <c r="E514">
        <v>80000</v>
      </c>
      <c r="F514" t="s">
        <v>622</v>
      </c>
    </row>
    <row r="515" spans="2:6">
      <c r="B515">
        <v>92098</v>
      </c>
      <c r="C515" t="s">
        <v>1149</v>
      </c>
      <c r="D515">
        <v>66126063</v>
      </c>
      <c r="E515">
        <v>81566</v>
      </c>
      <c r="F515" t="s">
        <v>622</v>
      </c>
    </row>
    <row r="516" spans="2:6">
      <c r="B516">
        <v>92550</v>
      </c>
      <c r="C516" t="s">
        <v>1150</v>
      </c>
      <c r="D516">
        <v>66126086</v>
      </c>
      <c r="E516">
        <v>81828</v>
      </c>
      <c r="F516" t="s">
        <v>631</v>
      </c>
    </row>
    <row r="517" spans="2:6">
      <c r="B517">
        <v>91259</v>
      </c>
      <c r="C517" t="s">
        <v>1151</v>
      </c>
      <c r="D517">
        <v>66126002</v>
      </c>
      <c r="E517">
        <v>79598</v>
      </c>
      <c r="F517" t="s">
        <v>631</v>
      </c>
    </row>
    <row r="518" spans="2:6">
      <c r="B518">
        <v>92196</v>
      </c>
      <c r="C518" t="s">
        <v>1152</v>
      </c>
      <c r="D518">
        <v>66126074</v>
      </c>
      <c r="E518">
        <v>81631</v>
      </c>
      <c r="F518" t="s">
        <v>622</v>
      </c>
    </row>
    <row r="519" spans="2:6">
      <c r="B519">
        <v>78756</v>
      </c>
      <c r="C519" t="s">
        <v>1153</v>
      </c>
      <c r="D519">
        <v>66122536</v>
      </c>
      <c r="E519">
        <v>80537</v>
      </c>
      <c r="F519" t="s">
        <v>631</v>
      </c>
    </row>
    <row r="520" spans="2:6">
      <c r="B520">
        <v>92607</v>
      </c>
      <c r="C520" t="s">
        <v>1154</v>
      </c>
      <c r="D520">
        <v>66126088</v>
      </c>
      <c r="E520">
        <v>81878</v>
      </c>
      <c r="F520" t="s">
        <v>631</v>
      </c>
    </row>
    <row r="521" spans="2:6">
      <c r="B521">
        <v>91500</v>
      </c>
      <c r="C521" t="s">
        <v>1155</v>
      </c>
      <c r="D521">
        <v>66126042</v>
      </c>
      <c r="E521">
        <v>80939</v>
      </c>
      <c r="F521" t="s">
        <v>622</v>
      </c>
    </row>
    <row r="522" spans="2:6">
      <c r="B522">
        <v>89828</v>
      </c>
      <c r="C522" t="s">
        <v>1156</v>
      </c>
      <c r="D522">
        <v>66125510</v>
      </c>
      <c r="E522">
        <v>80384</v>
      </c>
      <c r="F522" t="s">
        <v>631</v>
      </c>
    </row>
    <row r="523" spans="2:6">
      <c r="B523">
        <v>92252</v>
      </c>
      <c r="C523" t="s">
        <v>1157</v>
      </c>
      <c r="D523">
        <v>66126075</v>
      </c>
      <c r="E523">
        <v>81651</v>
      </c>
      <c r="F523" t="s">
        <v>622</v>
      </c>
    </row>
    <row r="524" spans="2:6">
      <c r="B524">
        <v>79276</v>
      </c>
      <c r="C524" t="s">
        <v>1158</v>
      </c>
      <c r="D524">
        <v>66122565</v>
      </c>
      <c r="E524">
        <v>80423</v>
      </c>
      <c r="F524" t="s">
        <v>651</v>
      </c>
    </row>
    <row r="525" spans="2:6">
      <c r="B525">
        <v>91712</v>
      </c>
      <c r="C525" t="s">
        <v>1159</v>
      </c>
      <c r="D525">
        <v>66126051</v>
      </c>
      <c r="E525">
        <v>81392</v>
      </c>
      <c r="F525" t="s">
        <v>622</v>
      </c>
    </row>
    <row r="526" spans="2:6">
      <c r="B526">
        <v>92088</v>
      </c>
      <c r="C526" t="s">
        <v>1160</v>
      </c>
      <c r="D526">
        <v>66126065</v>
      </c>
      <c r="E526">
        <v>81569</v>
      </c>
      <c r="F526" t="s">
        <v>622</v>
      </c>
    </row>
    <row r="527" spans="2:6">
      <c r="B527">
        <v>90310</v>
      </c>
      <c r="C527" t="s">
        <v>1161</v>
      </c>
      <c r="D527">
        <v>66125537</v>
      </c>
      <c r="E527">
        <v>80387</v>
      </c>
      <c r="F527" t="s">
        <v>622</v>
      </c>
    </row>
    <row r="528" spans="2:6">
      <c r="B528">
        <v>91612</v>
      </c>
      <c r="C528" t="s">
        <v>1162</v>
      </c>
      <c r="D528">
        <v>66126014</v>
      </c>
      <c r="E528">
        <v>79810</v>
      </c>
      <c r="F528" t="s">
        <v>622</v>
      </c>
    </row>
    <row r="529" spans="2:6">
      <c r="B529">
        <v>90563</v>
      </c>
      <c r="C529" t="s">
        <v>1163</v>
      </c>
      <c r="D529">
        <v>66125559</v>
      </c>
      <c r="E529">
        <v>80780</v>
      </c>
      <c r="F529" t="s">
        <v>624</v>
      </c>
    </row>
    <row r="530" spans="2:6">
      <c r="B530">
        <v>91868</v>
      </c>
      <c r="C530" t="s">
        <v>1164</v>
      </c>
      <c r="D530">
        <v>66126055</v>
      </c>
      <c r="E530">
        <v>81471</v>
      </c>
      <c r="F530" t="s">
        <v>631</v>
      </c>
    </row>
    <row r="531" spans="2:6">
      <c r="B531">
        <v>84360</v>
      </c>
      <c r="C531" t="s">
        <v>1165</v>
      </c>
      <c r="D531">
        <v>66124019</v>
      </c>
      <c r="E531">
        <v>80793</v>
      </c>
      <c r="F531" t="s">
        <v>624</v>
      </c>
    </row>
    <row r="532" spans="2:6">
      <c r="B532">
        <v>92043</v>
      </c>
      <c r="C532" t="s">
        <v>1166</v>
      </c>
      <c r="D532">
        <v>66126060</v>
      </c>
      <c r="E532">
        <v>81530</v>
      </c>
      <c r="F532" t="s">
        <v>622</v>
      </c>
    </row>
    <row r="533" spans="2:6">
      <c r="B533">
        <v>91925</v>
      </c>
      <c r="C533" t="s">
        <v>1167</v>
      </c>
      <c r="D533">
        <v>66126037</v>
      </c>
      <c r="E533">
        <v>80824</v>
      </c>
      <c r="F533" t="s">
        <v>622</v>
      </c>
    </row>
    <row r="534" spans="2:6">
      <c r="B534">
        <v>92172</v>
      </c>
      <c r="C534" t="s">
        <v>1168</v>
      </c>
      <c r="D534">
        <v>66126070</v>
      </c>
      <c r="E534">
        <v>81618</v>
      </c>
      <c r="F534" t="s">
        <v>631</v>
      </c>
    </row>
    <row r="535" spans="2:6">
      <c r="B535">
        <v>91787</v>
      </c>
      <c r="C535" t="s">
        <v>1169</v>
      </c>
      <c r="D535">
        <v>66126019</v>
      </c>
      <c r="E535">
        <v>79945</v>
      </c>
      <c r="F535" t="s">
        <v>631</v>
      </c>
    </row>
    <row r="536" spans="2:6">
      <c r="B536">
        <v>91430</v>
      </c>
      <c r="C536" t="s">
        <v>1170</v>
      </c>
      <c r="D536">
        <v>66126009</v>
      </c>
      <c r="E536">
        <v>79651</v>
      </c>
      <c r="F536" t="s">
        <v>631</v>
      </c>
    </row>
    <row r="537" spans="2:6">
      <c r="B537">
        <v>76985</v>
      </c>
      <c r="C537" t="s">
        <v>1171</v>
      </c>
      <c r="D537">
        <v>66122503</v>
      </c>
      <c r="E537">
        <v>79855</v>
      </c>
      <c r="F537" t="s">
        <v>622</v>
      </c>
    </row>
    <row r="538" spans="2:6">
      <c r="B538">
        <v>88329</v>
      </c>
      <c r="C538" t="s">
        <v>1172</v>
      </c>
      <c r="D538">
        <v>66125034</v>
      </c>
      <c r="E538">
        <v>80334</v>
      </c>
      <c r="F538" t="s">
        <v>631</v>
      </c>
    </row>
    <row r="539" spans="2:6">
      <c r="B539">
        <v>92042</v>
      </c>
      <c r="C539" t="s">
        <v>1173</v>
      </c>
      <c r="D539">
        <v>66126040</v>
      </c>
      <c r="E539">
        <v>80918</v>
      </c>
      <c r="F539" t="s">
        <v>631</v>
      </c>
    </row>
    <row r="540" spans="2:6">
      <c r="B540">
        <v>80174</v>
      </c>
      <c r="C540" t="s">
        <v>1174</v>
      </c>
      <c r="D540">
        <v>66123003</v>
      </c>
      <c r="E540">
        <v>80422</v>
      </c>
      <c r="F540" t="s">
        <v>622</v>
      </c>
    </row>
    <row r="541" spans="2:6">
      <c r="B541">
        <v>91846</v>
      </c>
      <c r="C541" t="s">
        <v>1175</v>
      </c>
      <c r="D541">
        <v>66126054</v>
      </c>
      <c r="E541">
        <v>81465</v>
      </c>
      <c r="F541" t="s">
        <v>631</v>
      </c>
    </row>
    <row r="542" spans="2:6">
      <c r="B542">
        <v>91347</v>
      </c>
      <c r="C542" t="s">
        <v>1176</v>
      </c>
      <c r="D542">
        <v>66126007</v>
      </c>
      <c r="E542">
        <v>79630</v>
      </c>
      <c r="F542" t="s">
        <v>622</v>
      </c>
    </row>
    <row r="543" spans="2:6">
      <c r="B543">
        <v>91642</v>
      </c>
      <c r="C543" t="s">
        <v>1177</v>
      </c>
      <c r="D543">
        <v>66126033</v>
      </c>
      <c r="E543">
        <v>80708</v>
      </c>
      <c r="F543" t="s">
        <v>622</v>
      </c>
    </row>
    <row r="544" spans="2:6">
      <c r="B544">
        <v>92329</v>
      </c>
      <c r="C544" t="s">
        <v>1178</v>
      </c>
      <c r="D544">
        <v>66126082</v>
      </c>
      <c r="E544">
        <v>81764</v>
      </c>
      <c r="F544" t="s">
        <v>622</v>
      </c>
    </row>
    <row r="545" spans="2:6">
      <c r="B545">
        <v>91805</v>
      </c>
      <c r="C545" t="s">
        <v>1179</v>
      </c>
      <c r="D545">
        <v>66126050</v>
      </c>
      <c r="E545">
        <v>81308</v>
      </c>
      <c r="F545" t="s">
        <v>622</v>
      </c>
    </row>
    <row r="546" spans="2:6">
      <c r="B546">
        <v>92551</v>
      </c>
      <c r="C546" t="s">
        <v>1180</v>
      </c>
      <c r="D546">
        <v>66126084</v>
      </c>
      <c r="E546">
        <v>81814</v>
      </c>
      <c r="F546" t="s">
        <v>622</v>
      </c>
    </row>
    <row r="547" spans="2:6">
      <c r="B547">
        <v>77311</v>
      </c>
      <c r="C547" t="s">
        <v>1181</v>
      </c>
      <c r="D547">
        <v>55522009</v>
      </c>
      <c r="E547">
        <v>80188</v>
      </c>
      <c r="F547" t="s">
        <v>629</v>
      </c>
    </row>
    <row r="548" spans="2:6">
      <c r="B548">
        <v>92256</v>
      </c>
      <c r="C548" t="s">
        <v>1182</v>
      </c>
      <c r="D548">
        <v>55526005</v>
      </c>
      <c r="E548">
        <v>81563</v>
      </c>
      <c r="F548" t="s">
        <v>622</v>
      </c>
    </row>
    <row r="549" spans="2:6">
      <c r="B549">
        <v>83273</v>
      </c>
      <c r="C549" t="s">
        <v>1183</v>
      </c>
      <c r="D549">
        <v>55722005</v>
      </c>
      <c r="E549">
        <v>80234</v>
      </c>
      <c r="F549" t="s">
        <v>624</v>
      </c>
    </row>
    <row r="550" spans="2:6">
      <c r="B550">
        <v>81594</v>
      </c>
      <c r="C550" t="s">
        <v>1184</v>
      </c>
      <c r="D550">
        <v>55523011</v>
      </c>
      <c r="E550">
        <v>80259</v>
      </c>
      <c r="F550" t="s">
        <v>624</v>
      </c>
    </row>
    <row r="551" spans="2:6">
      <c r="B551">
        <v>92033</v>
      </c>
      <c r="C551" t="s">
        <v>1185</v>
      </c>
      <c r="D551">
        <v>55526003</v>
      </c>
      <c r="E551">
        <v>81024</v>
      </c>
      <c r="F551" t="s">
        <v>631</v>
      </c>
    </row>
    <row r="552" spans="2:6">
      <c r="B552">
        <v>90792</v>
      </c>
      <c r="C552" t="s">
        <v>1186</v>
      </c>
      <c r="D552">
        <v>55526004</v>
      </c>
      <c r="E552">
        <v>81362</v>
      </c>
      <c r="F552" t="s">
        <v>1187</v>
      </c>
    </row>
    <row r="553" spans="2:6">
      <c r="B553">
        <v>85211</v>
      </c>
      <c r="C553" t="s">
        <v>1188</v>
      </c>
      <c r="D553">
        <v>55524009</v>
      </c>
      <c r="E553">
        <v>81346</v>
      </c>
      <c r="F553" t="s">
        <v>624</v>
      </c>
    </row>
    <row r="554" spans="2:6">
      <c r="B554">
        <v>74858</v>
      </c>
      <c r="C554" t="s">
        <v>1189</v>
      </c>
      <c r="D554">
        <v>55721501</v>
      </c>
      <c r="E554">
        <v>81510</v>
      </c>
      <c r="F554" t="s">
        <v>629</v>
      </c>
    </row>
    <row r="555" spans="2:6">
      <c r="B555">
        <v>77656</v>
      </c>
      <c r="C555" t="s">
        <v>1190</v>
      </c>
      <c r="D555">
        <v>55722008</v>
      </c>
      <c r="E555">
        <v>80444</v>
      </c>
      <c r="F555" t="s">
        <v>624</v>
      </c>
    </row>
    <row r="556" spans="2:6">
      <c r="B556">
        <v>89933</v>
      </c>
      <c r="C556" t="s">
        <v>1191</v>
      </c>
      <c r="D556">
        <v>55925510</v>
      </c>
      <c r="E556">
        <v>81692</v>
      </c>
      <c r="F556" t="s">
        <v>624</v>
      </c>
    </row>
    <row r="557" spans="2:6">
      <c r="B557">
        <v>88374</v>
      </c>
      <c r="C557" t="s">
        <v>1192</v>
      </c>
      <c r="D557">
        <v>55925007</v>
      </c>
      <c r="E557">
        <v>80690</v>
      </c>
      <c r="F557" t="s">
        <v>624</v>
      </c>
    </row>
    <row r="558" spans="2:6">
      <c r="B558">
        <v>81019</v>
      </c>
      <c r="C558" t="s">
        <v>1193</v>
      </c>
      <c r="D558">
        <v>55923006</v>
      </c>
      <c r="E558">
        <v>81276</v>
      </c>
      <c r="F558" t="s">
        <v>629</v>
      </c>
    </row>
    <row r="559" spans="2:6">
      <c r="B559">
        <v>82898</v>
      </c>
      <c r="C559" t="s">
        <v>1194</v>
      </c>
      <c r="D559">
        <v>55923505</v>
      </c>
      <c r="E559">
        <v>80484</v>
      </c>
      <c r="F559" t="s">
        <v>651</v>
      </c>
    </row>
    <row r="560" spans="2:6">
      <c r="B560">
        <v>88234</v>
      </c>
      <c r="C560" t="s">
        <v>1195</v>
      </c>
      <c r="D560">
        <v>55925005</v>
      </c>
      <c r="E560">
        <v>81278</v>
      </c>
      <c r="F560" t="s">
        <v>651</v>
      </c>
    </row>
    <row r="561" spans="2:6">
      <c r="B561">
        <v>91696</v>
      </c>
      <c r="C561" t="s">
        <v>1196</v>
      </c>
      <c r="D561">
        <v>55926001</v>
      </c>
      <c r="E561">
        <v>79937</v>
      </c>
      <c r="F561" t="s">
        <v>798</v>
      </c>
    </row>
    <row r="562" spans="2:6">
      <c r="B562">
        <v>77527</v>
      </c>
      <c r="C562" t="s">
        <v>1197</v>
      </c>
      <c r="D562">
        <v>55922011</v>
      </c>
      <c r="E562">
        <v>80181</v>
      </c>
      <c r="F562" t="s">
        <v>651</v>
      </c>
    </row>
    <row r="563" spans="2:6">
      <c r="B563">
        <v>91996</v>
      </c>
      <c r="C563" t="s">
        <v>1198</v>
      </c>
      <c r="D563">
        <v>55926003</v>
      </c>
      <c r="E563">
        <v>80951</v>
      </c>
      <c r="F563" t="s">
        <v>622</v>
      </c>
    </row>
    <row r="564" spans="2:6">
      <c r="B564">
        <v>77805</v>
      </c>
      <c r="C564" t="s">
        <v>1199</v>
      </c>
      <c r="D564">
        <v>55922015</v>
      </c>
      <c r="E564">
        <v>80678</v>
      </c>
      <c r="F564" t="s">
        <v>680</v>
      </c>
    </row>
    <row r="565" spans="2:6">
      <c r="B565">
        <v>90099</v>
      </c>
      <c r="C565" t="s">
        <v>1200</v>
      </c>
      <c r="D565">
        <v>55925503</v>
      </c>
      <c r="E565">
        <v>81307</v>
      </c>
      <c r="F565" t="s">
        <v>622</v>
      </c>
    </row>
    <row r="566" spans="2:6">
      <c r="B566">
        <v>81134</v>
      </c>
      <c r="C566" t="s">
        <v>1201</v>
      </c>
      <c r="D566">
        <v>55923008</v>
      </c>
      <c r="E566">
        <v>80589</v>
      </c>
      <c r="F566" t="s">
        <v>622</v>
      </c>
    </row>
    <row r="567" spans="2:6">
      <c r="B567">
        <v>92579</v>
      </c>
      <c r="C567" t="s">
        <v>1185</v>
      </c>
      <c r="D567">
        <v>55926009</v>
      </c>
      <c r="E567">
        <v>81790</v>
      </c>
      <c r="F567" t="s">
        <v>631</v>
      </c>
    </row>
    <row r="568" spans="2:6">
      <c r="B568">
        <v>91581</v>
      </c>
      <c r="C568" t="s">
        <v>1202</v>
      </c>
      <c r="D568">
        <v>55926007</v>
      </c>
      <c r="E568">
        <v>81673</v>
      </c>
      <c r="F568" t="s">
        <v>733</v>
      </c>
    </row>
    <row r="569" spans="2:6">
      <c r="B569">
        <v>77111</v>
      </c>
      <c r="C569" t="s">
        <v>1203</v>
      </c>
      <c r="D569">
        <v>55222012</v>
      </c>
      <c r="E569">
        <v>80400</v>
      </c>
      <c r="F569" t="s">
        <v>665</v>
      </c>
    </row>
    <row r="570" spans="2:6">
      <c r="B570">
        <v>78001</v>
      </c>
      <c r="C570" t="s">
        <v>1204</v>
      </c>
      <c r="D570">
        <v>55222026</v>
      </c>
      <c r="E570">
        <v>80005</v>
      </c>
      <c r="F570" t="s">
        <v>1205</v>
      </c>
    </row>
    <row r="571" spans="2:6">
      <c r="B571">
        <v>87867</v>
      </c>
      <c r="C571" t="s">
        <v>1206</v>
      </c>
      <c r="D571">
        <v>55225001</v>
      </c>
      <c r="E571">
        <v>81440</v>
      </c>
      <c r="F571" t="s">
        <v>1205</v>
      </c>
    </row>
    <row r="572" spans="2:6">
      <c r="B572">
        <v>90428</v>
      </c>
      <c r="C572" t="s">
        <v>1207</v>
      </c>
      <c r="D572">
        <v>55225517</v>
      </c>
      <c r="E572">
        <v>80714</v>
      </c>
      <c r="F572" t="s">
        <v>631</v>
      </c>
    </row>
    <row r="573" spans="2:6">
      <c r="B573">
        <v>78011</v>
      </c>
      <c r="C573" t="s">
        <v>1208</v>
      </c>
      <c r="D573">
        <v>55222028</v>
      </c>
      <c r="E573">
        <v>81141</v>
      </c>
      <c r="F573" t="s">
        <v>1205</v>
      </c>
    </row>
    <row r="574" spans="2:6">
      <c r="B574">
        <v>91224</v>
      </c>
      <c r="C574" t="s">
        <v>1209</v>
      </c>
      <c r="D574">
        <v>55226003</v>
      </c>
      <c r="E574">
        <v>79614</v>
      </c>
      <c r="F574" t="s">
        <v>631</v>
      </c>
    </row>
    <row r="575" spans="2:6">
      <c r="B575">
        <v>83185</v>
      </c>
      <c r="C575" t="s">
        <v>1210</v>
      </c>
      <c r="D575">
        <v>55223531</v>
      </c>
      <c r="E575">
        <v>80999</v>
      </c>
      <c r="F575" t="s">
        <v>665</v>
      </c>
    </row>
    <row r="576" spans="2:6">
      <c r="B576">
        <v>88921</v>
      </c>
      <c r="C576" t="s">
        <v>1211</v>
      </c>
      <c r="D576">
        <v>55225028</v>
      </c>
      <c r="E576">
        <v>80446</v>
      </c>
      <c r="F576" t="s">
        <v>656</v>
      </c>
    </row>
    <row r="577" spans="2:6">
      <c r="B577">
        <v>91822</v>
      </c>
      <c r="C577" t="s">
        <v>1212</v>
      </c>
      <c r="D577">
        <v>55226006</v>
      </c>
      <c r="E577">
        <v>80154</v>
      </c>
      <c r="F577" t="s">
        <v>651</v>
      </c>
    </row>
    <row r="578" spans="2:6">
      <c r="B578">
        <v>88953</v>
      </c>
      <c r="C578" t="s">
        <v>1213</v>
      </c>
      <c r="D578">
        <v>55225031</v>
      </c>
      <c r="E578">
        <v>80821</v>
      </c>
      <c r="F578" t="s">
        <v>1205</v>
      </c>
    </row>
    <row r="579" spans="2:6">
      <c r="B579">
        <v>89898</v>
      </c>
      <c r="C579" t="s">
        <v>1214</v>
      </c>
      <c r="D579">
        <v>55225504</v>
      </c>
      <c r="E579">
        <v>81028</v>
      </c>
      <c r="F579" t="s">
        <v>622</v>
      </c>
    </row>
    <row r="580" spans="2:6">
      <c r="B580">
        <v>70771</v>
      </c>
      <c r="C580" t="s">
        <v>1215</v>
      </c>
      <c r="D580">
        <v>55220015</v>
      </c>
      <c r="E580">
        <v>81812</v>
      </c>
      <c r="F580" t="s">
        <v>821</v>
      </c>
    </row>
    <row r="581" spans="2:6">
      <c r="B581">
        <v>92311</v>
      </c>
      <c r="C581" t="s">
        <v>1216</v>
      </c>
      <c r="D581">
        <v>55226013</v>
      </c>
      <c r="E581">
        <v>81576</v>
      </c>
      <c r="F581" t="s">
        <v>622</v>
      </c>
    </row>
    <row r="582" spans="2:6">
      <c r="B582">
        <v>92338</v>
      </c>
      <c r="C582" t="s">
        <v>1217</v>
      </c>
      <c r="D582">
        <v>55226014</v>
      </c>
      <c r="E582">
        <v>81616</v>
      </c>
      <c r="F582" t="s">
        <v>631</v>
      </c>
    </row>
    <row r="583" spans="2:6">
      <c r="B583">
        <v>87891</v>
      </c>
      <c r="C583" t="s">
        <v>1218</v>
      </c>
      <c r="D583">
        <v>55225002</v>
      </c>
      <c r="E583">
        <v>81108</v>
      </c>
      <c r="F583" t="s">
        <v>1205</v>
      </c>
    </row>
    <row r="584" spans="2:6">
      <c r="B584">
        <v>91799</v>
      </c>
      <c r="C584" t="s">
        <v>1219</v>
      </c>
      <c r="D584">
        <v>55226005</v>
      </c>
      <c r="E584">
        <v>79944</v>
      </c>
      <c r="F584" t="s">
        <v>631</v>
      </c>
    </row>
    <row r="585" spans="2:6">
      <c r="B585">
        <v>90564</v>
      </c>
      <c r="C585" t="s">
        <v>1220</v>
      </c>
      <c r="D585">
        <v>55225516</v>
      </c>
      <c r="E585">
        <v>80284</v>
      </c>
      <c r="F585" t="s">
        <v>631</v>
      </c>
    </row>
    <row r="586" spans="2:6">
      <c r="B586">
        <v>90248</v>
      </c>
      <c r="C586" t="s">
        <v>1221</v>
      </c>
      <c r="D586">
        <v>55225507</v>
      </c>
      <c r="E586">
        <v>81275</v>
      </c>
      <c r="F586" t="s">
        <v>624</v>
      </c>
    </row>
    <row r="587" spans="2:6">
      <c r="B587">
        <v>76553</v>
      </c>
      <c r="C587" t="s">
        <v>1222</v>
      </c>
      <c r="D587">
        <v>55222003</v>
      </c>
      <c r="E587">
        <v>80861</v>
      </c>
      <c r="F587" t="s">
        <v>1205</v>
      </c>
    </row>
    <row r="588" spans="2:6">
      <c r="B588">
        <v>92319</v>
      </c>
      <c r="C588" t="s">
        <v>1223</v>
      </c>
      <c r="D588">
        <v>55226012</v>
      </c>
      <c r="E588">
        <v>81573</v>
      </c>
      <c r="F588" t="s">
        <v>622</v>
      </c>
    </row>
    <row r="589" spans="2:6">
      <c r="B589">
        <v>89005</v>
      </c>
      <c r="C589" t="s">
        <v>1224</v>
      </c>
      <c r="D589">
        <v>55225040</v>
      </c>
      <c r="E589">
        <v>80114</v>
      </c>
      <c r="F589" t="s">
        <v>665</v>
      </c>
    </row>
    <row r="590" spans="2:6">
      <c r="B590">
        <v>92559</v>
      </c>
      <c r="C590" t="s">
        <v>1225</v>
      </c>
      <c r="D590">
        <v>55226016</v>
      </c>
      <c r="E590">
        <v>81800</v>
      </c>
      <c r="F590" t="s">
        <v>631</v>
      </c>
    </row>
    <row r="591" spans="2:6">
      <c r="B591">
        <v>92497</v>
      </c>
      <c r="C591" t="s">
        <v>1226</v>
      </c>
      <c r="D591">
        <v>55226015</v>
      </c>
      <c r="E591">
        <v>81732</v>
      </c>
      <c r="F591" t="s">
        <v>622</v>
      </c>
    </row>
    <row r="592" spans="2:6">
      <c r="B592">
        <v>90326</v>
      </c>
      <c r="C592" t="s">
        <v>1227</v>
      </c>
      <c r="D592">
        <v>55225510</v>
      </c>
      <c r="E592">
        <v>79941</v>
      </c>
      <c r="F592" t="s">
        <v>665</v>
      </c>
    </row>
    <row r="593" spans="2:6">
      <c r="B593">
        <v>88243</v>
      </c>
      <c r="C593" t="s">
        <v>1228</v>
      </c>
      <c r="D593">
        <v>55225014</v>
      </c>
      <c r="E593">
        <v>80055</v>
      </c>
      <c r="F593" t="s">
        <v>703</v>
      </c>
    </row>
    <row r="594" spans="2:6">
      <c r="B594">
        <v>91771</v>
      </c>
      <c r="C594" t="s">
        <v>1229</v>
      </c>
      <c r="D594">
        <v>55226009</v>
      </c>
      <c r="E594">
        <v>81107</v>
      </c>
      <c r="F594" t="s">
        <v>631</v>
      </c>
    </row>
    <row r="595" spans="2:6">
      <c r="B595">
        <v>84594</v>
      </c>
      <c r="C595" t="s">
        <v>1230</v>
      </c>
      <c r="D595">
        <v>55224020</v>
      </c>
      <c r="E595">
        <v>80492</v>
      </c>
      <c r="F595" t="s">
        <v>665</v>
      </c>
    </row>
    <row r="596" spans="2:6">
      <c r="B596">
        <v>77333</v>
      </c>
      <c r="C596" t="s">
        <v>1231</v>
      </c>
      <c r="D596">
        <v>55222013</v>
      </c>
      <c r="E596">
        <v>80091</v>
      </c>
      <c r="F596" t="s">
        <v>1205</v>
      </c>
    </row>
    <row r="597" spans="2:6">
      <c r="B597">
        <v>91938</v>
      </c>
      <c r="C597" t="s">
        <v>1232</v>
      </c>
      <c r="D597">
        <v>55226007</v>
      </c>
      <c r="E597">
        <v>80548</v>
      </c>
      <c r="F597" t="s">
        <v>631</v>
      </c>
    </row>
    <row r="598" spans="2:6">
      <c r="B598">
        <v>88885</v>
      </c>
      <c r="C598" t="s">
        <v>1233</v>
      </c>
      <c r="D598">
        <v>55225030</v>
      </c>
      <c r="E598">
        <v>81052</v>
      </c>
      <c r="F598" t="s">
        <v>1205</v>
      </c>
    </row>
    <row r="599" spans="2:6">
      <c r="B599">
        <v>84898</v>
      </c>
      <c r="C599" t="s">
        <v>1234</v>
      </c>
      <c r="D599">
        <v>55224029</v>
      </c>
      <c r="E599">
        <v>80464</v>
      </c>
      <c r="F599" t="s">
        <v>656</v>
      </c>
    </row>
    <row r="600" spans="2:6">
      <c r="B600">
        <v>81029</v>
      </c>
      <c r="C600" t="s">
        <v>1235</v>
      </c>
      <c r="D600">
        <v>55223025</v>
      </c>
      <c r="E600">
        <v>80676</v>
      </c>
      <c r="F600" t="s">
        <v>629</v>
      </c>
    </row>
    <row r="601" spans="2:6">
      <c r="B601">
        <v>90414</v>
      </c>
      <c r="C601" t="s">
        <v>1236</v>
      </c>
      <c r="D601">
        <v>55225512</v>
      </c>
      <c r="E601">
        <v>80489</v>
      </c>
      <c r="F601" t="s">
        <v>622</v>
      </c>
    </row>
    <row r="602" spans="2:6">
      <c r="B602">
        <v>92310</v>
      </c>
      <c r="C602" t="s">
        <v>1237</v>
      </c>
      <c r="D602">
        <v>55226011</v>
      </c>
      <c r="E602">
        <v>81575</v>
      </c>
      <c r="F602" t="s">
        <v>651</v>
      </c>
    </row>
    <row r="603" spans="2:6">
      <c r="B603">
        <v>85305</v>
      </c>
      <c r="C603" t="s">
        <v>1238</v>
      </c>
      <c r="D603">
        <v>55224036</v>
      </c>
      <c r="E603">
        <v>80852</v>
      </c>
      <c r="F603" t="s">
        <v>624</v>
      </c>
    </row>
    <row r="604" spans="2:6">
      <c r="B604">
        <v>91884</v>
      </c>
      <c r="C604" t="s">
        <v>1239</v>
      </c>
      <c r="D604">
        <v>55226008</v>
      </c>
      <c r="E604">
        <v>80603</v>
      </c>
      <c r="F604" t="s">
        <v>622</v>
      </c>
    </row>
    <row r="605" spans="2:6">
      <c r="B605">
        <v>82962</v>
      </c>
      <c r="C605" t="s">
        <v>1240</v>
      </c>
      <c r="D605">
        <v>55223524</v>
      </c>
      <c r="E605">
        <v>80247</v>
      </c>
      <c r="F605" t="s">
        <v>622</v>
      </c>
    </row>
    <row r="606" spans="2:6">
      <c r="B606">
        <v>91318</v>
      </c>
      <c r="C606" t="s">
        <v>1241</v>
      </c>
      <c r="D606">
        <v>55226004</v>
      </c>
      <c r="E606">
        <v>79847</v>
      </c>
      <c r="F606" t="s">
        <v>622</v>
      </c>
    </row>
    <row r="607" spans="2:6">
      <c r="B607">
        <v>83954</v>
      </c>
      <c r="C607" t="s">
        <v>1242</v>
      </c>
      <c r="D607">
        <v>55224002</v>
      </c>
      <c r="E607">
        <v>80832</v>
      </c>
      <c r="F607" t="s">
        <v>624</v>
      </c>
    </row>
    <row r="608" spans="2:6">
      <c r="B608">
        <v>92199</v>
      </c>
      <c r="C608" t="s">
        <v>1243</v>
      </c>
      <c r="D608">
        <v>55226010</v>
      </c>
      <c r="E608">
        <v>81421</v>
      </c>
      <c r="F608" t="s">
        <v>622</v>
      </c>
    </row>
    <row r="609" spans="2:6">
      <c r="B609">
        <v>90186</v>
      </c>
      <c r="C609" t="s">
        <v>1244</v>
      </c>
      <c r="D609">
        <v>55225508</v>
      </c>
      <c r="E609">
        <v>80249</v>
      </c>
      <c r="F609" t="s">
        <v>622</v>
      </c>
    </row>
    <row r="610" spans="2:6">
      <c r="B610">
        <v>80809</v>
      </c>
      <c r="C610" t="s">
        <v>1245</v>
      </c>
      <c r="D610">
        <v>55223016</v>
      </c>
      <c r="E610">
        <v>80272</v>
      </c>
      <c r="F610" t="s">
        <v>821</v>
      </c>
    </row>
    <row r="611" spans="2:6">
      <c r="B611">
        <v>89964</v>
      </c>
      <c r="C611" t="s">
        <v>1246</v>
      </c>
      <c r="D611">
        <v>55225505</v>
      </c>
      <c r="E611">
        <v>80145</v>
      </c>
      <c r="F611" t="s">
        <v>622</v>
      </c>
    </row>
    <row r="612" spans="2:6">
      <c r="B612">
        <v>86088</v>
      </c>
      <c r="C612" t="s">
        <v>76</v>
      </c>
      <c r="D612">
        <v>55824502</v>
      </c>
      <c r="E612">
        <v>80915</v>
      </c>
      <c r="F612" t="s">
        <v>651</v>
      </c>
    </row>
    <row r="613" spans="2:6">
      <c r="B613">
        <v>91523</v>
      </c>
      <c r="C613" t="s">
        <v>30</v>
      </c>
      <c r="D613">
        <v>55826004</v>
      </c>
      <c r="E613">
        <v>79683</v>
      </c>
      <c r="F613" t="s">
        <v>622</v>
      </c>
    </row>
    <row r="614" spans="2:6">
      <c r="B614">
        <v>92384</v>
      </c>
      <c r="C614" t="s">
        <v>25</v>
      </c>
      <c r="D614">
        <v>55826023</v>
      </c>
      <c r="E614">
        <v>81637</v>
      </c>
      <c r="F614" t="s">
        <v>622</v>
      </c>
    </row>
    <row r="615" spans="2:6">
      <c r="B615">
        <v>76704</v>
      </c>
      <c r="C615" t="s">
        <v>1247</v>
      </c>
      <c r="D615">
        <v>55822004</v>
      </c>
      <c r="E615">
        <v>81046</v>
      </c>
      <c r="F615" t="s">
        <v>622</v>
      </c>
    </row>
    <row r="616" spans="2:6">
      <c r="B616">
        <v>80640</v>
      </c>
      <c r="C616" t="s">
        <v>1248</v>
      </c>
      <c r="D616">
        <v>55823010</v>
      </c>
      <c r="E616">
        <v>80042</v>
      </c>
      <c r="F616" t="s">
        <v>631</v>
      </c>
    </row>
    <row r="617" spans="2:6">
      <c r="B617">
        <v>90202</v>
      </c>
      <c r="C617" t="s">
        <v>100</v>
      </c>
      <c r="D617">
        <v>55825504</v>
      </c>
      <c r="E617">
        <v>80073</v>
      </c>
      <c r="F617" t="s">
        <v>680</v>
      </c>
    </row>
    <row r="618" spans="2:6">
      <c r="B618">
        <v>92015</v>
      </c>
      <c r="C618" t="s">
        <v>57</v>
      </c>
      <c r="D618">
        <v>55826018</v>
      </c>
      <c r="E618">
        <v>80929</v>
      </c>
      <c r="F618" t="s">
        <v>631</v>
      </c>
    </row>
    <row r="619" spans="2:6">
      <c r="B619">
        <v>90555</v>
      </c>
      <c r="C619" t="s">
        <v>118</v>
      </c>
      <c r="D619">
        <v>55825507</v>
      </c>
      <c r="E619">
        <v>80065</v>
      </c>
      <c r="F619" t="s">
        <v>798</v>
      </c>
    </row>
    <row r="620" spans="2:6">
      <c r="B620">
        <v>81634</v>
      </c>
      <c r="C620" t="s">
        <v>1249</v>
      </c>
      <c r="D620">
        <v>55823026</v>
      </c>
      <c r="E620">
        <v>80031</v>
      </c>
      <c r="F620" t="s">
        <v>631</v>
      </c>
    </row>
    <row r="621" spans="2:6">
      <c r="B621">
        <v>80440</v>
      </c>
      <c r="C621" t="s">
        <v>1250</v>
      </c>
      <c r="D621">
        <v>55823004</v>
      </c>
      <c r="E621">
        <v>80376</v>
      </c>
      <c r="F621" t="s">
        <v>651</v>
      </c>
    </row>
    <row r="622" spans="2:6">
      <c r="B622">
        <v>90331</v>
      </c>
      <c r="C622" t="s">
        <v>239</v>
      </c>
      <c r="D622">
        <v>55825506</v>
      </c>
      <c r="E622">
        <v>81629</v>
      </c>
      <c r="F622" t="s">
        <v>622</v>
      </c>
    </row>
    <row r="623" spans="2:6">
      <c r="B623">
        <v>76745</v>
      </c>
      <c r="C623" t="s">
        <v>1251</v>
      </c>
      <c r="D623">
        <v>55822005</v>
      </c>
      <c r="E623">
        <v>80472</v>
      </c>
      <c r="F623" t="s">
        <v>631</v>
      </c>
    </row>
    <row r="624" spans="2:6">
      <c r="B624">
        <v>91414</v>
      </c>
      <c r="C624" t="s">
        <v>64</v>
      </c>
      <c r="D624">
        <v>55826009</v>
      </c>
      <c r="E624">
        <v>79809</v>
      </c>
      <c r="F624" t="s">
        <v>631</v>
      </c>
    </row>
    <row r="625" spans="2:6">
      <c r="B625">
        <v>91824</v>
      </c>
      <c r="C625" t="s">
        <v>1252</v>
      </c>
      <c r="D625">
        <v>55826013</v>
      </c>
      <c r="E625">
        <v>79962</v>
      </c>
      <c r="F625" t="s">
        <v>622</v>
      </c>
    </row>
    <row r="626" spans="2:6">
      <c r="B626">
        <v>92244</v>
      </c>
      <c r="C626" t="s">
        <v>169</v>
      </c>
      <c r="D626">
        <v>55826021</v>
      </c>
      <c r="E626">
        <v>81546</v>
      </c>
      <c r="F626" t="s">
        <v>631</v>
      </c>
    </row>
    <row r="627" spans="2:6">
      <c r="B627">
        <v>86414</v>
      </c>
      <c r="C627" t="s">
        <v>1253</v>
      </c>
      <c r="D627">
        <v>55824503</v>
      </c>
      <c r="E627">
        <v>80522</v>
      </c>
      <c r="F627" t="s">
        <v>622</v>
      </c>
    </row>
    <row r="628" spans="2:6">
      <c r="B628">
        <v>89103</v>
      </c>
      <c r="C628" t="s">
        <v>71</v>
      </c>
      <c r="D628">
        <v>55825027</v>
      </c>
      <c r="E628">
        <v>80531</v>
      </c>
      <c r="F628" t="s">
        <v>665</v>
      </c>
    </row>
    <row r="629" spans="2:6">
      <c r="B629">
        <v>91962</v>
      </c>
      <c r="C629" t="s">
        <v>1254</v>
      </c>
      <c r="D629">
        <v>55826017</v>
      </c>
      <c r="E629">
        <v>80720</v>
      </c>
      <c r="F629" t="s">
        <v>631</v>
      </c>
    </row>
    <row r="630" spans="2:6">
      <c r="B630">
        <v>91532</v>
      </c>
      <c r="C630" t="s">
        <v>147</v>
      </c>
      <c r="D630">
        <v>55826007</v>
      </c>
      <c r="E630">
        <v>79730</v>
      </c>
      <c r="F630" t="s">
        <v>798</v>
      </c>
    </row>
    <row r="631" spans="2:6">
      <c r="B631">
        <v>91719</v>
      </c>
      <c r="C631" t="s">
        <v>152</v>
      </c>
      <c r="D631">
        <v>55826012</v>
      </c>
      <c r="E631">
        <v>79948</v>
      </c>
      <c r="F631" t="s">
        <v>631</v>
      </c>
    </row>
    <row r="632" spans="2:6">
      <c r="B632">
        <v>91525</v>
      </c>
      <c r="C632" t="s">
        <v>168</v>
      </c>
      <c r="D632">
        <v>55826008</v>
      </c>
      <c r="E632">
        <v>79802</v>
      </c>
      <c r="F632" t="s">
        <v>631</v>
      </c>
    </row>
    <row r="633" spans="2:6">
      <c r="B633">
        <v>77060</v>
      </c>
      <c r="C633" t="s">
        <v>131</v>
      </c>
      <c r="D633">
        <v>55822013</v>
      </c>
      <c r="E633">
        <v>80264</v>
      </c>
      <c r="F633" t="s">
        <v>629</v>
      </c>
    </row>
    <row r="634" spans="2:6">
      <c r="B634">
        <v>76987</v>
      </c>
      <c r="C634" t="s">
        <v>1255</v>
      </c>
      <c r="D634">
        <v>55822012</v>
      </c>
      <c r="E634">
        <v>80243</v>
      </c>
      <c r="F634" t="s">
        <v>631</v>
      </c>
    </row>
    <row r="635" spans="2:6">
      <c r="B635">
        <v>92425</v>
      </c>
      <c r="C635" t="s">
        <v>171</v>
      </c>
      <c r="D635">
        <v>55826025</v>
      </c>
      <c r="E635">
        <v>81737</v>
      </c>
      <c r="F635" t="s">
        <v>622</v>
      </c>
    </row>
    <row r="636" spans="2:6">
      <c r="B636">
        <v>91722</v>
      </c>
      <c r="C636" t="s">
        <v>278</v>
      </c>
      <c r="D636">
        <v>55826011</v>
      </c>
      <c r="E636">
        <v>79942</v>
      </c>
      <c r="F636" t="s">
        <v>631</v>
      </c>
    </row>
    <row r="637" spans="2:6">
      <c r="B637">
        <v>92434</v>
      </c>
      <c r="C637" t="s">
        <v>1256</v>
      </c>
      <c r="D637">
        <v>55826024</v>
      </c>
      <c r="E637">
        <v>81717</v>
      </c>
      <c r="F637" t="s">
        <v>631</v>
      </c>
    </row>
    <row r="638" spans="2:6">
      <c r="B638">
        <v>85232</v>
      </c>
      <c r="C638" t="s">
        <v>1257</v>
      </c>
      <c r="D638">
        <v>55824024</v>
      </c>
      <c r="E638">
        <v>80636</v>
      </c>
      <c r="F638" t="s">
        <v>624</v>
      </c>
    </row>
    <row r="639" spans="2:6">
      <c r="B639">
        <v>92222</v>
      </c>
      <c r="C639" t="s">
        <v>182</v>
      </c>
      <c r="D639">
        <v>55826020</v>
      </c>
      <c r="E639">
        <v>81578</v>
      </c>
      <c r="F639" t="s">
        <v>665</v>
      </c>
    </row>
    <row r="640" spans="2:6">
      <c r="B640">
        <v>84540</v>
      </c>
      <c r="C640" t="s">
        <v>1258</v>
      </c>
      <c r="D640">
        <v>55824015</v>
      </c>
      <c r="E640">
        <v>80028</v>
      </c>
      <c r="F640" t="s">
        <v>651</v>
      </c>
    </row>
    <row r="641" spans="2:6">
      <c r="B641">
        <v>82451</v>
      </c>
      <c r="C641" t="s">
        <v>1259</v>
      </c>
      <c r="D641">
        <v>55823506</v>
      </c>
      <c r="E641">
        <v>79935</v>
      </c>
      <c r="F641" t="s">
        <v>651</v>
      </c>
    </row>
    <row r="642" spans="2:6">
      <c r="B642">
        <v>90661</v>
      </c>
      <c r="C642" t="s">
        <v>175</v>
      </c>
      <c r="D642">
        <v>55825509</v>
      </c>
      <c r="E642">
        <v>81001</v>
      </c>
      <c r="F642" t="s">
        <v>622</v>
      </c>
    </row>
    <row r="643" spans="2:6">
      <c r="B643">
        <v>86656</v>
      </c>
      <c r="C643" t="s">
        <v>200</v>
      </c>
      <c r="D643">
        <v>55824504</v>
      </c>
      <c r="E643">
        <v>80089</v>
      </c>
      <c r="F643" t="s">
        <v>651</v>
      </c>
    </row>
    <row r="644" spans="2:6">
      <c r="B644">
        <v>91867</v>
      </c>
      <c r="C644" t="s">
        <v>133</v>
      </c>
      <c r="D644">
        <v>55826014</v>
      </c>
      <c r="E644">
        <v>80148</v>
      </c>
      <c r="F644" t="s">
        <v>622</v>
      </c>
    </row>
    <row r="645" spans="2:6">
      <c r="B645">
        <v>86915</v>
      </c>
      <c r="C645" t="s">
        <v>83</v>
      </c>
      <c r="D645">
        <v>55824507</v>
      </c>
      <c r="E645">
        <v>81344</v>
      </c>
      <c r="F645" t="s">
        <v>624</v>
      </c>
    </row>
    <row r="646" spans="2:6">
      <c r="B646">
        <v>77159</v>
      </c>
      <c r="C646" t="s">
        <v>1260</v>
      </c>
      <c r="D646">
        <v>55822015</v>
      </c>
      <c r="E646">
        <v>80276</v>
      </c>
      <c r="F646" t="s">
        <v>665</v>
      </c>
    </row>
    <row r="647" spans="2:6">
      <c r="B647">
        <v>91772</v>
      </c>
      <c r="C647" t="s">
        <v>42</v>
      </c>
      <c r="D647">
        <v>55826010</v>
      </c>
      <c r="E647">
        <v>79898</v>
      </c>
      <c r="F647" t="s">
        <v>703</v>
      </c>
    </row>
    <row r="648" spans="2:6">
      <c r="B648">
        <v>77304</v>
      </c>
      <c r="C648" t="s">
        <v>1261</v>
      </c>
      <c r="D648">
        <v>55822016</v>
      </c>
      <c r="E648">
        <v>80705</v>
      </c>
      <c r="F648" t="s">
        <v>798</v>
      </c>
    </row>
    <row r="649" spans="2:6">
      <c r="B649">
        <v>84327</v>
      </c>
      <c r="C649" t="s">
        <v>1262</v>
      </c>
      <c r="D649">
        <v>55824013</v>
      </c>
      <c r="E649">
        <v>81352</v>
      </c>
      <c r="F649" t="s">
        <v>631</v>
      </c>
    </row>
    <row r="650" spans="2:6">
      <c r="B650">
        <v>89240</v>
      </c>
      <c r="C650" t="s">
        <v>22</v>
      </c>
      <c r="D650">
        <v>55825030</v>
      </c>
      <c r="E650">
        <v>80640</v>
      </c>
      <c r="F650" t="s">
        <v>622</v>
      </c>
    </row>
    <row r="651" spans="2:6">
      <c r="B651">
        <v>91617</v>
      </c>
      <c r="C651" t="s">
        <v>155</v>
      </c>
      <c r="D651">
        <v>55826006</v>
      </c>
      <c r="E651">
        <v>79713</v>
      </c>
      <c r="F651" t="s">
        <v>631</v>
      </c>
    </row>
    <row r="652" spans="2:6">
      <c r="B652">
        <v>84675</v>
      </c>
      <c r="C652" t="s">
        <v>1263</v>
      </c>
      <c r="D652">
        <v>55824017</v>
      </c>
      <c r="E652">
        <v>80041</v>
      </c>
      <c r="F652" t="s">
        <v>651</v>
      </c>
    </row>
    <row r="653" spans="2:6">
      <c r="B653">
        <v>77526</v>
      </c>
      <c r="C653" t="s">
        <v>1264</v>
      </c>
      <c r="D653">
        <v>55822020</v>
      </c>
      <c r="E653">
        <v>80168</v>
      </c>
      <c r="F653" t="s">
        <v>680</v>
      </c>
    </row>
    <row r="654" spans="2:6">
      <c r="B654">
        <v>91572</v>
      </c>
      <c r="C654" t="s">
        <v>210</v>
      </c>
      <c r="D654">
        <v>55826005</v>
      </c>
      <c r="E654">
        <v>79701</v>
      </c>
      <c r="F654" t="s">
        <v>631</v>
      </c>
    </row>
    <row r="655" spans="2:6">
      <c r="B655">
        <v>80305</v>
      </c>
      <c r="C655" t="s">
        <v>253</v>
      </c>
      <c r="D655">
        <v>55823001</v>
      </c>
      <c r="E655">
        <v>80643</v>
      </c>
      <c r="F655" t="s">
        <v>656</v>
      </c>
    </row>
    <row r="656" spans="2:6">
      <c r="B656">
        <v>84843</v>
      </c>
      <c r="C656" t="s">
        <v>92</v>
      </c>
      <c r="D656">
        <v>55824020</v>
      </c>
      <c r="E656">
        <v>80047</v>
      </c>
      <c r="F656" t="s">
        <v>631</v>
      </c>
    </row>
    <row r="657" spans="2:6">
      <c r="B657">
        <v>88412</v>
      </c>
      <c r="C657" t="s">
        <v>110</v>
      </c>
      <c r="D657">
        <v>55825010</v>
      </c>
      <c r="E657">
        <v>80410</v>
      </c>
      <c r="F657" t="s">
        <v>622</v>
      </c>
    </row>
    <row r="658" spans="2:6">
      <c r="B658">
        <v>89949</v>
      </c>
      <c r="C658" t="s">
        <v>123</v>
      </c>
      <c r="D658">
        <v>55825503</v>
      </c>
      <c r="E658">
        <v>80066</v>
      </c>
      <c r="F658" t="s">
        <v>631</v>
      </c>
    </row>
    <row r="659" spans="2:6">
      <c r="B659">
        <v>92299</v>
      </c>
      <c r="C659" t="s">
        <v>224</v>
      </c>
      <c r="D659">
        <v>55826022</v>
      </c>
      <c r="E659">
        <v>81590</v>
      </c>
      <c r="F659" t="s">
        <v>622</v>
      </c>
    </row>
    <row r="660" spans="2:6">
      <c r="B660">
        <v>85275</v>
      </c>
      <c r="C660" t="s">
        <v>1265</v>
      </c>
      <c r="D660">
        <v>55824028</v>
      </c>
      <c r="E660">
        <v>80039</v>
      </c>
      <c r="F660" t="s">
        <v>622</v>
      </c>
    </row>
    <row r="661" spans="2:6">
      <c r="B661">
        <v>83276</v>
      </c>
      <c r="C661" t="s">
        <v>197</v>
      </c>
      <c r="D661">
        <v>55823511</v>
      </c>
      <c r="E661">
        <v>80696</v>
      </c>
      <c r="F661" t="s">
        <v>624</v>
      </c>
    </row>
    <row r="662" spans="2:6">
      <c r="B662">
        <v>77210</v>
      </c>
      <c r="C662" t="s">
        <v>1266</v>
      </c>
      <c r="D662">
        <v>55322006</v>
      </c>
      <c r="E662">
        <v>79952</v>
      </c>
      <c r="F662" t="s">
        <v>651</v>
      </c>
    </row>
    <row r="663" spans="2:6">
      <c r="B663">
        <v>80557</v>
      </c>
      <c r="C663" t="s">
        <v>1267</v>
      </c>
      <c r="D663">
        <v>55323006</v>
      </c>
      <c r="E663">
        <v>81187</v>
      </c>
      <c r="F663" t="s">
        <v>629</v>
      </c>
    </row>
    <row r="664" spans="2:6">
      <c r="B664">
        <v>77772</v>
      </c>
      <c r="C664" t="s">
        <v>1268</v>
      </c>
      <c r="D664">
        <v>55322007</v>
      </c>
      <c r="E664">
        <v>80454</v>
      </c>
      <c r="F664" t="s">
        <v>651</v>
      </c>
    </row>
    <row r="665" spans="2:6">
      <c r="B665">
        <v>88603</v>
      </c>
      <c r="C665" t="s">
        <v>1269</v>
      </c>
      <c r="D665">
        <v>55325004</v>
      </c>
      <c r="E665">
        <v>80654</v>
      </c>
      <c r="F665" t="s">
        <v>631</v>
      </c>
    </row>
    <row r="666" spans="2:6">
      <c r="B666">
        <v>88601</v>
      </c>
      <c r="C666" t="s">
        <v>1270</v>
      </c>
      <c r="D666">
        <v>55325001</v>
      </c>
      <c r="E666">
        <v>80665</v>
      </c>
      <c r="F666" t="s">
        <v>624</v>
      </c>
    </row>
    <row r="667" spans="2:6">
      <c r="B667">
        <v>88792</v>
      </c>
      <c r="C667" t="s">
        <v>1271</v>
      </c>
      <c r="D667">
        <v>55325003</v>
      </c>
      <c r="E667">
        <v>80245</v>
      </c>
      <c r="F667" t="s">
        <v>631</v>
      </c>
    </row>
    <row r="668" spans="2:6">
      <c r="B668">
        <v>76710</v>
      </c>
      <c r="C668" t="s">
        <v>1272</v>
      </c>
      <c r="D668">
        <v>55322003</v>
      </c>
      <c r="E668">
        <v>79971</v>
      </c>
      <c r="F668" t="s">
        <v>651</v>
      </c>
    </row>
    <row r="669" spans="2:6">
      <c r="B669">
        <v>81312</v>
      </c>
      <c r="C669" t="s">
        <v>1273</v>
      </c>
      <c r="D669">
        <v>55323009</v>
      </c>
      <c r="E669">
        <v>81025</v>
      </c>
      <c r="F669" t="s">
        <v>624</v>
      </c>
    </row>
    <row r="670" spans="2:6">
      <c r="B670">
        <v>81480</v>
      </c>
      <c r="C670" t="s">
        <v>1274</v>
      </c>
      <c r="D670">
        <v>55323010</v>
      </c>
      <c r="E670">
        <v>80983</v>
      </c>
      <c r="F670" t="s">
        <v>680</v>
      </c>
    </row>
    <row r="671" spans="2:6">
      <c r="B671">
        <v>90449</v>
      </c>
      <c r="C671" t="s">
        <v>1275</v>
      </c>
      <c r="D671">
        <v>55425504</v>
      </c>
      <c r="E671">
        <v>81110</v>
      </c>
      <c r="F671" t="s">
        <v>624</v>
      </c>
    </row>
    <row r="672" spans="2:6">
      <c r="B672">
        <v>92257</v>
      </c>
      <c r="C672" t="s">
        <v>1276</v>
      </c>
      <c r="D672">
        <v>55426017</v>
      </c>
      <c r="E672">
        <v>81677</v>
      </c>
      <c r="F672" t="s">
        <v>622</v>
      </c>
    </row>
    <row r="673" spans="2:6">
      <c r="B673">
        <v>91473</v>
      </c>
      <c r="C673" t="s">
        <v>1277</v>
      </c>
      <c r="D673">
        <v>55426001</v>
      </c>
      <c r="E673">
        <v>80595</v>
      </c>
      <c r="F673" t="s">
        <v>622</v>
      </c>
    </row>
    <row r="674" spans="2:6">
      <c r="B674">
        <v>92238</v>
      </c>
      <c r="C674" t="s">
        <v>1278</v>
      </c>
      <c r="D674">
        <v>55426016</v>
      </c>
      <c r="E674">
        <v>81554</v>
      </c>
      <c r="F674" t="s">
        <v>631</v>
      </c>
    </row>
    <row r="675" spans="2:6">
      <c r="B675">
        <v>91697</v>
      </c>
      <c r="C675" t="s">
        <v>1279</v>
      </c>
      <c r="D675">
        <v>55426003</v>
      </c>
      <c r="E675">
        <v>79838</v>
      </c>
      <c r="F675" t="s">
        <v>631</v>
      </c>
    </row>
    <row r="676" spans="2:6">
      <c r="B676">
        <v>91806</v>
      </c>
      <c r="C676" t="s">
        <v>1280</v>
      </c>
      <c r="D676">
        <v>55426013</v>
      </c>
      <c r="E676">
        <v>81483</v>
      </c>
      <c r="F676" t="s">
        <v>680</v>
      </c>
    </row>
    <row r="677" spans="2:6">
      <c r="B677">
        <v>91873</v>
      </c>
      <c r="C677" t="s">
        <v>1281</v>
      </c>
      <c r="D677">
        <v>55426005</v>
      </c>
      <c r="E677">
        <v>80644</v>
      </c>
      <c r="F677" t="s">
        <v>622</v>
      </c>
    </row>
    <row r="678" spans="2:6">
      <c r="B678">
        <v>92364</v>
      </c>
      <c r="C678" t="s">
        <v>1282</v>
      </c>
      <c r="D678">
        <v>55426018</v>
      </c>
      <c r="E678">
        <v>81689</v>
      </c>
      <c r="F678" t="s">
        <v>631</v>
      </c>
    </row>
    <row r="679" spans="2:6">
      <c r="B679">
        <v>92014</v>
      </c>
      <c r="C679" t="s">
        <v>1283</v>
      </c>
      <c r="D679">
        <v>55426008</v>
      </c>
      <c r="E679">
        <v>80949</v>
      </c>
      <c r="F679" t="s">
        <v>622</v>
      </c>
    </row>
    <row r="680" spans="2:6">
      <c r="B680">
        <v>81345</v>
      </c>
      <c r="C680" t="s">
        <v>1284</v>
      </c>
      <c r="D680">
        <v>55423010</v>
      </c>
      <c r="E680">
        <v>81373</v>
      </c>
      <c r="F680" t="s">
        <v>624</v>
      </c>
    </row>
    <row r="681" spans="2:6">
      <c r="B681">
        <v>79323</v>
      </c>
      <c r="C681" t="s">
        <v>1285</v>
      </c>
      <c r="D681">
        <v>55422513</v>
      </c>
      <c r="E681">
        <v>81016</v>
      </c>
      <c r="F681" t="s">
        <v>629</v>
      </c>
    </row>
    <row r="682" spans="2:6">
      <c r="B682">
        <v>78580</v>
      </c>
      <c r="C682" t="s">
        <v>1286</v>
      </c>
      <c r="D682">
        <v>55422502</v>
      </c>
      <c r="E682">
        <v>80977</v>
      </c>
      <c r="F682" t="s">
        <v>631</v>
      </c>
    </row>
    <row r="683" spans="2:6">
      <c r="B683">
        <v>92031</v>
      </c>
      <c r="C683" t="s">
        <v>1287</v>
      </c>
      <c r="D683">
        <v>55426007</v>
      </c>
      <c r="E683">
        <v>80943</v>
      </c>
      <c r="F683" t="s">
        <v>622</v>
      </c>
    </row>
    <row r="684" spans="2:6">
      <c r="B684">
        <v>92231</v>
      </c>
      <c r="C684" t="s">
        <v>1288</v>
      </c>
      <c r="D684">
        <v>55426015</v>
      </c>
      <c r="E684">
        <v>81550</v>
      </c>
      <c r="F684" t="s">
        <v>622</v>
      </c>
    </row>
    <row r="685" spans="2:6">
      <c r="B685">
        <v>91713</v>
      </c>
      <c r="C685" t="s">
        <v>1289</v>
      </c>
      <c r="D685">
        <v>55426004</v>
      </c>
      <c r="E685">
        <v>80123</v>
      </c>
      <c r="F685" t="s">
        <v>631</v>
      </c>
    </row>
    <row r="686" spans="2:6">
      <c r="B686">
        <v>76423</v>
      </c>
      <c r="C686" t="s">
        <v>1290</v>
      </c>
      <c r="D686">
        <v>55422001</v>
      </c>
      <c r="E686">
        <v>81415</v>
      </c>
      <c r="F686" t="s">
        <v>624</v>
      </c>
    </row>
    <row r="687" spans="2:6">
      <c r="B687">
        <v>79174</v>
      </c>
      <c r="C687" t="s">
        <v>1291</v>
      </c>
      <c r="D687">
        <v>55422507</v>
      </c>
      <c r="E687">
        <v>81221</v>
      </c>
      <c r="F687" t="s">
        <v>680</v>
      </c>
    </row>
    <row r="688" spans="2:6">
      <c r="B688">
        <v>85075</v>
      </c>
      <c r="C688" t="s">
        <v>1292</v>
      </c>
      <c r="D688">
        <v>55424014</v>
      </c>
      <c r="E688">
        <v>80523</v>
      </c>
      <c r="F688" t="s">
        <v>624</v>
      </c>
    </row>
    <row r="689" spans="2:6">
      <c r="B689">
        <v>88198</v>
      </c>
      <c r="C689" t="s">
        <v>1293</v>
      </c>
      <c r="D689">
        <v>55425004</v>
      </c>
      <c r="E689">
        <v>81165</v>
      </c>
      <c r="F689" t="s">
        <v>624</v>
      </c>
    </row>
    <row r="690" spans="2:6">
      <c r="B690">
        <v>92003</v>
      </c>
      <c r="C690" t="s">
        <v>1294</v>
      </c>
      <c r="D690">
        <v>55426009</v>
      </c>
      <c r="E690">
        <v>81054</v>
      </c>
      <c r="F690" t="s">
        <v>631</v>
      </c>
    </row>
    <row r="691" spans="2:6">
      <c r="B691">
        <v>91633</v>
      </c>
      <c r="C691" t="s">
        <v>1295</v>
      </c>
      <c r="D691">
        <v>55426002</v>
      </c>
      <c r="E691">
        <v>79808</v>
      </c>
      <c r="F691" t="s">
        <v>622</v>
      </c>
    </row>
    <row r="692" spans="2:6">
      <c r="B692">
        <v>92034</v>
      </c>
      <c r="C692" t="s">
        <v>1296</v>
      </c>
      <c r="D692">
        <v>55426010</v>
      </c>
      <c r="E692">
        <v>81164</v>
      </c>
      <c r="F692" t="s">
        <v>622</v>
      </c>
    </row>
    <row r="693" spans="2:6">
      <c r="B693">
        <v>90396</v>
      </c>
      <c r="C693" t="s">
        <v>1297</v>
      </c>
      <c r="D693">
        <v>55425509</v>
      </c>
      <c r="E693">
        <v>81536</v>
      </c>
      <c r="F693" t="s">
        <v>622</v>
      </c>
    </row>
    <row r="694" spans="2:6">
      <c r="B694">
        <v>86646</v>
      </c>
      <c r="C694" t="s">
        <v>1298</v>
      </c>
      <c r="D694">
        <v>55424503</v>
      </c>
      <c r="E694">
        <v>80777</v>
      </c>
      <c r="F694" t="s">
        <v>624</v>
      </c>
    </row>
    <row r="695" spans="2:6">
      <c r="B695">
        <v>91728</v>
      </c>
      <c r="C695" t="s">
        <v>1299</v>
      </c>
      <c r="D695">
        <v>55426006</v>
      </c>
      <c r="E695">
        <v>80721</v>
      </c>
      <c r="F695" t="s">
        <v>622</v>
      </c>
    </row>
    <row r="696" spans="2:6">
      <c r="B696">
        <v>92123</v>
      </c>
      <c r="C696" t="s">
        <v>1300</v>
      </c>
      <c r="D696">
        <v>55426014</v>
      </c>
      <c r="E696">
        <v>81528</v>
      </c>
      <c r="F696" t="s">
        <v>631</v>
      </c>
    </row>
    <row r="697" spans="2:6">
      <c r="B697">
        <v>86248</v>
      </c>
      <c r="C697" t="s">
        <v>1301</v>
      </c>
      <c r="D697">
        <v>55624503</v>
      </c>
      <c r="E697">
        <v>81034</v>
      </c>
      <c r="F697" t="s">
        <v>624</v>
      </c>
    </row>
    <row r="698" spans="2:6">
      <c r="B698">
        <v>80654</v>
      </c>
      <c r="C698" t="s">
        <v>1302</v>
      </c>
      <c r="D698">
        <v>55623011</v>
      </c>
      <c r="E698">
        <v>80475</v>
      </c>
      <c r="F698" t="s">
        <v>665</v>
      </c>
    </row>
    <row r="699" spans="2:6">
      <c r="B699">
        <v>86176</v>
      </c>
      <c r="C699" t="s">
        <v>1303</v>
      </c>
      <c r="D699">
        <v>55624509</v>
      </c>
      <c r="E699">
        <v>80559</v>
      </c>
      <c r="F699" t="s">
        <v>656</v>
      </c>
    </row>
    <row r="700" spans="2:6">
      <c r="B700">
        <v>88174</v>
      </c>
      <c r="C700" t="s">
        <v>1304</v>
      </c>
      <c r="D700">
        <v>55626001</v>
      </c>
      <c r="E700">
        <v>81532</v>
      </c>
      <c r="F700" t="s">
        <v>631</v>
      </c>
    </row>
    <row r="701" spans="2:6">
      <c r="B701">
        <v>76570</v>
      </c>
      <c r="C701" t="s">
        <v>1305</v>
      </c>
      <c r="D701">
        <v>55622003</v>
      </c>
      <c r="E701">
        <v>80966</v>
      </c>
      <c r="F701" t="s">
        <v>665</v>
      </c>
    </row>
    <row r="702" spans="2:6">
      <c r="B702">
        <v>81544</v>
      </c>
      <c r="C702" t="s">
        <v>1306</v>
      </c>
      <c r="D702">
        <v>55623031</v>
      </c>
      <c r="E702">
        <v>81044</v>
      </c>
      <c r="F702" t="s">
        <v>665</v>
      </c>
    </row>
    <row r="703" spans="2:6">
      <c r="B703">
        <v>88598</v>
      </c>
      <c r="C703" t="s">
        <v>1307</v>
      </c>
      <c r="D703">
        <v>55625011</v>
      </c>
      <c r="E703">
        <v>80404</v>
      </c>
      <c r="F703" t="s">
        <v>656</v>
      </c>
    </row>
    <row r="704" spans="2:6">
      <c r="B704">
        <v>80983</v>
      </c>
      <c r="C704" t="s">
        <v>1308</v>
      </c>
      <c r="D704">
        <v>55623018</v>
      </c>
      <c r="E704">
        <v>80479</v>
      </c>
      <c r="F704" t="s">
        <v>798</v>
      </c>
    </row>
    <row r="705" spans="2:6">
      <c r="B705">
        <v>77995</v>
      </c>
      <c r="C705" t="s">
        <v>1309</v>
      </c>
      <c r="D705">
        <v>55622029</v>
      </c>
      <c r="E705">
        <v>81704</v>
      </c>
      <c r="F705" t="s">
        <v>624</v>
      </c>
    </row>
    <row r="706" spans="2:6">
      <c r="B706">
        <v>77122</v>
      </c>
      <c r="C706" t="s">
        <v>1310</v>
      </c>
      <c r="D706">
        <v>55622016</v>
      </c>
      <c r="E706">
        <v>80772</v>
      </c>
      <c r="F706" t="s">
        <v>631</v>
      </c>
    </row>
    <row r="707" spans="2:6">
      <c r="B707">
        <v>80460</v>
      </c>
      <c r="C707" t="s">
        <v>1311</v>
      </c>
      <c r="D707">
        <v>55623009</v>
      </c>
      <c r="E707">
        <v>80476</v>
      </c>
      <c r="F707" t="s">
        <v>656</v>
      </c>
    </row>
    <row r="708" spans="2:6">
      <c r="B708">
        <v>80755</v>
      </c>
      <c r="C708" t="s">
        <v>1312</v>
      </c>
      <c r="D708">
        <v>55623013</v>
      </c>
      <c r="E708">
        <v>80077</v>
      </c>
      <c r="F708" t="s">
        <v>680</v>
      </c>
    </row>
    <row r="709" spans="2:6">
      <c r="B709">
        <v>92309</v>
      </c>
      <c r="C709" t="s">
        <v>1313</v>
      </c>
      <c r="D709">
        <v>55626019</v>
      </c>
      <c r="E709">
        <v>81635</v>
      </c>
      <c r="F709" t="s">
        <v>622</v>
      </c>
    </row>
    <row r="710" spans="2:6">
      <c r="B710">
        <v>88306</v>
      </c>
      <c r="C710" t="s">
        <v>1314</v>
      </c>
      <c r="D710">
        <v>55626012</v>
      </c>
      <c r="E710">
        <v>80894</v>
      </c>
      <c r="F710" t="s">
        <v>631</v>
      </c>
    </row>
    <row r="711" spans="2:6">
      <c r="B711">
        <v>92186</v>
      </c>
      <c r="C711" t="s">
        <v>1315</v>
      </c>
      <c r="D711">
        <v>55626018</v>
      </c>
      <c r="E711">
        <v>81500</v>
      </c>
      <c r="F711" t="s">
        <v>622</v>
      </c>
    </row>
    <row r="712" spans="2:6">
      <c r="B712">
        <v>77156</v>
      </c>
      <c r="C712" t="s">
        <v>1316</v>
      </c>
      <c r="D712">
        <v>55622015</v>
      </c>
      <c r="E712">
        <v>79961</v>
      </c>
      <c r="F712" t="s">
        <v>680</v>
      </c>
    </row>
    <row r="713" spans="2:6">
      <c r="B713">
        <v>84480</v>
      </c>
      <c r="C713" t="s">
        <v>1317</v>
      </c>
      <c r="D713">
        <v>55624008</v>
      </c>
      <c r="E713">
        <v>80455</v>
      </c>
      <c r="F713" t="s">
        <v>624</v>
      </c>
    </row>
    <row r="714" spans="2:6">
      <c r="B714">
        <v>85566</v>
      </c>
      <c r="C714" t="s">
        <v>1318</v>
      </c>
      <c r="D714">
        <v>55624033</v>
      </c>
      <c r="E714">
        <v>80343</v>
      </c>
      <c r="F714" t="s">
        <v>622</v>
      </c>
    </row>
    <row r="715" spans="2:6">
      <c r="B715">
        <v>86313</v>
      </c>
      <c r="C715" t="s">
        <v>1319</v>
      </c>
      <c r="D715">
        <v>55624505</v>
      </c>
      <c r="E715">
        <v>80608</v>
      </c>
      <c r="F715" t="s">
        <v>665</v>
      </c>
    </row>
    <row r="716" spans="2:6">
      <c r="B716">
        <v>88277</v>
      </c>
      <c r="C716" t="s">
        <v>1320</v>
      </c>
      <c r="D716">
        <v>55625004</v>
      </c>
      <c r="E716">
        <v>80798</v>
      </c>
      <c r="F716" t="s">
        <v>624</v>
      </c>
    </row>
    <row r="717" spans="2:6">
      <c r="B717">
        <v>80774</v>
      </c>
      <c r="C717" t="s">
        <v>1321</v>
      </c>
      <c r="D717">
        <v>55623014</v>
      </c>
      <c r="E717">
        <v>80165</v>
      </c>
      <c r="F717" t="s">
        <v>665</v>
      </c>
    </row>
    <row r="718" spans="2:6">
      <c r="B718">
        <v>90391</v>
      </c>
      <c r="C718" t="s">
        <v>1322</v>
      </c>
      <c r="D718">
        <v>55625508</v>
      </c>
      <c r="E718">
        <v>81115</v>
      </c>
      <c r="F718" t="s">
        <v>656</v>
      </c>
    </row>
    <row r="719" spans="2:6">
      <c r="B719">
        <v>90183</v>
      </c>
      <c r="C719" t="s">
        <v>1323</v>
      </c>
      <c r="D719">
        <v>55625507</v>
      </c>
      <c r="E719">
        <v>80518</v>
      </c>
      <c r="F719" t="s">
        <v>624</v>
      </c>
    </row>
    <row r="720" spans="2:6">
      <c r="B720">
        <v>85180</v>
      </c>
      <c r="C720" t="s">
        <v>1324</v>
      </c>
      <c r="D720">
        <v>55624025</v>
      </c>
      <c r="E720">
        <v>81231</v>
      </c>
      <c r="F720" t="s">
        <v>733</v>
      </c>
    </row>
    <row r="721" spans="2:6">
      <c r="B721">
        <v>92050</v>
      </c>
      <c r="C721" t="s">
        <v>1325</v>
      </c>
      <c r="D721">
        <v>55626016</v>
      </c>
      <c r="E721">
        <v>81104</v>
      </c>
      <c r="F721" t="s">
        <v>631</v>
      </c>
    </row>
    <row r="722" spans="2:6">
      <c r="B722">
        <v>84542</v>
      </c>
      <c r="C722" t="s">
        <v>1326</v>
      </c>
      <c r="D722">
        <v>55624010</v>
      </c>
      <c r="E722">
        <v>80786</v>
      </c>
      <c r="F722" t="s">
        <v>680</v>
      </c>
    </row>
    <row r="723" spans="2:6">
      <c r="B723">
        <v>91984</v>
      </c>
      <c r="C723" t="s">
        <v>1327</v>
      </c>
      <c r="D723">
        <v>55626011</v>
      </c>
      <c r="E723">
        <v>80747</v>
      </c>
      <c r="F723" t="s">
        <v>622</v>
      </c>
    </row>
    <row r="724" spans="2:6">
      <c r="B724">
        <v>91988</v>
      </c>
      <c r="C724" t="s">
        <v>1328</v>
      </c>
      <c r="D724">
        <v>55626014</v>
      </c>
      <c r="E724">
        <v>80941</v>
      </c>
      <c r="F724" t="s">
        <v>622</v>
      </c>
    </row>
    <row r="725" spans="2:6">
      <c r="B725">
        <v>82706</v>
      </c>
      <c r="C725" t="s">
        <v>1329</v>
      </c>
      <c r="D725">
        <v>55623505</v>
      </c>
      <c r="E725">
        <v>80592</v>
      </c>
      <c r="F725" t="s">
        <v>651</v>
      </c>
    </row>
    <row r="726" spans="2:6">
      <c r="B726">
        <v>91553</v>
      </c>
      <c r="C726" t="s">
        <v>1330</v>
      </c>
      <c r="D726">
        <v>55626003</v>
      </c>
      <c r="E726">
        <v>81579</v>
      </c>
      <c r="F726" t="s">
        <v>622</v>
      </c>
    </row>
    <row r="727" spans="2:6">
      <c r="B727">
        <v>80236</v>
      </c>
      <c r="C727" t="s">
        <v>1331</v>
      </c>
      <c r="D727">
        <v>55623003</v>
      </c>
      <c r="E727">
        <v>80633</v>
      </c>
      <c r="F727" t="s">
        <v>680</v>
      </c>
    </row>
    <row r="728" spans="2:6">
      <c r="B728">
        <v>84941</v>
      </c>
      <c r="C728" t="s">
        <v>1332</v>
      </c>
      <c r="D728">
        <v>55624020</v>
      </c>
      <c r="E728">
        <v>80004</v>
      </c>
      <c r="F728" t="s">
        <v>622</v>
      </c>
    </row>
    <row r="729" spans="2:6">
      <c r="B729">
        <v>90783</v>
      </c>
      <c r="C729" t="s">
        <v>1333</v>
      </c>
      <c r="D729">
        <v>55626005</v>
      </c>
      <c r="E729">
        <v>80532</v>
      </c>
      <c r="F729" t="s">
        <v>680</v>
      </c>
    </row>
    <row r="730" spans="2:6">
      <c r="B730">
        <v>89665</v>
      </c>
      <c r="C730" t="s">
        <v>1334</v>
      </c>
      <c r="D730">
        <v>55625501</v>
      </c>
      <c r="E730">
        <v>80836</v>
      </c>
      <c r="F730" t="s">
        <v>622</v>
      </c>
    </row>
    <row r="731" spans="2:6">
      <c r="B731">
        <v>91836</v>
      </c>
      <c r="C731" t="s">
        <v>1335</v>
      </c>
      <c r="D731">
        <v>55626010</v>
      </c>
      <c r="E731">
        <v>80707</v>
      </c>
      <c r="F731" t="s">
        <v>631</v>
      </c>
    </row>
    <row r="732" spans="2:6">
      <c r="B732">
        <v>77317</v>
      </c>
      <c r="C732" t="s">
        <v>1336</v>
      </c>
      <c r="D732">
        <v>55622018</v>
      </c>
      <c r="E732">
        <v>79998</v>
      </c>
      <c r="F732" t="s">
        <v>631</v>
      </c>
    </row>
    <row r="733" spans="2:6">
      <c r="B733">
        <v>84247</v>
      </c>
      <c r="C733" t="s">
        <v>1337</v>
      </c>
      <c r="D733">
        <v>55624004</v>
      </c>
      <c r="E733">
        <v>80746</v>
      </c>
      <c r="F733" t="s">
        <v>665</v>
      </c>
    </row>
    <row r="734" spans="2:6">
      <c r="B734">
        <v>91478</v>
      </c>
      <c r="C734" t="s">
        <v>1338</v>
      </c>
      <c r="D734">
        <v>55626007</v>
      </c>
      <c r="E734">
        <v>80111</v>
      </c>
      <c r="F734" t="s">
        <v>631</v>
      </c>
    </row>
    <row r="735" spans="2:6">
      <c r="B735">
        <v>88289</v>
      </c>
      <c r="C735" t="s">
        <v>1339</v>
      </c>
      <c r="D735">
        <v>55625006</v>
      </c>
      <c r="E735">
        <v>80083</v>
      </c>
      <c r="F735" t="s">
        <v>665</v>
      </c>
    </row>
    <row r="736" spans="2:6">
      <c r="B736">
        <v>88082</v>
      </c>
      <c r="C736" t="s">
        <v>1340</v>
      </c>
      <c r="D736">
        <v>55625002</v>
      </c>
      <c r="E736">
        <v>80051</v>
      </c>
      <c r="F736" t="s">
        <v>688</v>
      </c>
    </row>
    <row r="737" spans="2:6">
      <c r="B737">
        <v>91839</v>
      </c>
      <c r="C737" t="s">
        <v>1341</v>
      </c>
      <c r="D737">
        <v>55626009</v>
      </c>
      <c r="E737">
        <v>81312</v>
      </c>
      <c r="F737" t="s">
        <v>651</v>
      </c>
    </row>
    <row r="738" spans="2:6">
      <c r="B738">
        <v>82342</v>
      </c>
      <c r="C738" t="s">
        <v>1342</v>
      </c>
      <c r="D738">
        <v>55623501</v>
      </c>
      <c r="E738">
        <v>80536</v>
      </c>
      <c r="F738" t="s">
        <v>651</v>
      </c>
    </row>
    <row r="739" spans="2:6">
      <c r="B739">
        <v>75946</v>
      </c>
      <c r="C739" t="s">
        <v>1343</v>
      </c>
      <c r="D739">
        <v>55621505</v>
      </c>
      <c r="E739">
        <v>79955</v>
      </c>
      <c r="F739" t="s">
        <v>622</v>
      </c>
    </row>
    <row r="740" spans="2:6">
      <c r="B740">
        <v>75804</v>
      </c>
      <c r="C740" t="s">
        <v>1344</v>
      </c>
      <c r="D740">
        <v>55621503</v>
      </c>
      <c r="E740">
        <v>80937</v>
      </c>
      <c r="F740" t="s">
        <v>624</v>
      </c>
    </row>
    <row r="741" spans="2:6">
      <c r="B741">
        <v>92092</v>
      </c>
      <c r="C741" t="s">
        <v>1345</v>
      </c>
      <c r="D741">
        <v>55626015</v>
      </c>
      <c r="E741">
        <v>81050</v>
      </c>
      <c r="F741" t="s">
        <v>622</v>
      </c>
    </row>
    <row r="742" spans="2:6">
      <c r="B742">
        <v>78474</v>
      </c>
      <c r="C742" t="s">
        <v>1346</v>
      </c>
      <c r="D742">
        <v>55122501</v>
      </c>
      <c r="E742">
        <v>81027</v>
      </c>
      <c r="F742" t="s">
        <v>651</v>
      </c>
    </row>
    <row r="743" spans="2:6">
      <c r="B743">
        <v>88507</v>
      </c>
      <c r="C743" t="s">
        <v>1347</v>
      </c>
      <c r="D743">
        <v>88425003</v>
      </c>
      <c r="E743">
        <v>81239</v>
      </c>
      <c r="F743" t="s">
        <v>624</v>
      </c>
    </row>
    <row r="744" spans="2:6">
      <c r="B744">
        <v>87115</v>
      </c>
      <c r="C744" t="s">
        <v>1348</v>
      </c>
      <c r="D744">
        <v>88424501</v>
      </c>
      <c r="E744">
        <v>81134</v>
      </c>
      <c r="F744" t="s">
        <v>651</v>
      </c>
    </row>
    <row r="745" spans="2:6">
      <c r="B745">
        <v>88535</v>
      </c>
      <c r="C745" t="s">
        <v>1349</v>
      </c>
      <c r="D745">
        <v>88425004</v>
      </c>
      <c r="E745">
        <v>80652</v>
      </c>
      <c r="F745" t="s">
        <v>631</v>
      </c>
    </row>
    <row r="746" spans="2:6">
      <c r="B746">
        <v>78426</v>
      </c>
      <c r="C746" t="s">
        <v>1350</v>
      </c>
      <c r="D746">
        <v>88322501</v>
      </c>
      <c r="E746">
        <v>81252</v>
      </c>
      <c r="F746" t="s">
        <v>629</v>
      </c>
    </row>
    <row r="747" spans="2:6">
      <c r="B747">
        <v>85076</v>
      </c>
      <c r="C747" t="s">
        <v>1351</v>
      </c>
      <c r="D747">
        <v>88324011</v>
      </c>
      <c r="E747">
        <v>81180</v>
      </c>
      <c r="F747" t="s">
        <v>651</v>
      </c>
    </row>
    <row r="748" spans="2:6">
      <c r="B748">
        <v>80352</v>
      </c>
      <c r="C748" t="s">
        <v>1352</v>
      </c>
      <c r="D748">
        <v>88323001</v>
      </c>
      <c r="E748">
        <v>81321</v>
      </c>
      <c r="F748" t="s">
        <v>624</v>
      </c>
    </row>
    <row r="749" spans="2:6">
      <c r="B749">
        <v>91423</v>
      </c>
      <c r="C749" t="s">
        <v>1353</v>
      </c>
      <c r="D749">
        <v>66426077</v>
      </c>
      <c r="E749">
        <v>80133</v>
      </c>
      <c r="F749" t="s">
        <v>631</v>
      </c>
    </row>
    <row r="750" spans="2:6">
      <c r="B750">
        <v>70421</v>
      </c>
      <c r="C750" t="s">
        <v>1354</v>
      </c>
      <c r="D750">
        <v>66420048</v>
      </c>
      <c r="E750">
        <v>79674</v>
      </c>
      <c r="F750" t="s">
        <v>680</v>
      </c>
    </row>
    <row r="751" spans="2:6">
      <c r="B751">
        <v>88029</v>
      </c>
      <c r="C751" t="s">
        <v>1355</v>
      </c>
      <c r="D751">
        <v>66425156</v>
      </c>
      <c r="E751">
        <v>80416</v>
      </c>
      <c r="F751" t="s">
        <v>665</v>
      </c>
    </row>
    <row r="752" spans="2:6">
      <c r="B752">
        <v>82821</v>
      </c>
      <c r="C752" t="s">
        <v>1356</v>
      </c>
      <c r="D752">
        <v>66423618</v>
      </c>
      <c r="E752">
        <v>80015</v>
      </c>
      <c r="F752" t="s">
        <v>680</v>
      </c>
    </row>
    <row r="753" spans="2:6">
      <c r="B753">
        <v>88362</v>
      </c>
      <c r="C753" t="s">
        <v>1357</v>
      </c>
      <c r="D753">
        <v>66425505</v>
      </c>
      <c r="E753">
        <v>80342</v>
      </c>
      <c r="F753" t="s">
        <v>651</v>
      </c>
    </row>
    <row r="754" spans="2:6">
      <c r="B754">
        <v>91424</v>
      </c>
      <c r="C754" t="s">
        <v>1358</v>
      </c>
      <c r="D754">
        <v>66426028</v>
      </c>
      <c r="E754">
        <v>79681</v>
      </c>
      <c r="F754" t="s">
        <v>631</v>
      </c>
    </row>
    <row r="755" spans="2:6">
      <c r="B755">
        <v>73730</v>
      </c>
      <c r="C755" t="s">
        <v>1359</v>
      </c>
      <c r="D755">
        <v>66421179</v>
      </c>
      <c r="E755">
        <v>79659</v>
      </c>
      <c r="F755" t="s">
        <v>631</v>
      </c>
    </row>
    <row r="756" spans="2:6">
      <c r="B756">
        <v>91804</v>
      </c>
      <c r="C756" t="s">
        <v>1360</v>
      </c>
      <c r="D756">
        <v>66426098</v>
      </c>
      <c r="E756">
        <v>80887</v>
      </c>
      <c r="F756" t="s">
        <v>631</v>
      </c>
    </row>
    <row r="757" spans="2:6">
      <c r="B757">
        <v>80735</v>
      </c>
      <c r="C757" t="s">
        <v>1361</v>
      </c>
      <c r="D757">
        <v>66423116</v>
      </c>
      <c r="E757">
        <v>79871</v>
      </c>
      <c r="F757" t="s">
        <v>651</v>
      </c>
    </row>
    <row r="758" spans="2:6">
      <c r="B758">
        <v>79087</v>
      </c>
      <c r="C758" t="s">
        <v>1362</v>
      </c>
      <c r="D758">
        <v>66422618</v>
      </c>
      <c r="E758">
        <v>79899</v>
      </c>
      <c r="F758" t="s">
        <v>622</v>
      </c>
    </row>
    <row r="759" spans="2:6">
      <c r="B759">
        <v>89682</v>
      </c>
      <c r="C759" t="s">
        <v>1363</v>
      </c>
      <c r="D759">
        <v>66426031</v>
      </c>
      <c r="E759">
        <v>79607</v>
      </c>
      <c r="F759" t="s">
        <v>622</v>
      </c>
    </row>
    <row r="760" spans="2:6">
      <c r="B760">
        <v>73045</v>
      </c>
      <c r="C760" t="s">
        <v>1364</v>
      </c>
      <c r="D760">
        <v>66421120</v>
      </c>
      <c r="E760">
        <v>80292</v>
      </c>
      <c r="F760" t="s">
        <v>651</v>
      </c>
    </row>
    <row r="761" spans="2:6">
      <c r="B761">
        <v>90066</v>
      </c>
      <c r="C761" t="s">
        <v>1365</v>
      </c>
      <c r="D761">
        <v>66426105</v>
      </c>
      <c r="E761">
        <v>81541</v>
      </c>
      <c r="F761" t="s">
        <v>631</v>
      </c>
    </row>
    <row r="762" spans="2:6">
      <c r="B762">
        <v>74095</v>
      </c>
      <c r="C762" t="s">
        <v>1366</v>
      </c>
      <c r="D762">
        <v>66421210</v>
      </c>
      <c r="E762">
        <v>80150</v>
      </c>
      <c r="F762" t="s">
        <v>651</v>
      </c>
    </row>
    <row r="763" spans="2:6">
      <c r="B763">
        <v>88214</v>
      </c>
      <c r="C763" t="s">
        <v>1367</v>
      </c>
      <c r="D763">
        <v>66425064</v>
      </c>
      <c r="E763">
        <v>80152</v>
      </c>
      <c r="F763" t="s">
        <v>622</v>
      </c>
    </row>
    <row r="764" spans="2:6">
      <c r="B764">
        <v>77276</v>
      </c>
      <c r="C764" t="s">
        <v>1368</v>
      </c>
      <c r="D764">
        <v>66422153</v>
      </c>
      <c r="E764">
        <v>80635</v>
      </c>
      <c r="F764" t="s">
        <v>680</v>
      </c>
    </row>
    <row r="765" spans="2:6">
      <c r="B765">
        <v>81397</v>
      </c>
      <c r="C765" t="s">
        <v>1369</v>
      </c>
      <c r="D765">
        <v>66423195</v>
      </c>
      <c r="E765">
        <v>80465</v>
      </c>
      <c r="F765" t="s">
        <v>622</v>
      </c>
    </row>
    <row r="766" spans="2:6">
      <c r="B766">
        <v>92506</v>
      </c>
      <c r="C766" t="s">
        <v>1370</v>
      </c>
      <c r="D766">
        <v>66426112</v>
      </c>
      <c r="E766">
        <v>81825</v>
      </c>
      <c r="F766" t="s">
        <v>631</v>
      </c>
    </row>
    <row r="767" spans="2:6">
      <c r="B767">
        <v>91863</v>
      </c>
      <c r="C767" t="s">
        <v>1371</v>
      </c>
      <c r="D767">
        <v>66426096</v>
      </c>
      <c r="E767">
        <v>80758</v>
      </c>
      <c r="F767" t="s">
        <v>631</v>
      </c>
    </row>
    <row r="768" spans="2:6">
      <c r="B768">
        <v>91515</v>
      </c>
      <c r="C768" t="s">
        <v>1372</v>
      </c>
      <c r="D768">
        <v>66426047</v>
      </c>
      <c r="E768">
        <v>79803</v>
      </c>
      <c r="F768" t="s">
        <v>622</v>
      </c>
    </row>
    <row r="769" spans="2:6">
      <c r="B769">
        <v>92456</v>
      </c>
      <c r="C769" t="s">
        <v>1373</v>
      </c>
      <c r="D769">
        <v>66426115</v>
      </c>
      <c r="E769">
        <v>81862</v>
      </c>
      <c r="F769" t="s">
        <v>622</v>
      </c>
    </row>
    <row r="770" spans="2:6">
      <c r="B770">
        <v>88032</v>
      </c>
      <c r="C770" t="s">
        <v>1374</v>
      </c>
      <c r="D770">
        <v>66425039</v>
      </c>
      <c r="E770">
        <v>80363</v>
      </c>
      <c r="F770" t="s">
        <v>656</v>
      </c>
    </row>
    <row r="771" spans="2:6">
      <c r="B771">
        <v>91401</v>
      </c>
      <c r="C771" t="s">
        <v>1375</v>
      </c>
      <c r="D771">
        <v>66426048</v>
      </c>
      <c r="E771">
        <v>79805</v>
      </c>
      <c r="F771" t="s">
        <v>631</v>
      </c>
    </row>
    <row r="772" spans="2:6">
      <c r="B772">
        <v>86918</v>
      </c>
      <c r="C772" t="s">
        <v>1376</v>
      </c>
      <c r="D772">
        <v>66424632</v>
      </c>
      <c r="E772">
        <v>79980</v>
      </c>
      <c r="F772" t="s">
        <v>651</v>
      </c>
    </row>
    <row r="773" spans="2:6">
      <c r="B773">
        <v>81066</v>
      </c>
      <c r="C773" t="s">
        <v>1377</v>
      </c>
      <c r="D773">
        <v>66423158</v>
      </c>
      <c r="E773">
        <v>80794</v>
      </c>
      <c r="F773" t="s">
        <v>656</v>
      </c>
    </row>
    <row r="774" spans="2:6">
      <c r="B774">
        <v>78733</v>
      </c>
      <c r="C774" t="s">
        <v>1378</v>
      </c>
      <c r="D774">
        <v>66422555</v>
      </c>
      <c r="E774">
        <v>80712</v>
      </c>
      <c r="F774" t="s">
        <v>665</v>
      </c>
    </row>
    <row r="775" spans="2:6">
      <c r="B775">
        <v>87832</v>
      </c>
      <c r="C775" t="s">
        <v>1379</v>
      </c>
      <c r="D775">
        <v>66425017</v>
      </c>
      <c r="E775">
        <v>80383</v>
      </c>
      <c r="F775" t="s">
        <v>651</v>
      </c>
    </row>
    <row r="776" spans="2:6">
      <c r="B776">
        <v>91497</v>
      </c>
      <c r="C776" t="s">
        <v>1380</v>
      </c>
      <c r="D776">
        <v>66426056</v>
      </c>
      <c r="E776">
        <v>79840</v>
      </c>
      <c r="F776" t="s">
        <v>631</v>
      </c>
    </row>
    <row r="777" spans="2:6">
      <c r="B777">
        <v>91419</v>
      </c>
      <c r="C777" t="s">
        <v>1381</v>
      </c>
      <c r="D777">
        <v>66426020</v>
      </c>
      <c r="E777">
        <v>79643</v>
      </c>
      <c r="F777" t="s">
        <v>622</v>
      </c>
    </row>
    <row r="778" spans="2:6">
      <c r="B778">
        <v>73044</v>
      </c>
      <c r="C778" t="s">
        <v>1382</v>
      </c>
      <c r="D778">
        <v>66421005</v>
      </c>
      <c r="E778">
        <v>79662</v>
      </c>
      <c r="F778" t="s">
        <v>651</v>
      </c>
    </row>
    <row r="779" spans="2:6">
      <c r="B779">
        <v>91817</v>
      </c>
      <c r="C779" t="s">
        <v>1383</v>
      </c>
      <c r="D779">
        <v>66426101</v>
      </c>
      <c r="E779">
        <v>81185</v>
      </c>
      <c r="F779" t="s">
        <v>622</v>
      </c>
    </row>
    <row r="780" spans="2:6">
      <c r="B780">
        <v>91534</v>
      </c>
      <c r="C780" t="s">
        <v>1384</v>
      </c>
      <c r="D780">
        <v>66426029</v>
      </c>
      <c r="E780">
        <v>79682</v>
      </c>
      <c r="F780" t="s">
        <v>622</v>
      </c>
    </row>
    <row r="781" spans="2:6">
      <c r="B781">
        <v>91445</v>
      </c>
      <c r="C781" t="s">
        <v>1385</v>
      </c>
      <c r="D781">
        <v>66426049</v>
      </c>
      <c r="E781">
        <v>79806</v>
      </c>
      <c r="F781" t="s">
        <v>631</v>
      </c>
    </row>
    <row r="782" spans="2:6">
      <c r="B782">
        <v>92290</v>
      </c>
      <c r="C782" t="s">
        <v>1386</v>
      </c>
      <c r="D782">
        <v>66426106</v>
      </c>
      <c r="E782">
        <v>81620</v>
      </c>
      <c r="F782" t="s">
        <v>798</v>
      </c>
    </row>
    <row r="783" spans="2:6">
      <c r="B783">
        <v>91380</v>
      </c>
      <c r="C783" t="s">
        <v>1387</v>
      </c>
      <c r="D783">
        <v>66426010</v>
      </c>
      <c r="E783">
        <v>79688</v>
      </c>
      <c r="F783" t="s">
        <v>656</v>
      </c>
    </row>
    <row r="784" spans="2:6">
      <c r="B784">
        <v>90302</v>
      </c>
      <c r="C784" t="s">
        <v>1388</v>
      </c>
      <c r="D784">
        <v>66425606</v>
      </c>
      <c r="E784">
        <v>79968</v>
      </c>
      <c r="F784" t="s">
        <v>798</v>
      </c>
    </row>
    <row r="785" spans="2:6">
      <c r="B785">
        <v>90136</v>
      </c>
      <c r="C785" t="s">
        <v>1389</v>
      </c>
      <c r="D785">
        <v>66425590</v>
      </c>
      <c r="E785">
        <v>79996</v>
      </c>
      <c r="F785" t="s">
        <v>1390</v>
      </c>
    </row>
    <row r="786" spans="2:6">
      <c r="B786">
        <v>78344</v>
      </c>
      <c r="C786" t="s">
        <v>1391</v>
      </c>
      <c r="D786">
        <v>66422503</v>
      </c>
      <c r="E786">
        <v>79979</v>
      </c>
      <c r="F786" t="s">
        <v>631</v>
      </c>
    </row>
    <row r="787" spans="2:6">
      <c r="B787">
        <v>91295</v>
      </c>
      <c r="C787" t="s">
        <v>1392</v>
      </c>
      <c r="D787">
        <v>66426030</v>
      </c>
      <c r="E787">
        <v>79685</v>
      </c>
      <c r="F787" t="s">
        <v>631</v>
      </c>
    </row>
    <row r="788" spans="2:6">
      <c r="B788">
        <v>76421</v>
      </c>
      <c r="C788" t="s">
        <v>1393</v>
      </c>
      <c r="D788">
        <v>66422043</v>
      </c>
      <c r="E788">
        <v>80851</v>
      </c>
      <c r="F788" t="s">
        <v>622</v>
      </c>
    </row>
    <row r="789" spans="2:6">
      <c r="B789">
        <v>91307</v>
      </c>
      <c r="C789" t="s">
        <v>1394</v>
      </c>
      <c r="D789">
        <v>66426008</v>
      </c>
      <c r="E789">
        <v>79633</v>
      </c>
      <c r="F789" t="s">
        <v>665</v>
      </c>
    </row>
    <row r="790" spans="2:6">
      <c r="B790">
        <v>91345</v>
      </c>
      <c r="C790" t="s">
        <v>1395</v>
      </c>
      <c r="D790">
        <v>66426043</v>
      </c>
      <c r="E790">
        <v>79738</v>
      </c>
      <c r="F790" t="s">
        <v>631</v>
      </c>
    </row>
    <row r="791" spans="2:6">
      <c r="B791">
        <v>86631</v>
      </c>
      <c r="C791" t="s">
        <v>1396</v>
      </c>
      <c r="D791">
        <v>66424589</v>
      </c>
      <c r="E791">
        <v>80574</v>
      </c>
      <c r="F791" t="s">
        <v>656</v>
      </c>
    </row>
    <row r="792" spans="2:6">
      <c r="B792">
        <v>84204</v>
      </c>
      <c r="C792" t="s">
        <v>1397</v>
      </c>
      <c r="D792">
        <v>66424535</v>
      </c>
      <c r="E792">
        <v>79828</v>
      </c>
      <c r="F792" t="s">
        <v>622</v>
      </c>
    </row>
    <row r="793" spans="2:6">
      <c r="B793">
        <v>77220</v>
      </c>
      <c r="C793" t="s">
        <v>1398</v>
      </c>
      <c r="D793">
        <v>66422154</v>
      </c>
      <c r="E793">
        <v>81406</v>
      </c>
      <c r="F793" t="s">
        <v>651</v>
      </c>
    </row>
    <row r="794" spans="2:6">
      <c r="B794">
        <v>76456</v>
      </c>
      <c r="C794" t="s">
        <v>1399</v>
      </c>
      <c r="D794">
        <v>66422018</v>
      </c>
      <c r="E794">
        <v>80115</v>
      </c>
      <c r="F794" t="s">
        <v>964</v>
      </c>
    </row>
    <row r="795" spans="2:6">
      <c r="B795">
        <v>91490</v>
      </c>
      <c r="C795" t="s">
        <v>1400</v>
      </c>
      <c r="D795">
        <v>66426018</v>
      </c>
      <c r="E795">
        <v>79639</v>
      </c>
      <c r="F795" t="s">
        <v>622</v>
      </c>
    </row>
    <row r="796" spans="2:6">
      <c r="B796">
        <v>89973</v>
      </c>
      <c r="C796" t="s">
        <v>1401</v>
      </c>
      <c r="D796">
        <v>66425551</v>
      </c>
      <c r="E796">
        <v>80090</v>
      </c>
      <c r="F796" t="s">
        <v>622</v>
      </c>
    </row>
    <row r="797" spans="2:6">
      <c r="B797">
        <v>78412</v>
      </c>
      <c r="C797" t="s">
        <v>1402</v>
      </c>
      <c r="D797">
        <v>66422519</v>
      </c>
      <c r="E797">
        <v>81204</v>
      </c>
      <c r="F797" t="s">
        <v>651</v>
      </c>
    </row>
    <row r="798" spans="2:6">
      <c r="B798">
        <v>89686</v>
      </c>
      <c r="C798" t="s">
        <v>1403</v>
      </c>
      <c r="D798">
        <v>66425545</v>
      </c>
      <c r="E798">
        <v>80807</v>
      </c>
      <c r="F798" t="s">
        <v>622</v>
      </c>
    </row>
    <row r="799" spans="2:6">
      <c r="B799">
        <v>87847</v>
      </c>
      <c r="C799" t="s">
        <v>1404</v>
      </c>
      <c r="D799">
        <v>66425067</v>
      </c>
      <c r="E799">
        <v>80277</v>
      </c>
      <c r="F799" t="s">
        <v>680</v>
      </c>
    </row>
    <row r="800" spans="2:6">
      <c r="B800">
        <v>91333</v>
      </c>
      <c r="C800" t="s">
        <v>1405</v>
      </c>
      <c r="D800">
        <v>66426055</v>
      </c>
      <c r="E800">
        <v>81915</v>
      </c>
      <c r="F800" t="s">
        <v>622</v>
      </c>
    </row>
    <row r="801" spans="2:6">
      <c r="B801">
        <v>76846</v>
      </c>
      <c r="C801" t="s">
        <v>1406</v>
      </c>
      <c r="D801">
        <v>66422046</v>
      </c>
      <c r="E801">
        <v>80411</v>
      </c>
      <c r="F801" t="s">
        <v>798</v>
      </c>
    </row>
    <row r="802" spans="2:6">
      <c r="B802">
        <v>91337</v>
      </c>
      <c r="C802" t="s">
        <v>1407</v>
      </c>
      <c r="D802">
        <v>66426057</v>
      </c>
      <c r="E802">
        <v>79842</v>
      </c>
      <c r="F802" t="s">
        <v>631</v>
      </c>
    </row>
    <row r="803" spans="2:6">
      <c r="B803">
        <v>84161</v>
      </c>
      <c r="C803" t="s">
        <v>1408</v>
      </c>
      <c r="D803">
        <v>66424054</v>
      </c>
      <c r="E803">
        <v>80385</v>
      </c>
      <c r="F803" t="s">
        <v>651</v>
      </c>
    </row>
    <row r="804" spans="2:6">
      <c r="B804">
        <v>76524</v>
      </c>
      <c r="C804" t="s">
        <v>1409</v>
      </c>
      <c r="D804">
        <v>66422015</v>
      </c>
      <c r="E804">
        <v>80087</v>
      </c>
      <c r="F804" t="s">
        <v>651</v>
      </c>
    </row>
    <row r="805" spans="2:6">
      <c r="B805">
        <v>91261</v>
      </c>
      <c r="C805" t="s">
        <v>1410</v>
      </c>
      <c r="D805">
        <v>66426011</v>
      </c>
      <c r="E805">
        <v>79622</v>
      </c>
      <c r="F805" t="s">
        <v>631</v>
      </c>
    </row>
    <row r="806" spans="2:6">
      <c r="B806">
        <v>91797</v>
      </c>
      <c r="C806" t="s">
        <v>1411</v>
      </c>
      <c r="D806">
        <v>66426090</v>
      </c>
      <c r="E806">
        <v>80634</v>
      </c>
      <c r="F806" t="s">
        <v>798</v>
      </c>
    </row>
    <row r="807" spans="2:6">
      <c r="B807">
        <v>89720</v>
      </c>
      <c r="C807" t="s">
        <v>1412</v>
      </c>
      <c r="D807">
        <v>66426021</v>
      </c>
      <c r="E807">
        <v>79644</v>
      </c>
      <c r="F807" t="s">
        <v>622</v>
      </c>
    </row>
    <row r="808" spans="2:6">
      <c r="B808">
        <v>91377</v>
      </c>
      <c r="C808" t="s">
        <v>1413</v>
      </c>
      <c r="D808">
        <v>66426073</v>
      </c>
      <c r="E808">
        <v>80357</v>
      </c>
      <c r="F808" t="s">
        <v>798</v>
      </c>
    </row>
    <row r="809" spans="2:6">
      <c r="B809">
        <v>84996</v>
      </c>
      <c r="C809" t="s">
        <v>1414</v>
      </c>
      <c r="D809">
        <v>66424168</v>
      </c>
      <c r="E809">
        <v>79922</v>
      </c>
      <c r="F809" t="s">
        <v>665</v>
      </c>
    </row>
    <row r="810" spans="2:6">
      <c r="B810">
        <v>71732</v>
      </c>
      <c r="C810" t="s">
        <v>1415</v>
      </c>
      <c r="D810">
        <v>66420511</v>
      </c>
      <c r="E810">
        <v>79641</v>
      </c>
      <c r="F810" t="s">
        <v>665</v>
      </c>
    </row>
    <row r="811" spans="2:6">
      <c r="B811">
        <v>91342</v>
      </c>
      <c r="C811" t="s">
        <v>1416</v>
      </c>
      <c r="D811">
        <v>66426026</v>
      </c>
      <c r="E811">
        <v>79677</v>
      </c>
      <c r="F811" t="s">
        <v>651</v>
      </c>
    </row>
    <row r="812" spans="2:6">
      <c r="B812">
        <v>88327</v>
      </c>
      <c r="C812" t="s">
        <v>1417</v>
      </c>
      <c r="D812">
        <v>66425082</v>
      </c>
      <c r="E812">
        <v>80435</v>
      </c>
      <c r="F812" t="s">
        <v>680</v>
      </c>
    </row>
    <row r="813" spans="2:6">
      <c r="B813">
        <v>81153</v>
      </c>
      <c r="C813" t="s">
        <v>1418</v>
      </c>
      <c r="D813">
        <v>66423171</v>
      </c>
      <c r="E813">
        <v>79856</v>
      </c>
      <c r="F813" t="s">
        <v>665</v>
      </c>
    </row>
    <row r="814" spans="2:6">
      <c r="B814">
        <v>86908</v>
      </c>
      <c r="C814" t="s">
        <v>1419</v>
      </c>
      <c r="D814">
        <v>66424636</v>
      </c>
      <c r="E814">
        <v>80994</v>
      </c>
      <c r="F814" t="s">
        <v>665</v>
      </c>
    </row>
    <row r="815" spans="2:6">
      <c r="B815">
        <v>80439</v>
      </c>
      <c r="C815" t="s">
        <v>1420</v>
      </c>
      <c r="D815">
        <v>66423067</v>
      </c>
      <c r="E815">
        <v>79910</v>
      </c>
      <c r="F815" t="s">
        <v>651</v>
      </c>
    </row>
    <row r="816" spans="2:6">
      <c r="B816">
        <v>90120</v>
      </c>
      <c r="C816" t="s">
        <v>1421</v>
      </c>
      <c r="D816">
        <v>66425579</v>
      </c>
      <c r="E816">
        <v>80728</v>
      </c>
      <c r="F816" t="s">
        <v>622</v>
      </c>
    </row>
    <row r="817" spans="2:6">
      <c r="B817">
        <v>87968</v>
      </c>
      <c r="C817" t="s">
        <v>1422</v>
      </c>
      <c r="D817">
        <v>66425050</v>
      </c>
      <c r="E817">
        <v>80463</v>
      </c>
      <c r="F817" t="s">
        <v>665</v>
      </c>
    </row>
    <row r="818" spans="2:6">
      <c r="B818">
        <v>89714</v>
      </c>
      <c r="C818" t="s">
        <v>1423</v>
      </c>
      <c r="D818">
        <v>66425523</v>
      </c>
      <c r="E818">
        <v>80660</v>
      </c>
      <c r="F818" t="s">
        <v>651</v>
      </c>
    </row>
    <row r="819" spans="2:6">
      <c r="B819">
        <v>88078</v>
      </c>
      <c r="C819" t="s">
        <v>1424</v>
      </c>
      <c r="D819">
        <v>66425047</v>
      </c>
      <c r="E819">
        <v>80996</v>
      </c>
      <c r="F819" t="s">
        <v>651</v>
      </c>
    </row>
    <row r="820" spans="2:6">
      <c r="B820">
        <v>84306</v>
      </c>
      <c r="C820" t="s">
        <v>1425</v>
      </c>
      <c r="D820">
        <v>66424058</v>
      </c>
      <c r="E820">
        <v>80010</v>
      </c>
      <c r="F820" t="s">
        <v>798</v>
      </c>
    </row>
    <row r="821" spans="2:6">
      <c r="B821">
        <v>77989</v>
      </c>
      <c r="C821" t="s">
        <v>1426</v>
      </c>
      <c r="D821">
        <v>66422203</v>
      </c>
      <c r="E821">
        <v>80096</v>
      </c>
      <c r="F821" t="s">
        <v>656</v>
      </c>
    </row>
    <row r="822" spans="2:6">
      <c r="B822">
        <v>91338</v>
      </c>
      <c r="C822" t="s">
        <v>1427</v>
      </c>
      <c r="D822">
        <v>66426034</v>
      </c>
      <c r="E822">
        <v>79711</v>
      </c>
      <c r="F822" t="s">
        <v>631</v>
      </c>
    </row>
    <row r="823" spans="2:6">
      <c r="B823">
        <v>73059</v>
      </c>
      <c r="C823" t="s">
        <v>1428</v>
      </c>
      <c r="D823">
        <v>66421010</v>
      </c>
      <c r="E823">
        <v>79664</v>
      </c>
      <c r="F823" t="s">
        <v>680</v>
      </c>
    </row>
    <row r="824" spans="2:6">
      <c r="B824">
        <v>89667</v>
      </c>
      <c r="C824" t="s">
        <v>1429</v>
      </c>
      <c r="D824">
        <v>66425509</v>
      </c>
      <c r="E824">
        <v>80032</v>
      </c>
      <c r="F824" t="s">
        <v>622</v>
      </c>
    </row>
    <row r="825" spans="2:6">
      <c r="B825">
        <v>91387</v>
      </c>
      <c r="C825" t="s">
        <v>1430</v>
      </c>
      <c r="D825">
        <v>66426044</v>
      </c>
      <c r="E825">
        <v>81247</v>
      </c>
      <c r="F825" t="s">
        <v>733</v>
      </c>
    </row>
    <row r="826" spans="2:6">
      <c r="B826">
        <v>89882</v>
      </c>
      <c r="C826" t="s">
        <v>1431</v>
      </c>
      <c r="D826">
        <v>66426019</v>
      </c>
      <c r="E826">
        <v>79640</v>
      </c>
      <c r="F826" t="s">
        <v>631</v>
      </c>
    </row>
    <row r="827" spans="2:6">
      <c r="B827">
        <v>88126</v>
      </c>
      <c r="C827" t="s">
        <v>1432</v>
      </c>
      <c r="D827">
        <v>66425063</v>
      </c>
      <c r="E827">
        <v>80419</v>
      </c>
      <c r="F827" t="s">
        <v>622</v>
      </c>
    </row>
    <row r="828" spans="2:6">
      <c r="B828">
        <v>91355</v>
      </c>
      <c r="C828" t="s">
        <v>1433</v>
      </c>
      <c r="D828">
        <v>66426078</v>
      </c>
      <c r="E828">
        <v>80137</v>
      </c>
      <c r="F828" t="s">
        <v>631</v>
      </c>
    </row>
    <row r="829" spans="2:6">
      <c r="B829">
        <v>88308</v>
      </c>
      <c r="C829" t="s">
        <v>1434</v>
      </c>
      <c r="D829">
        <v>66425138</v>
      </c>
      <c r="E829">
        <v>80235</v>
      </c>
      <c r="F829" t="s">
        <v>798</v>
      </c>
    </row>
    <row r="830" spans="2:6">
      <c r="B830">
        <v>87955</v>
      </c>
      <c r="C830" t="s">
        <v>1435</v>
      </c>
      <c r="D830">
        <v>66425034</v>
      </c>
      <c r="E830">
        <v>81194</v>
      </c>
      <c r="F830" t="s">
        <v>656</v>
      </c>
    </row>
    <row r="831" spans="2:6">
      <c r="B831">
        <v>84482</v>
      </c>
      <c r="C831" t="s">
        <v>1436</v>
      </c>
      <c r="D831">
        <v>66424102</v>
      </c>
      <c r="E831">
        <v>81181</v>
      </c>
      <c r="F831" t="s">
        <v>680</v>
      </c>
    </row>
    <row r="832" spans="2:6">
      <c r="B832">
        <v>91645</v>
      </c>
      <c r="C832" t="s">
        <v>1437</v>
      </c>
      <c r="D832">
        <v>66426062</v>
      </c>
      <c r="E832">
        <v>79885</v>
      </c>
      <c r="F832" t="s">
        <v>622</v>
      </c>
    </row>
    <row r="833" spans="2:6">
      <c r="B833">
        <v>81048</v>
      </c>
      <c r="C833" t="s">
        <v>1438</v>
      </c>
      <c r="D833">
        <v>66423164</v>
      </c>
      <c r="E833">
        <v>79914</v>
      </c>
      <c r="F833" t="s">
        <v>665</v>
      </c>
    </row>
    <row r="834" spans="2:6">
      <c r="B834">
        <v>91310</v>
      </c>
      <c r="C834" t="s">
        <v>1439</v>
      </c>
      <c r="D834">
        <v>66426060</v>
      </c>
      <c r="E834">
        <v>79881</v>
      </c>
      <c r="F834" t="s">
        <v>656</v>
      </c>
    </row>
    <row r="835" spans="2:6">
      <c r="B835">
        <v>73271</v>
      </c>
      <c r="C835" t="s">
        <v>1440</v>
      </c>
      <c r="D835">
        <v>66421063</v>
      </c>
      <c r="E835">
        <v>79660</v>
      </c>
      <c r="F835" t="s">
        <v>651</v>
      </c>
    </row>
    <row r="836" spans="2:6">
      <c r="B836">
        <v>90222</v>
      </c>
      <c r="C836" t="s">
        <v>1441</v>
      </c>
      <c r="D836">
        <v>66425611</v>
      </c>
      <c r="E836">
        <v>81053</v>
      </c>
      <c r="F836" t="s">
        <v>631</v>
      </c>
    </row>
    <row r="837" spans="2:6">
      <c r="B837">
        <v>89754</v>
      </c>
      <c r="C837" t="s">
        <v>1442</v>
      </c>
      <c r="D837">
        <v>66425539</v>
      </c>
      <c r="E837">
        <v>80547</v>
      </c>
      <c r="F837" t="s">
        <v>622</v>
      </c>
    </row>
    <row r="838" spans="2:6">
      <c r="B838">
        <v>90037</v>
      </c>
      <c r="C838" t="s">
        <v>1443</v>
      </c>
      <c r="D838">
        <v>66425569</v>
      </c>
      <c r="E838">
        <v>80657</v>
      </c>
      <c r="F838" t="s">
        <v>631</v>
      </c>
    </row>
    <row r="839" spans="2:6">
      <c r="B839">
        <v>91600</v>
      </c>
      <c r="C839" t="s">
        <v>1444</v>
      </c>
      <c r="D839">
        <v>66426072</v>
      </c>
      <c r="E839">
        <v>80013</v>
      </c>
      <c r="F839" t="s">
        <v>631</v>
      </c>
    </row>
    <row r="840" spans="2:6">
      <c r="B840">
        <v>85147</v>
      </c>
      <c r="C840" t="s">
        <v>1445</v>
      </c>
      <c r="D840">
        <v>66424186</v>
      </c>
      <c r="E840">
        <v>81368</v>
      </c>
      <c r="F840" t="s">
        <v>1446</v>
      </c>
    </row>
    <row r="841" spans="2:6">
      <c r="B841">
        <v>92627</v>
      </c>
      <c r="C841" t="s">
        <v>1447</v>
      </c>
      <c r="D841">
        <v>66426117</v>
      </c>
      <c r="E841">
        <v>81884</v>
      </c>
      <c r="F841" t="s">
        <v>631</v>
      </c>
    </row>
    <row r="842" spans="2:6">
      <c r="B842">
        <v>71880</v>
      </c>
      <c r="C842" t="s">
        <v>1448</v>
      </c>
      <c r="D842">
        <v>66420553</v>
      </c>
      <c r="E842">
        <v>79663</v>
      </c>
      <c r="F842" t="s">
        <v>680</v>
      </c>
    </row>
    <row r="843" spans="2:6">
      <c r="B843">
        <v>92286</v>
      </c>
      <c r="C843" t="s">
        <v>1449</v>
      </c>
      <c r="D843">
        <v>66426103</v>
      </c>
      <c r="E843">
        <v>81477</v>
      </c>
      <c r="F843" t="s">
        <v>631</v>
      </c>
    </row>
    <row r="844" spans="2:6">
      <c r="B844">
        <v>89683</v>
      </c>
      <c r="C844" t="s">
        <v>1450</v>
      </c>
      <c r="D844">
        <v>66426002</v>
      </c>
      <c r="E844">
        <v>79613</v>
      </c>
      <c r="F844" t="s">
        <v>631</v>
      </c>
    </row>
    <row r="845" spans="2:6">
      <c r="B845">
        <v>73623</v>
      </c>
      <c r="C845" t="s">
        <v>1451</v>
      </c>
      <c r="D845">
        <v>66421156</v>
      </c>
      <c r="E845">
        <v>79665</v>
      </c>
      <c r="F845" t="s">
        <v>680</v>
      </c>
    </row>
    <row r="846" spans="2:6">
      <c r="B846">
        <v>91317</v>
      </c>
      <c r="C846" t="s">
        <v>1452</v>
      </c>
      <c r="D846">
        <v>66426054</v>
      </c>
      <c r="E846">
        <v>79849</v>
      </c>
      <c r="F846" t="s">
        <v>651</v>
      </c>
    </row>
    <row r="847" spans="2:6">
      <c r="B847">
        <v>91443</v>
      </c>
      <c r="C847" t="s">
        <v>1453</v>
      </c>
      <c r="D847">
        <v>66426110</v>
      </c>
      <c r="E847">
        <v>81729</v>
      </c>
      <c r="F847" t="s">
        <v>733</v>
      </c>
    </row>
    <row r="848" spans="2:6">
      <c r="B848">
        <v>91727</v>
      </c>
      <c r="C848" t="s">
        <v>1454</v>
      </c>
      <c r="D848">
        <v>66426092</v>
      </c>
      <c r="E848">
        <v>80650</v>
      </c>
      <c r="F848" t="s">
        <v>631</v>
      </c>
    </row>
    <row r="849" spans="2:6">
      <c r="B849">
        <v>91574</v>
      </c>
      <c r="C849" t="s">
        <v>1455</v>
      </c>
      <c r="D849">
        <v>66426089</v>
      </c>
      <c r="E849">
        <v>81357</v>
      </c>
      <c r="F849" t="s">
        <v>798</v>
      </c>
    </row>
    <row r="850" spans="2:6">
      <c r="B850">
        <v>90474</v>
      </c>
      <c r="C850" t="s">
        <v>1456</v>
      </c>
      <c r="D850">
        <v>66425616</v>
      </c>
      <c r="E850">
        <v>79956</v>
      </c>
      <c r="F850" t="s">
        <v>631</v>
      </c>
    </row>
    <row r="851" spans="2:6">
      <c r="B851">
        <v>82585</v>
      </c>
      <c r="C851" t="s">
        <v>1457</v>
      </c>
      <c r="D851">
        <v>66423539</v>
      </c>
      <c r="E851">
        <v>80407</v>
      </c>
      <c r="F851" t="s">
        <v>656</v>
      </c>
    </row>
    <row r="852" spans="2:6">
      <c r="B852">
        <v>80651</v>
      </c>
      <c r="C852" t="s">
        <v>1458</v>
      </c>
      <c r="D852">
        <v>66423102</v>
      </c>
      <c r="E852">
        <v>80539</v>
      </c>
      <c r="F852" t="s">
        <v>703</v>
      </c>
    </row>
    <row r="853" spans="2:6">
      <c r="B853">
        <v>91550</v>
      </c>
      <c r="C853" t="s">
        <v>1459</v>
      </c>
      <c r="D853">
        <v>66426052</v>
      </c>
      <c r="E853">
        <v>79836</v>
      </c>
      <c r="F853" t="s">
        <v>631</v>
      </c>
    </row>
    <row r="854" spans="2:6">
      <c r="B854">
        <v>85156</v>
      </c>
      <c r="C854" t="s">
        <v>1460</v>
      </c>
      <c r="D854">
        <v>66424201</v>
      </c>
      <c r="E854">
        <v>80529</v>
      </c>
      <c r="F854" t="s">
        <v>651</v>
      </c>
    </row>
    <row r="855" spans="2:6">
      <c r="B855">
        <v>73651</v>
      </c>
      <c r="C855" t="s">
        <v>1461</v>
      </c>
      <c r="D855">
        <v>66421153</v>
      </c>
      <c r="E855">
        <v>79661</v>
      </c>
      <c r="F855" t="s">
        <v>651</v>
      </c>
    </row>
    <row r="856" spans="2:6">
      <c r="B856">
        <v>91293</v>
      </c>
      <c r="C856" t="s">
        <v>1462</v>
      </c>
      <c r="D856">
        <v>66426012</v>
      </c>
      <c r="E856">
        <v>79705</v>
      </c>
      <c r="F856" t="s">
        <v>986</v>
      </c>
    </row>
    <row r="857" spans="2:6">
      <c r="B857">
        <v>91362</v>
      </c>
      <c r="C857" t="s">
        <v>1463</v>
      </c>
      <c r="D857">
        <v>66426038</v>
      </c>
      <c r="E857">
        <v>79728</v>
      </c>
      <c r="F857" t="s">
        <v>631</v>
      </c>
    </row>
    <row r="858" spans="2:6">
      <c r="B858">
        <v>91425</v>
      </c>
      <c r="C858" t="s">
        <v>1464</v>
      </c>
      <c r="D858">
        <v>66426025</v>
      </c>
      <c r="E858">
        <v>79670</v>
      </c>
      <c r="F858" t="s">
        <v>622</v>
      </c>
    </row>
    <row r="859" spans="2:6">
      <c r="B859">
        <v>85672</v>
      </c>
      <c r="C859" t="s">
        <v>1465</v>
      </c>
      <c r="D859">
        <v>66424233</v>
      </c>
      <c r="E859">
        <v>80360</v>
      </c>
      <c r="F859" t="s">
        <v>651</v>
      </c>
    </row>
    <row r="860" spans="2:6">
      <c r="B860">
        <v>84771</v>
      </c>
      <c r="C860" t="s">
        <v>1466</v>
      </c>
      <c r="D860">
        <v>66424171</v>
      </c>
      <c r="E860">
        <v>80034</v>
      </c>
      <c r="F860" t="s">
        <v>665</v>
      </c>
    </row>
    <row r="861" spans="2:6">
      <c r="B861">
        <v>91234</v>
      </c>
      <c r="C861" t="s">
        <v>1467</v>
      </c>
      <c r="D861">
        <v>66426013</v>
      </c>
      <c r="E861">
        <v>79623</v>
      </c>
      <c r="F861" t="s">
        <v>631</v>
      </c>
    </row>
    <row r="862" spans="2:6">
      <c r="B862">
        <v>90121</v>
      </c>
      <c r="C862" t="s">
        <v>1468</v>
      </c>
      <c r="D862">
        <v>66425595</v>
      </c>
      <c r="E862">
        <v>80805</v>
      </c>
      <c r="F862" t="s">
        <v>622</v>
      </c>
    </row>
    <row r="863" spans="2:6">
      <c r="B863">
        <v>89703</v>
      </c>
      <c r="C863" t="s">
        <v>1469</v>
      </c>
      <c r="D863">
        <v>66425593</v>
      </c>
      <c r="E863">
        <v>81433</v>
      </c>
      <c r="F863" t="s">
        <v>622</v>
      </c>
    </row>
    <row r="864" spans="2:6">
      <c r="B864">
        <v>91537</v>
      </c>
      <c r="C864" t="s">
        <v>1470</v>
      </c>
      <c r="D864">
        <v>66426037</v>
      </c>
      <c r="E864">
        <v>79718</v>
      </c>
      <c r="F864" t="s">
        <v>631</v>
      </c>
    </row>
    <row r="865" spans="2:6">
      <c r="B865">
        <v>92292</v>
      </c>
      <c r="C865" t="s">
        <v>1471</v>
      </c>
      <c r="D865">
        <v>66426109</v>
      </c>
      <c r="E865">
        <v>81702</v>
      </c>
      <c r="F865" t="s">
        <v>631</v>
      </c>
    </row>
    <row r="866" spans="2:6">
      <c r="B866">
        <v>89742</v>
      </c>
      <c r="C866" t="s">
        <v>1472</v>
      </c>
      <c r="D866">
        <v>66425535</v>
      </c>
      <c r="E866">
        <v>80164</v>
      </c>
      <c r="F866" t="s">
        <v>665</v>
      </c>
    </row>
    <row r="867" spans="2:6">
      <c r="B867">
        <v>77127</v>
      </c>
      <c r="C867" t="s">
        <v>1473</v>
      </c>
      <c r="D867">
        <v>66422123</v>
      </c>
      <c r="E867">
        <v>80086</v>
      </c>
      <c r="F867" t="s">
        <v>651</v>
      </c>
    </row>
    <row r="868" spans="2:6">
      <c r="B868">
        <v>91721</v>
      </c>
      <c r="C868" t="s">
        <v>1474</v>
      </c>
      <c r="D868">
        <v>66426082</v>
      </c>
      <c r="E868">
        <v>80541</v>
      </c>
      <c r="F868" t="s">
        <v>622</v>
      </c>
    </row>
    <row r="869" spans="2:6">
      <c r="B869">
        <v>80780</v>
      </c>
      <c r="C869" t="s">
        <v>1475</v>
      </c>
      <c r="D869">
        <v>66423121</v>
      </c>
      <c r="E869">
        <v>79864</v>
      </c>
      <c r="F869" t="s">
        <v>665</v>
      </c>
    </row>
    <row r="870" spans="2:6">
      <c r="B870">
        <v>88411</v>
      </c>
      <c r="C870" t="s">
        <v>1476</v>
      </c>
      <c r="D870">
        <v>66425152</v>
      </c>
      <c r="E870">
        <v>80036</v>
      </c>
      <c r="F870" t="s">
        <v>651</v>
      </c>
    </row>
    <row r="871" spans="2:6">
      <c r="B871">
        <v>89758</v>
      </c>
      <c r="C871" t="s">
        <v>1477</v>
      </c>
      <c r="D871">
        <v>66425522</v>
      </c>
      <c r="E871">
        <v>80016</v>
      </c>
      <c r="F871" t="s">
        <v>622</v>
      </c>
    </row>
    <row r="872" spans="2:6">
      <c r="B872">
        <v>92742</v>
      </c>
      <c r="C872" t="s">
        <v>1478</v>
      </c>
      <c r="D872">
        <v>66426118</v>
      </c>
      <c r="E872">
        <v>81925</v>
      </c>
      <c r="F872" t="s">
        <v>631</v>
      </c>
    </row>
    <row r="873" spans="2:6">
      <c r="B873">
        <v>77157</v>
      </c>
      <c r="C873" t="s">
        <v>1479</v>
      </c>
      <c r="D873">
        <v>66422133</v>
      </c>
      <c r="E873">
        <v>80630</v>
      </c>
      <c r="F873" t="s">
        <v>624</v>
      </c>
    </row>
    <row r="874" spans="2:6">
      <c r="B874">
        <v>91326</v>
      </c>
      <c r="C874" t="s">
        <v>1480</v>
      </c>
      <c r="D874">
        <v>66426051</v>
      </c>
      <c r="E874">
        <v>80856</v>
      </c>
      <c r="F874" t="s">
        <v>656</v>
      </c>
    </row>
    <row r="875" spans="2:6">
      <c r="B875">
        <v>91632</v>
      </c>
      <c r="C875" t="s">
        <v>1481</v>
      </c>
      <c r="D875">
        <v>66426079</v>
      </c>
      <c r="E875">
        <v>81237</v>
      </c>
      <c r="F875" t="s">
        <v>622</v>
      </c>
    </row>
    <row r="876" spans="2:6">
      <c r="B876">
        <v>76854</v>
      </c>
      <c r="C876" t="s">
        <v>1482</v>
      </c>
      <c r="D876">
        <v>66422077</v>
      </c>
      <c r="E876">
        <v>80025</v>
      </c>
      <c r="F876" t="s">
        <v>651</v>
      </c>
    </row>
    <row r="877" spans="2:6">
      <c r="B877">
        <v>89755</v>
      </c>
      <c r="C877" t="s">
        <v>1483</v>
      </c>
      <c r="D877">
        <v>66425528</v>
      </c>
      <c r="E877">
        <v>80611</v>
      </c>
      <c r="F877" t="s">
        <v>680</v>
      </c>
    </row>
    <row r="878" spans="2:6">
      <c r="B878">
        <v>91637</v>
      </c>
      <c r="C878" t="s">
        <v>1484</v>
      </c>
      <c r="D878">
        <v>66426059</v>
      </c>
      <c r="E878">
        <v>79880</v>
      </c>
      <c r="F878" t="s">
        <v>798</v>
      </c>
    </row>
    <row r="879" spans="2:6">
      <c r="B879">
        <v>91343</v>
      </c>
      <c r="C879" t="s">
        <v>1485</v>
      </c>
      <c r="D879">
        <v>66426084</v>
      </c>
      <c r="E879">
        <v>81238</v>
      </c>
      <c r="F879" t="s">
        <v>631</v>
      </c>
    </row>
    <row r="880" spans="2:6">
      <c r="B880">
        <v>91502</v>
      </c>
      <c r="C880" t="s">
        <v>1486</v>
      </c>
      <c r="D880">
        <v>66426024</v>
      </c>
      <c r="E880">
        <v>79656</v>
      </c>
      <c r="F880" t="s">
        <v>622</v>
      </c>
    </row>
    <row r="881" spans="2:6">
      <c r="B881">
        <v>91313</v>
      </c>
      <c r="C881" t="s">
        <v>1487</v>
      </c>
      <c r="D881">
        <v>66426027</v>
      </c>
      <c r="E881">
        <v>79684</v>
      </c>
      <c r="F881" t="s">
        <v>798</v>
      </c>
    </row>
    <row r="882" spans="2:6">
      <c r="B882">
        <v>91812</v>
      </c>
      <c r="C882" t="s">
        <v>1488</v>
      </c>
      <c r="D882">
        <v>66426081</v>
      </c>
      <c r="E882">
        <v>80530</v>
      </c>
      <c r="F882" t="s">
        <v>631</v>
      </c>
    </row>
    <row r="883" spans="2:6">
      <c r="B883">
        <v>70181</v>
      </c>
      <c r="C883" t="s">
        <v>1489</v>
      </c>
      <c r="D883">
        <v>66420054</v>
      </c>
      <c r="E883">
        <v>79648</v>
      </c>
      <c r="F883" t="s">
        <v>651</v>
      </c>
    </row>
    <row r="884" spans="2:6">
      <c r="B884">
        <v>91549</v>
      </c>
      <c r="C884" t="s">
        <v>1490</v>
      </c>
      <c r="D884">
        <v>66426036</v>
      </c>
      <c r="E884">
        <v>79712</v>
      </c>
      <c r="F884" t="s">
        <v>631</v>
      </c>
    </row>
    <row r="885" spans="2:6">
      <c r="B885">
        <v>91274</v>
      </c>
      <c r="C885" t="s">
        <v>1491</v>
      </c>
      <c r="D885">
        <v>66426004</v>
      </c>
      <c r="E885">
        <v>79617</v>
      </c>
      <c r="F885" t="s">
        <v>622</v>
      </c>
    </row>
    <row r="886" spans="2:6">
      <c r="B886">
        <v>88068</v>
      </c>
      <c r="C886" t="s">
        <v>1492</v>
      </c>
      <c r="D886">
        <v>66425115</v>
      </c>
      <c r="E886">
        <v>80172</v>
      </c>
      <c r="F886" t="s">
        <v>651</v>
      </c>
    </row>
    <row r="887" spans="2:6">
      <c r="B887">
        <v>91422</v>
      </c>
      <c r="C887" t="s">
        <v>1493</v>
      </c>
      <c r="D887">
        <v>66426022</v>
      </c>
      <c r="E887">
        <v>79678</v>
      </c>
      <c r="F887" t="s">
        <v>665</v>
      </c>
    </row>
    <row r="888" spans="2:6">
      <c r="B888">
        <v>80451</v>
      </c>
      <c r="C888" t="s">
        <v>1494</v>
      </c>
      <c r="D888">
        <v>66423044</v>
      </c>
      <c r="E888">
        <v>81351</v>
      </c>
      <c r="F888" t="s">
        <v>703</v>
      </c>
    </row>
    <row r="889" spans="2:6">
      <c r="B889">
        <v>91287</v>
      </c>
      <c r="C889" t="s">
        <v>1495</v>
      </c>
      <c r="D889">
        <v>66426016</v>
      </c>
      <c r="E889">
        <v>79632</v>
      </c>
      <c r="F889" t="s">
        <v>622</v>
      </c>
    </row>
    <row r="890" spans="2:6">
      <c r="B890">
        <v>80221</v>
      </c>
      <c r="C890" t="s">
        <v>1496</v>
      </c>
      <c r="D890">
        <v>66423020</v>
      </c>
      <c r="E890">
        <v>80179</v>
      </c>
      <c r="F890" t="s">
        <v>651</v>
      </c>
    </row>
    <row r="891" spans="2:6">
      <c r="B891">
        <v>91603</v>
      </c>
      <c r="C891" t="s">
        <v>1497</v>
      </c>
      <c r="D891">
        <v>66426080</v>
      </c>
      <c r="E891">
        <v>80182</v>
      </c>
      <c r="F891" t="s">
        <v>631</v>
      </c>
    </row>
    <row r="892" spans="2:6">
      <c r="B892">
        <v>91889</v>
      </c>
      <c r="C892" t="s">
        <v>1498</v>
      </c>
      <c r="D892">
        <v>66426095</v>
      </c>
      <c r="E892">
        <v>80738</v>
      </c>
      <c r="F892" t="s">
        <v>631</v>
      </c>
    </row>
    <row r="893" spans="2:6">
      <c r="B893">
        <v>84454</v>
      </c>
      <c r="C893" t="s">
        <v>1499</v>
      </c>
      <c r="D893">
        <v>66424101</v>
      </c>
      <c r="E893">
        <v>79993</v>
      </c>
      <c r="F893" t="s">
        <v>656</v>
      </c>
    </row>
    <row r="894" spans="2:6">
      <c r="B894">
        <v>72580</v>
      </c>
      <c r="C894" t="s">
        <v>1500</v>
      </c>
      <c r="D894">
        <v>66420659</v>
      </c>
      <c r="E894">
        <v>81521</v>
      </c>
      <c r="F894" t="s">
        <v>624</v>
      </c>
    </row>
    <row r="895" spans="2:6">
      <c r="B895">
        <v>88439</v>
      </c>
      <c r="C895" t="s">
        <v>1501</v>
      </c>
      <c r="D895">
        <v>66425141</v>
      </c>
      <c r="E895">
        <v>81297</v>
      </c>
      <c r="F895" t="s">
        <v>651</v>
      </c>
    </row>
    <row r="896" spans="2:6">
      <c r="B896">
        <v>91841</v>
      </c>
      <c r="C896" t="s">
        <v>1502</v>
      </c>
      <c r="D896">
        <v>66426097</v>
      </c>
      <c r="E896">
        <v>80843</v>
      </c>
      <c r="F896" t="s">
        <v>622</v>
      </c>
    </row>
    <row r="897" spans="2:6">
      <c r="B897">
        <v>85445</v>
      </c>
      <c r="C897" t="s">
        <v>1503</v>
      </c>
      <c r="D897">
        <v>66424217</v>
      </c>
      <c r="E897">
        <v>80333</v>
      </c>
      <c r="F897" t="s">
        <v>651</v>
      </c>
    </row>
    <row r="898" spans="2:6">
      <c r="B898">
        <v>88109</v>
      </c>
      <c r="C898" t="s">
        <v>1504</v>
      </c>
      <c r="D898">
        <v>66425072</v>
      </c>
      <c r="E898">
        <v>81330</v>
      </c>
      <c r="F898" t="s">
        <v>798</v>
      </c>
    </row>
    <row r="899" spans="2:6">
      <c r="B899">
        <v>90131</v>
      </c>
      <c r="C899" t="s">
        <v>1505</v>
      </c>
      <c r="D899">
        <v>66425602</v>
      </c>
      <c r="E899">
        <v>79973</v>
      </c>
      <c r="F899" t="s">
        <v>680</v>
      </c>
    </row>
    <row r="900" spans="2:6">
      <c r="B900">
        <v>91452</v>
      </c>
      <c r="C900" t="s">
        <v>1506</v>
      </c>
      <c r="D900">
        <v>66426023</v>
      </c>
      <c r="E900">
        <v>79646</v>
      </c>
      <c r="F900" t="s">
        <v>631</v>
      </c>
    </row>
    <row r="901" spans="2:6">
      <c r="B901">
        <v>88172</v>
      </c>
      <c r="C901" t="s">
        <v>1507</v>
      </c>
      <c r="D901">
        <v>66425076</v>
      </c>
      <c r="E901">
        <v>80024</v>
      </c>
      <c r="F901" t="s">
        <v>651</v>
      </c>
    </row>
    <row r="902" spans="2:6">
      <c r="B902">
        <v>80711</v>
      </c>
      <c r="C902" t="s">
        <v>1508</v>
      </c>
      <c r="D902">
        <v>66423104</v>
      </c>
      <c r="E902">
        <v>81703</v>
      </c>
      <c r="F902" t="s">
        <v>651</v>
      </c>
    </row>
    <row r="903" spans="2:6">
      <c r="B903">
        <v>92625</v>
      </c>
      <c r="C903" t="s">
        <v>1509</v>
      </c>
      <c r="D903">
        <v>66426116</v>
      </c>
      <c r="E903">
        <v>81865</v>
      </c>
      <c r="F903" t="s">
        <v>631</v>
      </c>
    </row>
    <row r="904" spans="2:6">
      <c r="B904">
        <v>77200</v>
      </c>
      <c r="C904" t="s">
        <v>1510</v>
      </c>
      <c r="D904">
        <v>66422135</v>
      </c>
      <c r="E904">
        <v>79951</v>
      </c>
      <c r="F904" t="s">
        <v>680</v>
      </c>
    </row>
    <row r="905" spans="2:6">
      <c r="B905">
        <v>91649</v>
      </c>
      <c r="C905" t="s">
        <v>1511</v>
      </c>
      <c r="D905">
        <v>66426099</v>
      </c>
      <c r="E905">
        <v>81258</v>
      </c>
      <c r="F905" t="s">
        <v>733</v>
      </c>
    </row>
    <row r="906" spans="2:6">
      <c r="B906">
        <v>91300</v>
      </c>
      <c r="C906" t="s">
        <v>1512</v>
      </c>
      <c r="D906">
        <v>66426003</v>
      </c>
      <c r="E906">
        <v>79745</v>
      </c>
      <c r="F906" t="s">
        <v>651</v>
      </c>
    </row>
    <row r="907" spans="2:6">
      <c r="B907">
        <v>84443</v>
      </c>
      <c r="C907" t="s">
        <v>1513</v>
      </c>
      <c r="D907">
        <v>66424095</v>
      </c>
      <c r="E907">
        <v>80001</v>
      </c>
      <c r="F907" t="s">
        <v>651</v>
      </c>
    </row>
    <row r="908" spans="2:6">
      <c r="B908">
        <v>91410</v>
      </c>
      <c r="C908" t="s">
        <v>1514</v>
      </c>
      <c r="D908">
        <v>66426017</v>
      </c>
      <c r="E908">
        <v>79636</v>
      </c>
      <c r="F908" t="s">
        <v>631</v>
      </c>
    </row>
    <row r="909" spans="2:6">
      <c r="B909">
        <v>77271</v>
      </c>
      <c r="C909" t="s">
        <v>1515</v>
      </c>
      <c r="D909">
        <v>66422152</v>
      </c>
      <c r="E909">
        <v>80940</v>
      </c>
      <c r="F909" t="s">
        <v>622</v>
      </c>
    </row>
    <row r="910" spans="2:6">
      <c r="B910">
        <v>87927</v>
      </c>
      <c r="C910" t="s">
        <v>1516</v>
      </c>
      <c r="D910">
        <v>66425036</v>
      </c>
      <c r="E910">
        <v>80517</v>
      </c>
      <c r="F910" t="s">
        <v>665</v>
      </c>
    </row>
    <row r="911" spans="2:6">
      <c r="B911">
        <v>74204</v>
      </c>
      <c r="C911" t="s">
        <v>1517</v>
      </c>
      <c r="D911">
        <v>66421230</v>
      </c>
      <c r="E911">
        <v>79667</v>
      </c>
      <c r="F911" t="s">
        <v>651</v>
      </c>
    </row>
    <row r="912" spans="2:6">
      <c r="B912">
        <v>91402</v>
      </c>
      <c r="C912" t="s">
        <v>1518</v>
      </c>
      <c r="D912">
        <v>66426015</v>
      </c>
      <c r="E912">
        <v>79625</v>
      </c>
      <c r="F912" t="s">
        <v>631</v>
      </c>
    </row>
    <row r="913" spans="2:6">
      <c r="B913">
        <v>80509</v>
      </c>
      <c r="C913" t="s">
        <v>1519</v>
      </c>
      <c r="D913">
        <v>66423069</v>
      </c>
      <c r="E913">
        <v>80190</v>
      </c>
      <c r="F913" t="s">
        <v>622</v>
      </c>
    </row>
    <row r="914" spans="2:6">
      <c r="B914">
        <v>75123</v>
      </c>
      <c r="C914" t="s">
        <v>1520</v>
      </c>
      <c r="D914">
        <v>66422187</v>
      </c>
      <c r="E914">
        <v>80942</v>
      </c>
      <c r="F914" t="s">
        <v>798</v>
      </c>
    </row>
    <row r="915" spans="2:6">
      <c r="B915">
        <v>84338</v>
      </c>
      <c r="C915" t="s">
        <v>1521</v>
      </c>
      <c r="D915">
        <v>66424085</v>
      </c>
      <c r="E915">
        <v>80543</v>
      </c>
      <c r="F915" t="s">
        <v>624</v>
      </c>
    </row>
    <row r="916" spans="2:6">
      <c r="B916">
        <v>91851</v>
      </c>
      <c r="C916" t="s">
        <v>1522</v>
      </c>
      <c r="D916">
        <v>66426104</v>
      </c>
      <c r="E916">
        <v>81499</v>
      </c>
      <c r="F916" t="s">
        <v>631</v>
      </c>
    </row>
    <row r="917" spans="2:6">
      <c r="B917">
        <v>91635</v>
      </c>
      <c r="C917" t="s">
        <v>1523</v>
      </c>
      <c r="D917">
        <v>66426100</v>
      </c>
      <c r="E917">
        <v>81042</v>
      </c>
      <c r="F917" t="s">
        <v>631</v>
      </c>
    </row>
    <row r="918" spans="2:6">
      <c r="B918">
        <v>90039</v>
      </c>
      <c r="C918" t="s">
        <v>1524</v>
      </c>
      <c r="D918">
        <v>66425567</v>
      </c>
      <c r="E918">
        <v>80744</v>
      </c>
      <c r="F918" t="s">
        <v>631</v>
      </c>
    </row>
    <row r="919" spans="2:6">
      <c r="B919">
        <v>88363</v>
      </c>
      <c r="C919" t="s">
        <v>1525</v>
      </c>
      <c r="D919">
        <v>66425175</v>
      </c>
      <c r="E919">
        <v>80067</v>
      </c>
      <c r="F919" t="s">
        <v>680</v>
      </c>
    </row>
    <row r="920" spans="2:6">
      <c r="B920">
        <v>77583</v>
      </c>
      <c r="C920" t="s">
        <v>1526</v>
      </c>
      <c r="D920">
        <v>66422182</v>
      </c>
      <c r="E920">
        <v>80219</v>
      </c>
      <c r="F920" t="s">
        <v>622</v>
      </c>
    </row>
    <row r="921" spans="2:6">
      <c r="B921">
        <v>91397</v>
      </c>
      <c r="C921" t="s">
        <v>1527</v>
      </c>
      <c r="D921">
        <v>66426042</v>
      </c>
      <c r="E921">
        <v>79807</v>
      </c>
      <c r="F921" t="s">
        <v>651</v>
      </c>
    </row>
    <row r="922" spans="2:6">
      <c r="B922">
        <v>88499</v>
      </c>
      <c r="C922" t="s">
        <v>1528</v>
      </c>
      <c r="D922">
        <v>66425133</v>
      </c>
      <c r="E922">
        <v>80359</v>
      </c>
      <c r="F922" t="s">
        <v>631</v>
      </c>
    </row>
    <row r="923" spans="2:6">
      <c r="B923">
        <v>91657</v>
      </c>
      <c r="C923" t="s">
        <v>1529</v>
      </c>
      <c r="D923">
        <v>66426061</v>
      </c>
      <c r="E923">
        <v>79882</v>
      </c>
      <c r="F923" t="s">
        <v>622</v>
      </c>
    </row>
    <row r="924" spans="2:6">
      <c r="B924">
        <v>88232</v>
      </c>
      <c r="C924" t="s">
        <v>1530</v>
      </c>
      <c r="D924">
        <v>66425087</v>
      </c>
      <c r="E924">
        <v>80022</v>
      </c>
      <c r="F924" t="s">
        <v>651</v>
      </c>
    </row>
    <row r="925" spans="2:6">
      <c r="B925">
        <v>91517</v>
      </c>
      <c r="C925" t="s">
        <v>1531</v>
      </c>
      <c r="D925">
        <v>66426045</v>
      </c>
      <c r="E925">
        <v>80571</v>
      </c>
      <c r="F925" t="s">
        <v>651</v>
      </c>
    </row>
    <row r="926" spans="2:6">
      <c r="B926">
        <v>86403</v>
      </c>
      <c r="C926" t="s">
        <v>1532</v>
      </c>
      <c r="D926">
        <v>66425001</v>
      </c>
      <c r="E926">
        <v>79934</v>
      </c>
      <c r="F926" t="s">
        <v>622</v>
      </c>
    </row>
    <row r="927" spans="2:6">
      <c r="B927">
        <v>91428</v>
      </c>
      <c r="C927" t="s">
        <v>1533</v>
      </c>
      <c r="D927">
        <v>66426046</v>
      </c>
      <c r="E927">
        <v>79764</v>
      </c>
      <c r="F927" t="s">
        <v>622</v>
      </c>
    </row>
    <row r="928" spans="2:6">
      <c r="B928">
        <v>70194</v>
      </c>
      <c r="C928" t="s">
        <v>1534</v>
      </c>
      <c r="D928">
        <v>66420109</v>
      </c>
      <c r="E928">
        <v>79668</v>
      </c>
      <c r="F928" t="s">
        <v>631</v>
      </c>
    </row>
    <row r="929" spans="2:6">
      <c r="B929">
        <v>91640</v>
      </c>
      <c r="C929" t="s">
        <v>1535</v>
      </c>
      <c r="D929">
        <v>66426064</v>
      </c>
      <c r="E929">
        <v>79894</v>
      </c>
      <c r="F929" t="s">
        <v>631</v>
      </c>
    </row>
    <row r="930" spans="2:6">
      <c r="B930">
        <v>91339</v>
      </c>
      <c r="C930" t="s">
        <v>1536</v>
      </c>
      <c r="D930">
        <v>66426066</v>
      </c>
      <c r="E930">
        <v>79940</v>
      </c>
      <c r="F930" t="s">
        <v>651</v>
      </c>
    </row>
    <row r="931" spans="2:6">
      <c r="B931">
        <v>89823</v>
      </c>
      <c r="C931" t="s">
        <v>1537</v>
      </c>
      <c r="D931">
        <v>66425552</v>
      </c>
      <c r="E931">
        <v>81326</v>
      </c>
      <c r="F931" t="s">
        <v>622</v>
      </c>
    </row>
    <row r="932" spans="2:6">
      <c r="B932">
        <v>78659</v>
      </c>
      <c r="C932" t="s">
        <v>1538</v>
      </c>
      <c r="D932">
        <v>66422545</v>
      </c>
      <c r="E932">
        <v>81208</v>
      </c>
      <c r="F932" t="s">
        <v>656</v>
      </c>
    </row>
    <row r="933" spans="2:6">
      <c r="B933">
        <v>80916</v>
      </c>
      <c r="C933" t="s">
        <v>1539</v>
      </c>
      <c r="D933">
        <v>66423135</v>
      </c>
      <c r="E933">
        <v>79863</v>
      </c>
      <c r="F933" t="s">
        <v>651</v>
      </c>
    </row>
    <row r="934" spans="2:6">
      <c r="B934">
        <v>87665</v>
      </c>
      <c r="C934" t="s">
        <v>1540</v>
      </c>
      <c r="D934">
        <v>66425003</v>
      </c>
      <c r="E934">
        <v>80415</v>
      </c>
      <c r="F934" t="s">
        <v>651</v>
      </c>
    </row>
    <row r="935" spans="2:6">
      <c r="B935">
        <v>86376</v>
      </c>
      <c r="C935" t="s">
        <v>1541</v>
      </c>
      <c r="D935">
        <v>66424565</v>
      </c>
      <c r="E935">
        <v>79992</v>
      </c>
      <c r="F935" t="s">
        <v>665</v>
      </c>
    </row>
    <row r="936" spans="2:6">
      <c r="B936">
        <v>77193</v>
      </c>
      <c r="C936" t="s">
        <v>1542</v>
      </c>
      <c r="D936">
        <v>66422132</v>
      </c>
      <c r="E936">
        <v>80105</v>
      </c>
      <c r="F936" t="s">
        <v>656</v>
      </c>
    </row>
    <row r="937" spans="2:6">
      <c r="B937">
        <v>84763</v>
      </c>
      <c r="C937" t="s">
        <v>1543</v>
      </c>
      <c r="D937">
        <v>66424144</v>
      </c>
      <c r="E937">
        <v>80760</v>
      </c>
      <c r="F937" t="s">
        <v>651</v>
      </c>
    </row>
    <row r="938" spans="2:6">
      <c r="B938">
        <v>91495</v>
      </c>
      <c r="C938" t="s">
        <v>1544</v>
      </c>
      <c r="D938">
        <v>66426111</v>
      </c>
      <c r="E938">
        <v>81813</v>
      </c>
      <c r="F938" t="s">
        <v>622</v>
      </c>
    </row>
    <row r="939" spans="2:6">
      <c r="B939">
        <v>91462</v>
      </c>
      <c r="C939" t="s">
        <v>1545</v>
      </c>
      <c r="D939">
        <v>66426065</v>
      </c>
      <c r="E939">
        <v>79895</v>
      </c>
      <c r="F939" t="s">
        <v>631</v>
      </c>
    </row>
    <row r="940" spans="2:6">
      <c r="B940">
        <v>91341</v>
      </c>
      <c r="C940" t="s">
        <v>1546</v>
      </c>
      <c r="D940">
        <v>66426050</v>
      </c>
      <c r="E940">
        <v>79811</v>
      </c>
      <c r="F940" t="s">
        <v>631</v>
      </c>
    </row>
    <row r="941" spans="2:6">
      <c r="B941">
        <v>87015</v>
      </c>
      <c r="C941" t="s">
        <v>1547</v>
      </c>
      <c r="D941">
        <v>88124526</v>
      </c>
      <c r="E941">
        <v>80734</v>
      </c>
      <c r="F941" t="s">
        <v>631</v>
      </c>
    </row>
    <row r="942" spans="2:6">
      <c r="B942">
        <v>77244</v>
      </c>
      <c r="C942" t="s">
        <v>1548</v>
      </c>
      <c r="D942">
        <v>88122036</v>
      </c>
      <c r="E942">
        <v>81015</v>
      </c>
      <c r="F942" t="s">
        <v>680</v>
      </c>
    </row>
    <row r="943" spans="2:6">
      <c r="B943">
        <v>91558</v>
      </c>
      <c r="C943" t="s">
        <v>1549</v>
      </c>
      <c r="D943">
        <v>88126013</v>
      </c>
      <c r="E943">
        <v>80586</v>
      </c>
      <c r="F943" t="s">
        <v>665</v>
      </c>
    </row>
    <row r="944" spans="2:6">
      <c r="B944">
        <v>91979</v>
      </c>
      <c r="C944" t="s">
        <v>1550</v>
      </c>
      <c r="D944">
        <v>88126029</v>
      </c>
      <c r="E944">
        <v>81302</v>
      </c>
      <c r="F944" t="s">
        <v>631</v>
      </c>
    </row>
    <row r="945" spans="2:6">
      <c r="B945">
        <v>90678</v>
      </c>
      <c r="C945" t="s">
        <v>1551</v>
      </c>
      <c r="D945">
        <v>88125531</v>
      </c>
      <c r="E945">
        <v>80332</v>
      </c>
      <c r="F945" t="s">
        <v>631</v>
      </c>
    </row>
    <row r="946" spans="2:6">
      <c r="B946">
        <v>91429</v>
      </c>
      <c r="C946" t="s">
        <v>1552</v>
      </c>
      <c r="D946">
        <v>88126004</v>
      </c>
      <c r="E946">
        <v>79652</v>
      </c>
      <c r="F946" t="s">
        <v>631</v>
      </c>
    </row>
    <row r="947" spans="2:6">
      <c r="B947">
        <v>84764</v>
      </c>
      <c r="C947" t="s">
        <v>1553</v>
      </c>
      <c r="D947">
        <v>88124029</v>
      </c>
      <c r="E947">
        <v>80009</v>
      </c>
      <c r="F947" t="s">
        <v>631</v>
      </c>
    </row>
    <row r="948" spans="2:6">
      <c r="B948">
        <v>90584</v>
      </c>
      <c r="C948" t="s">
        <v>1554</v>
      </c>
      <c r="D948">
        <v>88125526</v>
      </c>
      <c r="E948">
        <v>81410</v>
      </c>
      <c r="F948" t="s">
        <v>624</v>
      </c>
    </row>
    <row r="949" spans="2:6">
      <c r="B949">
        <v>91585</v>
      </c>
      <c r="C949" t="s">
        <v>1555</v>
      </c>
      <c r="D949">
        <v>88126022</v>
      </c>
      <c r="E949">
        <v>80846</v>
      </c>
      <c r="F949" t="s">
        <v>631</v>
      </c>
    </row>
    <row r="950" spans="2:6">
      <c r="B950">
        <v>92520</v>
      </c>
      <c r="C950" t="s">
        <v>1556</v>
      </c>
      <c r="D950">
        <v>88126037</v>
      </c>
      <c r="E950">
        <v>81788</v>
      </c>
      <c r="F950" t="s">
        <v>622</v>
      </c>
    </row>
    <row r="951" spans="2:6">
      <c r="B951">
        <v>89945</v>
      </c>
      <c r="C951" t="s">
        <v>1557</v>
      </c>
      <c r="D951">
        <v>88125508</v>
      </c>
      <c r="E951">
        <v>80379</v>
      </c>
      <c r="F951" t="s">
        <v>798</v>
      </c>
    </row>
    <row r="952" spans="2:6">
      <c r="B952">
        <v>83356</v>
      </c>
      <c r="C952" t="s">
        <v>1558</v>
      </c>
      <c r="D952">
        <v>88123538</v>
      </c>
      <c r="E952">
        <v>81707</v>
      </c>
      <c r="F952" t="s">
        <v>622</v>
      </c>
    </row>
    <row r="953" spans="2:6">
      <c r="B953">
        <v>88247</v>
      </c>
      <c r="C953" t="s">
        <v>1559</v>
      </c>
      <c r="D953">
        <v>88125011</v>
      </c>
      <c r="E953">
        <v>80885</v>
      </c>
      <c r="F953" t="s">
        <v>665</v>
      </c>
    </row>
    <row r="954" spans="2:6">
      <c r="B954">
        <v>92127</v>
      </c>
      <c r="C954" t="s">
        <v>1560</v>
      </c>
      <c r="D954">
        <v>88126030</v>
      </c>
      <c r="E954">
        <v>81369</v>
      </c>
      <c r="F954" t="s">
        <v>622</v>
      </c>
    </row>
    <row r="955" spans="2:6">
      <c r="B955">
        <v>84552</v>
      </c>
      <c r="C955" t="s">
        <v>1561</v>
      </c>
      <c r="D955">
        <v>88124020</v>
      </c>
      <c r="E955">
        <v>81029</v>
      </c>
      <c r="F955" t="s">
        <v>622</v>
      </c>
    </row>
    <row r="956" spans="2:6">
      <c r="B956">
        <v>90392</v>
      </c>
      <c r="C956" t="s">
        <v>1562</v>
      </c>
      <c r="D956">
        <v>88125537</v>
      </c>
      <c r="E956">
        <v>81152</v>
      </c>
      <c r="F956" t="s">
        <v>631</v>
      </c>
    </row>
    <row r="957" spans="2:6">
      <c r="B957">
        <v>90662</v>
      </c>
      <c r="C957" t="s">
        <v>1563</v>
      </c>
      <c r="D957">
        <v>88125528</v>
      </c>
      <c r="E957">
        <v>80610</v>
      </c>
      <c r="F957" t="s">
        <v>622</v>
      </c>
    </row>
    <row r="958" spans="2:6">
      <c r="B958">
        <v>81217</v>
      </c>
      <c r="C958" t="s">
        <v>1564</v>
      </c>
      <c r="D958">
        <v>88123039</v>
      </c>
      <c r="E958">
        <v>81193</v>
      </c>
      <c r="F958" t="s">
        <v>622</v>
      </c>
    </row>
    <row r="959" spans="2:6">
      <c r="B959">
        <v>92107</v>
      </c>
      <c r="C959" t="s">
        <v>1565</v>
      </c>
      <c r="D959">
        <v>88126031</v>
      </c>
      <c r="E959">
        <v>81370</v>
      </c>
      <c r="F959" t="s">
        <v>631</v>
      </c>
    </row>
    <row r="960" spans="2:6">
      <c r="B960">
        <v>91687</v>
      </c>
      <c r="C960" t="s">
        <v>1566</v>
      </c>
      <c r="D960">
        <v>88126016</v>
      </c>
      <c r="E960">
        <v>80585</v>
      </c>
      <c r="F960" t="s">
        <v>622</v>
      </c>
    </row>
    <row r="961" spans="2:6">
      <c r="B961">
        <v>90327</v>
      </c>
      <c r="C961" t="s">
        <v>1567</v>
      </c>
      <c r="D961">
        <v>88125516</v>
      </c>
      <c r="E961">
        <v>80340</v>
      </c>
      <c r="F961" t="s">
        <v>631</v>
      </c>
    </row>
    <row r="962" spans="2:6">
      <c r="B962">
        <v>85013</v>
      </c>
      <c r="C962" t="s">
        <v>1568</v>
      </c>
      <c r="D962">
        <v>88124044</v>
      </c>
      <c r="E962">
        <v>81176</v>
      </c>
      <c r="F962" t="s">
        <v>624</v>
      </c>
    </row>
    <row r="963" spans="2:6">
      <c r="B963">
        <v>81073</v>
      </c>
      <c r="C963" t="s">
        <v>1569</v>
      </c>
      <c r="D963">
        <v>88123036</v>
      </c>
      <c r="E963">
        <v>80206</v>
      </c>
      <c r="F963" t="s">
        <v>624</v>
      </c>
    </row>
    <row r="964" spans="2:6">
      <c r="B964">
        <v>83230</v>
      </c>
      <c r="C964" t="s">
        <v>1570</v>
      </c>
      <c r="D964">
        <v>88123532</v>
      </c>
      <c r="E964">
        <v>81183</v>
      </c>
      <c r="F964" t="s">
        <v>624</v>
      </c>
    </row>
    <row r="965" spans="2:6">
      <c r="B965">
        <v>89943</v>
      </c>
      <c r="C965" t="s">
        <v>1571</v>
      </c>
      <c r="D965">
        <v>88125506</v>
      </c>
      <c r="E965">
        <v>80661</v>
      </c>
      <c r="F965" t="s">
        <v>622</v>
      </c>
    </row>
    <row r="966" spans="2:6">
      <c r="B966">
        <v>77678</v>
      </c>
      <c r="C966" t="s">
        <v>1572</v>
      </c>
      <c r="D966">
        <v>88122051</v>
      </c>
      <c r="E966">
        <v>80995</v>
      </c>
      <c r="F966" t="s">
        <v>631</v>
      </c>
    </row>
    <row r="967" spans="2:6">
      <c r="B967">
        <v>90756</v>
      </c>
      <c r="C967" t="s">
        <v>1573</v>
      </c>
      <c r="D967">
        <v>88125533</v>
      </c>
      <c r="E967">
        <v>80669</v>
      </c>
      <c r="F967" t="s">
        <v>631</v>
      </c>
    </row>
    <row r="968" spans="2:6">
      <c r="B968">
        <v>92262</v>
      </c>
      <c r="C968" t="s">
        <v>1574</v>
      </c>
      <c r="D968">
        <v>88126032</v>
      </c>
      <c r="E968">
        <v>81593</v>
      </c>
      <c r="F968" t="s">
        <v>622</v>
      </c>
    </row>
    <row r="969" spans="2:6">
      <c r="B969">
        <v>91795</v>
      </c>
      <c r="C969" t="s">
        <v>1575</v>
      </c>
      <c r="D969">
        <v>88126012</v>
      </c>
      <c r="E969">
        <v>80101</v>
      </c>
      <c r="F969" t="s">
        <v>622</v>
      </c>
    </row>
    <row r="970" spans="2:6">
      <c r="B970">
        <v>76925</v>
      </c>
      <c r="C970" t="s">
        <v>1576</v>
      </c>
      <c r="D970">
        <v>88122016</v>
      </c>
      <c r="E970">
        <v>80474</v>
      </c>
      <c r="F970" t="s">
        <v>651</v>
      </c>
    </row>
    <row r="971" spans="2:6">
      <c r="B971">
        <v>77247</v>
      </c>
      <c r="C971" t="s">
        <v>1577</v>
      </c>
      <c r="D971">
        <v>88122035</v>
      </c>
      <c r="E971">
        <v>80286</v>
      </c>
      <c r="F971" t="s">
        <v>631</v>
      </c>
    </row>
    <row r="972" spans="2:6">
      <c r="B972">
        <v>75179</v>
      </c>
      <c r="C972" t="s">
        <v>1578</v>
      </c>
      <c r="D972">
        <v>88121509</v>
      </c>
      <c r="E972">
        <v>80275</v>
      </c>
      <c r="F972" t="s">
        <v>629</v>
      </c>
    </row>
    <row r="973" spans="2:6">
      <c r="B973">
        <v>92408</v>
      </c>
      <c r="C973" t="s">
        <v>1579</v>
      </c>
      <c r="D973">
        <v>88126034</v>
      </c>
      <c r="E973">
        <v>81727</v>
      </c>
      <c r="F973" t="s">
        <v>631</v>
      </c>
    </row>
    <row r="974" spans="2:6">
      <c r="B974">
        <v>89832</v>
      </c>
      <c r="C974" t="s">
        <v>1580</v>
      </c>
      <c r="D974">
        <v>88125504</v>
      </c>
      <c r="E974">
        <v>80382</v>
      </c>
      <c r="F974" t="s">
        <v>631</v>
      </c>
    </row>
    <row r="975" spans="2:6">
      <c r="B975">
        <v>90230</v>
      </c>
      <c r="C975" t="s">
        <v>1581</v>
      </c>
      <c r="D975">
        <v>88125523</v>
      </c>
      <c r="E975">
        <v>80339</v>
      </c>
      <c r="F975" t="s">
        <v>631</v>
      </c>
    </row>
    <row r="976" spans="2:6">
      <c r="B976">
        <v>83303</v>
      </c>
      <c r="C976" t="s">
        <v>1582</v>
      </c>
      <c r="D976">
        <v>88123533</v>
      </c>
      <c r="E976">
        <v>80602</v>
      </c>
      <c r="F976" t="s">
        <v>631</v>
      </c>
    </row>
    <row r="977" spans="2:6">
      <c r="B977">
        <v>91610</v>
      </c>
      <c r="C977" t="s">
        <v>1583</v>
      </c>
      <c r="D977">
        <v>88126006</v>
      </c>
      <c r="E977">
        <v>79719</v>
      </c>
      <c r="F977" t="s">
        <v>798</v>
      </c>
    </row>
    <row r="978" spans="2:6">
      <c r="B978">
        <v>77492</v>
      </c>
      <c r="C978" t="s">
        <v>1584</v>
      </c>
      <c r="D978">
        <v>88122045</v>
      </c>
      <c r="E978">
        <v>80436</v>
      </c>
      <c r="F978" t="s">
        <v>622</v>
      </c>
    </row>
    <row r="979" spans="2:6">
      <c r="B979">
        <v>78505</v>
      </c>
      <c r="C979" t="s">
        <v>1585</v>
      </c>
      <c r="D979">
        <v>88122508</v>
      </c>
      <c r="E979">
        <v>80693</v>
      </c>
      <c r="F979" t="s">
        <v>622</v>
      </c>
    </row>
    <row r="980" spans="2:6">
      <c r="B980">
        <v>75276</v>
      </c>
      <c r="C980" t="s">
        <v>1586</v>
      </c>
      <c r="D980">
        <v>88121510</v>
      </c>
      <c r="E980">
        <v>80659</v>
      </c>
      <c r="F980" t="s">
        <v>798</v>
      </c>
    </row>
    <row r="981" spans="2:6">
      <c r="B981">
        <v>80585</v>
      </c>
      <c r="C981" t="s">
        <v>1587</v>
      </c>
      <c r="D981">
        <v>88123018</v>
      </c>
      <c r="E981">
        <v>81802</v>
      </c>
      <c r="F981" t="s">
        <v>1588</v>
      </c>
    </row>
    <row r="982" spans="2:6">
      <c r="B982">
        <v>82576</v>
      </c>
      <c r="C982" t="s">
        <v>1589</v>
      </c>
      <c r="D982">
        <v>88123510</v>
      </c>
      <c r="E982">
        <v>81502</v>
      </c>
      <c r="F982" t="s">
        <v>680</v>
      </c>
    </row>
    <row r="983" spans="2:6">
      <c r="B983">
        <v>90309</v>
      </c>
      <c r="C983" t="s">
        <v>1590</v>
      </c>
      <c r="D983">
        <v>88125515</v>
      </c>
      <c r="E983">
        <v>81233</v>
      </c>
      <c r="F983" t="s">
        <v>631</v>
      </c>
    </row>
    <row r="984" spans="2:6">
      <c r="B984">
        <v>91871</v>
      </c>
      <c r="C984" t="s">
        <v>1591</v>
      </c>
      <c r="D984">
        <v>88126020</v>
      </c>
      <c r="E984">
        <v>80842</v>
      </c>
      <c r="F984" t="s">
        <v>631</v>
      </c>
    </row>
    <row r="985" spans="2:6">
      <c r="B985">
        <v>91992</v>
      </c>
      <c r="C985" t="s">
        <v>1592</v>
      </c>
      <c r="D985">
        <v>88126023</v>
      </c>
      <c r="E985">
        <v>80944</v>
      </c>
      <c r="F985" t="s">
        <v>631</v>
      </c>
    </row>
    <row r="986" spans="2:6">
      <c r="B986">
        <v>75044</v>
      </c>
      <c r="C986" t="s">
        <v>1593</v>
      </c>
      <c r="D986">
        <v>88121506</v>
      </c>
      <c r="E986">
        <v>81253</v>
      </c>
      <c r="F986" t="s">
        <v>798</v>
      </c>
    </row>
    <row r="987" spans="2:6">
      <c r="B987">
        <v>84381</v>
      </c>
      <c r="C987" t="s">
        <v>1594</v>
      </c>
      <c r="D987">
        <v>88124018</v>
      </c>
      <c r="E987">
        <v>80924</v>
      </c>
      <c r="F987" t="s">
        <v>798</v>
      </c>
    </row>
    <row r="988" spans="2:6">
      <c r="B988">
        <v>81227</v>
      </c>
      <c r="C988" t="s">
        <v>1595</v>
      </c>
      <c r="D988">
        <v>88123042</v>
      </c>
      <c r="E988">
        <v>80497</v>
      </c>
      <c r="F988" t="s">
        <v>798</v>
      </c>
    </row>
    <row r="989" spans="2:6">
      <c r="B989">
        <v>91447</v>
      </c>
      <c r="C989" t="s">
        <v>1596</v>
      </c>
      <c r="D989">
        <v>88126008</v>
      </c>
      <c r="E989">
        <v>79844</v>
      </c>
      <c r="F989" t="s">
        <v>631</v>
      </c>
    </row>
    <row r="990" spans="2:6">
      <c r="B990">
        <v>91363</v>
      </c>
      <c r="C990" t="s">
        <v>1597</v>
      </c>
      <c r="D990">
        <v>88126003</v>
      </c>
      <c r="E990">
        <v>79642</v>
      </c>
      <c r="F990" t="s">
        <v>622</v>
      </c>
    </row>
    <row r="991" spans="2:6">
      <c r="B991">
        <v>91875</v>
      </c>
      <c r="C991" t="s">
        <v>1598</v>
      </c>
      <c r="D991">
        <v>88126025</v>
      </c>
      <c r="E991">
        <v>80952</v>
      </c>
      <c r="F991" t="s">
        <v>631</v>
      </c>
    </row>
    <row r="992" spans="2:6">
      <c r="B992">
        <v>91807</v>
      </c>
      <c r="C992" t="s">
        <v>1599</v>
      </c>
      <c r="D992">
        <v>88126011</v>
      </c>
      <c r="E992">
        <v>80092</v>
      </c>
      <c r="F992" t="s">
        <v>622</v>
      </c>
    </row>
    <row r="993" spans="2:6">
      <c r="B993">
        <v>91915</v>
      </c>
      <c r="C993" t="s">
        <v>1600</v>
      </c>
      <c r="D993">
        <v>88126027</v>
      </c>
      <c r="E993">
        <v>81049</v>
      </c>
      <c r="F993" t="s">
        <v>622</v>
      </c>
    </row>
    <row r="994" spans="2:6">
      <c r="B994">
        <v>92501</v>
      </c>
      <c r="C994" t="s">
        <v>1601</v>
      </c>
      <c r="D994">
        <v>88126036</v>
      </c>
      <c r="E994">
        <v>81782</v>
      </c>
      <c r="F994" t="s">
        <v>622</v>
      </c>
    </row>
    <row r="995" spans="2:6">
      <c r="B995">
        <v>91305</v>
      </c>
      <c r="C995" t="s">
        <v>1602</v>
      </c>
      <c r="D995">
        <v>88126002</v>
      </c>
      <c r="E995">
        <v>79609</v>
      </c>
      <c r="F995" t="s">
        <v>622</v>
      </c>
    </row>
    <row r="996" spans="2:6">
      <c r="B996">
        <v>90435</v>
      </c>
      <c r="C996" t="s">
        <v>1603</v>
      </c>
      <c r="D996">
        <v>88125520</v>
      </c>
      <c r="E996">
        <v>80341</v>
      </c>
      <c r="F996" t="s">
        <v>622</v>
      </c>
    </row>
    <row r="997" spans="2:6">
      <c r="B997">
        <v>90802</v>
      </c>
      <c r="C997" t="s">
        <v>1604</v>
      </c>
      <c r="D997">
        <v>88125538</v>
      </c>
      <c r="E997">
        <v>80493</v>
      </c>
      <c r="F997" t="s">
        <v>622</v>
      </c>
    </row>
    <row r="998" spans="2:6">
      <c r="B998">
        <v>92389</v>
      </c>
      <c r="C998" t="s">
        <v>1605</v>
      </c>
      <c r="D998">
        <v>88126033</v>
      </c>
      <c r="E998">
        <v>81693</v>
      </c>
      <c r="F998" t="s">
        <v>622</v>
      </c>
    </row>
    <row r="999" spans="2:6">
      <c r="B999">
        <v>90211</v>
      </c>
      <c r="C999" t="s">
        <v>1606</v>
      </c>
      <c r="D999">
        <v>88126028</v>
      </c>
      <c r="E999">
        <v>81279</v>
      </c>
      <c r="F999" t="s">
        <v>631</v>
      </c>
    </row>
    <row r="1000" spans="2:6">
      <c r="B1000">
        <v>87002</v>
      </c>
      <c r="C1000" t="s">
        <v>1607</v>
      </c>
      <c r="D1000">
        <v>88124527</v>
      </c>
      <c r="E1000">
        <v>81475</v>
      </c>
      <c r="F1000" t="s">
        <v>624</v>
      </c>
    </row>
    <row r="1001" spans="2:6">
      <c r="B1001">
        <v>91692</v>
      </c>
      <c r="C1001" t="s">
        <v>1608</v>
      </c>
      <c r="D1001">
        <v>88126009</v>
      </c>
      <c r="E1001">
        <v>79866</v>
      </c>
      <c r="F1001" t="s">
        <v>622</v>
      </c>
    </row>
    <row r="1002" spans="2:6">
      <c r="B1002">
        <v>77067</v>
      </c>
      <c r="C1002" t="s">
        <v>1609</v>
      </c>
      <c r="D1002">
        <v>88122024</v>
      </c>
      <c r="E1002">
        <v>80673</v>
      </c>
      <c r="F1002" t="s">
        <v>622</v>
      </c>
    </row>
    <row r="1003" spans="2:6">
      <c r="B1003">
        <v>91911</v>
      </c>
      <c r="C1003" t="s">
        <v>1610</v>
      </c>
      <c r="D1003">
        <v>88126017</v>
      </c>
      <c r="E1003">
        <v>81609</v>
      </c>
      <c r="F1003" t="s">
        <v>622</v>
      </c>
    </row>
    <row r="1004" spans="2:6">
      <c r="B1004">
        <v>90319</v>
      </c>
      <c r="C1004" t="s">
        <v>1611</v>
      </c>
      <c r="D1004">
        <v>88125517</v>
      </c>
      <c r="E1004">
        <v>80364</v>
      </c>
      <c r="F1004" t="s">
        <v>631</v>
      </c>
    </row>
    <row r="1005" spans="2:6">
      <c r="B1005">
        <v>86357</v>
      </c>
      <c r="C1005" t="s">
        <v>1612</v>
      </c>
      <c r="D1005">
        <v>88124509</v>
      </c>
      <c r="E1005">
        <v>80280</v>
      </c>
      <c r="F1005" t="s">
        <v>680</v>
      </c>
    </row>
    <row r="1006" spans="2:6">
      <c r="B1006">
        <v>90535</v>
      </c>
      <c r="C1006" t="s">
        <v>1613</v>
      </c>
      <c r="D1006">
        <v>88125527</v>
      </c>
      <c r="E1006">
        <v>80668</v>
      </c>
      <c r="F1006" t="s">
        <v>631</v>
      </c>
    </row>
    <row r="1007" spans="2:6">
      <c r="B1007">
        <v>91315</v>
      </c>
      <c r="C1007" t="s">
        <v>1614</v>
      </c>
      <c r="D1007">
        <v>88126001</v>
      </c>
      <c r="E1007">
        <v>79601</v>
      </c>
      <c r="F1007" t="s">
        <v>631</v>
      </c>
    </row>
    <row r="1008" spans="2:6">
      <c r="B1008">
        <v>88583</v>
      </c>
      <c r="C1008" t="s">
        <v>1615</v>
      </c>
      <c r="D1008">
        <v>88125034</v>
      </c>
      <c r="E1008">
        <v>80345</v>
      </c>
      <c r="F1008" t="s">
        <v>622</v>
      </c>
    </row>
    <row r="1009" spans="2:6">
      <c r="B1009">
        <v>90311</v>
      </c>
      <c r="C1009" t="s">
        <v>1616</v>
      </c>
      <c r="D1009">
        <v>88125519</v>
      </c>
      <c r="E1009">
        <v>80369</v>
      </c>
      <c r="F1009" t="s">
        <v>622</v>
      </c>
    </row>
    <row r="1010" spans="2:6">
      <c r="B1010">
        <v>80914</v>
      </c>
      <c r="C1010" t="s">
        <v>1617</v>
      </c>
      <c r="D1010">
        <v>88123026</v>
      </c>
      <c r="E1010">
        <v>80811</v>
      </c>
      <c r="F1010" t="s">
        <v>631</v>
      </c>
    </row>
    <row r="1011" spans="2:6">
      <c r="B1011">
        <v>87914</v>
      </c>
      <c r="C1011" t="s">
        <v>1618</v>
      </c>
      <c r="D1011">
        <v>88125005</v>
      </c>
      <c r="E1011">
        <v>80287</v>
      </c>
      <c r="F1011" t="s">
        <v>631</v>
      </c>
    </row>
    <row r="1012" spans="2:6">
      <c r="B1012">
        <v>91469</v>
      </c>
      <c r="C1012" t="s">
        <v>1619</v>
      </c>
      <c r="D1012">
        <v>88126005</v>
      </c>
      <c r="E1012">
        <v>79654</v>
      </c>
      <c r="F1012" t="s">
        <v>622</v>
      </c>
    </row>
    <row r="1013" spans="2:6">
      <c r="B1013">
        <v>89718</v>
      </c>
      <c r="C1013" t="s">
        <v>1620</v>
      </c>
      <c r="D1013">
        <v>88225501</v>
      </c>
      <c r="E1013">
        <v>80084</v>
      </c>
      <c r="F1013" t="s">
        <v>622</v>
      </c>
    </row>
    <row r="1014" spans="2:6">
      <c r="B1014">
        <v>78575</v>
      </c>
      <c r="C1014" t="s">
        <v>1621</v>
      </c>
      <c r="D1014">
        <v>88222503</v>
      </c>
      <c r="E1014">
        <v>79861</v>
      </c>
      <c r="F1014" t="s">
        <v>622</v>
      </c>
    </row>
    <row r="1015" spans="2:6">
      <c r="B1015">
        <v>88571</v>
      </c>
      <c r="C1015" t="s">
        <v>1622</v>
      </c>
      <c r="D1015">
        <v>88225011</v>
      </c>
      <c r="E1015">
        <v>80827</v>
      </c>
      <c r="F1015" t="s">
        <v>624</v>
      </c>
    </row>
    <row r="1016" spans="2:6">
      <c r="B1016">
        <v>84640</v>
      </c>
      <c r="C1016" t="s">
        <v>1623</v>
      </c>
      <c r="D1016">
        <v>88224007</v>
      </c>
      <c r="E1016">
        <v>80993</v>
      </c>
      <c r="F1016" t="s">
        <v>622</v>
      </c>
    </row>
    <row r="1017" spans="2:6">
      <c r="B1017">
        <v>88738</v>
      </c>
      <c r="C1017" t="s">
        <v>1624</v>
      </c>
      <c r="D1017">
        <v>88225018</v>
      </c>
      <c r="E1017">
        <v>80823</v>
      </c>
      <c r="F1017" t="s">
        <v>622</v>
      </c>
    </row>
    <row r="1018" spans="2:6">
      <c r="B1018">
        <v>92261</v>
      </c>
      <c r="C1018" t="s">
        <v>1625</v>
      </c>
      <c r="D1018">
        <v>88226018</v>
      </c>
      <c r="E1018">
        <v>81555</v>
      </c>
      <c r="F1018" t="s">
        <v>631</v>
      </c>
    </row>
    <row r="1019" spans="2:6">
      <c r="B1019">
        <v>91390</v>
      </c>
      <c r="C1019" t="s">
        <v>1626</v>
      </c>
      <c r="D1019">
        <v>88226002</v>
      </c>
      <c r="E1019">
        <v>79620</v>
      </c>
      <c r="F1019" t="s">
        <v>622</v>
      </c>
    </row>
    <row r="1020" spans="2:6">
      <c r="B1020">
        <v>91866</v>
      </c>
      <c r="C1020" t="s">
        <v>1627</v>
      </c>
      <c r="D1020">
        <v>88226006</v>
      </c>
      <c r="E1020">
        <v>80570</v>
      </c>
      <c r="F1020" t="s">
        <v>631</v>
      </c>
    </row>
    <row r="1021" spans="2:6">
      <c r="B1021">
        <v>91658</v>
      </c>
      <c r="C1021" t="s">
        <v>1628</v>
      </c>
      <c r="D1021">
        <v>88226005</v>
      </c>
      <c r="E1021">
        <v>79733</v>
      </c>
      <c r="F1021" t="s">
        <v>622</v>
      </c>
    </row>
    <row r="1022" spans="2:6">
      <c r="B1022">
        <v>88265</v>
      </c>
      <c r="C1022" t="s">
        <v>1629</v>
      </c>
      <c r="D1022">
        <v>88225004</v>
      </c>
      <c r="E1022">
        <v>80324</v>
      </c>
      <c r="F1022" t="s">
        <v>631</v>
      </c>
    </row>
    <row r="1023" spans="2:6">
      <c r="B1023">
        <v>88226</v>
      </c>
      <c r="C1023" t="s">
        <v>1630</v>
      </c>
      <c r="D1023">
        <v>88225502</v>
      </c>
      <c r="E1023">
        <v>80054</v>
      </c>
      <c r="F1023" t="s">
        <v>631</v>
      </c>
    </row>
    <row r="1024" spans="2:6">
      <c r="B1024">
        <v>82504</v>
      </c>
      <c r="C1024" t="s">
        <v>1631</v>
      </c>
      <c r="D1024">
        <v>88223503</v>
      </c>
      <c r="E1024">
        <v>80519</v>
      </c>
      <c r="F1024" t="s">
        <v>629</v>
      </c>
    </row>
    <row r="1025" spans="2:6">
      <c r="B1025">
        <v>80999</v>
      </c>
      <c r="C1025" t="s">
        <v>1632</v>
      </c>
      <c r="D1025">
        <v>88223020</v>
      </c>
      <c r="E1025">
        <v>80161</v>
      </c>
      <c r="F1025" t="s">
        <v>624</v>
      </c>
    </row>
    <row r="1026" spans="2:6">
      <c r="B1026">
        <v>75109</v>
      </c>
      <c r="C1026" t="s">
        <v>1633</v>
      </c>
      <c r="D1026">
        <v>88221504</v>
      </c>
      <c r="E1026">
        <v>80263</v>
      </c>
      <c r="F1026" t="s">
        <v>624</v>
      </c>
    </row>
    <row r="1027" spans="2:6">
      <c r="B1027">
        <v>82456</v>
      </c>
      <c r="C1027" t="s">
        <v>1634</v>
      </c>
      <c r="D1027">
        <v>88223502</v>
      </c>
      <c r="E1027">
        <v>80053</v>
      </c>
      <c r="F1027" t="s">
        <v>665</v>
      </c>
    </row>
    <row r="1028" spans="2:6">
      <c r="B1028">
        <v>92095</v>
      </c>
      <c r="C1028" t="s">
        <v>1635</v>
      </c>
      <c r="D1028">
        <v>88226012</v>
      </c>
      <c r="E1028">
        <v>81210</v>
      </c>
      <c r="F1028" t="s">
        <v>622</v>
      </c>
    </row>
    <row r="1029" spans="2:6">
      <c r="B1029">
        <v>76534</v>
      </c>
      <c r="C1029" t="s">
        <v>1636</v>
      </c>
      <c r="D1029">
        <v>88222002</v>
      </c>
      <c r="E1029">
        <v>80556</v>
      </c>
      <c r="F1029" t="s">
        <v>622</v>
      </c>
    </row>
    <row r="1030" spans="2:6">
      <c r="B1030">
        <v>74904</v>
      </c>
      <c r="C1030" t="s">
        <v>1637</v>
      </c>
      <c r="D1030">
        <v>88221501</v>
      </c>
      <c r="E1030">
        <v>80076</v>
      </c>
      <c r="F1030" t="s">
        <v>622</v>
      </c>
    </row>
    <row r="1031" spans="2:6">
      <c r="B1031">
        <v>79021</v>
      </c>
      <c r="C1031" t="s">
        <v>1638</v>
      </c>
      <c r="D1031">
        <v>88222508</v>
      </c>
      <c r="E1031">
        <v>79837</v>
      </c>
      <c r="F1031" t="s">
        <v>631</v>
      </c>
    </row>
    <row r="1032" spans="2:6">
      <c r="B1032">
        <v>92046</v>
      </c>
      <c r="C1032" t="s">
        <v>1639</v>
      </c>
      <c r="D1032">
        <v>88226014</v>
      </c>
      <c r="E1032">
        <v>81268</v>
      </c>
      <c r="F1032" t="s">
        <v>631</v>
      </c>
    </row>
    <row r="1033" spans="2:6">
      <c r="B1033">
        <v>92305</v>
      </c>
      <c r="C1033" t="s">
        <v>1640</v>
      </c>
      <c r="D1033">
        <v>88226015</v>
      </c>
      <c r="E1033">
        <v>81486</v>
      </c>
      <c r="F1033" t="s">
        <v>622</v>
      </c>
    </row>
    <row r="1034" spans="2:6">
      <c r="B1034">
        <v>85358</v>
      </c>
      <c r="C1034" t="s">
        <v>1641</v>
      </c>
      <c r="D1034">
        <v>88224026</v>
      </c>
      <c r="E1034">
        <v>80508</v>
      </c>
      <c r="F1034" t="s">
        <v>622</v>
      </c>
    </row>
    <row r="1035" spans="2:6">
      <c r="B1035">
        <v>91862</v>
      </c>
      <c r="C1035" t="s">
        <v>1642</v>
      </c>
      <c r="D1035">
        <v>88226007</v>
      </c>
      <c r="E1035">
        <v>80646</v>
      </c>
      <c r="F1035" t="s">
        <v>631</v>
      </c>
    </row>
    <row r="1036" spans="2:6">
      <c r="B1036">
        <v>91695</v>
      </c>
      <c r="C1036" t="s">
        <v>1643</v>
      </c>
      <c r="D1036">
        <v>88226009</v>
      </c>
      <c r="E1036">
        <v>80719</v>
      </c>
      <c r="F1036" t="s">
        <v>622</v>
      </c>
    </row>
    <row r="1037" spans="2:6">
      <c r="B1037">
        <v>84786</v>
      </c>
      <c r="C1037" t="s">
        <v>1644</v>
      </c>
      <c r="D1037">
        <v>88224016</v>
      </c>
      <c r="E1037">
        <v>80839</v>
      </c>
      <c r="F1037" t="s">
        <v>622</v>
      </c>
    </row>
    <row r="1038" spans="2:6">
      <c r="B1038">
        <v>87152</v>
      </c>
      <c r="C1038" t="s">
        <v>1645</v>
      </c>
      <c r="D1038">
        <v>88224513</v>
      </c>
      <c r="E1038">
        <v>81404</v>
      </c>
      <c r="F1038" t="s">
        <v>631</v>
      </c>
    </row>
    <row r="1039" spans="2:6">
      <c r="B1039">
        <v>89048</v>
      </c>
      <c r="C1039" t="s">
        <v>1646</v>
      </c>
      <c r="D1039">
        <v>88225023</v>
      </c>
      <c r="E1039">
        <v>80830</v>
      </c>
      <c r="F1039" t="s">
        <v>631</v>
      </c>
    </row>
    <row r="1040" spans="2:6">
      <c r="B1040">
        <v>80214</v>
      </c>
      <c r="C1040" t="s">
        <v>1647</v>
      </c>
      <c r="D1040">
        <v>88223001</v>
      </c>
      <c r="E1040">
        <v>81378</v>
      </c>
      <c r="F1040" t="s">
        <v>624</v>
      </c>
    </row>
    <row r="1041" spans="2:6">
      <c r="B1041">
        <v>82765</v>
      </c>
      <c r="C1041" t="s">
        <v>1648</v>
      </c>
      <c r="D1041">
        <v>88223511</v>
      </c>
      <c r="E1041">
        <v>80869</v>
      </c>
      <c r="F1041" t="s">
        <v>622</v>
      </c>
    </row>
    <row r="1042" spans="2:6">
      <c r="B1042">
        <v>82651</v>
      </c>
      <c r="C1042" t="s">
        <v>1649</v>
      </c>
      <c r="D1042">
        <v>88223507</v>
      </c>
      <c r="E1042">
        <v>79919</v>
      </c>
      <c r="F1042" t="s">
        <v>622</v>
      </c>
    </row>
    <row r="1043" spans="2:6">
      <c r="B1043">
        <v>92106</v>
      </c>
      <c r="C1043" t="s">
        <v>1650</v>
      </c>
      <c r="D1043">
        <v>88226013</v>
      </c>
      <c r="E1043">
        <v>81259</v>
      </c>
      <c r="F1043" t="s">
        <v>622</v>
      </c>
    </row>
    <row r="1044" spans="2:6">
      <c r="B1044">
        <v>84598</v>
      </c>
      <c r="C1044" t="s">
        <v>1651</v>
      </c>
      <c r="D1044">
        <v>88224006</v>
      </c>
      <c r="E1044">
        <v>80801</v>
      </c>
      <c r="F1044" t="s">
        <v>656</v>
      </c>
    </row>
    <row r="1045" spans="2:6">
      <c r="B1045">
        <v>86257</v>
      </c>
      <c r="C1045" t="s">
        <v>1652</v>
      </c>
      <c r="D1045">
        <v>88224501</v>
      </c>
      <c r="E1045">
        <v>80912</v>
      </c>
      <c r="F1045" t="s">
        <v>624</v>
      </c>
    </row>
    <row r="1046" spans="2:6">
      <c r="B1046">
        <v>88249</v>
      </c>
      <c r="C1046" t="s">
        <v>1653</v>
      </c>
      <c r="D1046">
        <v>88225003</v>
      </c>
      <c r="E1046">
        <v>80764</v>
      </c>
      <c r="F1046" t="s">
        <v>631</v>
      </c>
    </row>
    <row r="1047" spans="2:6">
      <c r="B1047">
        <v>91699</v>
      </c>
      <c r="C1047" t="s">
        <v>1654</v>
      </c>
      <c r="D1047">
        <v>88226008</v>
      </c>
      <c r="E1047">
        <v>80700</v>
      </c>
      <c r="F1047" t="s">
        <v>622</v>
      </c>
    </row>
    <row r="1048" spans="2:6">
      <c r="B1048">
        <v>90831</v>
      </c>
      <c r="C1048" t="s">
        <v>1655</v>
      </c>
      <c r="D1048">
        <v>88225519</v>
      </c>
      <c r="E1048">
        <v>81003</v>
      </c>
      <c r="F1048" t="s">
        <v>631</v>
      </c>
    </row>
    <row r="1049" spans="2:6">
      <c r="B1049">
        <v>83055</v>
      </c>
      <c r="C1049" t="s">
        <v>1656</v>
      </c>
      <c r="D1049">
        <v>88223518</v>
      </c>
      <c r="E1049">
        <v>80623</v>
      </c>
      <c r="F1049" t="s">
        <v>622</v>
      </c>
    </row>
    <row r="1050" spans="2:6">
      <c r="B1050">
        <v>78616</v>
      </c>
      <c r="C1050" t="s">
        <v>1657</v>
      </c>
      <c r="D1050">
        <v>88222504</v>
      </c>
      <c r="E1050">
        <v>79862</v>
      </c>
      <c r="F1050" t="s">
        <v>622</v>
      </c>
    </row>
    <row r="1051" spans="2:6">
      <c r="B1051">
        <v>75294</v>
      </c>
      <c r="C1051" t="s">
        <v>1658</v>
      </c>
      <c r="D1051">
        <v>88221506</v>
      </c>
      <c r="E1051">
        <v>80002</v>
      </c>
      <c r="F1051" t="s">
        <v>622</v>
      </c>
    </row>
    <row r="1052" spans="2:6">
      <c r="B1052">
        <v>91557</v>
      </c>
      <c r="C1052" t="s">
        <v>1659</v>
      </c>
      <c r="D1052">
        <v>88226004</v>
      </c>
      <c r="E1052">
        <v>79715</v>
      </c>
      <c r="F1052" t="s">
        <v>622</v>
      </c>
    </row>
    <row r="1053" spans="2:6">
      <c r="B1053">
        <v>82652</v>
      </c>
      <c r="C1053" t="s">
        <v>1660</v>
      </c>
      <c r="D1053">
        <v>88223510</v>
      </c>
      <c r="E1053">
        <v>81257</v>
      </c>
      <c r="F1053" t="s">
        <v>629</v>
      </c>
    </row>
    <row r="1054" spans="2:6">
      <c r="B1054">
        <v>79477</v>
      </c>
      <c r="C1054" t="s">
        <v>1661</v>
      </c>
      <c r="D1054">
        <v>88222510</v>
      </c>
      <c r="E1054">
        <v>81456</v>
      </c>
      <c r="F1054" t="s">
        <v>622</v>
      </c>
    </row>
    <row r="1055" spans="2:6">
      <c r="B1055">
        <v>87203</v>
      </c>
      <c r="C1055" t="s">
        <v>1662</v>
      </c>
      <c r="D1055">
        <v>88224514</v>
      </c>
      <c r="E1055">
        <v>81348</v>
      </c>
      <c r="F1055" t="s">
        <v>631</v>
      </c>
    </row>
    <row r="1056" spans="2:6">
      <c r="B1056">
        <v>85044</v>
      </c>
      <c r="C1056" t="s">
        <v>1663</v>
      </c>
      <c r="D1056">
        <v>88224021</v>
      </c>
      <c r="E1056">
        <v>80711</v>
      </c>
      <c r="F1056" t="s">
        <v>622</v>
      </c>
    </row>
    <row r="1057" spans="2:6">
      <c r="B1057">
        <v>91930</v>
      </c>
      <c r="C1057" t="s">
        <v>1664</v>
      </c>
      <c r="D1057">
        <v>88226010</v>
      </c>
      <c r="E1057">
        <v>80749</v>
      </c>
      <c r="F1057" t="s">
        <v>631</v>
      </c>
    </row>
    <row r="1058" spans="2:6">
      <c r="B1058">
        <v>78693</v>
      </c>
      <c r="C1058" t="s">
        <v>1665</v>
      </c>
      <c r="D1058">
        <v>88222506</v>
      </c>
      <c r="E1058">
        <v>80667</v>
      </c>
      <c r="F1058" t="s">
        <v>631</v>
      </c>
    </row>
    <row r="1059" spans="2:6">
      <c r="B1059">
        <v>91514</v>
      </c>
      <c r="C1059" t="s">
        <v>1666</v>
      </c>
      <c r="D1059">
        <v>88226003</v>
      </c>
      <c r="E1059">
        <v>79649</v>
      </c>
      <c r="F1059" t="s">
        <v>622</v>
      </c>
    </row>
    <row r="1060" spans="2:6">
      <c r="B1060">
        <v>88510</v>
      </c>
      <c r="C1060" t="s">
        <v>1667</v>
      </c>
      <c r="D1060">
        <v>88225012</v>
      </c>
      <c r="E1060">
        <v>81360</v>
      </c>
      <c r="F1060" t="s">
        <v>631</v>
      </c>
    </row>
    <row r="1061" spans="2:6">
      <c r="B1061">
        <v>81246</v>
      </c>
      <c r="C1061" t="s">
        <v>1668</v>
      </c>
      <c r="D1061">
        <v>88223028</v>
      </c>
      <c r="E1061">
        <v>80175</v>
      </c>
      <c r="F1061" t="s">
        <v>622</v>
      </c>
    </row>
    <row r="1062" spans="2:6">
      <c r="B1062">
        <v>88975</v>
      </c>
      <c r="C1062" t="s">
        <v>1669</v>
      </c>
      <c r="D1062">
        <v>88225021</v>
      </c>
      <c r="E1062">
        <v>80828</v>
      </c>
      <c r="F1062" t="s">
        <v>651</v>
      </c>
    </row>
    <row r="1063" spans="2:6">
      <c r="B1063">
        <v>80652</v>
      </c>
      <c r="C1063" t="s">
        <v>1670</v>
      </c>
      <c r="D1063">
        <v>88223013</v>
      </c>
      <c r="E1063">
        <v>80878</v>
      </c>
      <c r="F1063" t="s">
        <v>622</v>
      </c>
    </row>
    <row r="1064" spans="2:6">
      <c r="B1064">
        <v>77523</v>
      </c>
      <c r="C1064" t="s">
        <v>1671</v>
      </c>
      <c r="D1064">
        <v>88222015</v>
      </c>
      <c r="E1064">
        <v>79985</v>
      </c>
      <c r="F1064" t="s">
        <v>622</v>
      </c>
    </row>
    <row r="1065" spans="2:6">
      <c r="B1065">
        <v>92241</v>
      </c>
      <c r="C1065" t="s">
        <v>1672</v>
      </c>
      <c r="D1065">
        <v>88226019</v>
      </c>
      <c r="E1065">
        <v>81567</v>
      </c>
      <c r="F1065" t="s">
        <v>631</v>
      </c>
    </row>
    <row r="1066" spans="2:6">
      <c r="B1066">
        <v>92139</v>
      </c>
      <c r="C1066" t="s">
        <v>1673</v>
      </c>
      <c r="D1066">
        <v>66326019</v>
      </c>
      <c r="E1066">
        <v>81738</v>
      </c>
      <c r="F1066" t="s">
        <v>631</v>
      </c>
    </row>
    <row r="1067" spans="2:6">
      <c r="B1067">
        <v>91226</v>
      </c>
      <c r="C1067" t="s">
        <v>1674</v>
      </c>
      <c r="D1067">
        <v>66326002</v>
      </c>
      <c r="E1067">
        <v>79628</v>
      </c>
      <c r="F1067" t="s">
        <v>631</v>
      </c>
    </row>
    <row r="1068" spans="2:6">
      <c r="B1068">
        <v>91835</v>
      </c>
      <c r="C1068" t="s">
        <v>1675</v>
      </c>
      <c r="D1068">
        <v>66326008</v>
      </c>
      <c r="E1068">
        <v>80642</v>
      </c>
      <c r="F1068" t="s">
        <v>622</v>
      </c>
    </row>
    <row r="1069" spans="2:6">
      <c r="B1069">
        <v>91542</v>
      </c>
      <c r="C1069" t="s">
        <v>1676</v>
      </c>
      <c r="D1069">
        <v>66326010</v>
      </c>
      <c r="E1069">
        <v>80735</v>
      </c>
      <c r="F1069" t="s">
        <v>631</v>
      </c>
    </row>
    <row r="1070" spans="2:6">
      <c r="B1070">
        <v>92059</v>
      </c>
      <c r="C1070" t="s">
        <v>1677</v>
      </c>
      <c r="D1070">
        <v>66326020</v>
      </c>
      <c r="E1070">
        <v>81491</v>
      </c>
      <c r="F1070" t="s">
        <v>631</v>
      </c>
    </row>
    <row r="1071" spans="2:6">
      <c r="B1071">
        <v>92564</v>
      </c>
      <c r="C1071" t="s">
        <v>1678</v>
      </c>
      <c r="D1071">
        <v>66326025</v>
      </c>
      <c r="E1071">
        <v>81846</v>
      </c>
      <c r="F1071" t="s">
        <v>622</v>
      </c>
    </row>
    <row r="1072" spans="2:6">
      <c r="B1072">
        <v>82346</v>
      </c>
      <c r="C1072" t="s">
        <v>1679</v>
      </c>
      <c r="D1072">
        <v>66323502</v>
      </c>
      <c r="E1072">
        <v>80106</v>
      </c>
      <c r="F1072" t="s">
        <v>622</v>
      </c>
    </row>
    <row r="1073" spans="2:6">
      <c r="B1073">
        <v>92068</v>
      </c>
      <c r="C1073" t="s">
        <v>1680</v>
      </c>
      <c r="D1073">
        <v>66326012</v>
      </c>
      <c r="E1073">
        <v>81306</v>
      </c>
      <c r="F1073" t="s">
        <v>631</v>
      </c>
    </row>
    <row r="1074" spans="2:6">
      <c r="B1074">
        <v>91566</v>
      </c>
      <c r="C1074" t="s">
        <v>1681</v>
      </c>
      <c r="D1074">
        <v>66326011</v>
      </c>
      <c r="E1074">
        <v>81293</v>
      </c>
      <c r="F1074" t="s">
        <v>622</v>
      </c>
    </row>
    <row r="1075" spans="2:6">
      <c r="B1075">
        <v>81539</v>
      </c>
      <c r="C1075" t="s">
        <v>1682</v>
      </c>
      <c r="D1075">
        <v>66323023</v>
      </c>
      <c r="E1075">
        <v>80566</v>
      </c>
      <c r="F1075" t="s">
        <v>629</v>
      </c>
    </row>
    <row r="1076" spans="2:6">
      <c r="B1076">
        <v>92233</v>
      </c>
      <c r="C1076" t="s">
        <v>1683</v>
      </c>
      <c r="D1076">
        <v>66326022</v>
      </c>
      <c r="E1076">
        <v>81699</v>
      </c>
      <c r="F1076" t="s">
        <v>631</v>
      </c>
    </row>
    <row r="1077" spans="2:6">
      <c r="B1077">
        <v>89664</v>
      </c>
      <c r="C1077" t="s">
        <v>1684</v>
      </c>
      <c r="D1077">
        <v>66325501</v>
      </c>
      <c r="E1077">
        <v>80408</v>
      </c>
      <c r="F1077" t="s">
        <v>624</v>
      </c>
    </row>
    <row r="1078" spans="2:6">
      <c r="B1078">
        <v>88883</v>
      </c>
      <c r="C1078" t="s">
        <v>1685</v>
      </c>
      <c r="D1078">
        <v>66325020</v>
      </c>
      <c r="E1078">
        <v>81447</v>
      </c>
      <c r="F1078" t="s">
        <v>624</v>
      </c>
    </row>
    <row r="1079" spans="2:6">
      <c r="B1079">
        <v>84266</v>
      </c>
      <c r="C1079" t="s">
        <v>1686</v>
      </c>
      <c r="D1079">
        <v>66324007</v>
      </c>
      <c r="E1079">
        <v>81730</v>
      </c>
      <c r="F1079" t="s">
        <v>624</v>
      </c>
    </row>
    <row r="1080" spans="2:6">
      <c r="B1080">
        <v>92105</v>
      </c>
      <c r="C1080" t="s">
        <v>1687</v>
      </c>
      <c r="D1080">
        <v>66326014</v>
      </c>
      <c r="E1080">
        <v>81463</v>
      </c>
      <c r="F1080" t="s">
        <v>631</v>
      </c>
    </row>
    <row r="1081" spans="2:6">
      <c r="B1081">
        <v>91567</v>
      </c>
      <c r="C1081" t="s">
        <v>1688</v>
      </c>
      <c r="D1081">
        <v>66326004</v>
      </c>
      <c r="E1081">
        <v>79869</v>
      </c>
      <c r="F1081" t="s">
        <v>622</v>
      </c>
    </row>
    <row r="1082" spans="2:6">
      <c r="B1082">
        <v>91682</v>
      </c>
      <c r="C1082" t="s">
        <v>1689</v>
      </c>
      <c r="D1082">
        <v>66326005</v>
      </c>
      <c r="E1082">
        <v>79924</v>
      </c>
      <c r="F1082" t="s">
        <v>622</v>
      </c>
    </row>
    <row r="1083" spans="2:6">
      <c r="B1083">
        <v>92077</v>
      </c>
      <c r="C1083" t="s">
        <v>1690</v>
      </c>
      <c r="D1083">
        <v>66326015</v>
      </c>
      <c r="E1083">
        <v>81459</v>
      </c>
      <c r="F1083" t="s">
        <v>631</v>
      </c>
    </row>
    <row r="1084" spans="2:6">
      <c r="B1084">
        <v>91467</v>
      </c>
      <c r="C1084" t="s">
        <v>1691</v>
      </c>
      <c r="D1084">
        <v>66326003</v>
      </c>
      <c r="E1084">
        <v>79821</v>
      </c>
      <c r="F1084" t="s">
        <v>651</v>
      </c>
    </row>
    <row r="1085" spans="2:6">
      <c r="B1085">
        <v>92004</v>
      </c>
      <c r="C1085" t="s">
        <v>1692</v>
      </c>
      <c r="D1085">
        <v>66326018</v>
      </c>
      <c r="E1085">
        <v>81462</v>
      </c>
      <c r="F1085" t="s">
        <v>622</v>
      </c>
    </row>
    <row r="1086" spans="2:6">
      <c r="B1086">
        <v>88114</v>
      </c>
      <c r="C1086" t="s">
        <v>1693</v>
      </c>
      <c r="D1086">
        <v>66325006</v>
      </c>
      <c r="E1086">
        <v>80487</v>
      </c>
      <c r="F1086" t="s">
        <v>651</v>
      </c>
    </row>
    <row r="1087" spans="2:6">
      <c r="B1087">
        <v>91844</v>
      </c>
      <c r="C1087" t="s">
        <v>1694</v>
      </c>
      <c r="D1087">
        <v>66326009</v>
      </c>
      <c r="E1087">
        <v>81299</v>
      </c>
      <c r="F1087" t="s">
        <v>798</v>
      </c>
    </row>
    <row r="1088" spans="2:6">
      <c r="B1088">
        <v>91653</v>
      </c>
      <c r="C1088" t="s">
        <v>1695</v>
      </c>
      <c r="D1088">
        <v>66326006</v>
      </c>
      <c r="E1088">
        <v>80569</v>
      </c>
      <c r="F1088" t="s">
        <v>622</v>
      </c>
    </row>
    <row r="1089" spans="2:6">
      <c r="B1089">
        <v>92478</v>
      </c>
      <c r="C1089" t="s">
        <v>1696</v>
      </c>
      <c r="D1089">
        <v>66326024</v>
      </c>
      <c r="E1089">
        <v>81767</v>
      </c>
      <c r="F1089" t="s">
        <v>631</v>
      </c>
    </row>
  </sheetData>
  <sheetProtection algorithmName="SHA-512" hashValue="uhy8A3ABO9o0fMEOOPV0pWK1cG+gu2U2BfSt4XKWEi3U8wnEP0nxhd9WpHUTbcQ8lsRy1vcjCukD+YMXU03DZQ==" saltValue="ZWM4pO5l/5mSWGozZao78g==" spinCount="100000" sheet="1" objects="1" scenarios="1"/>
  <conditionalFormatting sqref="B1:B1048576">
    <cfRule type="duplicateValues" dxfId="3" priority="3"/>
  </conditionalFormatting>
  <conditionalFormatting sqref="C3:C1089">
    <cfRule type="duplicateValues" dxfId="2" priority="32"/>
  </conditionalFormatting>
  <conditionalFormatting sqref="D1:D1048576">
    <cfRule type="duplicateValues" dxfId="1" priority="2"/>
  </conditionalFormatting>
  <conditionalFormatting sqref="E1:E1048576">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Yiberth Leandro Munar Roa</dc:creator>
  <cp:keywords/>
  <dc:description/>
  <cp:lastModifiedBy/>
  <cp:revision/>
  <dcterms:created xsi:type="dcterms:W3CDTF">2025-03-03T12:42:50Z</dcterms:created>
  <dcterms:modified xsi:type="dcterms:W3CDTF">2026-05-28T15:41:52Z</dcterms:modified>
  <cp:category/>
  <cp:contentStatus/>
</cp:coreProperties>
</file>