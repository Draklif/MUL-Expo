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" sheetId="1" r:id="rId5"/>
    <sheet state="visible" name="S2" sheetId="2" r:id="rId6"/>
    <sheet state="visible" name="S3" sheetId="3" r:id="rId7"/>
    <sheet state="visible" name="S4" sheetId="4" r:id="rId8"/>
    <sheet state="visible" name="S5" sheetId="5" r:id="rId9"/>
    <sheet state="visible" name="S6" sheetId="6" r:id="rId10"/>
    <sheet state="visible" name="S7" sheetId="7" r:id="rId11"/>
    <sheet state="visible" name="S8" sheetId="8" r:id="rId12"/>
    <sheet state="visible" name="S9" sheetId="9" r:id="rId13"/>
    <sheet state="visible" name="S10" sheetId="10" r:id="rId14"/>
    <sheet state="visible" name="S11" sheetId="11" r:id="rId15"/>
    <sheet state="visible" name="S12" sheetId="12" r:id="rId16"/>
    <sheet state="visible" name="S13" sheetId="13" r:id="rId17"/>
    <sheet state="visible" name="S14" sheetId="14" r:id="rId18"/>
    <sheet state="visible" name="S15" sheetId="15" r:id="rId19"/>
    <sheet state="visible" name="S16" sheetId="16" r:id="rId20"/>
    <sheet state="visible" name="Datos" sheetId="17" r:id="rId21"/>
  </sheets>
  <definedNames/>
  <calcPr/>
</workbook>
</file>

<file path=xl/sharedStrings.xml><?xml version="1.0" encoding="utf-8"?>
<sst xmlns="http://schemas.openxmlformats.org/spreadsheetml/2006/main" count="180" uniqueCount="45">
  <si>
    <t>Reunión semillero 3 a 7 de Agosto del 2026</t>
  </si>
  <si>
    <t>Reunión semillero 10 a 14 de Agosto del 2026</t>
  </si>
  <si>
    <t>Reunión semillero 24 a 28 de Agosto del 2026</t>
  </si>
  <si>
    <t>Reunión semillero 17 a 21 de Agosto del 2026</t>
  </si>
  <si>
    <t>Nombre del proyecto de investigación</t>
  </si>
  <si>
    <t>Fecha</t>
  </si>
  <si>
    <t>Estudiante(s)</t>
  </si>
  <si>
    <t>Adelantos Realizados</t>
  </si>
  <si>
    <t xml:space="preserve">Se Compromete a entrega </t>
  </si>
  <si>
    <t>Firma de Asistencia</t>
  </si>
  <si>
    <t>Calificación del Docente</t>
  </si>
  <si>
    <t>Docente a cargo</t>
  </si>
  <si>
    <t>Firma Docente</t>
  </si>
  <si>
    <t>Reunión semillero 31 de Agosto a 4 de Septiembre del 2026</t>
  </si>
  <si>
    <t>Reunión semillero 7 a 11 de Septiembre del 2026</t>
  </si>
  <si>
    <t>Reunión semillero 14 a 18 de Septiembre del 2026</t>
  </si>
  <si>
    <t>Reunión semillero 21 a 25 de Septiembre del 2026</t>
  </si>
  <si>
    <t>Reunión semillero 28 de Septiembre a 2 de Octubre del 2026</t>
  </si>
  <si>
    <t>Reunión semillero 5 a 9 de Octubre del 2026</t>
  </si>
  <si>
    <t>Reunión semillero 12 a 16 de Octubre del 2026</t>
  </si>
  <si>
    <t>Reunión semillero 19 a 23 de Octubre del 2026</t>
  </si>
  <si>
    <t>Reunión semillero 26 a 30 de Octubre del 2026</t>
  </si>
  <si>
    <t>Reunión semillero 2 a 6 de Noviembre del 2026</t>
  </si>
  <si>
    <t>Reunión semillero 9 a 13 de Noviembre del 2026</t>
  </si>
  <si>
    <t>Reunión semillero 16 a 20 de Noviembre del 2026</t>
  </si>
  <si>
    <t>2026-20</t>
  </si>
  <si>
    <t>#S</t>
  </si>
  <si>
    <t>ASIST</t>
  </si>
  <si>
    <t>PROM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</si>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</sst>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3">
    <font>
      <sz val="10.0"/>
      <color rgb="FF000000"/>
      <name val="Arial"/>
      <scheme val="minor"/>
    </font>
    <font>
      <b/>
      <color theme="1"/>
      <name val="Arial"/>
    </font>
    <font/>
    <font>
      <b/>
      <sz val="11.0"/>
      <color rgb="FF000000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</fills>
  <borders count="2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0"/>
    </xf>
    <xf borderId="6" fillId="3" fontId="3" numFmtId="0" xfId="0" applyAlignment="1" applyBorder="1" applyFont="1">
      <alignment horizontal="center" readingOrder="0" shrinkToFit="0" vertical="center" wrapText="0"/>
    </xf>
    <xf borderId="6" fillId="3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left" readingOrder="0" shrinkToFit="0" vertical="center" wrapText="0"/>
    </xf>
    <xf borderId="6" fillId="3" fontId="1" numFmtId="0" xfId="0" applyAlignment="1" applyBorder="1" applyFont="1">
      <alignment readingOrder="0" shrinkToFit="0" vertical="center" wrapText="1"/>
    </xf>
    <xf borderId="7" fillId="3" fontId="1" numFmtId="0" xfId="0" applyAlignment="1" applyBorder="1" applyFont="1">
      <alignment readingOrder="0" shrinkToFit="0" vertical="center" wrapText="1"/>
    </xf>
    <xf borderId="8" fillId="0" fontId="0" numFmtId="0" xfId="0" applyAlignment="1" applyBorder="1" applyFont="1">
      <alignment readingOrder="0" shrinkToFit="0" vertical="center" wrapText="1"/>
    </xf>
    <xf borderId="9" fillId="0" fontId="4" numFmtId="164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readingOrder="0" shrinkToFit="0" vertical="center" wrapText="1"/>
    </xf>
    <xf borderId="10" fillId="0" fontId="4" numFmtId="0" xfId="0" applyAlignment="1" applyBorder="1" applyFont="1">
      <alignment vertical="center"/>
    </xf>
    <xf borderId="10" fillId="0" fontId="4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readingOrder="0" shrinkToFit="0" vertical="center" wrapText="1"/>
    </xf>
    <xf borderId="13" fillId="0" fontId="4" numFmtId="0" xfId="0" applyAlignment="1" applyBorder="1" applyFont="1">
      <alignment vertical="center"/>
    </xf>
    <xf borderId="14" fillId="0" fontId="2" numFmtId="0" xfId="0" applyBorder="1" applyFont="1"/>
    <xf borderId="15" fillId="0" fontId="2" numFmtId="0" xfId="0" applyBorder="1" applyFont="1"/>
    <xf borderId="16" fillId="0" fontId="5" numFmtId="0" xfId="0" applyAlignment="1" applyBorder="1" applyFont="1">
      <alignment horizontal="center" readingOrder="0" shrinkToFit="0" vertical="center" wrapText="0"/>
    </xf>
    <xf borderId="17" fillId="0" fontId="2" numFmtId="0" xfId="0" applyBorder="1" applyFont="1"/>
    <xf borderId="16" fillId="0" fontId="4" numFmtId="0" xfId="0" applyAlignment="1" applyBorder="1" applyFont="1">
      <alignment readingOrder="0" vertical="center"/>
    </xf>
    <xf borderId="16" fillId="0" fontId="4" numFmtId="0" xfId="0" applyAlignment="1" applyBorder="1" applyFont="1">
      <alignment readingOrder="0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0" numFmtId="0" xfId="0" applyAlignment="1" applyBorder="1" applyFont="1">
      <alignment readingOrder="0" shrinkToFit="0" vertical="center" wrapText="1"/>
    </xf>
    <xf borderId="21" fillId="0" fontId="4" numFmtId="164" xfId="0" applyAlignment="1" applyBorder="1" applyFont="1" applyNumberFormat="1">
      <alignment horizontal="center" readingOrder="0" vertical="center"/>
    </xf>
    <xf borderId="22" fillId="0" fontId="4" numFmtId="0" xfId="0" applyAlignment="1" applyBorder="1" applyFont="1">
      <alignment horizontal="center" readingOrder="0" vertical="center"/>
    </xf>
    <xf borderId="22" fillId="0" fontId="4" numFmtId="0" xfId="0" applyAlignment="1" applyBorder="1" applyFont="1">
      <alignment readingOrder="0" shrinkToFit="0" vertical="center" wrapText="1"/>
    </xf>
    <xf borderId="22" fillId="0" fontId="4" numFmtId="0" xfId="0" applyAlignment="1" applyBorder="1" applyFont="1">
      <alignment vertical="center"/>
    </xf>
    <xf borderId="23" fillId="0" fontId="6" numFmtId="0" xfId="0" applyAlignment="1" applyBorder="1" applyFont="1">
      <alignment readingOrder="0" shrinkToFit="0" vertical="center" wrapText="1"/>
    </xf>
    <xf borderId="24" fillId="0" fontId="4" numFmtId="0" xfId="0" applyBorder="1" applyFont="1"/>
    <xf borderId="21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readingOrder="0" vertical="center"/>
    </xf>
    <xf borderId="22" fillId="0" fontId="7" numFmtId="0" xfId="0" applyAlignment="1" applyBorder="1" applyFont="1">
      <alignment readingOrder="0" shrinkToFit="0" vertical="center" wrapText="1"/>
    </xf>
    <xf borderId="22" fillId="0" fontId="7" numFmtId="0" xfId="0" applyAlignment="1" applyBorder="1" applyFont="1">
      <alignment vertical="center"/>
    </xf>
    <xf borderId="18" fillId="0" fontId="6" numFmtId="0" xfId="0" applyAlignment="1" applyBorder="1" applyFont="1">
      <alignment readingOrder="0" shrinkToFit="0" vertical="center" wrapText="1"/>
    </xf>
    <xf borderId="24" fillId="0" fontId="7" numFmtId="0" xfId="0" applyBorder="1" applyFont="1"/>
    <xf borderId="21" fillId="0" fontId="7" numFmtId="0" xfId="0" applyAlignment="1" applyBorder="1" applyFont="1">
      <alignment horizontal="center" readingOrder="0" vertical="center"/>
    </xf>
    <xf borderId="23" fillId="0" fontId="8" numFmtId="0" xfId="0" applyAlignment="1" applyBorder="1" applyFont="1">
      <alignment readingOrder="0" shrinkToFit="0" vertical="center" wrapText="1"/>
    </xf>
    <xf borderId="0" fillId="0" fontId="9" numFmtId="4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165" xfId="0" applyAlignment="1" applyFont="1" applyNumberFormat="1">
      <alignment horizontal="center" readingOrder="0" vertical="center"/>
    </xf>
    <xf borderId="0" fillId="0" fontId="10" numFmtId="0" xfId="0" applyFont="1"/>
    <xf borderId="0" fillId="0" fontId="10" numFmtId="49" xfId="0" applyFont="1" applyNumberFormat="1"/>
    <xf borderId="0" fillId="0" fontId="7" numFmtId="0" xfId="0" applyFont="1"/>
    <xf borderId="0" fillId="0" fontId="7" numFmtId="1" xfId="0" applyAlignment="1" applyFont="1" applyNumberFormat="1">
      <alignment horizontal="center" readingOrder="0" shrinkToFit="0" vertical="center" wrapText="0"/>
    </xf>
    <xf borderId="0" fillId="0" fontId="7" numFmtId="1" xfId="0" applyAlignment="1" applyFont="1" applyNumberFormat="1">
      <alignment horizontal="center" shrinkToFit="0" vertical="center" wrapText="0"/>
    </xf>
    <xf borderId="0" fillId="0" fontId="7" numFmtId="2" xfId="0" applyAlignment="1" applyFont="1" applyNumberForma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shrinkToFit="0" wrapText="0"/>
    </xf>
    <xf borderId="0" fillId="0" fontId="1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JoQNtTKd9kOhJEK7q4KqNR56MyKzs8e?usp=drive_link" TargetMode="External"/><Relationship Id="rId2" Type="http://schemas.openxmlformats.org/officeDocument/2006/relationships/hyperlink" Target="https://drive.google.com/drive/folders/1-p8l8JJCjbDjoxGZQONI67Q7qvrdZ83x?usp=drive_link" TargetMode="External"/><Relationship Id="rId3" Type="http://schemas.openxmlformats.org/officeDocument/2006/relationships/hyperlink" Target="https://drive.google.com/drive/folders/16VHEbtbNnKYMqeQofaPI-ttoLwx89Hk4?usp=drive_link" TargetMode="External"/><Relationship Id="rId4" Type="http://schemas.openxmlformats.org/officeDocument/2006/relationships/hyperlink" Target="https://drive.google.com/drive/folders/1oAbUORBf4zlOISkDs_HyZj3wcQrdrnLF?usp=drive_link" TargetMode="External"/><Relationship Id="rId9" Type="http://schemas.openxmlformats.org/officeDocument/2006/relationships/drawing" Target="../drawings/drawing17.xml"/><Relationship Id="rId5" Type="http://schemas.openxmlformats.org/officeDocument/2006/relationships/hyperlink" Target="https://drive.google.com/drive/folders/1LrxOLrBeydVN6DG3DYiYQW44cVZSL9Yv?usp=drive_link" TargetMode="External"/><Relationship Id="rId6" Type="http://schemas.openxmlformats.org/officeDocument/2006/relationships/hyperlink" Target="https://drive.google.com/drive/folders/1VcHa7HbydQrI-K4IwuSRN2XAoU1eIiIb?usp=drive_link" TargetMode="External"/><Relationship Id="rId7" Type="http://schemas.openxmlformats.org/officeDocument/2006/relationships/hyperlink" Target="https://drive.google.com/drive/folders/1h0koK-ZoF5JSDYLzNQ2PlvvEvjrqJT77?usp=drive_link" TargetMode="External"/><Relationship Id="rId8" Type="http://schemas.openxmlformats.org/officeDocument/2006/relationships/hyperlink" Target="https://drive.google.com/drive/folders/1SnRoVsxKZ8uYP0i13vbwGpMvum4IJ8Qq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1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3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2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13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14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15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16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17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18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19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20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21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22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23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3" width="29.75"/>
    <col customWidth="1" min="4" max="4" width="21.75"/>
    <col customWidth="1" min="5" max="5" width="24.13"/>
    <col customWidth="1" min="6" max="6" width="20.63"/>
    <col customWidth="1" min="7" max="7" width="20.75"/>
    <col customWidth="1" min="8" max="8" width="31.13"/>
    <col customWidth="1" min="9" max="9" width="18.25"/>
  </cols>
  <sheetData>
    <row r="1" ht="39.75" customHeight="1">
      <c r="A1" s="1" t="s">
        <v>24</v>
      </c>
      <c r="B1" s="2"/>
      <c r="C1" s="2"/>
      <c r="D1" s="2"/>
      <c r="E1" s="2"/>
      <c r="F1" s="2"/>
      <c r="G1" s="2"/>
      <c r="H1" s="2"/>
      <c r="I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10</v>
      </c>
      <c r="H2" s="9" t="s">
        <v>11</v>
      </c>
      <c r="I2" s="10" t="s">
        <v>12</v>
      </c>
    </row>
    <row r="3" ht="96.75" customHeight="1">
      <c r="A3" s="11" t="str">
        <f>IFERROR(VLOOKUP(C3,Datos!$U$1:AZ11,2,FALSE),"")</f>
        <v/>
      </c>
      <c r="B3" s="12"/>
      <c r="C3" s="13"/>
      <c r="D3" s="14"/>
      <c r="E3" s="14"/>
      <c r="F3" s="15"/>
      <c r="G3" s="16"/>
      <c r="H3" s="17"/>
      <c r="I3" s="18"/>
    </row>
    <row r="4" ht="81.75" customHeight="1">
      <c r="A4" s="19"/>
      <c r="B4" s="20"/>
      <c r="C4" s="21"/>
      <c r="D4" s="22"/>
      <c r="E4" s="22"/>
      <c r="F4" s="23"/>
      <c r="G4" s="24"/>
      <c r="H4" s="25"/>
      <c r="I4" s="26"/>
    </row>
    <row r="5" ht="87.75" customHeight="1">
      <c r="A5" s="27" t="str">
        <f>IFERROR(VLOOKUP(C5,Datos!$U$1:AZ11,2,FALSE),"")</f>
        <v/>
      </c>
      <c r="B5" s="28"/>
      <c r="C5" s="29"/>
      <c r="D5" s="30"/>
      <c r="E5" s="30"/>
      <c r="F5" s="31"/>
      <c r="G5" s="30"/>
      <c r="H5" s="32"/>
      <c r="I5" s="33"/>
    </row>
    <row r="6" ht="87.75" customHeight="1">
      <c r="A6" s="27" t="str">
        <f>IFERROR(VLOOKUP(C6,Datos!$U$1:AZ11,2,FALSE),"")</f>
        <v/>
      </c>
      <c r="B6" s="28"/>
      <c r="C6" s="29"/>
      <c r="D6" s="30"/>
      <c r="E6" s="30"/>
      <c r="F6" s="31"/>
      <c r="G6" s="30"/>
      <c r="H6" s="32"/>
      <c r="I6" s="33"/>
    </row>
    <row r="7" ht="87.75" customHeight="1">
      <c r="A7" s="27" t="str">
        <f>IFERROR(VLOOKUP(C7,Datos!$U$1:AZ11,2,FALSE),"")</f>
        <v/>
      </c>
      <c r="B7" s="34"/>
      <c r="C7" s="35"/>
      <c r="D7" s="36"/>
      <c r="E7" s="36"/>
      <c r="F7" s="37"/>
      <c r="G7" s="36"/>
      <c r="H7" s="38"/>
      <c r="I7" s="39"/>
    </row>
    <row r="8" ht="87.75" customHeight="1">
      <c r="A8" s="27" t="str">
        <f>IFERROR(VLOOKUP(C8,Datos!$U$1:AZ11,2,FALSE),"")</f>
        <v/>
      </c>
      <c r="B8" s="40"/>
      <c r="C8" s="35"/>
      <c r="D8" s="36"/>
      <c r="E8" s="36"/>
      <c r="F8" s="37"/>
      <c r="G8" s="36"/>
      <c r="H8" s="41"/>
      <c r="I8" s="39"/>
    </row>
    <row r="9" ht="87.75" customHeight="1">
      <c r="A9" s="27" t="str">
        <f>IFERROR(VLOOKUP(C9,Datos!$U$1:AZ11,2,FALSE),"")</f>
        <v/>
      </c>
      <c r="B9" s="40"/>
      <c r="C9" s="35"/>
      <c r="D9" s="36"/>
      <c r="E9" s="36"/>
      <c r="F9" s="37"/>
      <c r="G9" s="36"/>
      <c r="H9" s="41"/>
      <c r="I9" s="39"/>
    </row>
    <row r="10" ht="87.75" customHeight="1">
      <c r="A10" s="27" t="str">
        <f>IFERROR(VLOOKUP(C10,Datos!$U$1:AZ11,2,FALSE),"")</f>
        <v/>
      </c>
      <c r="B10" s="40"/>
      <c r="C10" s="35"/>
      <c r="D10" s="36"/>
      <c r="E10" s="36"/>
      <c r="F10" s="37"/>
      <c r="G10" s="36"/>
      <c r="H10" s="41"/>
      <c r="I10" s="39"/>
    </row>
    <row r="11" ht="87.75" customHeight="1">
      <c r="A11" s="27" t="str">
        <f>IFERROR(VLOOKUP(C11,Datos!$U$1:AZ11,2,FALSE),"")</f>
        <v/>
      </c>
      <c r="B11" s="40"/>
      <c r="C11" s="35"/>
      <c r="D11" s="36"/>
      <c r="E11" s="36"/>
      <c r="F11" s="37"/>
      <c r="G11" s="36"/>
      <c r="H11" s="41"/>
      <c r="I11" s="39"/>
    </row>
  </sheetData>
  <mergeCells count="7">
    <mergeCell ref="A1:I1"/>
    <mergeCell ref="A3:A4"/>
    <mergeCell ref="B3:B4"/>
    <mergeCell ref="D3:D4"/>
    <mergeCell ref="E3:E4"/>
    <mergeCell ref="H3:H4"/>
    <mergeCell ref="I3:I4"/>
  </mergeCells>
  <dataValidations>
    <dataValidation type="list" allowBlank="1" showErrorMessage="1" sqref="C3:C11">
      <formula1>Datos!$A$2:$A11</formula1>
    </dataValidation>
    <dataValidation type="list" allowBlank="1" showErrorMessage="1" sqref="H3 H5:H11">
      <formula1>"Manuel Francisco Corredor,Jose Manuel Rentería,Juan Esteban Niño,Oscar Leonardo Pérez"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3.0"/>
    <col customWidth="1" min="3" max="67" width="8.25"/>
  </cols>
  <sheetData>
    <row r="1">
      <c r="A1" s="42" t="s">
        <v>25</v>
      </c>
      <c r="B1" s="43" t="s">
        <v>26</v>
      </c>
      <c r="C1" s="43" t="s">
        <v>27</v>
      </c>
      <c r="D1" s="43" t="s">
        <v>28</v>
      </c>
      <c r="E1" s="44" t="s">
        <v>29</v>
      </c>
      <c r="F1" s="44" t="s">
        <v>30</v>
      </c>
      <c r="G1" s="44" t="s">
        <v>31</v>
      </c>
      <c r="H1" s="44" t="s">
        <v>32</v>
      </c>
      <c r="I1" s="44" t="s">
        <v>33</v>
      </c>
      <c r="J1" s="44" t="s">
        <v>34</v>
      </c>
      <c r="K1" s="44" t="s">
        <v>35</v>
      </c>
      <c r="L1" s="44" t="s">
        <v>36</v>
      </c>
      <c r="M1" s="44" t="s">
        <v>37</v>
      </c>
      <c r="N1" s="44" t="s">
        <v>38</v>
      </c>
      <c r="O1" s="44" t="s">
        <v>39</v>
      </c>
      <c r="P1" s="44" t="s">
        <v>40</v>
      </c>
      <c r="Q1" s="44" t="s">
        <v>41</v>
      </c>
      <c r="R1" s="44" t="s">
        <v>42</v>
      </c>
      <c r="S1" s="44" t="s">
        <v>43</v>
      </c>
      <c r="T1" s="44" t="s">
        <v>44</v>
      </c>
      <c r="U1" s="45" t="str">
        <f>IFERROR(__xludf.DUMMYFUNCTION("IMPORTRANGE(""https://docs.google.com/spreadsheets/d/1R1q_v9cqxB9XzYyWQGm80bkEILZdpNVMnTxyGhN_sSg/edit?gid=904666944#gid=904666944"",""'Datos2'!A:Z"")"),"Estudiante")</f>
        <v>Estudiante</v>
      </c>
      <c r="V1" s="45" t="str">
        <f>IFERROR(__xludf.DUMMYFUNCTION("""COMPUTED_VALUE"""),"Proyecto")</f>
        <v>Proyecto</v>
      </c>
      <c r="W1" s="46" t="str">
        <f>IFERROR(__xludf.DUMMYFUNCTION("""COMPUTED_VALUE"""),"2025-10")</f>
        <v>2025-10</v>
      </c>
      <c r="X1" s="46" t="str">
        <f>IFERROR(__xludf.DUMMYFUNCTION("""COMPUTED_VALUE"""),"2025-20")</f>
        <v>2025-20</v>
      </c>
      <c r="Y1" s="46" t="str">
        <f>IFERROR(__xludf.DUMMYFUNCTION("""COMPUTED_VALUE"""),"2026-10")</f>
        <v>2026-10</v>
      </c>
      <c r="Z1" s="46" t="str">
        <f>IFERROR(__xludf.DUMMYFUNCTION("""COMPUTED_VALUE"""),"2026-20")</f>
        <v>2026-20</v>
      </c>
      <c r="AA1" s="46" t="str">
        <f>IFERROR(__xludf.DUMMYFUNCTION("""COMPUTED_VALUE"""),"2027-10")</f>
        <v>2027-10</v>
      </c>
      <c r="AB1" s="46" t="str">
        <f>IFERROR(__xludf.DUMMYFUNCTION("""COMPUTED_VALUE"""),"2027-20")</f>
        <v>2027-20</v>
      </c>
      <c r="AC1" s="46" t="str">
        <f>IFERROR(__xludf.DUMMYFUNCTION("""COMPUTED_VALUE"""),"2028-10")</f>
        <v>2028-10</v>
      </c>
      <c r="AD1" s="46" t="str">
        <f>IFERROR(__xludf.DUMMYFUNCTION("""COMPUTED_VALUE"""),"2028-20")</f>
        <v>2028-20</v>
      </c>
      <c r="AE1" s="46" t="str">
        <f>IFERROR(__xludf.DUMMYFUNCTION("""COMPUTED_VALUE"""),"2029-10")</f>
        <v>2029-10</v>
      </c>
      <c r="AF1" s="46" t="str">
        <f>IFERROR(__xludf.DUMMYFUNCTION("""COMPUTED_VALUE"""),"2029-20")</f>
        <v>2029-20</v>
      </c>
      <c r="AG1" s="46" t="str">
        <f>IFERROR(__xludf.DUMMYFUNCTION("""COMPUTED_VALUE"""),"2030-10")</f>
        <v>2030-10</v>
      </c>
      <c r="AH1" s="46" t="str">
        <f>IFERROR(__xludf.DUMMYFUNCTION("""COMPUTED_VALUE"""),"2030-20")</f>
        <v>2030-20</v>
      </c>
      <c r="AI1" s="46" t="str">
        <f>IFERROR(__xludf.DUMMYFUNCTION("""COMPUTED_VALUE"""),"2031-10")</f>
        <v>2031-10</v>
      </c>
      <c r="AJ1" s="46" t="str">
        <f>IFERROR(__xludf.DUMMYFUNCTION("""COMPUTED_VALUE"""),"2031-20")</f>
        <v>2031-20</v>
      </c>
      <c r="AK1" s="46" t="str">
        <f>IFERROR(__xludf.DUMMYFUNCTION("""COMPUTED_VALUE"""),"2032-10")</f>
        <v>2032-10</v>
      </c>
      <c r="AL1" s="46" t="str">
        <f>IFERROR(__xludf.DUMMYFUNCTION("""COMPUTED_VALUE"""),"2032-20")</f>
        <v>2032-20</v>
      </c>
      <c r="AM1" s="46" t="str">
        <f>IFERROR(__xludf.DUMMYFUNCTION("""COMPUTED_VALUE"""),"2033-10")</f>
        <v>2033-10</v>
      </c>
      <c r="AN1" s="46" t="str">
        <f>IFERROR(__xludf.DUMMYFUNCTION("""COMPUTED_VALUE"""),"2033-20")</f>
        <v>2033-20</v>
      </c>
      <c r="AO1" s="46" t="str">
        <f>IFERROR(__xludf.DUMMYFUNCTION("""COMPUTED_VALUE"""),"2034-10")</f>
        <v>2034-10</v>
      </c>
      <c r="AP1" s="46" t="str">
        <f>IFERROR(__xludf.DUMMYFUNCTION("""COMPUTED_VALUE"""),"2034-20")</f>
        <v>2034-20</v>
      </c>
      <c r="AQ1" s="46" t="str">
        <f>IFERROR(__xludf.DUMMYFUNCTION("""COMPUTED_VALUE"""),"2035-10")</f>
        <v>2035-10</v>
      </c>
      <c r="AR1" s="46" t="str">
        <f>IFERROR(__xludf.DUMMYFUNCTION("""COMPUTED_VALUE"""),"2035-20")</f>
        <v>2035-20</v>
      </c>
      <c r="AS1" s="46" t="str">
        <f>IFERROR(__xludf.DUMMYFUNCTION("""COMPUTED_VALUE"""),"2036-10")</f>
        <v>2036-10</v>
      </c>
      <c r="AT1" s="46" t="str">
        <f>IFERROR(__xludf.DUMMYFUNCTION("""COMPUTED_VALUE"""),"2036-20")</f>
        <v>2036-20</v>
      </c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</row>
    <row r="2">
      <c r="A2" s="47" t="str">
        <f>IFERROR(__xludf.DUMMYFUNCTION("FILTER(
  U2:U1500,
  INDEX(W2:ZZ1500, 0, MATCH(A1, W1:ZZ1, 0))=""X""
)"),"Angy Juliana Farasica")</f>
        <v>Angy Juliana Farasica</v>
      </c>
      <c r="B2" s="48"/>
      <c r="C2" s="49" t="str">
        <f t="shared" ref="C2:C1500" si="2">IF(B2="","",COUNT(E2:T2))</f>
        <v/>
      </c>
      <c r="D2" s="50" t="str">
        <f t="shared" ref="D2:D1500" si="3">IFERROR(SUM(E2:T2)/B2,"")</f>
        <v/>
      </c>
      <c r="E2" s="51" t="str">
        <f t="shared" ref="E2:T2" si="1">IFERROR(VLOOKUP($A2,INDIRECT("'" &amp; E$1 &amp; "'!$C:$G"), 5, FALSE),"")</f>
        <v/>
      </c>
      <c r="F2" s="51" t="str">
        <f t="shared" si="1"/>
        <v/>
      </c>
      <c r="G2" s="51" t="str">
        <f t="shared" si="1"/>
        <v/>
      </c>
      <c r="H2" s="51" t="str">
        <f t="shared" si="1"/>
        <v/>
      </c>
      <c r="I2" s="51" t="str">
        <f t="shared" si="1"/>
        <v/>
      </c>
      <c r="J2" s="51" t="str">
        <f t="shared" si="1"/>
        <v/>
      </c>
      <c r="K2" s="51" t="str">
        <f t="shared" si="1"/>
        <v/>
      </c>
      <c r="L2" s="51" t="str">
        <f t="shared" si="1"/>
        <v/>
      </c>
      <c r="M2" s="51" t="str">
        <f t="shared" si="1"/>
        <v/>
      </c>
      <c r="N2" s="51" t="str">
        <f t="shared" si="1"/>
        <v/>
      </c>
      <c r="O2" s="51" t="str">
        <f t="shared" si="1"/>
        <v/>
      </c>
      <c r="P2" s="51" t="str">
        <f t="shared" si="1"/>
        <v/>
      </c>
      <c r="Q2" s="51" t="str">
        <f t="shared" si="1"/>
        <v/>
      </c>
      <c r="R2" s="51" t="str">
        <f t="shared" si="1"/>
        <v/>
      </c>
      <c r="S2" s="51" t="str">
        <f t="shared" si="1"/>
        <v/>
      </c>
      <c r="T2" s="51" t="str">
        <f t="shared" si="1"/>
        <v/>
      </c>
      <c r="U2" s="52" t="str">
        <f>IFERROR(__xludf.DUMMYFUNCTION("""COMPUTED_VALUE"""),"Angy Juliana Farasica")</f>
        <v>Angy Juliana Farasica</v>
      </c>
      <c r="V2" s="53" t="str">
        <f>IFERROR(__xludf.DUMMYFUNCTION("""COMPUTED_VALUE"""),"Aplicativo móvil con realidad aumentada para la práctica y adquisición de vocabulario de inglés a nivel A1")</f>
        <v>Aplicativo móvil con realidad aumentada para la práctica y adquisición de vocabulario de inglés a nivel A1</v>
      </c>
      <c r="W2" s="52" t="str">
        <f>IFERROR(__xludf.DUMMYFUNCTION("""COMPUTED_VALUE"""),"")</f>
        <v/>
      </c>
      <c r="X2" s="52" t="str">
        <f>IFERROR(__xludf.DUMMYFUNCTION("""COMPUTED_VALUE"""),"X")</f>
        <v>X</v>
      </c>
      <c r="Y2" s="52" t="str">
        <f>IFERROR(__xludf.DUMMYFUNCTION("""COMPUTED_VALUE"""),"X")</f>
        <v>X</v>
      </c>
      <c r="Z2" s="52" t="str">
        <f>IFERROR(__xludf.DUMMYFUNCTION("""COMPUTED_VALUE"""),"X")</f>
        <v>X</v>
      </c>
      <c r="AA2" s="52" t="str">
        <f>IFERROR(__xludf.DUMMYFUNCTION("""COMPUTED_VALUE"""),"")</f>
        <v/>
      </c>
      <c r="AB2" s="52" t="str">
        <f>IFERROR(__xludf.DUMMYFUNCTION("""COMPUTED_VALUE"""),"")</f>
        <v/>
      </c>
      <c r="AC2" s="52" t="str">
        <f>IFERROR(__xludf.DUMMYFUNCTION("""COMPUTED_VALUE"""),"")</f>
        <v/>
      </c>
      <c r="AD2" s="52" t="str">
        <f>IFERROR(__xludf.DUMMYFUNCTION("""COMPUTED_VALUE"""),"")</f>
        <v/>
      </c>
      <c r="AE2" s="52" t="str">
        <f>IFERROR(__xludf.DUMMYFUNCTION("""COMPUTED_VALUE"""),"")</f>
        <v/>
      </c>
      <c r="AF2" s="52" t="str">
        <f>IFERROR(__xludf.DUMMYFUNCTION("""COMPUTED_VALUE"""),"")</f>
        <v/>
      </c>
      <c r="AG2" s="52" t="str">
        <f>IFERROR(__xludf.DUMMYFUNCTION("""COMPUTED_VALUE"""),"")</f>
        <v/>
      </c>
      <c r="AH2" s="52" t="str">
        <f>IFERROR(__xludf.DUMMYFUNCTION("""COMPUTED_VALUE"""),"")</f>
        <v/>
      </c>
      <c r="AI2" s="52" t="str">
        <f>IFERROR(__xludf.DUMMYFUNCTION("""COMPUTED_VALUE"""),"")</f>
        <v/>
      </c>
      <c r="AJ2" s="52" t="str">
        <f>IFERROR(__xludf.DUMMYFUNCTION("""COMPUTED_VALUE"""),"")</f>
        <v/>
      </c>
      <c r="AK2" s="52" t="str">
        <f>IFERROR(__xludf.DUMMYFUNCTION("""COMPUTED_VALUE"""),"")</f>
        <v/>
      </c>
      <c r="AL2" s="52" t="str">
        <f>IFERROR(__xludf.DUMMYFUNCTION("""COMPUTED_VALUE"""),"")</f>
        <v/>
      </c>
      <c r="AM2" s="52" t="str">
        <f>IFERROR(__xludf.DUMMYFUNCTION("""COMPUTED_VALUE"""),"")</f>
        <v/>
      </c>
      <c r="AN2" s="52" t="str">
        <f>IFERROR(__xludf.DUMMYFUNCTION("""COMPUTED_VALUE"""),"")</f>
        <v/>
      </c>
      <c r="AO2" s="52" t="str">
        <f>IFERROR(__xludf.DUMMYFUNCTION("""COMPUTED_VALUE"""),"")</f>
        <v/>
      </c>
      <c r="AP2" s="52" t="str">
        <f>IFERROR(__xludf.DUMMYFUNCTION("""COMPUTED_VALUE"""),"")</f>
        <v/>
      </c>
      <c r="AQ2" s="52" t="str">
        <f>IFERROR(__xludf.DUMMYFUNCTION("""COMPUTED_VALUE"""),"")</f>
        <v/>
      </c>
      <c r="AR2" s="52" t="str">
        <f>IFERROR(__xludf.DUMMYFUNCTION("""COMPUTED_VALUE"""),"")</f>
        <v/>
      </c>
      <c r="AS2" s="52" t="str">
        <f>IFERROR(__xludf.DUMMYFUNCTION("""COMPUTED_VALUE"""),"")</f>
        <v/>
      </c>
      <c r="AT2" s="52" t="str">
        <f>IFERROR(__xludf.DUMMYFUNCTION("""COMPUTED_VALUE"""),"")</f>
        <v/>
      </c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</row>
    <row r="3">
      <c r="A3" s="47" t="str">
        <f>IFERROR(__xludf.DUMMYFUNCTION("""COMPUTED_VALUE"""),"Daniel Alejandro Rodríguez")</f>
        <v>Daniel Alejandro Rodríguez</v>
      </c>
      <c r="B3" s="48"/>
      <c r="C3" s="49" t="str">
        <f t="shared" si="2"/>
        <v/>
      </c>
      <c r="D3" s="50" t="str">
        <f t="shared" si="3"/>
        <v/>
      </c>
      <c r="E3" s="51" t="str">
        <f t="shared" ref="E3:T3" si="4">IFERROR(VLOOKUP($A3,INDIRECT("'" &amp; E$1 &amp; "'!$C:$G"), 5, FALSE),"")</f>
        <v/>
      </c>
      <c r="F3" s="51" t="str">
        <f t="shared" si="4"/>
        <v/>
      </c>
      <c r="G3" s="51" t="str">
        <f t="shared" si="4"/>
        <v/>
      </c>
      <c r="H3" s="51" t="str">
        <f t="shared" si="4"/>
        <v/>
      </c>
      <c r="I3" s="51" t="str">
        <f t="shared" si="4"/>
        <v/>
      </c>
      <c r="J3" s="51" t="str">
        <f t="shared" si="4"/>
        <v/>
      </c>
      <c r="K3" s="51" t="str">
        <f t="shared" si="4"/>
        <v/>
      </c>
      <c r="L3" s="51" t="str">
        <f t="shared" si="4"/>
        <v/>
      </c>
      <c r="M3" s="51" t="str">
        <f t="shared" si="4"/>
        <v/>
      </c>
      <c r="N3" s="51" t="str">
        <f t="shared" si="4"/>
        <v/>
      </c>
      <c r="O3" s="51" t="str">
        <f t="shared" si="4"/>
        <v/>
      </c>
      <c r="P3" s="51" t="str">
        <f t="shared" si="4"/>
        <v/>
      </c>
      <c r="Q3" s="51" t="str">
        <f t="shared" si="4"/>
        <v/>
      </c>
      <c r="R3" s="51" t="str">
        <f t="shared" si="4"/>
        <v/>
      </c>
      <c r="S3" s="51" t="str">
        <f t="shared" si="4"/>
        <v/>
      </c>
      <c r="T3" s="51" t="str">
        <f t="shared" si="4"/>
        <v/>
      </c>
      <c r="U3" s="52" t="str">
        <f>IFERROR(__xludf.DUMMYFUNCTION("""COMPUTED_VALUE"""),"Daniel Alejandro Rodríguez")</f>
        <v>Daniel Alejandro Rodríguez</v>
      </c>
      <c r="V3" s="53" t="str">
        <f>IFERROR(__xludf.DUMMYFUNCTION("""COMPUTED_VALUE"""),"Aplicativo móvil con realidad aumentada para la comprensión de las métricas y proporciones en el dibujo anatómico")</f>
        <v>Aplicativo móvil con realidad aumentada para la comprensión de las métricas y proporciones en el dibujo anatómico</v>
      </c>
      <c r="W3" s="52" t="str">
        <f>IFERROR(__xludf.DUMMYFUNCTION("""COMPUTED_VALUE"""),"")</f>
        <v/>
      </c>
      <c r="X3" s="52" t="str">
        <f>IFERROR(__xludf.DUMMYFUNCTION("""COMPUTED_VALUE"""),"X")</f>
        <v>X</v>
      </c>
      <c r="Y3" s="52" t="str">
        <f>IFERROR(__xludf.DUMMYFUNCTION("""COMPUTED_VALUE"""),"X")</f>
        <v>X</v>
      </c>
      <c r="Z3" s="52" t="str">
        <f>IFERROR(__xludf.DUMMYFUNCTION("""COMPUTED_VALUE"""),"X")</f>
        <v>X</v>
      </c>
      <c r="AA3" s="52" t="str">
        <f>IFERROR(__xludf.DUMMYFUNCTION("""COMPUTED_VALUE"""),"")</f>
        <v/>
      </c>
      <c r="AB3" s="52" t="str">
        <f>IFERROR(__xludf.DUMMYFUNCTION("""COMPUTED_VALUE"""),"")</f>
        <v/>
      </c>
      <c r="AC3" s="52" t="str">
        <f>IFERROR(__xludf.DUMMYFUNCTION("""COMPUTED_VALUE"""),"")</f>
        <v/>
      </c>
      <c r="AD3" s="52" t="str">
        <f>IFERROR(__xludf.DUMMYFUNCTION("""COMPUTED_VALUE"""),"")</f>
        <v/>
      </c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</row>
    <row r="4">
      <c r="A4" s="47" t="str">
        <f>IFERROR(__xludf.DUMMYFUNCTION("""COMPUTED_VALUE"""),"Sara Sofia Moreno Castro")</f>
        <v>Sara Sofia Moreno Castro</v>
      </c>
      <c r="B4" s="48"/>
      <c r="C4" s="49" t="str">
        <f t="shared" si="2"/>
        <v/>
      </c>
      <c r="D4" s="50" t="str">
        <f t="shared" si="3"/>
        <v/>
      </c>
      <c r="E4" s="51" t="str">
        <f t="shared" ref="E4:T4" si="5">IFERROR(VLOOKUP($A4,INDIRECT("'" &amp; E$1 &amp; "'!$C:$G"), 5, FALSE),"")</f>
        <v/>
      </c>
      <c r="F4" s="51" t="str">
        <f t="shared" si="5"/>
        <v/>
      </c>
      <c r="G4" s="51" t="str">
        <f t="shared" si="5"/>
        <v/>
      </c>
      <c r="H4" s="51" t="str">
        <f t="shared" si="5"/>
        <v/>
      </c>
      <c r="I4" s="51" t="str">
        <f t="shared" si="5"/>
        <v/>
      </c>
      <c r="J4" s="51" t="str">
        <f t="shared" si="5"/>
        <v/>
      </c>
      <c r="K4" s="51" t="str">
        <f t="shared" si="5"/>
        <v/>
      </c>
      <c r="L4" s="51" t="str">
        <f t="shared" si="5"/>
        <v/>
      </c>
      <c r="M4" s="51" t="str">
        <f t="shared" si="5"/>
        <v/>
      </c>
      <c r="N4" s="51" t="str">
        <f t="shared" si="5"/>
        <v/>
      </c>
      <c r="O4" s="51" t="str">
        <f t="shared" si="5"/>
        <v/>
      </c>
      <c r="P4" s="51" t="str">
        <f t="shared" si="5"/>
        <v/>
      </c>
      <c r="Q4" s="51" t="str">
        <f t="shared" si="5"/>
        <v/>
      </c>
      <c r="R4" s="51" t="str">
        <f t="shared" si="5"/>
        <v/>
      </c>
      <c r="S4" s="51" t="str">
        <f t="shared" si="5"/>
        <v/>
      </c>
      <c r="T4" s="51" t="str">
        <f t="shared" si="5"/>
        <v/>
      </c>
      <c r="U4" s="52" t="str">
        <f>IFERROR(__xludf.DUMMYFUNCTION("""COMPUTED_VALUE"""),"Sara Sofia Moreno Castro")</f>
        <v>Sara Sofia Moreno Castro</v>
      </c>
      <c r="V4" s="53" t="str">
        <f>IFERROR(__xludf.DUMMYFUNCTION("""COMPUTED_VALUE"""),"Libro Interactivo para la Divulgación del Programa de Ingeniería en Multimedia de la Universidad de Boyacá")</f>
        <v>Libro Interactivo para la Divulgación del Programa de Ingeniería en Multimedia de la Universidad de Boyacá</v>
      </c>
      <c r="W4" s="52" t="str">
        <f>IFERROR(__xludf.DUMMYFUNCTION("""COMPUTED_VALUE"""),"")</f>
        <v/>
      </c>
      <c r="X4" s="52" t="str">
        <f>IFERROR(__xludf.DUMMYFUNCTION("""COMPUTED_VALUE"""),"X")</f>
        <v>X</v>
      </c>
      <c r="Y4" s="52" t="str">
        <f>IFERROR(__xludf.DUMMYFUNCTION("""COMPUTED_VALUE"""),"X")</f>
        <v>X</v>
      </c>
      <c r="Z4" s="52" t="str">
        <f>IFERROR(__xludf.DUMMYFUNCTION("""COMPUTED_VALUE"""),"X")</f>
        <v>X</v>
      </c>
      <c r="AA4" s="52" t="str">
        <f>IFERROR(__xludf.DUMMYFUNCTION("""COMPUTED_VALUE"""),"")</f>
        <v/>
      </c>
      <c r="AB4" s="52" t="str">
        <f>IFERROR(__xludf.DUMMYFUNCTION("""COMPUTED_VALUE"""),"")</f>
        <v/>
      </c>
      <c r="AC4" s="52" t="str">
        <f>IFERROR(__xludf.DUMMYFUNCTION("""COMPUTED_VALUE"""),"")</f>
        <v/>
      </c>
      <c r="AD4" s="52" t="str">
        <f>IFERROR(__xludf.DUMMYFUNCTION("""COMPUTED_VALUE"""),"")</f>
        <v/>
      </c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</row>
    <row r="5">
      <c r="A5" s="47" t="str">
        <f>IFERROR(__xludf.DUMMYFUNCTION("""COMPUTED_VALUE"""),"David Santiago Amaya Reyes")</f>
        <v>David Santiago Amaya Reyes</v>
      </c>
      <c r="B5" s="48"/>
      <c r="C5" s="49" t="str">
        <f t="shared" si="2"/>
        <v/>
      </c>
      <c r="D5" s="50" t="str">
        <f t="shared" si="3"/>
        <v/>
      </c>
      <c r="E5" s="51" t="str">
        <f t="shared" ref="E5:T5" si="6">IFERROR(VLOOKUP($A5,INDIRECT("'" &amp; E$1 &amp; "'!$C:$G"), 5, FALSE),"")</f>
        <v/>
      </c>
      <c r="F5" s="51" t="str">
        <f t="shared" si="6"/>
        <v/>
      </c>
      <c r="G5" s="51" t="str">
        <f t="shared" si="6"/>
        <v/>
      </c>
      <c r="H5" s="51" t="str">
        <f t="shared" si="6"/>
        <v/>
      </c>
      <c r="I5" s="51" t="str">
        <f t="shared" si="6"/>
        <v/>
      </c>
      <c r="J5" s="51" t="str">
        <f t="shared" si="6"/>
        <v/>
      </c>
      <c r="K5" s="51" t="str">
        <f t="shared" si="6"/>
        <v/>
      </c>
      <c r="L5" s="51" t="str">
        <f t="shared" si="6"/>
        <v/>
      </c>
      <c r="M5" s="51" t="str">
        <f t="shared" si="6"/>
        <v/>
      </c>
      <c r="N5" s="51" t="str">
        <f t="shared" si="6"/>
        <v/>
      </c>
      <c r="O5" s="51" t="str">
        <f t="shared" si="6"/>
        <v/>
      </c>
      <c r="P5" s="51" t="str">
        <f t="shared" si="6"/>
        <v/>
      </c>
      <c r="Q5" s="51" t="str">
        <f t="shared" si="6"/>
        <v/>
      </c>
      <c r="R5" s="51" t="str">
        <f t="shared" si="6"/>
        <v/>
      </c>
      <c r="S5" s="51" t="str">
        <f t="shared" si="6"/>
        <v/>
      </c>
      <c r="T5" s="51" t="str">
        <f t="shared" si="6"/>
        <v/>
      </c>
      <c r="U5" s="52" t="str">
        <f>IFERROR(__xludf.DUMMYFUNCTION("""COMPUTED_VALUE"""),"David Santiago Amaya Reyes")</f>
        <v>David Santiago Amaya Reyes</v>
      </c>
      <c r="V5" s="53" t="str">
        <f>IFERROR(__xludf.DUMMYFUNCTION("""COMPUTED_VALUE"""),"Narrativa Web Interactiva para Divulgar la Historia de la Batalla del Pantano de Vargas, Paipa")</f>
        <v>Narrativa Web Interactiva para Divulgar la Historia de la Batalla del Pantano de Vargas, Paipa</v>
      </c>
      <c r="W5" s="52" t="str">
        <f>IFERROR(__xludf.DUMMYFUNCTION("""COMPUTED_VALUE"""),"")</f>
        <v/>
      </c>
      <c r="X5" s="52" t="str">
        <f>IFERROR(__xludf.DUMMYFUNCTION("""COMPUTED_VALUE"""),"X")</f>
        <v>X</v>
      </c>
      <c r="Y5" s="52" t="str">
        <f>IFERROR(__xludf.DUMMYFUNCTION("""COMPUTED_VALUE"""),"X")</f>
        <v>X</v>
      </c>
      <c r="Z5" s="52" t="str">
        <f>IFERROR(__xludf.DUMMYFUNCTION("""COMPUTED_VALUE"""),"X")</f>
        <v>X</v>
      </c>
      <c r="AA5" s="52" t="str">
        <f>IFERROR(__xludf.DUMMYFUNCTION("""COMPUTED_VALUE"""),"")</f>
        <v/>
      </c>
      <c r="AB5" s="52" t="str">
        <f>IFERROR(__xludf.DUMMYFUNCTION("""COMPUTED_VALUE"""),"")</f>
        <v/>
      </c>
      <c r="AC5" s="52" t="str">
        <f>IFERROR(__xludf.DUMMYFUNCTION("""COMPUTED_VALUE"""),"")</f>
        <v/>
      </c>
      <c r="AD5" s="52" t="str">
        <f>IFERROR(__xludf.DUMMYFUNCTION("""COMPUTED_VALUE"""),"")</f>
        <v/>
      </c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</row>
    <row r="6">
      <c r="A6" s="47" t="str">
        <f>IFERROR(__xludf.DUMMYFUNCTION("""COMPUTED_VALUE"""),"Daniel Felipe Sainea")</f>
        <v>Daniel Felipe Sainea</v>
      </c>
      <c r="B6" s="48"/>
      <c r="C6" s="49" t="str">
        <f t="shared" si="2"/>
        <v/>
      </c>
      <c r="D6" s="50" t="str">
        <f t="shared" si="3"/>
        <v/>
      </c>
      <c r="E6" s="51" t="str">
        <f t="shared" ref="E6:T6" si="7">IFERROR(VLOOKUP($A6,INDIRECT("'" &amp; E$1 &amp; "'!$C:$G"), 5, FALSE),"")</f>
        <v/>
      </c>
      <c r="F6" s="51" t="str">
        <f t="shared" si="7"/>
        <v/>
      </c>
      <c r="G6" s="51" t="str">
        <f t="shared" si="7"/>
        <v/>
      </c>
      <c r="H6" s="51" t="str">
        <f t="shared" si="7"/>
        <v/>
      </c>
      <c r="I6" s="51" t="str">
        <f t="shared" si="7"/>
        <v/>
      </c>
      <c r="J6" s="51" t="str">
        <f t="shared" si="7"/>
        <v/>
      </c>
      <c r="K6" s="51" t="str">
        <f t="shared" si="7"/>
        <v/>
      </c>
      <c r="L6" s="51" t="str">
        <f t="shared" si="7"/>
        <v/>
      </c>
      <c r="M6" s="51" t="str">
        <f t="shared" si="7"/>
        <v/>
      </c>
      <c r="N6" s="51" t="str">
        <f t="shared" si="7"/>
        <v/>
      </c>
      <c r="O6" s="51" t="str">
        <f t="shared" si="7"/>
        <v/>
      </c>
      <c r="P6" s="51" t="str">
        <f t="shared" si="7"/>
        <v/>
      </c>
      <c r="Q6" s="51" t="str">
        <f t="shared" si="7"/>
        <v/>
      </c>
      <c r="R6" s="51" t="str">
        <f t="shared" si="7"/>
        <v/>
      </c>
      <c r="S6" s="51" t="str">
        <f t="shared" si="7"/>
        <v/>
      </c>
      <c r="T6" s="51" t="str">
        <f t="shared" si="7"/>
        <v/>
      </c>
      <c r="U6" s="52" t="str">
        <f>IFERROR(__xludf.DUMMYFUNCTION("""COMPUTED_VALUE"""),"Daniel Felipe Sainea")</f>
        <v>Daniel Felipe Sainea</v>
      </c>
      <c r="V6" s="53" t="str">
        <f>IFERROR(__xludf.DUMMYFUNCTION("""COMPUTED_VALUE"""),"Recorrido virtual interactivo del edificio 4 de la Universidad de Boyacá")</f>
        <v>Recorrido virtual interactivo del edificio 4 de la Universidad de Boyacá</v>
      </c>
      <c r="W6" s="52" t="str">
        <f>IFERROR(__xludf.DUMMYFUNCTION("""COMPUTED_VALUE"""),"")</f>
        <v/>
      </c>
      <c r="X6" s="52" t="str">
        <f>IFERROR(__xludf.DUMMYFUNCTION("""COMPUTED_VALUE"""),"X")</f>
        <v>X</v>
      </c>
      <c r="Y6" s="52" t="str">
        <f>IFERROR(__xludf.DUMMYFUNCTION("""COMPUTED_VALUE"""),"X")</f>
        <v>X</v>
      </c>
      <c r="Z6" s="52" t="str">
        <f>IFERROR(__xludf.DUMMYFUNCTION("""COMPUTED_VALUE"""),"X")</f>
        <v>X</v>
      </c>
      <c r="AA6" s="52" t="str">
        <f>IFERROR(__xludf.DUMMYFUNCTION("""COMPUTED_VALUE"""),"")</f>
        <v/>
      </c>
      <c r="AB6" s="52" t="str">
        <f>IFERROR(__xludf.DUMMYFUNCTION("""COMPUTED_VALUE"""),"")</f>
        <v/>
      </c>
      <c r="AC6" s="52" t="str">
        <f>IFERROR(__xludf.DUMMYFUNCTION("""COMPUTED_VALUE"""),"")</f>
        <v/>
      </c>
      <c r="AD6" s="52" t="str">
        <f>IFERROR(__xludf.DUMMYFUNCTION("""COMPUTED_VALUE"""),"")</f>
        <v/>
      </c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</row>
    <row r="7">
      <c r="A7" s="47" t="str">
        <f>IFERROR(__xludf.DUMMYFUNCTION("""COMPUTED_VALUE"""),"Diana Sofia Benavides Monroy")</f>
        <v>Diana Sofia Benavides Monroy</v>
      </c>
      <c r="B7" s="48"/>
      <c r="C7" s="49" t="str">
        <f t="shared" si="2"/>
        <v/>
      </c>
      <c r="D7" s="50" t="str">
        <f t="shared" si="3"/>
        <v/>
      </c>
      <c r="E7" s="51" t="str">
        <f t="shared" ref="E7:T7" si="8">IFERROR(VLOOKUP($A7,INDIRECT("'" &amp; E$1 &amp; "'!$C:$G"), 5, FALSE),"")</f>
        <v/>
      </c>
      <c r="F7" s="51" t="str">
        <f t="shared" si="8"/>
        <v/>
      </c>
      <c r="G7" s="51" t="str">
        <f t="shared" si="8"/>
        <v/>
      </c>
      <c r="H7" s="51" t="str">
        <f t="shared" si="8"/>
        <v/>
      </c>
      <c r="I7" s="51" t="str">
        <f t="shared" si="8"/>
        <v/>
      </c>
      <c r="J7" s="51" t="str">
        <f t="shared" si="8"/>
        <v/>
      </c>
      <c r="K7" s="51" t="str">
        <f t="shared" si="8"/>
        <v/>
      </c>
      <c r="L7" s="51" t="str">
        <f t="shared" si="8"/>
        <v/>
      </c>
      <c r="M7" s="51" t="str">
        <f t="shared" si="8"/>
        <v/>
      </c>
      <c r="N7" s="51" t="str">
        <f t="shared" si="8"/>
        <v/>
      </c>
      <c r="O7" s="51" t="str">
        <f t="shared" si="8"/>
        <v/>
      </c>
      <c r="P7" s="51" t="str">
        <f t="shared" si="8"/>
        <v/>
      </c>
      <c r="Q7" s="51" t="str">
        <f t="shared" si="8"/>
        <v/>
      </c>
      <c r="R7" s="51" t="str">
        <f t="shared" si="8"/>
        <v/>
      </c>
      <c r="S7" s="51" t="str">
        <f t="shared" si="8"/>
        <v/>
      </c>
      <c r="T7" s="51" t="str">
        <f t="shared" si="8"/>
        <v/>
      </c>
      <c r="U7" s="52" t="str">
        <f>IFERROR(__xludf.DUMMYFUNCTION("""COMPUTED_VALUE"""),"Diana Sofia Benavides Monroy")</f>
        <v>Diana Sofia Benavides Monroy</v>
      </c>
      <c r="V7" s="53" t="str">
        <f>IFERROR(__xludf.DUMMYFUNCTION("""COMPUTED_VALUE"""),"Videojuego 2D para apoyar competencias matemáticas básicas de números enteros en niños")</f>
        <v>Videojuego 2D para apoyar competencias matemáticas básicas de números enteros en niños</v>
      </c>
      <c r="W7" s="52" t="str">
        <f>IFERROR(__xludf.DUMMYFUNCTION("""COMPUTED_VALUE"""),"")</f>
        <v/>
      </c>
      <c r="X7" s="52" t="str">
        <f>IFERROR(__xludf.DUMMYFUNCTION("""COMPUTED_VALUE"""),"X")</f>
        <v>X</v>
      </c>
      <c r="Y7" s="52" t="str">
        <f>IFERROR(__xludf.DUMMYFUNCTION("""COMPUTED_VALUE"""),"X")</f>
        <v>X</v>
      </c>
      <c r="Z7" s="52" t="str">
        <f>IFERROR(__xludf.DUMMYFUNCTION("""COMPUTED_VALUE"""),"X")</f>
        <v>X</v>
      </c>
      <c r="AA7" s="52" t="str">
        <f>IFERROR(__xludf.DUMMYFUNCTION("""COMPUTED_VALUE"""),"")</f>
        <v/>
      </c>
      <c r="AB7" s="52" t="str">
        <f>IFERROR(__xludf.DUMMYFUNCTION("""COMPUTED_VALUE"""),"")</f>
        <v/>
      </c>
      <c r="AC7" s="52" t="str">
        <f>IFERROR(__xludf.DUMMYFUNCTION("""COMPUTED_VALUE"""),"")</f>
        <v/>
      </c>
      <c r="AD7" s="52" t="str">
        <f>IFERROR(__xludf.DUMMYFUNCTION("""COMPUTED_VALUE"""),"")</f>
        <v/>
      </c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</row>
    <row r="8">
      <c r="A8" s="47" t="str">
        <f>IFERROR(__xludf.DUMMYFUNCTION("""COMPUTED_VALUE"""),"David Alejandro Gonzalez")</f>
        <v>David Alejandro Gonzalez</v>
      </c>
      <c r="B8" s="48"/>
      <c r="C8" s="49" t="str">
        <f t="shared" si="2"/>
        <v/>
      </c>
      <c r="D8" s="50" t="str">
        <f t="shared" si="3"/>
        <v/>
      </c>
      <c r="E8" s="51" t="str">
        <f t="shared" ref="E8:T8" si="9">IFERROR(VLOOKUP($A8,INDIRECT("'" &amp; E$1 &amp; "'!$C:$G"), 5, FALSE),"")</f>
        <v/>
      </c>
      <c r="F8" s="51" t="str">
        <f t="shared" si="9"/>
        <v/>
      </c>
      <c r="G8" s="51" t="str">
        <f t="shared" si="9"/>
        <v/>
      </c>
      <c r="H8" s="51" t="str">
        <f t="shared" si="9"/>
        <v/>
      </c>
      <c r="I8" s="51" t="str">
        <f t="shared" si="9"/>
        <v/>
      </c>
      <c r="J8" s="51" t="str">
        <f t="shared" si="9"/>
        <v/>
      </c>
      <c r="K8" s="51" t="str">
        <f t="shared" si="9"/>
        <v/>
      </c>
      <c r="L8" s="51" t="str">
        <f t="shared" si="9"/>
        <v/>
      </c>
      <c r="M8" s="51" t="str">
        <f t="shared" si="9"/>
        <v/>
      </c>
      <c r="N8" s="51" t="str">
        <f t="shared" si="9"/>
        <v/>
      </c>
      <c r="O8" s="51" t="str">
        <f t="shared" si="9"/>
        <v/>
      </c>
      <c r="P8" s="51" t="str">
        <f t="shared" si="9"/>
        <v/>
      </c>
      <c r="Q8" s="51" t="str">
        <f t="shared" si="9"/>
        <v/>
      </c>
      <c r="R8" s="51" t="str">
        <f t="shared" si="9"/>
        <v/>
      </c>
      <c r="S8" s="51" t="str">
        <f t="shared" si="9"/>
        <v/>
      </c>
      <c r="T8" s="51" t="str">
        <f t="shared" si="9"/>
        <v/>
      </c>
      <c r="U8" s="52" t="str">
        <f>IFERROR(__xludf.DUMMYFUNCTION("""COMPUTED_VALUE"""),"David Alejandro Gonzalez")</f>
        <v>David Alejandro Gonzalez</v>
      </c>
      <c r="V8" s="52"/>
      <c r="W8" s="52" t="str">
        <f>IFERROR(__xludf.DUMMYFUNCTION("""COMPUTED_VALUE"""),"")</f>
        <v/>
      </c>
      <c r="X8" s="52" t="str">
        <f>IFERROR(__xludf.DUMMYFUNCTION("""COMPUTED_VALUE"""),"X")</f>
        <v>X</v>
      </c>
      <c r="Y8" s="52" t="str">
        <f>IFERROR(__xludf.DUMMYFUNCTION("""COMPUTED_VALUE"""),"X")</f>
        <v>X</v>
      </c>
      <c r="Z8" s="52" t="str">
        <f>IFERROR(__xludf.DUMMYFUNCTION("""COMPUTED_VALUE"""),"X")</f>
        <v>X</v>
      </c>
      <c r="AA8" s="52" t="str">
        <f>IFERROR(__xludf.DUMMYFUNCTION("""COMPUTED_VALUE"""),"")</f>
        <v/>
      </c>
      <c r="AB8" s="52" t="str">
        <f>IFERROR(__xludf.DUMMYFUNCTION("""COMPUTED_VALUE"""),"")</f>
        <v/>
      </c>
      <c r="AC8" s="52" t="str">
        <f>IFERROR(__xludf.DUMMYFUNCTION("""COMPUTED_VALUE"""),"")</f>
        <v/>
      </c>
      <c r="AD8" s="52" t="str">
        <f>IFERROR(__xludf.DUMMYFUNCTION("""COMPUTED_VALUE"""),"")</f>
        <v/>
      </c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</row>
    <row r="9">
      <c r="A9" s="47" t="str">
        <f>IFERROR(__xludf.DUMMYFUNCTION("""COMPUTED_VALUE"""),"Hugo Alexander Fonseca Chaparro")</f>
        <v>Hugo Alexander Fonseca Chaparro</v>
      </c>
      <c r="B9" s="48"/>
      <c r="C9" s="49" t="str">
        <f t="shared" si="2"/>
        <v/>
      </c>
      <c r="D9" s="50" t="str">
        <f t="shared" si="3"/>
        <v/>
      </c>
      <c r="E9" s="51" t="str">
        <f t="shared" ref="E9:T9" si="10">IFERROR(VLOOKUP($A9,INDIRECT("'" &amp; E$1 &amp; "'!$C:$G"), 5, FALSE),"")</f>
        <v/>
      </c>
      <c r="F9" s="51" t="str">
        <f t="shared" si="10"/>
        <v/>
      </c>
      <c r="G9" s="51" t="str">
        <f t="shared" si="10"/>
        <v/>
      </c>
      <c r="H9" s="51" t="str">
        <f t="shared" si="10"/>
        <v/>
      </c>
      <c r="I9" s="51" t="str">
        <f t="shared" si="10"/>
        <v/>
      </c>
      <c r="J9" s="51" t="str">
        <f t="shared" si="10"/>
        <v/>
      </c>
      <c r="K9" s="51" t="str">
        <f t="shared" si="10"/>
        <v/>
      </c>
      <c r="L9" s="51" t="str">
        <f t="shared" si="10"/>
        <v/>
      </c>
      <c r="M9" s="51" t="str">
        <f t="shared" si="10"/>
        <v/>
      </c>
      <c r="N9" s="51" t="str">
        <f t="shared" si="10"/>
        <v/>
      </c>
      <c r="O9" s="51" t="str">
        <f t="shared" si="10"/>
        <v/>
      </c>
      <c r="P9" s="51" t="str">
        <f t="shared" si="10"/>
        <v/>
      </c>
      <c r="Q9" s="51" t="str">
        <f t="shared" si="10"/>
        <v/>
      </c>
      <c r="R9" s="51" t="str">
        <f t="shared" si="10"/>
        <v/>
      </c>
      <c r="S9" s="51" t="str">
        <f t="shared" si="10"/>
        <v/>
      </c>
      <c r="T9" s="51" t="str">
        <f t="shared" si="10"/>
        <v/>
      </c>
      <c r="U9" s="52" t="str">
        <f>IFERROR(__xludf.DUMMYFUNCTION("""COMPUTED_VALUE"""),"Hugo Alexander Fonseca Chaparro")</f>
        <v>Hugo Alexander Fonseca Chaparro</v>
      </c>
      <c r="V9" s="52" t="str">
        <f>IFERROR(__xludf.DUMMYFUNCTION("""COMPUTED_VALUE"""),"Aplicación de realidad virtual para exposición gradual y controlada a espacios cerrados en personas con claustrofobia")</f>
        <v>Aplicación de realidad virtual para exposición gradual y controlada a espacios cerrados en personas con claustrofobia</v>
      </c>
      <c r="W9" s="52" t="str">
        <f>IFERROR(__xludf.DUMMYFUNCTION("""COMPUTED_VALUE"""),"")</f>
        <v/>
      </c>
      <c r="X9" s="52" t="str">
        <f>IFERROR(__xludf.DUMMYFUNCTION("""COMPUTED_VALUE"""),"X")</f>
        <v>X</v>
      </c>
      <c r="Y9" s="52" t="str">
        <f>IFERROR(__xludf.DUMMYFUNCTION("""COMPUTED_VALUE"""),"X")</f>
        <v>X</v>
      </c>
      <c r="Z9" s="52" t="str">
        <f>IFERROR(__xludf.DUMMYFUNCTION("""COMPUTED_VALUE"""),"X")</f>
        <v>X</v>
      </c>
      <c r="AA9" s="52" t="str">
        <f>IFERROR(__xludf.DUMMYFUNCTION("""COMPUTED_VALUE"""),"")</f>
        <v/>
      </c>
      <c r="AB9" s="52" t="str">
        <f>IFERROR(__xludf.DUMMYFUNCTION("""COMPUTED_VALUE"""),"")</f>
        <v/>
      </c>
      <c r="AC9" s="52" t="str">
        <f>IFERROR(__xludf.DUMMYFUNCTION("""COMPUTED_VALUE"""),"")</f>
        <v/>
      </c>
      <c r="AD9" s="52" t="str">
        <f>IFERROR(__xludf.DUMMYFUNCTION("""COMPUTED_VALUE"""),"")</f>
        <v/>
      </c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</row>
    <row r="10">
      <c r="A10" s="47" t="str">
        <f>IFERROR(__xludf.DUMMYFUNCTION("""COMPUTED_VALUE"""),"Sergio Andrés Rangel Montaña")</f>
        <v>Sergio Andrés Rangel Montaña</v>
      </c>
      <c r="B10" s="48"/>
      <c r="C10" s="49" t="str">
        <f t="shared" si="2"/>
        <v/>
      </c>
      <c r="D10" s="50" t="str">
        <f t="shared" si="3"/>
        <v/>
      </c>
      <c r="E10" s="51" t="str">
        <f t="shared" ref="E10:T10" si="11">IFERROR(VLOOKUP($A10,INDIRECT("'" &amp; E$1 &amp; "'!$C:$G"), 5, FALSE),"")</f>
        <v/>
      </c>
      <c r="F10" s="51" t="str">
        <f t="shared" si="11"/>
        <v/>
      </c>
      <c r="G10" s="51" t="str">
        <f t="shared" si="11"/>
        <v/>
      </c>
      <c r="H10" s="51" t="str">
        <f t="shared" si="11"/>
        <v/>
      </c>
      <c r="I10" s="51" t="str">
        <f t="shared" si="11"/>
        <v/>
      </c>
      <c r="J10" s="51" t="str">
        <f t="shared" si="11"/>
        <v/>
      </c>
      <c r="K10" s="51" t="str">
        <f t="shared" si="11"/>
        <v/>
      </c>
      <c r="L10" s="51" t="str">
        <f t="shared" si="11"/>
        <v/>
      </c>
      <c r="M10" s="51" t="str">
        <f t="shared" si="11"/>
        <v/>
      </c>
      <c r="N10" s="51" t="str">
        <f t="shared" si="11"/>
        <v/>
      </c>
      <c r="O10" s="51" t="str">
        <f t="shared" si="11"/>
        <v/>
      </c>
      <c r="P10" s="51" t="str">
        <f t="shared" si="11"/>
        <v/>
      </c>
      <c r="Q10" s="51" t="str">
        <f t="shared" si="11"/>
        <v/>
      </c>
      <c r="R10" s="51" t="str">
        <f t="shared" si="11"/>
        <v/>
      </c>
      <c r="S10" s="51" t="str">
        <f t="shared" si="11"/>
        <v/>
      </c>
      <c r="T10" s="51" t="str">
        <f t="shared" si="11"/>
        <v/>
      </c>
      <c r="U10" s="52" t="str">
        <f>IFERROR(__xludf.DUMMYFUNCTION("""COMPUTED_VALUE"""),"Juan Pablo Alba Martinez ")</f>
        <v>Juan Pablo Alba Martinez </v>
      </c>
      <c r="V10" s="52" t="str">
        <f>IFERROR(__xludf.DUMMYFUNCTION("""COMPUTED_VALUE"""),"Desarrollo e implementación de un recorrido virtual 360° como estrategia para optimizar la orientación y experiencia de usuario en los escenarios deportivos de la Universidad de Boyacá, sede Tunja")</f>
        <v>Desarrollo e implementación de un recorrido virtual 360° como estrategia para optimizar la orientación y experiencia de usuario en los escenarios deportivos de la Universidad de Boyacá, sede Tunja</v>
      </c>
      <c r="W10" s="52" t="str">
        <f>IFERROR(__xludf.DUMMYFUNCTION("""COMPUTED_VALUE"""),"")</f>
        <v/>
      </c>
      <c r="X10" s="52" t="str">
        <f>IFERROR(__xludf.DUMMYFUNCTION("""COMPUTED_VALUE"""),"X")</f>
        <v>X</v>
      </c>
      <c r="Y10" s="52" t="str">
        <f>IFERROR(__xludf.DUMMYFUNCTION("""COMPUTED_VALUE"""),"X")</f>
        <v>X</v>
      </c>
      <c r="Z10" s="52" t="str">
        <f>IFERROR(__xludf.DUMMYFUNCTION("""COMPUTED_VALUE"""),"")</f>
        <v/>
      </c>
      <c r="AA10" s="52" t="str">
        <f>IFERROR(__xludf.DUMMYFUNCTION("""COMPUTED_VALUE"""),"")</f>
        <v/>
      </c>
      <c r="AB10" s="52" t="str">
        <f>IFERROR(__xludf.DUMMYFUNCTION("""COMPUTED_VALUE"""),"")</f>
        <v/>
      </c>
      <c r="AC10" s="52" t="str">
        <f>IFERROR(__xludf.DUMMYFUNCTION("""COMPUTED_VALUE"""),"")</f>
        <v/>
      </c>
      <c r="AD10" s="52" t="str">
        <f>IFERROR(__xludf.DUMMYFUNCTION("""COMPUTED_VALUE"""),"")</f>
        <v/>
      </c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</row>
    <row r="11">
      <c r="A11" s="47" t="str">
        <f>IFERROR(__xludf.DUMMYFUNCTION("""COMPUTED_VALUE"""),"Axel Camilo Prieto Tiria ")</f>
        <v>Axel Camilo Prieto Tiria </v>
      </c>
      <c r="B11" s="48"/>
      <c r="C11" s="49" t="str">
        <f t="shared" si="2"/>
        <v/>
      </c>
      <c r="D11" s="50" t="str">
        <f t="shared" si="3"/>
        <v/>
      </c>
      <c r="E11" s="51" t="str">
        <f t="shared" ref="E11:T11" si="12">IFERROR(VLOOKUP($A11,INDIRECT("'" &amp; E$1 &amp; "'!$C:$G"), 5, FALSE),"")</f>
        <v/>
      </c>
      <c r="F11" s="51" t="str">
        <f t="shared" si="12"/>
        <v/>
      </c>
      <c r="G11" s="51" t="str">
        <f t="shared" si="12"/>
        <v/>
      </c>
      <c r="H11" s="51" t="str">
        <f t="shared" si="12"/>
        <v/>
      </c>
      <c r="I11" s="51" t="str">
        <f t="shared" si="12"/>
        <v/>
      </c>
      <c r="J11" s="51" t="str">
        <f t="shared" si="12"/>
        <v/>
      </c>
      <c r="K11" s="51" t="str">
        <f t="shared" si="12"/>
        <v/>
      </c>
      <c r="L11" s="51" t="str">
        <f t="shared" si="12"/>
        <v/>
      </c>
      <c r="M11" s="51" t="str">
        <f t="shared" si="12"/>
        <v/>
      </c>
      <c r="N11" s="51" t="str">
        <f t="shared" si="12"/>
        <v/>
      </c>
      <c r="O11" s="51" t="str">
        <f t="shared" si="12"/>
        <v/>
      </c>
      <c r="P11" s="51" t="str">
        <f t="shared" si="12"/>
        <v/>
      </c>
      <c r="Q11" s="51" t="str">
        <f t="shared" si="12"/>
        <v/>
      </c>
      <c r="R11" s="51" t="str">
        <f t="shared" si="12"/>
        <v/>
      </c>
      <c r="S11" s="51" t="str">
        <f t="shared" si="12"/>
        <v/>
      </c>
      <c r="T11" s="51" t="str">
        <f t="shared" si="12"/>
        <v/>
      </c>
      <c r="U11" s="52" t="str">
        <f>IFERROR(__xludf.DUMMYFUNCTION("""COMPUTED_VALUE"""),"Sergio Andrés Rangel Montaña")</f>
        <v>Sergio Andrés Rangel Montaña</v>
      </c>
      <c r="V11" s="52" t="str">
        <f>IFERROR(__xludf.DUMMYFUNCTION("""COMPUTED_VALUE"""),"Prototipo de videojuego 2D para recorrido virtual guiado de la Universidad de Boyacá sede Tunja")</f>
        <v>Prototipo de videojuego 2D para recorrido virtual guiado de la Universidad de Boyacá sede Tunja</v>
      </c>
      <c r="W11" s="52" t="str">
        <f>IFERROR(__xludf.DUMMYFUNCTION("""COMPUTED_VALUE"""),"")</f>
        <v/>
      </c>
      <c r="X11" s="52" t="str">
        <f>IFERROR(__xludf.DUMMYFUNCTION("""COMPUTED_VALUE"""),"X")</f>
        <v>X</v>
      </c>
      <c r="Y11" s="52" t="str">
        <f>IFERROR(__xludf.DUMMYFUNCTION("""COMPUTED_VALUE"""),"X")</f>
        <v>X</v>
      </c>
      <c r="Z11" s="52" t="str">
        <f>IFERROR(__xludf.DUMMYFUNCTION("""COMPUTED_VALUE"""),"X")</f>
        <v>X</v>
      </c>
      <c r="AA11" s="52" t="str">
        <f>IFERROR(__xludf.DUMMYFUNCTION("""COMPUTED_VALUE"""),"")</f>
        <v/>
      </c>
      <c r="AB11" s="52" t="str">
        <f>IFERROR(__xludf.DUMMYFUNCTION("""COMPUTED_VALUE"""),"")</f>
        <v/>
      </c>
      <c r="AC11" s="52" t="str">
        <f>IFERROR(__xludf.DUMMYFUNCTION("""COMPUTED_VALUE"""),"")</f>
        <v/>
      </c>
      <c r="AD11" s="52" t="str">
        <f>IFERROR(__xludf.DUMMYFUNCTION("""COMPUTED_VALUE"""),"")</f>
        <v/>
      </c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</row>
    <row r="12">
      <c r="A12" s="47" t="str">
        <f>IFERROR(__xludf.DUMMYFUNCTION("""COMPUTED_VALUE"""),"Luna Natalia Bejarano Castellanos")</f>
        <v>Luna Natalia Bejarano Castellanos</v>
      </c>
      <c r="B12" s="48"/>
      <c r="C12" s="49" t="str">
        <f t="shared" si="2"/>
        <v/>
      </c>
      <c r="D12" s="50" t="str">
        <f t="shared" si="3"/>
        <v/>
      </c>
      <c r="E12" s="51" t="str">
        <f t="shared" ref="E12:T12" si="13">IFERROR(VLOOKUP($A12,INDIRECT("'" &amp; E$1 &amp; "'!$C:$G"), 5, FALSE),"")</f>
        <v/>
      </c>
      <c r="F12" s="51" t="str">
        <f t="shared" si="13"/>
        <v/>
      </c>
      <c r="G12" s="51" t="str">
        <f t="shared" si="13"/>
        <v/>
      </c>
      <c r="H12" s="51" t="str">
        <f t="shared" si="13"/>
        <v/>
      </c>
      <c r="I12" s="51" t="str">
        <f t="shared" si="13"/>
        <v/>
      </c>
      <c r="J12" s="51" t="str">
        <f t="shared" si="13"/>
        <v/>
      </c>
      <c r="K12" s="51" t="str">
        <f t="shared" si="13"/>
        <v/>
      </c>
      <c r="L12" s="51" t="str">
        <f t="shared" si="13"/>
        <v/>
      </c>
      <c r="M12" s="51" t="str">
        <f t="shared" si="13"/>
        <v/>
      </c>
      <c r="N12" s="51" t="str">
        <f t="shared" si="13"/>
        <v/>
      </c>
      <c r="O12" s="51" t="str">
        <f t="shared" si="13"/>
        <v/>
      </c>
      <c r="P12" s="51" t="str">
        <f t="shared" si="13"/>
        <v/>
      </c>
      <c r="Q12" s="51" t="str">
        <f t="shared" si="13"/>
        <v/>
      </c>
      <c r="R12" s="51" t="str">
        <f t="shared" si="13"/>
        <v/>
      </c>
      <c r="S12" s="51" t="str">
        <f t="shared" si="13"/>
        <v/>
      </c>
      <c r="T12" s="51" t="str">
        <f t="shared" si="13"/>
        <v/>
      </c>
      <c r="U12" s="52" t="str">
        <f>IFERROR(__xludf.DUMMYFUNCTION("""COMPUTED_VALUE"""),"Axel Camilo Prieto Tiria ")</f>
        <v>Axel Camilo Prieto Tiria </v>
      </c>
      <c r="V12" s="52"/>
      <c r="W12" s="52" t="str">
        <f>IFERROR(__xludf.DUMMYFUNCTION("""COMPUTED_VALUE"""),"")</f>
        <v/>
      </c>
      <c r="X12" s="52" t="str">
        <f>IFERROR(__xludf.DUMMYFUNCTION("""COMPUTED_VALUE"""),"X")</f>
        <v>X</v>
      </c>
      <c r="Y12" s="52" t="str">
        <f>IFERROR(__xludf.DUMMYFUNCTION("""COMPUTED_VALUE"""),"X")</f>
        <v>X</v>
      </c>
      <c r="Z12" s="52" t="str">
        <f>IFERROR(__xludf.DUMMYFUNCTION("""COMPUTED_VALUE"""),"X")</f>
        <v>X</v>
      </c>
      <c r="AA12" s="52" t="str">
        <f>IFERROR(__xludf.DUMMYFUNCTION("""COMPUTED_VALUE"""),"")</f>
        <v/>
      </c>
      <c r="AB12" s="52" t="str">
        <f>IFERROR(__xludf.DUMMYFUNCTION("""COMPUTED_VALUE"""),"")</f>
        <v/>
      </c>
      <c r="AC12" s="52" t="str">
        <f>IFERROR(__xludf.DUMMYFUNCTION("""COMPUTED_VALUE"""),"")</f>
        <v/>
      </c>
      <c r="AD12" s="52" t="str">
        <f>IFERROR(__xludf.DUMMYFUNCTION("""COMPUTED_VALUE"""),"")</f>
        <v/>
      </c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</row>
    <row r="13">
      <c r="A13" s="47" t="str">
        <f>IFERROR(__xludf.DUMMYFUNCTION("""COMPUTED_VALUE"""),"Yerson Leandro Ariza Chacón")</f>
        <v>Yerson Leandro Ariza Chacón</v>
      </c>
      <c r="B13" s="48"/>
      <c r="C13" s="49" t="str">
        <f t="shared" si="2"/>
        <v/>
      </c>
      <c r="D13" s="50" t="str">
        <f t="shared" si="3"/>
        <v/>
      </c>
      <c r="E13" s="51" t="str">
        <f t="shared" ref="E13:T13" si="14">IFERROR(VLOOKUP($A13,INDIRECT("'" &amp; E$1 &amp; "'!$C:$G"), 5, FALSE),"")</f>
        <v/>
      </c>
      <c r="F13" s="51" t="str">
        <f t="shared" si="14"/>
        <v/>
      </c>
      <c r="G13" s="51" t="str">
        <f t="shared" si="14"/>
        <v/>
      </c>
      <c r="H13" s="51" t="str">
        <f t="shared" si="14"/>
        <v/>
      </c>
      <c r="I13" s="51" t="str">
        <f t="shared" si="14"/>
        <v/>
      </c>
      <c r="J13" s="51" t="str">
        <f t="shared" si="14"/>
        <v/>
      </c>
      <c r="K13" s="51" t="str">
        <f t="shared" si="14"/>
        <v/>
      </c>
      <c r="L13" s="51" t="str">
        <f t="shared" si="14"/>
        <v/>
      </c>
      <c r="M13" s="51" t="str">
        <f t="shared" si="14"/>
        <v/>
      </c>
      <c r="N13" s="51" t="str">
        <f t="shared" si="14"/>
        <v/>
      </c>
      <c r="O13" s="51" t="str">
        <f t="shared" si="14"/>
        <v/>
      </c>
      <c r="P13" s="51" t="str">
        <f t="shared" si="14"/>
        <v/>
      </c>
      <c r="Q13" s="51" t="str">
        <f t="shared" si="14"/>
        <v/>
      </c>
      <c r="R13" s="51" t="str">
        <f t="shared" si="14"/>
        <v/>
      </c>
      <c r="S13" s="51" t="str">
        <f t="shared" si="14"/>
        <v/>
      </c>
      <c r="T13" s="51" t="str">
        <f t="shared" si="14"/>
        <v/>
      </c>
      <c r="U13" s="52" t="str">
        <f>IFERROR(__xludf.DUMMYFUNCTION("""COMPUTED_VALUE"""),"Luna Natalia Bejarano Castellanos")</f>
        <v>Luna Natalia Bejarano Castellanos</v>
      </c>
      <c r="V13" s="52" t="str">
        <f>IFERROR(__xludf.DUMMYFUNCTION("""COMPUTED_VALUE"""),"Videojuego educativo 2D para el fortalecimiento de la lógica de programación en estudiantes de la Universidad de Boyacá")</f>
        <v>Videojuego educativo 2D para el fortalecimiento de la lógica de programación en estudiantes de la Universidad de Boyacá</v>
      </c>
      <c r="W13" s="52" t="str">
        <f>IFERROR(__xludf.DUMMYFUNCTION("""COMPUTED_VALUE"""),"")</f>
        <v/>
      </c>
      <c r="X13" s="52" t="str">
        <f>IFERROR(__xludf.DUMMYFUNCTION("""COMPUTED_VALUE"""),"")</f>
        <v/>
      </c>
      <c r="Y13" s="52" t="str">
        <f>IFERROR(__xludf.DUMMYFUNCTION("""COMPUTED_VALUE"""),"")</f>
        <v/>
      </c>
      <c r="Z13" s="52" t="str">
        <f>IFERROR(__xludf.DUMMYFUNCTION("""COMPUTED_VALUE"""),"X")</f>
        <v>X</v>
      </c>
      <c r="AA13" s="52" t="str">
        <f>IFERROR(__xludf.DUMMYFUNCTION("""COMPUTED_VALUE"""),"")</f>
        <v/>
      </c>
      <c r="AB13" s="52" t="str">
        <f>IFERROR(__xludf.DUMMYFUNCTION("""COMPUTED_VALUE"""),"")</f>
        <v/>
      </c>
      <c r="AC13" s="52" t="str">
        <f>IFERROR(__xludf.DUMMYFUNCTION("""COMPUTED_VALUE"""),"")</f>
        <v/>
      </c>
      <c r="AD13" s="52" t="str">
        <f>IFERROR(__xludf.DUMMYFUNCTION("""COMPUTED_VALUE"""),"")</f>
        <v/>
      </c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</row>
    <row r="14">
      <c r="B14" s="48"/>
      <c r="C14" s="49" t="str">
        <f t="shared" si="2"/>
        <v/>
      </c>
      <c r="D14" s="50" t="str">
        <f t="shared" si="3"/>
        <v/>
      </c>
      <c r="E14" s="51" t="str">
        <f t="shared" ref="E14:T14" si="15">IFERROR(VLOOKUP($A14,INDIRECT("'" &amp; E$1 &amp; "'!$C:$G"), 5, FALSE),"")</f>
        <v/>
      </c>
      <c r="F14" s="51" t="str">
        <f t="shared" si="15"/>
        <v/>
      </c>
      <c r="G14" s="51" t="str">
        <f t="shared" si="15"/>
        <v/>
      </c>
      <c r="H14" s="51" t="str">
        <f t="shared" si="15"/>
        <v/>
      </c>
      <c r="I14" s="51" t="str">
        <f t="shared" si="15"/>
        <v/>
      </c>
      <c r="J14" s="51" t="str">
        <f t="shared" si="15"/>
        <v/>
      </c>
      <c r="K14" s="51" t="str">
        <f t="shared" si="15"/>
        <v/>
      </c>
      <c r="L14" s="51" t="str">
        <f t="shared" si="15"/>
        <v/>
      </c>
      <c r="M14" s="51" t="str">
        <f t="shared" si="15"/>
        <v/>
      </c>
      <c r="N14" s="51" t="str">
        <f t="shared" si="15"/>
        <v/>
      </c>
      <c r="O14" s="51" t="str">
        <f t="shared" si="15"/>
        <v/>
      </c>
      <c r="P14" s="51" t="str">
        <f t="shared" si="15"/>
        <v/>
      </c>
      <c r="Q14" s="51" t="str">
        <f t="shared" si="15"/>
        <v/>
      </c>
      <c r="R14" s="51" t="str">
        <f t="shared" si="15"/>
        <v/>
      </c>
      <c r="S14" s="51" t="str">
        <f t="shared" si="15"/>
        <v/>
      </c>
      <c r="T14" s="51" t="str">
        <f t="shared" si="15"/>
        <v/>
      </c>
      <c r="U14" s="52" t="str">
        <f>IFERROR(__xludf.DUMMYFUNCTION("""COMPUTED_VALUE"""),"Yerson Leandro Ariza Chacón")</f>
        <v>Yerson Leandro Ariza Chacón</v>
      </c>
      <c r="V14" s="52"/>
      <c r="W14" s="52" t="str">
        <f>IFERROR(__xludf.DUMMYFUNCTION("""COMPUTED_VALUE"""),"")</f>
        <v/>
      </c>
      <c r="X14" s="52" t="str">
        <f>IFERROR(__xludf.DUMMYFUNCTION("""COMPUTED_VALUE"""),"")</f>
        <v/>
      </c>
      <c r="Y14" s="52" t="str">
        <f>IFERROR(__xludf.DUMMYFUNCTION("""COMPUTED_VALUE"""),"")</f>
        <v/>
      </c>
      <c r="Z14" s="52" t="str">
        <f>IFERROR(__xludf.DUMMYFUNCTION("""COMPUTED_VALUE"""),"X")</f>
        <v>X</v>
      </c>
      <c r="AA14" s="52" t="str">
        <f>IFERROR(__xludf.DUMMYFUNCTION("""COMPUTED_VALUE"""),"")</f>
        <v/>
      </c>
      <c r="AB14" s="52" t="str">
        <f>IFERROR(__xludf.DUMMYFUNCTION("""COMPUTED_VALUE"""),"")</f>
        <v/>
      </c>
      <c r="AC14" s="52" t="str">
        <f>IFERROR(__xludf.DUMMYFUNCTION("""COMPUTED_VALUE"""),"")</f>
        <v/>
      </c>
      <c r="AD14" s="52" t="str">
        <f>IFERROR(__xludf.DUMMYFUNCTION("""COMPUTED_VALUE"""),"")</f>
        <v/>
      </c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</row>
    <row r="15">
      <c r="B15" s="48"/>
      <c r="C15" s="49" t="str">
        <f t="shared" si="2"/>
        <v/>
      </c>
      <c r="D15" s="50" t="str">
        <f t="shared" si="3"/>
        <v/>
      </c>
      <c r="E15" s="51" t="str">
        <f t="shared" ref="E15:T15" si="16">IFERROR(VLOOKUP($A15,INDIRECT("'" &amp; E$1 &amp; "'!$C:$G"), 5, FALSE),"")</f>
        <v/>
      </c>
      <c r="F15" s="51" t="str">
        <f t="shared" si="16"/>
        <v/>
      </c>
      <c r="G15" s="51" t="str">
        <f t="shared" si="16"/>
        <v/>
      </c>
      <c r="H15" s="51" t="str">
        <f t="shared" si="16"/>
        <v/>
      </c>
      <c r="I15" s="51" t="str">
        <f t="shared" si="16"/>
        <v/>
      </c>
      <c r="J15" s="51" t="str">
        <f t="shared" si="16"/>
        <v/>
      </c>
      <c r="K15" s="51" t="str">
        <f t="shared" si="16"/>
        <v/>
      </c>
      <c r="L15" s="51" t="str">
        <f t="shared" si="16"/>
        <v/>
      </c>
      <c r="M15" s="51" t="str">
        <f t="shared" si="16"/>
        <v/>
      </c>
      <c r="N15" s="51" t="str">
        <f t="shared" si="16"/>
        <v/>
      </c>
      <c r="O15" s="51" t="str">
        <f t="shared" si="16"/>
        <v/>
      </c>
      <c r="P15" s="51" t="str">
        <f t="shared" si="16"/>
        <v/>
      </c>
      <c r="Q15" s="51" t="str">
        <f t="shared" si="16"/>
        <v/>
      </c>
      <c r="R15" s="51" t="str">
        <f t="shared" si="16"/>
        <v/>
      </c>
      <c r="S15" s="51" t="str">
        <f t="shared" si="16"/>
        <v/>
      </c>
      <c r="T15" s="51" t="str">
        <f t="shared" si="16"/>
        <v/>
      </c>
      <c r="U15" s="52" t="str">
        <f>IFERROR(__xludf.DUMMYFUNCTION("""COMPUTED_VALUE"""),"Brandon Andres Castiblanco Costilla")</f>
        <v>Brandon Andres Castiblanco Costilla</v>
      </c>
      <c r="V15" s="53" t="str">
        <f>IFERROR(__xludf.DUMMYFUNCTION("""COMPUTED_VALUE"""),"Prototipo de aplicación móvil con Realidad Aumentada para guía de entrenamiento en máquinas de gimnasio de la Universidad de Boyacá")</f>
        <v>Prototipo de aplicación móvil con Realidad Aumentada para guía de entrenamiento en máquinas de gimnasio de la Universidad de Boyacá</v>
      </c>
      <c r="W15" s="52" t="str">
        <f>IFERROR(__xludf.DUMMYFUNCTION("""COMPUTED_VALUE"""),"")</f>
        <v/>
      </c>
      <c r="X15" s="52" t="str">
        <f>IFERROR(__xludf.DUMMYFUNCTION("""COMPUTED_VALUE"""),"X")</f>
        <v>X</v>
      </c>
      <c r="Y15" s="52" t="str">
        <f>IFERROR(__xludf.DUMMYFUNCTION("""COMPUTED_VALUE"""),"X")</f>
        <v>X</v>
      </c>
      <c r="Z15" s="52" t="str">
        <f>IFERROR(__xludf.DUMMYFUNCTION("""COMPUTED_VALUE"""),"")</f>
        <v/>
      </c>
      <c r="AA15" s="52" t="str">
        <f>IFERROR(__xludf.DUMMYFUNCTION("""COMPUTED_VALUE"""),"")</f>
        <v/>
      </c>
      <c r="AB15" s="52" t="str">
        <f>IFERROR(__xludf.DUMMYFUNCTION("""COMPUTED_VALUE"""),"")</f>
        <v/>
      </c>
      <c r="AC15" s="52" t="str">
        <f>IFERROR(__xludf.DUMMYFUNCTION("""COMPUTED_VALUE"""),"")</f>
        <v/>
      </c>
      <c r="AD15" s="52" t="str">
        <f>IFERROR(__xludf.DUMMYFUNCTION("""COMPUTED_VALUE"""),"")</f>
        <v/>
      </c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</row>
    <row r="16">
      <c r="B16" s="48"/>
      <c r="C16" s="49" t="str">
        <f t="shared" si="2"/>
        <v/>
      </c>
      <c r="D16" s="50" t="str">
        <f t="shared" si="3"/>
        <v/>
      </c>
      <c r="E16" s="51" t="str">
        <f t="shared" ref="E16:T16" si="17">IFERROR(VLOOKUP($A16,INDIRECT("'" &amp; E$1 &amp; "'!$C:$G"), 5, FALSE),"")</f>
        <v/>
      </c>
      <c r="F16" s="51" t="str">
        <f t="shared" si="17"/>
        <v/>
      </c>
      <c r="G16" s="51" t="str">
        <f t="shared" si="17"/>
        <v/>
      </c>
      <c r="H16" s="51" t="str">
        <f t="shared" si="17"/>
        <v/>
      </c>
      <c r="I16" s="51" t="str">
        <f t="shared" si="17"/>
        <v/>
      </c>
      <c r="J16" s="51" t="str">
        <f t="shared" si="17"/>
        <v/>
      </c>
      <c r="K16" s="51" t="str">
        <f t="shared" si="17"/>
        <v/>
      </c>
      <c r="L16" s="51" t="str">
        <f t="shared" si="17"/>
        <v/>
      </c>
      <c r="M16" s="51" t="str">
        <f t="shared" si="17"/>
        <v/>
      </c>
      <c r="N16" s="51" t="str">
        <f t="shared" si="17"/>
        <v/>
      </c>
      <c r="O16" s="51" t="str">
        <f t="shared" si="17"/>
        <v/>
      </c>
      <c r="P16" s="51" t="str">
        <f t="shared" si="17"/>
        <v/>
      </c>
      <c r="Q16" s="51" t="str">
        <f t="shared" si="17"/>
        <v/>
      </c>
      <c r="R16" s="51" t="str">
        <f t="shared" si="17"/>
        <v/>
      </c>
      <c r="S16" s="51" t="str">
        <f t="shared" si="17"/>
        <v/>
      </c>
      <c r="T16" s="51" t="str">
        <f t="shared" si="17"/>
        <v/>
      </c>
      <c r="U16" s="52" t="str">
        <f>IFERROR(__xludf.DUMMYFUNCTION("""COMPUTED_VALUE"""),"Paula Andrea Ortegón Lezama")</f>
        <v>Paula Andrea Ortegón Lezama</v>
      </c>
      <c r="V16" s="53" t="str">
        <f>IFERROR(__xludf.DUMMYFUNCTION("""COMPUTED_VALUE"""),"Videojuego como herramienta de aprendizaje del tema de balanceo de ecuaciones químicas por método de tanteo")</f>
        <v>Videojuego como herramienta de aprendizaje del tema de balanceo de ecuaciones químicas por método de tanteo</v>
      </c>
      <c r="W16" s="52" t="str">
        <f>IFERROR(__xludf.DUMMYFUNCTION("""COMPUTED_VALUE"""),"")</f>
        <v/>
      </c>
      <c r="X16" s="52" t="str">
        <f>IFERROR(__xludf.DUMMYFUNCTION("""COMPUTED_VALUE"""),"X")</f>
        <v>X</v>
      </c>
      <c r="Y16" s="52" t="str">
        <f>IFERROR(__xludf.DUMMYFUNCTION("""COMPUTED_VALUE"""),"X")</f>
        <v>X</v>
      </c>
      <c r="Z16" s="52" t="str">
        <f>IFERROR(__xludf.DUMMYFUNCTION("""COMPUTED_VALUE"""),"")</f>
        <v/>
      </c>
      <c r="AA16" s="52" t="str">
        <f>IFERROR(__xludf.DUMMYFUNCTION("""COMPUTED_VALUE"""),"")</f>
        <v/>
      </c>
      <c r="AB16" s="52" t="str">
        <f>IFERROR(__xludf.DUMMYFUNCTION("""COMPUTED_VALUE"""),"")</f>
        <v/>
      </c>
      <c r="AC16" s="52" t="str">
        <f>IFERROR(__xludf.DUMMYFUNCTION("""COMPUTED_VALUE"""),"")</f>
        <v/>
      </c>
      <c r="AD16" s="52" t="str">
        <f>IFERROR(__xludf.DUMMYFUNCTION("""COMPUTED_VALUE"""),"")</f>
        <v/>
      </c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</row>
    <row r="17">
      <c r="B17" s="49"/>
      <c r="C17" s="49" t="str">
        <f t="shared" si="2"/>
        <v/>
      </c>
      <c r="D17" s="50" t="str">
        <f t="shared" si="3"/>
        <v/>
      </c>
      <c r="E17" s="51" t="str">
        <f t="shared" ref="E17:T17" si="18">IFERROR(VLOOKUP($A17,INDIRECT("'" &amp; E$1 &amp; "'!$C:$G"), 5, FALSE),"")</f>
        <v/>
      </c>
      <c r="F17" s="51" t="str">
        <f t="shared" si="18"/>
        <v/>
      </c>
      <c r="G17" s="51" t="str">
        <f t="shared" si="18"/>
        <v/>
      </c>
      <c r="H17" s="51" t="str">
        <f t="shared" si="18"/>
        <v/>
      </c>
      <c r="I17" s="51" t="str">
        <f t="shared" si="18"/>
        <v/>
      </c>
      <c r="J17" s="51" t="str">
        <f t="shared" si="18"/>
        <v/>
      </c>
      <c r="K17" s="51" t="str">
        <f t="shared" si="18"/>
        <v/>
      </c>
      <c r="L17" s="51" t="str">
        <f t="shared" si="18"/>
        <v/>
      </c>
      <c r="M17" s="51" t="str">
        <f t="shared" si="18"/>
        <v/>
      </c>
      <c r="N17" s="51" t="str">
        <f t="shared" si="18"/>
        <v/>
      </c>
      <c r="O17" s="51" t="str">
        <f t="shared" si="18"/>
        <v/>
      </c>
      <c r="P17" s="51" t="str">
        <f t="shared" si="18"/>
        <v/>
      </c>
      <c r="Q17" s="51" t="str">
        <f t="shared" si="18"/>
        <v/>
      </c>
      <c r="R17" s="51" t="str">
        <f t="shared" si="18"/>
        <v/>
      </c>
      <c r="S17" s="51" t="str">
        <f t="shared" si="18"/>
        <v/>
      </c>
      <c r="T17" s="51" t="str">
        <f t="shared" si="18"/>
        <v/>
      </c>
      <c r="U17" s="52" t="str">
        <f>IFERROR(__xludf.DUMMYFUNCTION("""COMPUTED_VALUE"""),"Juan Sebastian Sanabria Mendivelso")</f>
        <v>Juan Sebastian Sanabria Mendivelso</v>
      </c>
      <c r="V17" s="52"/>
      <c r="W17" s="52" t="str">
        <f>IFERROR(__xludf.DUMMYFUNCTION("""COMPUTED_VALUE"""),"")</f>
        <v/>
      </c>
      <c r="X17" s="52" t="str">
        <f>IFERROR(__xludf.DUMMYFUNCTION("""COMPUTED_VALUE"""),"X")</f>
        <v>X</v>
      </c>
      <c r="Y17" s="52" t="str">
        <f>IFERROR(__xludf.DUMMYFUNCTION("""COMPUTED_VALUE"""),"X")</f>
        <v>X</v>
      </c>
      <c r="Z17" s="52" t="str">
        <f>IFERROR(__xludf.DUMMYFUNCTION("""COMPUTED_VALUE"""),"")</f>
        <v/>
      </c>
      <c r="AA17" s="52" t="str">
        <f>IFERROR(__xludf.DUMMYFUNCTION("""COMPUTED_VALUE"""),"")</f>
        <v/>
      </c>
      <c r="AB17" s="52" t="str">
        <f>IFERROR(__xludf.DUMMYFUNCTION("""COMPUTED_VALUE"""),"")</f>
        <v/>
      </c>
      <c r="AC17" s="52" t="str">
        <f>IFERROR(__xludf.DUMMYFUNCTION("""COMPUTED_VALUE"""),"")</f>
        <v/>
      </c>
      <c r="AD17" s="52" t="str">
        <f>IFERROR(__xludf.DUMMYFUNCTION("""COMPUTED_VALUE"""),"")</f>
        <v/>
      </c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</row>
    <row r="18">
      <c r="B18" s="49"/>
      <c r="C18" s="49" t="str">
        <f t="shared" si="2"/>
        <v/>
      </c>
      <c r="D18" s="50" t="str">
        <f t="shared" si="3"/>
        <v/>
      </c>
      <c r="E18" s="51" t="str">
        <f t="shared" ref="E18:T18" si="19">IFERROR(VLOOKUP($A18,INDIRECT("'" &amp; E$1 &amp; "'!$C:$G"), 5, FALSE),"")</f>
        <v/>
      </c>
      <c r="F18" s="51" t="str">
        <f t="shared" si="19"/>
        <v/>
      </c>
      <c r="G18" s="51" t="str">
        <f t="shared" si="19"/>
        <v/>
      </c>
      <c r="H18" s="51" t="str">
        <f t="shared" si="19"/>
        <v/>
      </c>
      <c r="I18" s="51" t="str">
        <f t="shared" si="19"/>
        <v/>
      </c>
      <c r="J18" s="51" t="str">
        <f t="shared" si="19"/>
        <v/>
      </c>
      <c r="K18" s="51" t="str">
        <f t="shared" si="19"/>
        <v/>
      </c>
      <c r="L18" s="51" t="str">
        <f t="shared" si="19"/>
        <v/>
      </c>
      <c r="M18" s="51" t="str">
        <f t="shared" si="19"/>
        <v/>
      </c>
      <c r="N18" s="51" t="str">
        <f t="shared" si="19"/>
        <v/>
      </c>
      <c r="O18" s="51" t="str">
        <f t="shared" si="19"/>
        <v/>
      </c>
      <c r="P18" s="51" t="str">
        <f t="shared" si="19"/>
        <v/>
      </c>
      <c r="Q18" s="51" t="str">
        <f t="shared" si="19"/>
        <v/>
      </c>
      <c r="R18" s="51" t="str">
        <f t="shared" si="19"/>
        <v/>
      </c>
      <c r="S18" s="51" t="str">
        <f t="shared" si="19"/>
        <v/>
      </c>
      <c r="T18" s="51" t="str">
        <f t="shared" si="19"/>
        <v/>
      </c>
      <c r="U18" s="52" t="str">
        <f>IFERROR(__xludf.DUMMYFUNCTION("""COMPUTED_VALUE"""),"Diana Patricia Acuña Cardozo ")</f>
        <v>Diana Patricia Acuña Cardozo </v>
      </c>
      <c r="V18" s="52" t="str">
        <f>IFERROR(__xludf.DUMMYFUNCTION("""COMPUTED_VALUE"""),"Prototipo de videojuego para divulgar el Puente de Boyacá")</f>
        <v>Prototipo de videojuego para divulgar el Puente de Boyacá</v>
      </c>
      <c r="W18" s="52" t="str">
        <f>IFERROR(__xludf.DUMMYFUNCTION("""COMPUTED_VALUE"""),"")</f>
        <v/>
      </c>
      <c r="X18" s="52" t="str">
        <f>IFERROR(__xludf.DUMMYFUNCTION("""COMPUTED_VALUE"""),"X")</f>
        <v>X</v>
      </c>
      <c r="Y18" s="52" t="str">
        <f>IFERROR(__xludf.DUMMYFUNCTION("""COMPUTED_VALUE"""),"")</f>
        <v/>
      </c>
      <c r="Z18" s="52" t="str">
        <f>IFERROR(__xludf.DUMMYFUNCTION("""COMPUTED_VALUE"""),"")</f>
        <v/>
      </c>
      <c r="AA18" s="52" t="str">
        <f>IFERROR(__xludf.DUMMYFUNCTION("""COMPUTED_VALUE"""),"")</f>
        <v/>
      </c>
      <c r="AB18" s="52" t="str">
        <f>IFERROR(__xludf.DUMMYFUNCTION("""COMPUTED_VALUE"""),"")</f>
        <v/>
      </c>
      <c r="AC18" s="52" t="str">
        <f>IFERROR(__xludf.DUMMYFUNCTION("""COMPUTED_VALUE"""),"")</f>
        <v/>
      </c>
      <c r="AD18" s="52" t="str">
        <f>IFERROR(__xludf.DUMMYFUNCTION("""COMPUTED_VALUE"""),"")</f>
        <v/>
      </c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</row>
    <row r="19">
      <c r="B19" s="49"/>
      <c r="C19" s="49" t="str">
        <f t="shared" si="2"/>
        <v/>
      </c>
      <c r="D19" s="50" t="str">
        <f t="shared" si="3"/>
        <v/>
      </c>
      <c r="E19" s="51" t="str">
        <f t="shared" ref="E19:T19" si="20">IFERROR(VLOOKUP($A19,INDIRECT("'" &amp; E$1 &amp; "'!$C:$G"), 5, FALSE),"")</f>
        <v/>
      </c>
      <c r="F19" s="51" t="str">
        <f t="shared" si="20"/>
        <v/>
      </c>
      <c r="G19" s="51" t="str">
        <f t="shared" si="20"/>
        <v/>
      </c>
      <c r="H19" s="51" t="str">
        <f t="shared" si="20"/>
        <v/>
      </c>
      <c r="I19" s="51" t="str">
        <f t="shared" si="20"/>
        <v/>
      </c>
      <c r="J19" s="51" t="str">
        <f t="shared" si="20"/>
        <v/>
      </c>
      <c r="K19" s="51" t="str">
        <f t="shared" si="20"/>
        <v/>
      </c>
      <c r="L19" s="51" t="str">
        <f t="shared" si="20"/>
        <v/>
      </c>
      <c r="M19" s="51" t="str">
        <f t="shared" si="20"/>
        <v/>
      </c>
      <c r="N19" s="51" t="str">
        <f t="shared" si="20"/>
        <v/>
      </c>
      <c r="O19" s="51" t="str">
        <f t="shared" si="20"/>
        <v/>
      </c>
      <c r="P19" s="51" t="str">
        <f t="shared" si="20"/>
        <v/>
      </c>
      <c r="Q19" s="51" t="str">
        <f t="shared" si="20"/>
        <v/>
      </c>
      <c r="R19" s="51" t="str">
        <f t="shared" si="20"/>
        <v/>
      </c>
      <c r="S19" s="51" t="str">
        <f t="shared" si="20"/>
        <v/>
      </c>
      <c r="T19" s="51" t="str">
        <f t="shared" si="20"/>
        <v/>
      </c>
      <c r="U19" s="52"/>
      <c r="V19" s="52" t="str">
        <f>IFERROR(__xludf.DUMMYFUNCTION("""COMPUTED_VALUE"""),"")</f>
        <v/>
      </c>
      <c r="W19" s="52" t="str">
        <f>IFERROR(__xludf.DUMMYFUNCTION("""COMPUTED_VALUE"""),"")</f>
        <v/>
      </c>
      <c r="X19" s="52" t="str">
        <f>IFERROR(__xludf.DUMMYFUNCTION("""COMPUTED_VALUE"""),"")</f>
        <v/>
      </c>
      <c r="Y19" s="52" t="str">
        <f>IFERROR(__xludf.DUMMYFUNCTION("""COMPUTED_VALUE"""),"")</f>
        <v/>
      </c>
      <c r="Z19" s="52" t="str">
        <f>IFERROR(__xludf.DUMMYFUNCTION("""COMPUTED_VALUE"""),"")</f>
        <v/>
      </c>
      <c r="AA19" s="52" t="str">
        <f>IFERROR(__xludf.DUMMYFUNCTION("""COMPUTED_VALUE"""),"")</f>
        <v/>
      </c>
      <c r="AB19" s="52" t="str">
        <f>IFERROR(__xludf.DUMMYFUNCTION("""COMPUTED_VALUE"""),"")</f>
        <v/>
      </c>
      <c r="AC19" s="52" t="str">
        <f>IFERROR(__xludf.DUMMYFUNCTION("""COMPUTED_VALUE"""),"")</f>
        <v/>
      </c>
      <c r="AD19" s="52" t="str">
        <f>IFERROR(__xludf.DUMMYFUNCTION("""COMPUTED_VALUE"""),"")</f>
        <v/>
      </c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</row>
    <row r="20">
      <c r="B20" s="49"/>
      <c r="C20" s="49" t="str">
        <f t="shared" si="2"/>
        <v/>
      </c>
      <c r="D20" s="50" t="str">
        <f t="shared" si="3"/>
        <v/>
      </c>
      <c r="E20" s="51" t="str">
        <f t="shared" ref="E20:T20" si="21">IFERROR(VLOOKUP($A20,INDIRECT("'" &amp; E$1 &amp; "'!$C:$G"), 5, FALSE),"")</f>
        <v/>
      </c>
      <c r="F20" s="51" t="str">
        <f t="shared" si="21"/>
        <v/>
      </c>
      <c r="G20" s="51" t="str">
        <f t="shared" si="21"/>
        <v/>
      </c>
      <c r="H20" s="51" t="str">
        <f t="shared" si="21"/>
        <v/>
      </c>
      <c r="I20" s="51" t="str">
        <f t="shared" si="21"/>
        <v/>
      </c>
      <c r="J20" s="51" t="str">
        <f t="shared" si="21"/>
        <v/>
      </c>
      <c r="K20" s="51" t="str">
        <f t="shared" si="21"/>
        <v/>
      </c>
      <c r="L20" s="51" t="str">
        <f t="shared" si="21"/>
        <v/>
      </c>
      <c r="M20" s="51" t="str">
        <f t="shared" si="21"/>
        <v/>
      </c>
      <c r="N20" s="51" t="str">
        <f t="shared" si="21"/>
        <v/>
      </c>
      <c r="O20" s="51" t="str">
        <f t="shared" si="21"/>
        <v/>
      </c>
      <c r="P20" s="51" t="str">
        <f t="shared" si="21"/>
        <v/>
      </c>
      <c r="Q20" s="51" t="str">
        <f t="shared" si="21"/>
        <v/>
      </c>
      <c r="R20" s="51" t="str">
        <f t="shared" si="21"/>
        <v/>
      </c>
      <c r="S20" s="51" t="str">
        <f t="shared" si="21"/>
        <v/>
      </c>
      <c r="T20" s="51" t="str">
        <f t="shared" si="21"/>
        <v/>
      </c>
      <c r="U20" s="52"/>
      <c r="V20" s="52" t="str">
        <f>IFERROR(__xludf.DUMMYFUNCTION("""COMPUTED_VALUE"""),"")</f>
        <v/>
      </c>
      <c r="W20" s="52" t="str">
        <f>IFERROR(__xludf.DUMMYFUNCTION("""COMPUTED_VALUE"""),"")</f>
        <v/>
      </c>
      <c r="X20" s="52" t="str">
        <f>IFERROR(__xludf.DUMMYFUNCTION("""COMPUTED_VALUE"""),"")</f>
        <v/>
      </c>
      <c r="Y20" s="52" t="str">
        <f>IFERROR(__xludf.DUMMYFUNCTION("""COMPUTED_VALUE"""),"")</f>
        <v/>
      </c>
      <c r="Z20" s="52" t="str">
        <f>IFERROR(__xludf.DUMMYFUNCTION("""COMPUTED_VALUE"""),"")</f>
        <v/>
      </c>
      <c r="AA20" s="52" t="str">
        <f>IFERROR(__xludf.DUMMYFUNCTION("""COMPUTED_VALUE"""),"")</f>
        <v/>
      </c>
      <c r="AB20" s="52" t="str">
        <f>IFERROR(__xludf.DUMMYFUNCTION("""COMPUTED_VALUE"""),"")</f>
        <v/>
      </c>
      <c r="AC20" s="52" t="str">
        <f>IFERROR(__xludf.DUMMYFUNCTION("""COMPUTED_VALUE"""),"")</f>
        <v/>
      </c>
      <c r="AD20" s="52" t="str">
        <f>IFERROR(__xludf.DUMMYFUNCTION("""COMPUTED_VALUE"""),"")</f>
        <v/>
      </c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</row>
    <row r="21">
      <c r="B21" s="49"/>
      <c r="C21" s="49" t="str">
        <f t="shared" si="2"/>
        <v/>
      </c>
      <c r="D21" s="50" t="str">
        <f t="shared" si="3"/>
        <v/>
      </c>
      <c r="E21" s="51" t="str">
        <f t="shared" ref="E21:T21" si="22">IFERROR(VLOOKUP($A21,INDIRECT("'" &amp; E$1 &amp; "'!$C:$G"), 5, FALSE),"")</f>
        <v/>
      </c>
      <c r="F21" s="51" t="str">
        <f t="shared" si="22"/>
        <v/>
      </c>
      <c r="G21" s="51" t="str">
        <f t="shared" si="22"/>
        <v/>
      </c>
      <c r="H21" s="51" t="str">
        <f t="shared" si="22"/>
        <v/>
      </c>
      <c r="I21" s="51" t="str">
        <f t="shared" si="22"/>
        <v/>
      </c>
      <c r="J21" s="51" t="str">
        <f t="shared" si="22"/>
        <v/>
      </c>
      <c r="K21" s="51" t="str">
        <f t="shared" si="22"/>
        <v/>
      </c>
      <c r="L21" s="51" t="str">
        <f t="shared" si="22"/>
        <v/>
      </c>
      <c r="M21" s="51" t="str">
        <f t="shared" si="22"/>
        <v/>
      </c>
      <c r="N21" s="51" t="str">
        <f t="shared" si="22"/>
        <v/>
      </c>
      <c r="O21" s="51" t="str">
        <f t="shared" si="22"/>
        <v/>
      </c>
      <c r="P21" s="51" t="str">
        <f t="shared" si="22"/>
        <v/>
      </c>
      <c r="Q21" s="51" t="str">
        <f t="shared" si="22"/>
        <v/>
      </c>
      <c r="R21" s="51" t="str">
        <f t="shared" si="22"/>
        <v/>
      </c>
      <c r="S21" s="51" t="str">
        <f t="shared" si="22"/>
        <v/>
      </c>
      <c r="T21" s="51" t="str">
        <f t="shared" si="22"/>
        <v/>
      </c>
      <c r="U21" s="52"/>
      <c r="V21" s="52" t="str">
        <f>IFERROR(__xludf.DUMMYFUNCTION("""COMPUTED_VALUE"""),"")</f>
        <v/>
      </c>
      <c r="W21" s="52" t="str">
        <f>IFERROR(__xludf.DUMMYFUNCTION("""COMPUTED_VALUE"""),"")</f>
        <v/>
      </c>
      <c r="X21" s="52" t="str">
        <f>IFERROR(__xludf.DUMMYFUNCTION("""COMPUTED_VALUE"""),"")</f>
        <v/>
      </c>
      <c r="Y21" s="52" t="str">
        <f>IFERROR(__xludf.DUMMYFUNCTION("""COMPUTED_VALUE"""),"")</f>
        <v/>
      </c>
      <c r="Z21" s="52" t="str">
        <f>IFERROR(__xludf.DUMMYFUNCTION("""COMPUTED_VALUE"""),"")</f>
        <v/>
      </c>
      <c r="AA21" s="52" t="str">
        <f>IFERROR(__xludf.DUMMYFUNCTION("""COMPUTED_VALUE"""),"")</f>
        <v/>
      </c>
      <c r="AB21" s="52" t="str">
        <f>IFERROR(__xludf.DUMMYFUNCTION("""COMPUTED_VALUE"""),"")</f>
        <v/>
      </c>
      <c r="AC21" s="52" t="str">
        <f>IFERROR(__xludf.DUMMYFUNCTION("""COMPUTED_VALUE"""),"")</f>
        <v/>
      </c>
      <c r="AD21" s="52" t="str">
        <f>IFERROR(__xludf.DUMMYFUNCTION("""COMPUTED_VALUE"""),"")</f>
        <v/>
      </c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</row>
    <row r="22">
      <c r="B22" s="49"/>
      <c r="C22" s="49" t="str">
        <f t="shared" si="2"/>
        <v/>
      </c>
      <c r="D22" s="50" t="str">
        <f t="shared" si="3"/>
        <v/>
      </c>
      <c r="E22" s="51" t="str">
        <f t="shared" ref="E22:T22" si="23">IFERROR(VLOOKUP($A22,INDIRECT("'" &amp; E$1 &amp; "'!$C:$G"), 5, FALSE),"")</f>
        <v/>
      </c>
      <c r="F22" s="51" t="str">
        <f t="shared" si="23"/>
        <v/>
      </c>
      <c r="G22" s="51" t="str">
        <f t="shared" si="23"/>
        <v/>
      </c>
      <c r="H22" s="51" t="str">
        <f t="shared" si="23"/>
        <v/>
      </c>
      <c r="I22" s="51" t="str">
        <f t="shared" si="23"/>
        <v/>
      </c>
      <c r="J22" s="51" t="str">
        <f t="shared" si="23"/>
        <v/>
      </c>
      <c r="K22" s="51" t="str">
        <f t="shared" si="23"/>
        <v/>
      </c>
      <c r="L22" s="51" t="str">
        <f t="shared" si="23"/>
        <v/>
      </c>
      <c r="M22" s="51" t="str">
        <f t="shared" si="23"/>
        <v/>
      </c>
      <c r="N22" s="51" t="str">
        <f t="shared" si="23"/>
        <v/>
      </c>
      <c r="O22" s="51" t="str">
        <f t="shared" si="23"/>
        <v/>
      </c>
      <c r="P22" s="51" t="str">
        <f t="shared" si="23"/>
        <v/>
      </c>
      <c r="Q22" s="51" t="str">
        <f t="shared" si="23"/>
        <v/>
      </c>
      <c r="R22" s="51" t="str">
        <f t="shared" si="23"/>
        <v/>
      </c>
      <c r="S22" s="51" t="str">
        <f t="shared" si="23"/>
        <v/>
      </c>
      <c r="T22" s="51" t="str">
        <f t="shared" si="23"/>
        <v/>
      </c>
      <c r="U22" s="52"/>
      <c r="V22" s="52" t="str">
        <f>IFERROR(__xludf.DUMMYFUNCTION("""COMPUTED_VALUE"""),"")</f>
        <v/>
      </c>
      <c r="W22" s="52" t="str">
        <f>IFERROR(__xludf.DUMMYFUNCTION("""COMPUTED_VALUE"""),"")</f>
        <v/>
      </c>
      <c r="X22" s="52" t="str">
        <f>IFERROR(__xludf.DUMMYFUNCTION("""COMPUTED_VALUE"""),"")</f>
        <v/>
      </c>
      <c r="Y22" s="52" t="str">
        <f>IFERROR(__xludf.DUMMYFUNCTION("""COMPUTED_VALUE"""),"")</f>
        <v/>
      </c>
      <c r="Z22" s="52" t="str">
        <f>IFERROR(__xludf.DUMMYFUNCTION("""COMPUTED_VALUE"""),"")</f>
        <v/>
      </c>
      <c r="AA22" s="52" t="str">
        <f>IFERROR(__xludf.DUMMYFUNCTION("""COMPUTED_VALUE"""),"")</f>
        <v/>
      </c>
      <c r="AB22" s="52" t="str">
        <f>IFERROR(__xludf.DUMMYFUNCTION("""COMPUTED_VALUE"""),"")</f>
        <v/>
      </c>
      <c r="AC22" s="52" t="str">
        <f>IFERROR(__xludf.DUMMYFUNCTION("""COMPUTED_VALUE"""),"")</f>
        <v/>
      </c>
      <c r="AD22" s="52" t="str">
        <f>IFERROR(__xludf.DUMMYFUNCTION("""COMPUTED_VALUE"""),"")</f>
        <v/>
      </c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</row>
    <row r="23">
      <c r="B23" s="49"/>
      <c r="C23" s="49" t="str">
        <f t="shared" si="2"/>
        <v/>
      </c>
      <c r="D23" s="50" t="str">
        <f t="shared" si="3"/>
        <v/>
      </c>
      <c r="E23" s="51" t="str">
        <f t="shared" ref="E23:T23" si="24">IFERROR(VLOOKUP($A23,INDIRECT("'" &amp; E$1 &amp; "'!$C:$G"), 5, FALSE),"")</f>
        <v/>
      </c>
      <c r="F23" s="51" t="str">
        <f t="shared" si="24"/>
        <v/>
      </c>
      <c r="G23" s="51" t="str">
        <f t="shared" si="24"/>
        <v/>
      </c>
      <c r="H23" s="51" t="str">
        <f t="shared" si="24"/>
        <v/>
      </c>
      <c r="I23" s="51" t="str">
        <f t="shared" si="24"/>
        <v/>
      </c>
      <c r="J23" s="51" t="str">
        <f t="shared" si="24"/>
        <v/>
      </c>
      <c r="K23" s="51" t="str">
        <f t="shared" si="24"/>
        <v/>
      </c>
      <c r="L23" s="51" t="str">
        <f t="shared" si="24"/>
        <v/>
      </c>
      <c r="M23" s="51" t="str">
        <f t="shared" si="24"/>
        <v/>
      </c>
      <c r="N23" s="51" t="str">
        <f t="shared" si="24"/>
        <v/>
      </c>
      <c r="O23" s="51" t="str">
        <f t="shared" si="24"/>
        <v/>
      </c>
      <c r="P23" s="51" t="str">
        <f t="shared" si="24"/>
        <v/>
      </c>
      <c r="Q23" s="51" t="str">
        <f t="shared" si="24"/>
        <v/>
      </c>
      <c r="R23" s="51" t="str">
        <f t="shared" si="24"/>
        <v/>
      </c>
      <c r="S23" s="51" t="str">
        <f t="shared" si="24"/>
        <v/>
      </c>
      <c r="T23" s="51" t="str">
        <f t="shared" si="24"/>
        <v/>
      </c>
      <c r="U23" s="52"/>
      <c r="V23" s="52" t="str">
        <f>IFERROR(__xludf.DUMMYFUNCTION("""COMPUTED_VALUE"""),"")</f>
        <v/>
      </c>
      <c r="W23" s="52" t="str">
        <f>IFERROR(__xludf.DUMMYFUNCTION("""COMPUTED_VALUE"""),"")</f>
        <v/>
      </c>
      <c r="X23" s="52" t="str">
        <f>IFERROR(__xludf.DUMMYFUNCTION("""COMPUTED_VALUE"""),"")</f>
        <v/>
      </c>
      <c r="Y23" s="52" t="str">
        <f>IFERROR(__xludf.DUMMYFUNCTION("""COMPUTED_VALUE"""),"")</f>
        <v/>
      </c>
      <c r="Z23" s="52" t="str">
        <f>IFERROR(__xludf.DUMMYFUNCTION("""COMPUTED_VALUE"""),"")</f>
        <v/>
      </c>
      <c r="AA23" s="52" t="str">
        <f>IFERROR(__xludf.DUMMYFUNCTION("""COMPUTED_VALUE"""),"")</f>
        <v/>
      </c>
      <c r="AB23" s="52" t="str">
        <f>IFERROR(__xludf.DUMMYFUNCTION("""COMPUTED_VALUE"""),"")</f>
        <v/>
      </c>
      <c r="AC23" s="52" t="str">
        <f>IFERROR(__xludf.DUMMYFUNCTION("""COMPUTED_VALUE"""),"")</f>
        <v/>
      </c>
      <c r="AD23" s="52" t="str">
        <f>IFERROR(__xludf.DUMMYFUNCTION("""COMPUTED_VALUE"""),"")</f>
        <v/>
      </c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</row>
    <row r="24">
      <c r="B24" s="49"/>
      <c r="C24" s="49" t="str">
        <f t="shared" si="2"/>
        <v/>
      </c>
      <c r="D24" s="50" t="str">
        <f t="shared" si="3"/>
        <v/>
      </c>
      <c r="E24" s="51" t="str">
        <f t="shared" ref="E24:T24" si="25">IFERROR(VLOOKUP($A24,INDIRECT("'" &amp; E$1 &amp; "'!$C:$G"), 5, FALSE),"")</f>
        <v/>
      </c>
      <c r="F24" s="51" t="str">
        <f t="shared" si="25"/>
        <v/>
      </c>
      <c r="G24" s="51" t="str">
        <f t="shared" si="25"/>
        <v/>
      </c>
      <c r="H24" s="51" t="str">
        <f t="shared" si="25"/>
        <v/>
      </c>
      <c r="I24" s="51" t="str">
        <f t="shared" si="25"/>
        <v/>
      </c>
      <c r="J24" s="51" t="str">
        <f t="shared" si="25"/>
        <v/>
      </c>
      <c r="K24" s="51" t="str">
        <f t="shared" si="25"/>
        <v/>
      </c>
      <c r="L24" s="51" t="str">
        <f t="shared" si="25"/>
        <v/>
      </c>
      <c r="M24" s="51" t="str">
        <f t="shared" si="25"/>
        <v/>
      </c>
      <c r="N24" s="51" t="str">
        <f t="shared" si="25"/>
        <v/>
      </c>
      <c r="O24" s="51" t="str">
        <f t="shared" si="25"/>
        <v/>
      </c>
      <c r="P24" s="51" t="str">
        <f t="shared" si="25"/>
        <v/>
      </c>
      <c r="Q24" s="51" t="str">
        <f t="shared" si="25"/>
        <v/>
      </c>
      <c r="R24" s="51" t="str">
        <f t="shared" si="25"/>
        <v/>
      </c>
      <c r="S24" s="51" t="str">
        <f t="shared" si="25"/>
        <v/>
      </c>
      <c r="T24" s="51" t="str">
        <f t="shared" si="25"/>
        <v/>
      </c>
      <c r="U24" s="52"/>
      <c r="V24" s="52" t="str">
        <f>IFERROR(__xludf.DUMMYFUNCTION("""COMPUTED_VALUE"""),"")</f>
        <v/>
      </c>
      <c r="W24" s="52" t="str">
        <f>IFERROR(__xludf.DUMMYFUNCTION("""COMPUTED_VALUE"""),"")</f>
        <v/>
      </c>
      <c r="X24" s="52" t="str">
        <f>IFERROR(__xludf.DUMMYFUNCTION("""COMPUTED_VALUE"""),"")</f>
        <v/>
      </c>
      <c r="Y24" s="52" t="str">
        <f>IFERROR(__xludf.DUMMYFUNCTION("""COMPUTED_VALUE"""),"")</f>
        <v/>
      </c>
      <c r="Z24" s="52" t="str">
        <f>IFERROR(__xludf.DUMMYFUNCTION("""COMPUTED_VALUE"""),"")</f>
        <v/>
      </c>
      <c r="AA24" s="52" t="str">
        <f>IFERROR(__xludf.DUMMYFUNCTION("""COMPUTED_VALUE"""),"")</f>
        <v/>
      </c>
      <c r="AB24" s="52" t="str">
        <f>IFERROR(__xludf.DUMMYFUNCTION("""COMPUTED_VALUE"""),"")</f>
        <v/>
      </c>
      <c r="AC24" s="52" t="str">
        <f>IFERROR(__xludf.DUMMYFUNCTION("""COMPUTED_VALUE"""),"")</f>
        <v/>
      </c>
      <c r="AD24" s="52" t="str">
        <f>IFERROR(__xludf.DUMMYFUNCTION("""COMPUTED_VALUE"""),"")</f>
        <v/>
      </c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</row>
    <row r="25">
      <c r="B25" s="49"/>
      <c r="C25" s="49" t="str">
        <f t="shared" si="2"/>
        <v/>
      </c>
      <c r="D25" s="50" t="str">
        <f t="shared" si="3"/>
        <v/>
      </c>
      <c r="E25" s="51" t="str">
        <f t="shared" ref="E25:T25" si="26">IFERROR(VLOOKUP($A25,INDIRECT("'" &amp; E$1 &amp; "'!$C:$G"), 5, FALSE),"")</f>
        <v/>
      </c>
      <c r="F25" s="51" t="str">
        <f t="shared" si="26"/>
        <v/>
      </c>
      <c r="G25" s="51" t="str">
        <f t="shared" si="26"/>
        <v/>
      </c>
      <c r="H25" s="51" t="str">
        <f t="shared" si="26"/>
        <v/>
      </c>
      <c r="I25" s="51" t="str">
        <f t="shared" si="26"/>
        <v/>
      </c>
      <c r="J25" s="51" t="str">
        <f t="shared" si="26"/>
        <v/>
      </c>
      <c r="K25" s="51" t="str">
        <f t="shared" si="26"/>
        <v/>
      </c>
      <c r="L25" s="51" t="str">
        <f t="shared" si="26"/>
        <v/>
      </c>
      <c r="M25" s="51" t="str">
        <f t="shared" si="26"/>
        <v/>
      </c>
      <c r="N25" s="51" t="str">
        <f t="shared" si="26"/>
        <v/>
      </c>
      <c r="O25" s="51" t="str">
        <f t="shared" si="26"/>
        <v/>
      </c>
      <c r="P25" s="51" t="str">
        <f t="shared" si="26"/>
        <v/>
      </c>
      <c r="Q25" s="51" t="str">
        <f t="shared" si="26"/>
        <v/>
      </c>
      <c r="R25" s="51" t="str">
        <f t="shared" si="26"/>
        <v/>
      </c>
      <c r="S25" s="51" t="str">
        <f t="shared" si="26"/>
        <v/>
      </c>
      <c r="T25" s="51" t="str">
        <f t="shared" si="26"/>
        <v/>
      </c>
      <c r="U25" s="52"/>
      <c r="V25" s="52" t="str">
        <f>IFERROR(__xludf.DUMMYFUNCTION("""COMPUTED_VALUE"""),"")</f>
        <v/>
      </c>
      <c r="W25" s="52" t="str">
        <f>IFERROR(__xludf.DUMMYFUNCTION("""COMPUTED_VALUE"""),"")</f>
        <v/>
      </c>
      <c r="X25" s="52" t="str">
        <f>IFERROR(__xludf.DUMMYFUNCTION("""COMPUTED_VALUE"""),"")</f>
        <v/>
      </c>
      <c r="Y25" s="52" t="str">
        <f>IFERROR(__xludf.DUMMYFUNCTION("""COMPUTED_VALUE"""),"")</f>
        <v/>
      </c>
      <c r="Z25" s="52" t="str">
        <f>IFERROR(__xludf.DUMMYFUNCTION("""COMPUTED_VALUE"""),"")</f>
        <v/>
      </c>
      <c r="AA25" s="52" t="str">
        <f>IFERROR(__xludf.DUMMYFUNCTION("""COMPUTED_VALUE"""),"")</f>
        <v/>
      </c>
      <c r="AB25" s="52" t="str">
        <f>IFERROR(__xludf.DUMMYFUNCTION("""COMPUTED_VALUE"""),"")</f>
        <v/>
      </c>
      <c r="AC25" s="52" t="str">
        <f>IFERROR(__xludf.DUMMYFUNCTION("""COMPUTED_VALUE"""),"")</f>
        <v/>
      </c>
      <c r="AD25" s="52" t="str">
        <f>IFERROR(__xludf.DUMMYFUNCTION("""COMPUTED_VALUE"""),"")</f>
        <v/>
      </c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</row>
    <row r="26">
      <c r="B26" s="49"/>
      <c r="C26" s="49" t="str">
        <f t="shared" si="2"/>
        <v/>
      </c>
      <c r="D26" s="50" t="str">
        <f t="shared" si="3"/>
        <v/>
      </c>
      <c r="E26" s="51" t="str">
        <f t="shared" ref="E26:T26" si="27">IFERROR(VLOOKUP($A26,INDIRECT("'" &amp; E$1 &amp; "'!$C:$G"), 5, FALSE),"")</f>
        <v/>
      </c>
      <c r="F26" s="51" t="str">
        <f t="shared" si="27"/>
        <v/>
      </c>
      <c r="G26" s="51" t="str">
        <f t="shared" si="27"/>
        <v/>
      </c>
      <c r="H26" s="51" t="str">
        <f t="shared" si="27"/>
        <v/>
      </c>
      <c r="I26" s="51" t="str">
        <f t="shared" si="27"/>
        <v/>
      </c>
      <c r="J26" s="51" t="str">
        <f t="shared" si="27"/>
        <v/>
      </c>
      <c r="K26" s="51" t="str">
        <f t="shared" si="27"/>
        <v/>
      </c>
      <c r="L26" s="51" t="str">
        <f t="shared" si="27"/>
        <v/>
      </c>
      <c r="M26" s="51" t="str">
        <f t="shared" si="27"/>
        <v/>
      </c>
      <c r="N26" s="51" t="str">
        <f t="shared" si="27"/>
        <v/>
      </c>
      <c r="O26" s="51" t="str">
        <f t="shared" si="27"/>
        <v/>
      </c>
      <c r="P26" s="51" t="str">
        <f t="shared" si="27"/>
        <v/>
      </c>
      <c r="Q26" s="51" t="str">
        <f t="shared" si="27"/>
        <v/>
      </c>
      <c r="R26" s="51" t="str">
        <f t="shared" si="27"/>
        <v/>
      </c>
      <c r="S26" s="51" t="str">
        <f t="shared" si="27"/>
        <v/>
      </c>
      <c r="T26" s="51" t="str">
        <f t="shared" si="27"/>
        <v/>
      </c>
      <c r="U26" s="52"/>
      <c r="V26" s="52" t="str">
        <f>IFERROR(__xludf.DUMMYFUNCTION("""COMPUTED_VALUE"""),"")</f>
        <v/>
      </c>
      <c r="W26" s="52" t="str">
        <f>IFERROR(__xludf.DUMMYFUNCTION("""COMPUTED_VALUE"""),"")</f>
        <v/>
      </c>
      <c r="X26" s="52" t="str">
        <f>IFERROR(__xludf.DUMMYFUNCTION("""COMPUTED_VALUE"""),"")</f>
        <v/>
      </c>
      <c r="Y26" s="52" t="str">
        <f>IFERROR(__xludf.DUMMYFUNCTION("""COMPUTED_VALUE"""),"")</f>
        <v/>
      </c>
      <c r="Z26" s="52" t="str">
        <f>IFERROR(__xludf.DUMMYFUNCTION("""COMPUTED_VALUE"""),"")</f>
        <v/>
      </c>
      <c r="AA26" s="52" t="str">
        <f>IFERROR(__xludf.DUMMYFUNCTION("""COMPUTED_VALUE"""),"")</f>
        <v/>
      </c>
      <c r="AB26" s="52" t="str">
        <f>IFERROR(__xludf.DUMMYFUNCTION("""COMPUTED_VALUE"""),"")</f>
        <v/>
      </c>
      <c r="AC26" s="52" t="str">
        <f>IFERROR(__xludf.DUMMYFUNCTION("""COMPUTED_VALUE"""),"")</f>
        <v/>
      </c>
      <c r="AD26" s="52" t="str">
        <f>IFERROR(__xludf.DUMMYFUNCTION("""COMPUTED_VALUE"""),"")</f>
        <v/>
      </c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</row>
    <row r="27">
      <c r="B27" s="49"/>
      <c r="C27" s="49" t="str">
        <f t="shared" si="2"/>
        <v/>
      </c>
      <c r="D27" s="50" t="str">
        <f t="shared" si="3"/>
        <v/>
      </c>
      <c r="E27" s="51" t="str">
        <f t="shared" ref="E27:T27" si="28">IFERROR(VLOOKUP($A27,INDIRECT("'" &amp; E$1 &amp; "'!$C:$G"), 5, FALSE),"")</f>
        <v/>
      </c>
      <c r="F27" s="51" t="str">
        <f t="shared" si="28"/>
        <v/>
      </c>
      <c r="G27" s="51" t="str">
        <f t="shared" si="28"/>
        <v/>
      </c>
      <c r="H27" s="51" t="str">
        <f t="shared" si="28"/>
        <v/>
      </c>
      <c r="I27" s="51" t="str">
        <f t="shared" si="28"/>
        <v/>
      </c>
      <c r="J27" s="51" t="str">
        <f t="shared" si="28"/>
        <v/>
      </c>
      <c r="K27" s="51" t="str">
        <f t="shared" si="28"/>
        <v/>
      </c>
      <c r="L27" s="51" t="str">
        <f t="shared" si="28"/>
        <v/>
      </c>
      <c r="M27" s="51" t="str">
        <f t="shared" si="28"/>
        <v/>
      </c>
      <c r="N27" s="51" t="str">
        <f t="shared" si="28"/>
        <v/>
      </c>
      <c r="O27" s="51" t="str">
        <f t="shared" si="28"/>
        <v/>
      </c>
      <c r="P27" s="51" t="str">
        <f t="shared" si="28"/>
        <v/>
      </c>
      <c r="Q27" s="51" t="str">
        <f t="shared" si="28"/>
        <v/>
      </c>
      <c r="R27" s="51" t="str">
        <f t="shared" si="28"/>
        <v/>
      </c>
      <c r="S27" s="51" t="str">
        <f t="shared" si="28"/>
        <v/>
      </c>
      <c r="T27" s="51" t="str">
        <f t="shared" si="28"/>
        <v/>
      </c>
      <c r="U27" s="52"/>
      <c r="V27" s="52" t="str">
        <f>IFERROR(__xludf.DUMMYFUNCTION("""COMPUTED_VALUE"""),"")</f>
        <v/>
      </c>
      <c r="W27" s="52" t="str">
        <f>IFERROR(__xludf.DUMMYFUNCTION("""COMPUTED_VALUE"""),"")</f>
        <v/>
      </c>
      <c r="X27" s="52" t="str">
        <f>IFERROR(__xludf.DUMMYFUNCTION("""COMPUTED_VALUE"""),"")</f>
        <v/>
      </c>
      <c r="Y27" s="52" t="str">
        <f>IFERROR(__xludf.DUMMYFUNCTION("""COMPUTED_VALUE"""),"")</f>
        <v/>
      </c>
      <c r="Z27" s="52" t="str">
        <f>IFERROR(__xludf.DUMMYFUNCTION("""COMPUTED_VALUE"""),"")</f>
        <v/>
      </c>
      <c r="AA27" s="52" t="str">
        <f>IFERROR(__xludf.DUMMYFUNCTION("""COMPUTED_VALUE"""),"")</f>
        <v/>
      </c>
      <c r="AB27" s="52" t="str">
        <f>IFERROR(__xludf.DUMMYFUNCTION("""COMPUTED_VALUE"""),"")</f>
        <v/>
      </c>
      <c r="AC27" s="52" t="str">
        <f>IFERROR(__xludf.DUMMYFUNCTION("""COMPUTED_VALUE"""),"")</f>
        <v/>
      </c>
      <c r="AD27" s="52" t="str">
        <f>IFERROR(__xludf.DUMMYFUNCTION("""COMPUTED_VALUE"""),"")</f>
        <v/>
      </c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</row>
    <row r="28">
      <c r="B28" s="49"/>
      <c r="C28" s="49" t="str">
        <f t="shared" si="2"/>
        <v/>
      </c>
      <c r="D28" s="50" t="str">
        <f t="shared" si="3"/>
        <v/>
      </c>
      <c r="E28" s="51" t="str">
        <f t="shared" ref="E28:T28" si="29">IFERROR(VLOOKUP($A28,INDIRECT("'" &amp; E$1 &amp; "'!$C:$G"), 5, FALSE),"")</f>
        <v/>
      </c>
      <c r="F28" s="51" t="str">
        <f t="shared" si="29"/>
        <v/>
      </c>
      <c r="G28" s="51" t="str">
        <f t="shared" si="29"/>
        <v/>
      </c>
      <c r="H28" s="51" t="str">
        <f t="shared" si="29"/>
        <v/>
      </c>
      <c r="I28" s="51" t="str">
        <f t="shared" si="29"/>
        <v/>
      </c>
      <c r="J28" s="51" t="str">
        <f t="shared" si="29"/>
        <v/>
      </c>
      <c r="K28" s="51" t="str">
        <f t="shared" si="29"/>
        <v/>
      </c>
      <c r="L28" s="51" t="str">
        <f t="shared" si="29"/>
        <v/>
      </c>
      <c r="M28" s="51" t="str">
        <f t="shared" si="29"/>
        <v/>
      </c>
      <c r="N28" s="51" t="str">
        <f t="shared" si="29"/>
        <v/>
      </c>
      <c r="O28" s="51" t="str">
        <f t="shared" si="29"/>
        <v/>
      </c>
      <c r="P28" s="51" t="str">
        <f t="shared" si="29"/>
        <v/>
      </c>
      <c r="Q28" s="51" t="str">
        <f t="shared" si="29"/>
        <v/>
      </c>
      <c r="R28" s="51" t="str">
        <f t="shared" si="29"/>
        <v/>
      </c>
      <c r="S28" s="51" t="str">
        <f t="shared" si="29"/>
        <v/>
      </c>
      <c r="T28" s="51" t="str">
        <f t="shared" si="29"/>
        <v/>
      </c>
      <c r="U28" s="52"/>
      <c r="V28" s="52" t="str">
        <f>IFERROR(__xludf.DUMMYFUNCTION("""COMPUTED_VALUE"""),"")</f>
        <v/>
      </c>
      <c r="W28" s="52" t="str">
        <f>IFERROR(__xludf.DUMMYFUNCTION("""COMPUTED_VALUE"""),"")</f>
        <v/>
      </c>
      <c r="X28" s="52" t="str">
        <f>IFERROR(__xludf.DUMMYFUNCTION("""COMPUTED_VALUE"""),"")</f>
        <v/>
      </c>
      <c r="Y28" s="52" t="str">
        <f>IFERROR(__xludf.DUMMYFUNCTION("""COMPUTED_VALUE"""),"")</f>
        <v/>
      </c>
      <c r="Z28" s="52" t="str">
        <f>IFERROR(__xludf.DUMMYFUNCTION("""COMPUTED_VALUE"""),"")</f>
        <v/>
      </c>
      <c r="AA28" s="52" t="str">
        <f>IFERROR(__xludf.DUMMYFUNCTION("""COMPUTED_VALUE"""),"")</f>
        <v/>
      </c>
      <c r="AB28" s="52" t="str">
        <f>IFERROR(__xludf.DUMMYFUNCTION("""COMPUTED_VALUE"""),"")</f>
        <v/>
      </c>
      <c r="AC28" s="52" t="str">
        <f>IFERROR(__xludf.DUMMYFUNCTION("""COMPUTED_VALUE"""),"")</f>
        <v/>
      </c>
      <c r="AD28" s="52" t="str">
        <f>IFERROR(__xludf.DUMMYFUNCTION("""COMPUTED_VALUE"""),"")</f>
        <v/>
      </c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</row>
    <row r="29">
      <c r="B29" s="49"/>
      <c r="C29" s="49" t="str">
        <f t="shared" si="2"/>
        <v/>
      </c>
      <c r="D29" s="50" t="str">
        <f t="shared" si="3"/>
        <v/>
      </c>
      <c r="E29" s="51" t="str">
        <f t="shared" ref="E29:T29" si="30">IFERROR(VLOOKUP($A29,INDIRECT("'" &amp; E$1 &amp; "'!$C:$G"), 5, FALSE),"")</f>
        <v/>
      </c>
      <c r="F29" s="51" t="str">
        <f t="shared" si="30"/>
        <v/>
      </c>
      <c r="G29" s="51" t="str">
        <f t="shared" si="30"/>
        <v/>
      </c>
      <c r="H29" s="51" t="str">
        <f t="shared" si="30"/>
        <v/>
      </c>
      <c r="I29" s="51" t="str">
        <f t="shared" si="30"/>
        <v/>
      </c>
      <c r="J29" s="51" t="str">
        <f t="shared" si="30"/>
        <v/>
      </c>
      <c r="K29" s="51" t="str">
        <f t="shared" si="30"/>
        <v/>
      </c>
      <c r="L29" s="51" t="str">
        <f t="shared" si="30"/>
        <v/>
      </c>
      <c r="M29" s="51" t="str">
        <f t="shared" si="30"/>
        <v/>
      </c>
      <c r="N29" s="51" t="str">
        <f t="shared" si="30"/>
        <v/>
      </c>
      <c r="O29" s="51" t="str">
        <f t="shared" si="30"/>
        <v/>
      </c>
      <c r="P29" s="51" t="str">
        <f t="shared" si="30"/>
        <v/>
      </c>
      <c r="Q29" s="51" t="str">
        <f t="shared" si="30"/>
        <v/>
      </c>
      <c r="R29" s="51" t="str">
        <f t="shared" si="30"/>
        <v/>
      </c>
      <c r="S29" s="51" t="str">
        <f t="shared" si="30"/>
        <v/>
      </c>
      <c r="T29" s="51" t="str">
        <f t="shared" si="30"/>
        <v/>
      </c>
      <c r="U29" s="52"/>
      <c r="V29" s="52" t="str">
        <f>IFERROR(__xludf.DUMMYFUNCTION("""COMPUTED_VALUE"""),"")</f>
        <v/>
      </c>
      <c r="W29" s="52" t="str">
        <f>IFERROR(__xludf.DUMMYFUNCTION("""COMPUTED_VALUE"""),"")</f>
        <v/>
      </c>
      <c r="X29" s="52" t="str">
        <f>IFERROR(__xludf.DUMMYFUNCTION("""COMPUTED_VALUE"""),"")</f>
        <v/>
      </c>
      <c r="Y29" s="52" t="str">
        <f>IFERROR(__xludf.DUMMYFUNCTION("""COMPUTED_VALUE"""),"")</f>
        <v/>
      </c>
      <c r="Z29" s="52" t="str">
        <f>IFERROR(__xludf.DUMMYFUNCTION("""COMPUTED_VALUE"""),"")</f>
        <v/>
      </c>
      <c r="AA29" s="52" t="str">
        <f>IFERROR(__xludf.DUMMYFUNCTION("""COMPUTED_VALUE"""),"")</f>
        <v/>
      </c>
      <c r="AB29" s="52" t="str">
        <f>IFERROR(__xludf.DUMMYFUNCTION("""COMPUTED_VALUE"""),"")</f>
        <v/>
      </c>
      <c r="AC29" s="52" t="str">
        <f>IFERROR(__xludf.DUMMYFUNCTION("""COMPUTED_VALUE"""),"")</f>
        <v/>
      </c>
      <c r="AD29" s="52" t="str">
        <f>IFERROR(__xludf.DUMMYFUNCTION("""COMPUTED_VALUE"""),"")</f>
        <v/>
      </c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</row>
    <row r="30">
      <c r="B30" s="49"/>
      <c r="C30" s="49" t="str">
        <f t="shared" si="2"/>
        <v/>
      </c>
      <c r="D30" s="50" t="str">
        <f t="shared" si="3"/>
        <v/>
      </c>
      <c r="E30" s="51" t="str">
        <f t="shared" ref="E30:T30" si="31">IFERROR(VLOOKUP($A30,INDIRECT("'" &amp; E$1 &amp; "'!$C:$G"), 5, FALSE),"")</f>
        <v/>
      </c>
      <c r="F30" s="51" t="str">
        <f t="shared" si="31"/>
        <v/>
      </c>
      <c r="G30" s="51" t="str">
        <f t="shared" si="31"/>
        <v/>
      </c>
      <c r="H30" s="51" t="str">
        <f t="shared" si="31"/>
        <v/>
      </c>
      <c r="I30" s="51" t="str">
        <f t="shared" si="31"/>
        <v/>
      </c>
      <c r="J30" s="51" t="str">
        <f t="shared" si="31"/>
        <v/>
      </c>
      <c r="K30" s="51" t="str">
        <f t="shared" si="31"/>
        <v/>
      </c>
      <c r="L30" s="51" t="str">
        <f t="shared" si="31"/>
        <v/>
      </c>
      <c r="M30" s="51" t="str">
        <f t="shared" si="31"/>
        <v/>
      </c>
      <c r="N30" s="51" t="str">
        <f t="shared" si="31"/>
        <v/>
      </c>
      <c r="O30" s="51" t="str">
        <f t="shared" si="31"/>
        <v/>
      </c>
      <c r="P30" s="51" t="str">
        <f t="shared" si="31"/>
        <v/>
      </c>
      <c r="Q30" s="51" t="str">
        <f t="shared" si="31"/>
        <v/>
      </c>
      <c r="R30" s="51" t="str">
        <f t="shared" si="31"/>
        <v/>
      </c>
      <c r="S30" s="51" t="str">
        <f t="shared" si="31"/>
        <v/>
      </c>
      <c r="T30" s="51" t="str">
        <f t="shared" si="31"/>
        <v/>
      </c>
      <c r="U30" s="52"/>
      <c r="V30" s="52" t="str">
        <f>IFERROR(__xludf.DUMMYFUNCTION("""COMPUTED_VALUE"""),"")</f>
        <v/>
      </c>
      <c r="W30" s="52" t="str">
        <f>IFERROR(__xludf.DUMMYFUNCTION("""COMPUTED_VALUE"""),"")</f>
        <v/>
      </c>
      <c r="X30" s="52" t="str">
        <f>IFERROR(__xludf.DUMMYFUNCTION("""COMPUTED_VALUE"""),"")</f>
        <v/>
      </c>
      <c r="Y30" s="52" t="str">
        <f>IFERROR(__xludf.DUMMYFUNCTION("""COMPUTED_VALUE"""),"")</f>
        <v/>
      </c>
      <c r="Z30" s="52" t="str">
        <f>IFERROR(__xludf.DUMMYFUNCTION("""COMPUTED_VALUE"""),"")</f>
        <v/>
      </c>
      <c r="AA30" s="52" t="str">
        <f>IFERROR(__xludf.DUMMYFUNCTION("""COMPUTED_VALUE"""),"")</f>
        <v/>
      </c>
      <c r="AB30" s="52" t="str">
        <f>IFERROR(__xludf.DUMMYFUNCTION("""COMPUTED_VALUE"""),"")</f>
        <v/>
      </c>
      <c r="AC30" s="52" t="str">
        <f>IFERROR(__xludf.DUMMYFUNCTION("""COMPUTED_VALUE"""),"")</f>
        <v/>
      </c>
      <c r="AD30" s="52" t="str">
        <f>IFERROR(__xludf.DUMMYFUNCTION("""COMPUTED_VALUE"""),"")</f>
        <v/>
      </c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</row>
    <row r="31">
      <c r="B31" s="49"/>
      <c r="C31" s="49" t="str">
        <f t="shared" si="2"/>
        <v/>
      </c>
      <c r="D31" s="50" t="str">
        <f t="shared" si="3"/>
        <v/>
      </c>
      <c r="E31" s="51" t="str">
        <f t="shared" ref="E31:T31" si="32">IFERROR(VLOOKUP($A31,INDIRECT("'" &amp; E$1 &amp; "'!$C:$G"), 5, FALSE),"")</f>
        <v/>
      </c>
      <c r="F31" s="51" t="str">
        <f t="shared" si="32"/>
        <v/>
      </c>
      <c r="G31" s="51" t="str">
        <f t="shared" si="32"/>
        <v/>
      </c>
      <c r="H31" s="51" t="str">
        <f t="shared" si="32"/>
        <v/>
      </c>
      <c r="I31" s="51" t="str">
        <f t="shared" si="32"/>
        <v/>
      </c>
      <c r="J31" s="51" t="str">
        <f t="shared" si="32"/>
        <v/>
      </c>
      <c r="K31" s="51" t="str">
        <f t="shared" si="32"/>
        <v/>
      </c>
      <c r="L31" s="51" t="str">
        <f t="shared" si="32"/>
        <v/>
      </c>
      <c r="M31" s="51" t="str">
        <f t="shared" si="32"/>
        <v/>
      </c>
      <c r="N31" s="51" t="str">
        <f t="shared" si="32"/>
        <v/>
      </c>
      <c r="O31" s="51" t="str">
        <f t="shared" si="32"/>
        <v/>
      </c>
      <c r="P31" s="51" t="str">
        <f t="shared" si="32"/>
        <v/>
      </c>
      <c r="Q31" s="51" t="str">
        <f t="shared" si="32"/>
        <v/>
      </c>
      <c r="R31" s="51" t="str">
        <f t="shared" si="32"/>
        <v/>
      </c>
      <c r="S31" s="51" t="str">
        <f t="shared" si="32"/>
        <v/>
      </c>
      <c r="T31" s="51" t="str">
        <f t="shared" si="32"/>
        <v/>
      </c>
      <c r="U31" s="52"/>
      <c r="V31" s="52" t="str">
        <f>IFERROR(__xludf.DUMMYFUNCTION("""COMPUTED_VALUE"""),"")</f>
        <v/>
      </c>
      <c r="W31" s="52" t="str">
        <f>IFERROR(__xludf.DUMMYFUNCTION("""COMPUTED_VALUE"""),"")</f>
        <v/>
      </c>
      <c r="X31" s="52" t="str">
        <f>IFERROR(__xludf.DUMMYFUNCTION("""COMPUTED_VALUE"""),"")</f>
        <v/>
      </c>
      <c r="Y31" s="52" t="str">
        <f>IFERROR(__xludf.DUMMYFUNCTION("""COMPUTED_VALUE"""),"")</f>
        <v/>
      </c>
      <c r="Z31" s="52" t="str">
        <f>IFERROR(__xludf.DUMMYFUNCTION("""COMPUTED_VALUE"""),"")</f>
        <v/>
      </c>
      <c r="AA31" s="52" t="str">
        <f>IFERROR(__xludf.DUMMYFUNCTION("""COMPUTED_VALUE"""),"")</f>
        <v/>
      </c>
      <c r="AB31" s="52" t="str">
        <f>IFERROR(__xludf.DUMMYFUNCTION("""COMPUTED_VALUE"""),"")</f>
        <v/>
      </c>
      <c r="AC31" s="52" t="str">
        <f>IFERROR(__xludf.DUMMYFUNCTION("""COMPUTED_VALUE"""),"")</f>
        <v/>
      </c>
      <c r="AD31" s="52" t="str">
        <f>IFERROR(__xludf.DUMMYFUNCTION("""COMPUTED_VALUE"""),"")</f>
        <v/>
      </c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</row>
    <row r="32">
      <c r="B32" s="49"/>
      <c r="C32" s="49" t="str">
        <f t="shared" si="2"/>
        <v/>
      </c>
      <c r="D32" s="50" t="str">
        <f t="shared" si="3"/>
        <v/>
      </c>
      <c r="E32" s="51" t="str">
        <f t="shared" ref="E32:T32" si="33">IFERROR(VLOOKUP($A32,INDIRECT("'" &amp; E$1 &amp; "'!$C:$G"), 5, FALSE),"")</f>
        <v/>
      </c>
      <c r="F32" s="51" t="str">
        <f t="shared" si="33"/>
        <v/>
      </c>
      <c r="G32" s="51" t="str">
        <f t="shared" si="33"/>
        <v/>
      </c>
      <c r="H32" s="51" t="str">
        <f t="shared" si="33"/>
        <v/>
      </c>
      <c r="I32" s="51" t="str">
        <f t="shared" si="33"/>
        <v/>
      </c>
      <c r="J32" s="51" t="str">
        <f t="shared" si="33"/>
        <v/>
      </c>
      <c r="K32" s="51" t="str">
        <f t="shared" si="33"/>
        <v/>
      </c>
      <c r="L32" s="51" t="str">
        <f t="shared" si="33"/>
        <v/>
      </c>
      <c r="M32" s="51" t="str">
        <f t="shared" si="33"/>
        <v/>
      </c>
      <c r="N32" s="51" t="str">
        <f t="shared" si="33"/>
        <v/>
      </c>
      <c r="O32" s="51" t="str">
        <f t="shared" si="33"/>
        <v/>
      </c>
      <c r="P32" s="51" t="str">
        <f t="shared" si="33"/>
        <v/>
      </c>
      <c r="Q32" s="51" t="str">
        <f t="shared" si="33"/>
        <v/>
      </c>
      <c r="R32" s="51" t="str">
        <f t="shared" si="33"/>
        <v/>
      </c>
      <c r="S32" s="51" t="str">
        <f t="shared" si="33"/>
        <v/>
      </c>
      <c r="T32" s="51" t="str">
        <f t="shared" si="33"/>
        <v/>
      </c>
      <c r="U32" s="52"/>
      <c r="V32" s="52" t="str">
        <f>IFERROR(__xludf.DUMMYFUNCTION("""COMPUTED_VALUE"""),"")</f>
        <v/>
      </c>
      <c r="W32" s="52" t="str">
        <f>IFERROR(__xludf.DUMMYFUNCTION("""COMPUTED_VALUE"""),"")</f>
        <v/>
      </c>
      <c r="X32" s="52" t="str">
        <f>IFERROR(__xludf.DUMMYFUNCTION("""COMPUTED_VALUE"""),"")</f>
        <v/>
      </c>
      <c r="Y32" s="52" t="str">
        <f>IFERROR(__xludf.DUMMYFUNCTION("""COMPUTED_VALUE"""),"")</f>
        <v/>
      </c>
      <c r="Z32" s="52" t="str">
        <f>IFERROR(__xludf.DUMMYFUNCTION("""COMPUTED_VALUE"""),"")</f>
        <v/>
      </c>
      <c r="AA32" s="52" t="str">
        <f>IFERROR(__xludf.DUMMYFUNCTION("""COMPUTED_VALUE"""),"")</f>
        <v/>
      </c>
      <c r="AB32" s="52" t="str">
        <f>IFERROR(__xludf.DUMMYFUNCTION("""COMPUTED_VALUE"""),"")</f>
        <v/>
      </c>
      <c r="AC32" s="52" t="str">
        <f>IFERROR(__xludf.DUMMYFUNCTION("""COMPUTED_VALUE"""),"")</f>
        <v/>
      </c>
      <c r="AD32" s="52" t="str">
        <f>IFERROR(__xludf.DUMMYFUNCTION("""COMPUTED_VALUE"""),"")</f>
        <v/>
      </c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</row>
    <row r="33">
      <c r="B33" s="49"/>
      <c r="C33" s="49" t="str">
        <f t="shared" si="2"/>
        <v/>
      </c>
      <c r="D33" s="50" t="str">
        <f t="shared" si="3"/>
        <v/>
      </c>
      <c r="E33" s="51" t="str">
        <f t="shared" ref="E33:T33" si="34">IFERROR(VLOOKUP($A33,INDIRECT("'" &amp; E$1 &amp; "'!$C:$G"), 5, FALSE),"")</f>
        <v/>
      </c>
      <c r="F33" s="51" t="str">
        <f t="shared" si="34"/>
        <v/>
      </c>
      <c r="G33" s="51" t="str">
        <f t="shared" si="34"/>
        <v/>
      </c>
      <c r="H33" s="51" t="str">
        <f t="shared" si="34"/>
        <v/>
      </c>
      <c r="I33" s="51" t="str">
        <f t="shared" si="34"/>
        <v/>
      </c>
      <c r="J33" s="51" t="str">
        <f t="shared" si="34"/>
        <v/>
      </c>
      <c r="K33" s="51" t="str">
        <f t="shared" si="34"/>
        <v/>
      </c>
      <c r="L33" s="51" t="str">
        <f t="shared" si="34"/>
        <v/>
      </c>
      <c r="M33" s="51" t="str">
        <f t="shared" si="34"/>
        <v/>
      </c>
      <c r="N33" s="51" t="str">
        <f t="shared" si="34"/>
        <v/>
      </c>
      <c r="O33" s="51" t="str">
        <f t="shared" si="34"/>
        <v/>
      </c>
      <c r="P33" s="51" t="str">
        <f t="shared" si="34"/>
        <v/>
      </c>
      <c r="Q33" s="51" t="str">
        <f t="shared" si="34"/>
        <v/>
      </c>
      <c r="R33" s="51" t="str">
        <f t="shared" si="34"/>
        <v/>
      </c>
      <c r="S33" s="51" t="str">
        <f t="shared" si="34"/>
        <v/>
      </c>
      <c r="T33" s="51" t="str">
        <f t="shared" si="34"/>
        <v/>
      </c>
      <c r="U33" s="52"/>
      <c r="V33" s="52" t="str">
        <f>IFERROR(__xludf.DUMMYFUNCTION("""COMPUTED_VALUE"""),"")</f>
        <v/>
      </c>
      <c r="W33" s="52" t="str">
        <f>IFERROR(__xludf.DUMMYFUNCTION("""COMPUTED_VALUE"""),"")</f>
        <v/>
      </c>
      <c r="X33" s="52" t="str">
        <f>IFERROR(__xludf.DUMMYFUNCTION("""COMPUTED_VALUE"""),"")</f>
        <v/>
      </c>
      <c r="Y33" s="52" t="str">
        <f>IFERROR(__xludf.DUMMYFUNCTION("""COMPUTED_VALUE"""),"")</f>
        <v/>
      </c>
      <c r="Z33" s="52" t="str">
        <f>IFERROR(__xludf.DUMMYFUNCTION("""COMPUTED_VALUE"""),"")</f>
        <v/>
      </c>
      <c r="AA33" s="52" t="str">
        <f>IFERROR(__xludf.DUMMYFUNCTION("""COMPUTED_VALUE"""),"")</f>
        <v/>
      </c>
      <c r="AB33" s="52" t="str">
        <f>IFERROR(__xludf.DUMMYFUNCTION("""COMPUTED_VALUE"""),"")</f>
        <v/>
      </c>
      <c r="AC33" s="52" t="str">
        <f>IFERROR(__xludf.DUMMYFUNCTION("""COMPUTED_VALUE"""),"")</f>
        <v/>
      </c>
      <c r="AD33" s="52" t="str">
        <f>IFERROR(__xludf.DUMMYFUNCTION("""COMPUTED_VALUE"""),"")</f>
        <v/>
      </c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</row>
    <row r="34">
      <c r="B34" s="49"/>
      <c r="C34" s="49" t="str">
        <f t="shared" si="2"/>
        <v/>
      </c>
      <c r="D34" s="50" t="str">
        <f t="shared" si="3"/>
        <v/>
      </c>
      <c r="E34" s="51" t="str">
        <f t="shared" ref="E34:T34" si="35">IFERROR(VLOOKUP($A34,INDIRECT("'" &amp; E$1 &amp; "'!$C:$G"), 5, FALSE),"")</f>
        <v/>
      </c>
      <c r="F34" s="51" t="str">
        <f t="shared" si="35"/>
        <v/>
      </c>
      <c r="G34" s="51" t="str">
        <f t="shared" si="35"/>
        <v/>
      </c>
      <c r="H34" s="51" t="str">
        <f t="shared" si="35"/>
        <v/>
      </c>
      <c r="I34" s="51" t="str">
        <f t="shared" si="35"/>
        <v/>
      </c>
      <c r="J34" s="51" t="str">
        <f t="shared" si="35"/>
        <v/>
      </c>
      <c r="K34" s="51" t="str">
        <f t="shared" si="35"/>
        <v/>
      </c>
      <c r="L34" s="51" t="str">
        <f t="shared" si="35"/>
        <v/>
      </c>
      <c r="M34" s="51" t="str">
        <f t="shared" si="35"/>
        <v/>
      </c>
      <c r="N34" s="51" t="str">
        <f t="shared" si="35"/>
        <v/>
      </c>
      <c r="O34" s="51" t="str">
        <f t="shared" si="35"/>
        <v/>
      </c>
      <c r="P34" s="51" t="str">
        <f t="shared" si="35"/>
        <v/>
      </c>
      <c r="Q34" s="51" t="str">
        <f t="shared" si="35"/>
        <v/>
      </c>
      <c r="R34" s="51" t="str">
        <f t="shared" si="35"/>
        <v/>
      </c>
      <c r="S34" s="51" t="str">
        <f t="shared" si="35"/>
        <v/>
      </c>
      <c r="T34" s="51" t="str">
        <f t="shared" si="35"/>
        <v/>
      </c>
      <c r="U34" s="52"/>
      <c r="V34" s="52" t="str">
        <f>IFERROR(__xludf.DUMMYFUNCTION("""COMPUTED_VALUE"""),"")</f>
        <v/>
      </c>
      <c r="W34" s="52" t="str">
        <f>IFERROR(__xludf.DUMMYFUNCTION("""COMPUTED_VALUE"""),"")</f>
        <v/>
      </c>
      <c r="X34" s="52" t="str">
        <f>IFERROR(__xludf.DUMMYFUNCTION("""COMPUTED_VALUE"""),"")</f>
        <v/>
      </c>
      <c r="Y34" s="52" t="str">
        <f>IFERROR(__xludf.DUMMYFUNCTION("""COMPUTED_VALUE"""),"")</f>
        <v/>
      </c>
      <c r="Z34" s="52" t="str">
        <f>IFERROR(__xludf.DUMMYFUNCTION("""COMPUTED_VALUE"""),"")</f>
        <v/>
      </c>
      <c r="AA34" s="52" t="str">
        <f>IFERROR(__xludf.DUMMYFUNCTION("""COMPUTED_VALUE"""),"")</f>
        <v/>
      </c>
      <c r="AB34" s="52" t="str">
        <f>IFERROR(__xludf.DUMMYFUNCTION("""COMPUTED_VALUE"""),"")</f>
        <v/>
      </c>
      <c r="AC34" s="52" t="str">
        <f>IFERROR(__xludf.DUMMYFUNCTION("""COMPUTED_VALUE"""),"")</f>
        <v/>
      </c>
      <c r="AD34" s="52" t="str">
        <f>IFERROR(__xludf.DUMMYFUNCTION("""COMPUTED_VALUE"""),"")</f>
        <v/>
      </c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</row>
    <row r="35">
      <c r="B35" s="49"/>
      <c r="C35" s="49" t="str">
        <f t="shared" si="2"/>
        <v/>
      </c>
      <c r="D35" s="50" t="str">
        <f t="shared" si="3"/>
        <v/>
      </c>
      <c r="E35" s="51" t="str">
        <f t="shared" ref="E35:T35" si="36">IFERROR(VLOOKUP($A35,INDIRECT("'" &amp; E$1 &amp; "'!$C:$G"), 5, FALSE),"")</f>
        <v/>
      </c>
      <c r="F35" s="51" t="str">
        <f t="shared" si="36"/>
        <v/>
      </c>
      <c r="G35" s="51" t="str">
        <f t="shared" si="36"/>
        <v/>
      </c>
      <c r="H35" s="51" t="str">
        <f t="shared" si="36"/>
        <v/>
      </c>
      <c r="I35" s="51" t="str">
        <f t="shared" si="36"/>
        <v/>
      </c>
      <c r="J35" s="51" t="str">
        <f t="shared" si="36"/>
        <v/>
      </c>
      <c r="K35" s="51" t="str">
        <f t="shared" si="36"/>
        <v/>
      </c>
      <c r="L35" s="51" t="str">
        <f t="shared" si="36"/>
        <v/>
      </c>
      <c r="M35" s="51" t="str">
        <f t="shared" si="36"/>
        <v/>
      </c>
      <c r="N35" s="51" t="str">
        <f t="shared" si="36"/>
        <v/>
      </c>
      <c r="O35" s="51" t="str">
        <f t="shared" si="36"/>
        <v/>
      </c>
      <c r="P35" s="51" t="str">
        <f t="shared" si="36"/>
        <v/>
      </c>
      <c r="Q35" s="51" t="str">
        <f t="shared" si="36"/>
        <v/>
      </c>
      <c r="R35" s="51" t="str">
        <f t="shared" si="36"/>
        <v/>
      </c>
      <c r="S35" s="51" t="str">
        <f t="shared" si="36"/>
        <v/>
      </c>
      <c r="T35" s="51" t="str">
        <f t="shared" si="36"/>
        <v/>
      </c>
      <c r="U35" s="52"/>
      <c r="V35" s="52" t="str">
        <f>IFERROR(__xludf.DUMMYFUNCTION("""COMPUTED_VALUE"""),"")</f>
        <v/>
      </c>
      <c r="W35" s="52" t="str">
        <f>IFERROR(__xludf.DUMMYFUNCTION("""COMPUTED_VALUE"""),"")</f>
        <v/>
      </c>
      <c r="X35" s="52" t="str">
        <f>IFERROR(__xludf.DUMMYFUNCTION("""COMPUTED_VALUE"""),"")</f>
        <v/>
      </c>
      <c r="Y35" s="52" t="str">
        <f>IFERROR(__xludf.DUMMYFUNCTION("""COMPUTED_VALUE"""),"")</f>
        <v/>
      </c>
      <c r="Z35" s="52" t="str">
        <f>IFERROR(__xludf.DUMMYFUNCTION("""COMPUTED_VALUE"""),"")</f>
        <v/>
      </c>
      <c r="AA35" s="52" t="str">
        <f>IFERROR(__xludf.DUMMYFUNCTION("""COMPUTED_VALUE"""),"")</f>
        <v/>
      </c>
      <c r="AB35" s="52" t="str">
        <f>IFERROR(__xludf.DUMMYFUNCTION("""COMPUTED_VALUE"""),"")</f>
        <v/>
      </c>
      <c r="AC35" s="52" t="str">
        <f>IFERROR(__xludf.DUMMYFUNCTION("""COMPUTED_VALUE"""),"")</f>
        <v/>
      </c>
      <c r="AD35" s="52" t="str">
        <f>IFERROR(__xludf.DUMMYFUNCTION("""COMPUTED_VALUE"""),"")</f>
        <v/>
      </c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</row>
    <row r="36">
      <c r="B36" s="49"/>
      <c r="C36" s="49" t="str">
        <f t="shared" si="2"/>
        <v/>
      </c>
      <c r="D36" s="50" t="str">
        <f t="shared" si="3"/>
        <v/>
      </c>
      <c r="E36" s="51" t="str">
        <f t="shared" ref="E36:T36" si="37">IFERROR(VLOOKUP($A36,INDIRECT("'" &amp; E$1 &amp; "'!$C:$G"), 5, FALSE),"")</f>
        <v/>
      </c>
      <c r="F36" s="51" t="str">
        <f t="shared" si="37"/>
        <v/>
      </c>
      <c r="G36" s="51" t="str">
        <f t="shared" si="37"/>
        <v/>
      </c>
      <c r="H36" s="51" t="str">
        <f t="shared" si="37"/>
        <v/>
      </c>
      <c r="I36" s="51" t="str">
        <f t="shared" si="37"/>
        <v/>
      </c>
      <c r="J36" s="51" t="str">
        <f t="shared" si="37"/>
        <v/>
      </c>
      <c r="K36" s="51" t="str">
        <f t="shared" si="37"/>
        <v/>
      </c>
      <c r="L36" s="51" t="str">
        <f t="shared" si="37"/>
        <v/>
      </c>
      <c r="M36" s="51" t="str">
        <f t="shared" si="37"/>
        <v/>
      </c>
      <c r="N36" s="51" t="str">
        <f t="shared" si="37"/>
        <v/>
      </c>
      <c r="O36" s="51" t="str">
        <f t="shared" si="37"/>
        <v/>
      </c>
      <c r="P36" s="51" t="str">
        <f t="shared" si="37"/>
        <v/>
      </c>
      <c r="Q36" s="51" t="str">
        <f t="shared" si="37"/>
        <v/>
      </c>
      <c r="R36" s="51" t="str">
        <f t="shared" si="37"/>
        <v/>
      </c>
      <c r="S36" s="51" t="str">
        <f t="shared" si="37"/>
        <v/>
      </c>
      <c r="T36" s="51" t="str">
        <f t="shared" si="37"/>
        <v/>
      </c>
      <c r="U36" s="52"/>
      <c r="V36" s="52" t="str">
        <f>IFERROR(__xludf.DUMMYFUNCTION("""COMPUTED_VALUE"""),"")</f>
        <v/>
      </c>
      <c r="W36" s="52" t="str">
        <f>IFERROR(__xludf.DUMMYFUNCTION("""COMPUTED_VALUE"""),"")</f>
        <v/>
      </c>
      <c r="X36" s="52" t="str">
        <f>IFERROR(__xludf.DUMMYFUNCTION("""COMPUTED_VALUE"""),"")</f>
        <v/>
      </c>
      <c r="Y36" s="52" t="str">
        <f>IFERROR(__xludf.DUMMYFUNCTION("""COMPUTED_VALUE"""),"")</f>
        <v/>
      </c>
      <c r="Z36" s="52" t="str">
        <f>IFERROR(__xludf.DUMMYFUNCTION("""COMPUTED_VALUE"""),"")</f>
        <v/>
      </c>
      <c r="AA36" s="52" t="str">
        <f>IFERROR(__xludf.DUMMYFUNCTION("""COMPUTED_VALUE"""),"")</f>
        <v/>
      </c>
      <c r="AB36" s="52" t="str">
        <f>IFERROR(__xludf.DUMMYFUNCTION("""COMPUTED_VALUE"""),"")</f>
        <v/>
      </c>
      <c r="AC36" s="52" t="str">
        <f>IFERROR(__xludf.DUMMYFUNCTION("""COMPUTED_VALUE"""),"")</f>
        <v/>
      </c>
      <c r="AD36" s="52" t="str">
        <f>IFERROR(__xludf.DUMMYFUNCTION("""COMPUTED_VALUE"""),"")</f>
        <v/>
      </c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</row>
    <row r="37">
      <c r="B37" s="49"/>
      <c r="C37" s="49" t="str">
        <f t="shared" si="2"/>
        <v/>
      </c>
      <c r="D37" s="50" t="str">
        <f t="shared" si="3"/>
        <v/>
      </c>
      <c r="E37" s="51" t="str">
        <f t="shared" ref="E37:T37" si="38">IFERROR(VLOOKUP($A37,INDIRECT("'" &amp; E$1 &amp; "'!$C:$G"), 5, FALSE),"")</f>
        <v/>
      </c>
      <c r="F37" s="51" t="str">
        <f t="shared" si="38"/>
        <v/>
      </c>
      <c r="G37" s="51" t="str">
        <f t="shared" si="38"/>
        <v/>
      </c>
      <c r="H37" s="51" t="str">
        <f t="shared" si="38"/>
        <v/>
      </c>
      <c r="I37" s="51" t="str">
        <f t="shared" si="38"/>
        <v/>
      </c>
      <c r="J37" s="51" t="str">
        <f t="shared" si="38"/>
        <v/>
      </c>
      <c r="K37" s="51" t="str">
        <f t="shared" si="38"/>
        <v/>
      </c>
      <c r="L37" s="51" t="str">
        <f t="shared" si="38"/>
        <v/>
      </c>
      <c r="M37" s="51" t="str">
        <f t="shared" si="38"/>
        <v/>
      </c>
      <c r="N37" s="51" t="str">
        <f t="shared" si="38"/>
        <v/>
      </c>
      <c r="O37" s="51" t="str">
        <f t="shared" si="38"/>
        <v/>
      </c>
      <c r="P37" s="51" t="str">
        <f t="shared" si="38"/>
        <v/>
      </c>
      <c r="Q37" s="51" t="str">
        <f t="shared" si="38"/>
        <v/>
      </c>
      <c r="R37" s="51" t="str">
        <f t="shared" si="38"/>
        <v/>
      </c>
      <c r="S37" s="51" t="str">
        <f t="shared" si="38"/>
        <v/>
      </c>
      <c r="T37" s="51" t="str">
        <f t="shared" si="38"/>
        <v/>
      </c>
      <c r="U37" s="52"/>
      <c r="V37" s="52" t="str">
        <f>IFERROR(__xludf.DUMMYFUNCTION("""COMPUTED_VALUE"""),"")</f>
        <v/>
      </c>
      <c r="W37" s="52" t="str">
        <f>IFERROR(__xludf.DUMMYFUNCTION("""COMPUTED_VALUE"""),"")</f>
        <v/>
      </c>
      <c r="X37" s="52" t="str">
        <f>IFERROR(__xludf.DUMMYFUNCTION("""COMPUTED_VALUE"""),"")</f>
        <v/>
      </c>
      <c r="Y37" s="52" t="str">
        <f>IFERROR(__xludf.DUMMYFUNCTION("""COMPUTED_VALUE"""),"")</f>
        <v/>
      </c>
      <c r="Z37" s="52" t="str">
        <f>IFERROR(__xludf.DUMMYFUNCTION("""COMPUTED_VALUE"""),"")</f>
        <v/>
      </c>
      <c r="AA37" s="52" t="str">
        <f>IFERROR(__xludf.DUMMYFUNCTION("""COMPUTED_VALUE"""),"")</f>
        <v/>
      </c>
      <c r="AB37" s="52" t="str">
        <f>IFERROR(__xludf.DUMMYFUNCTION("""COMPUTED_VALUE"""),"")</f>
        <v/>
      </c>
      <c r="AC37" s="52" t="str">
        <f>IFERROR(__xludf.DUMMYFUNCTION("""COMPUTED_VALUE"""),"")</f>
        <v/>
      </c>
      <c r="AD37" s="52" t="str">
        <f>IFERROR(__xludf.DUMMYFUNCTION("""COMPUTED_VALUE"""),"")</f>
        <v/>
      </c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</row>
    <row r="38">
      <c r="B38" s="49"/>
      <c r="C38" s="49" t="str">
        <f t="shared" si="2"/>
        <v/>
      </c>
      <c r="D38" s="50" t="str">
        <f t="shared" si="3"/>
        <v/>
      </c>
      <c r="E38" s="51" t="str">
        <f t="shared" ref="E38:T38" si="39">IFERROR(VLOOKUP($A38,INDIRECT("'" &amp; E$1 &amp; "'!$C:$G"), 5, FALSE),"")</f>
        <v/>
      </c>
      <c r="F38" s="51" t="str">
        <f t="shared" si="39"/>
        <v/>
      </c>
      <c r="G38" s="51" t="str">
        <f t="shared" si="39"/>
        <v/>
      </c>
      <c r="H38" s="51" t="str">
        <f t="shared" si="39"/>
        <v/>
      </c>
      <c r="I38" s="51" t="str">
        <f t="shared" si="39"/>
        <v/>
      </c>
      <c r="J38" s="51" t="str">
        <f t="shared" si="39"/>
        <v/>
      </c>
      <c r="K38" s="51" t="str">
        <f t="shared" si="39"/>
        <v/>
      </c>
      <c r="L38" s="51" t="str">
        <f t="shared" si="39"/>
        <v/>
      </c>
      <c r="M38" s="51" t="str">
        <f t="shared" si="39"/>
        <v/>
      </c>
      <c r="N38" s="51" t="str">
        <f t="shared" si="39"/>
        <v/>
      </c>
      <c r="O38" s="51" t="str">
        <f t="shared" si="39"/>
        <v/>
      </c>
      <c r="P38" s="51" t="str">
        <f t="shared" si="39"/>
        <v/>
      </c>
      <c r="Q38" s="51" t="str">
        <f t="shared" si="39"/>
        <v/>
      </c>
      <c r="R38" s="51" t="str">
        <f t="shared" si="39"/>
        <v/>
      </c>
      <c r="S38" s="51" t="str">
        <f t="shared" si="39"/>
        <v/>
      </c>
      <c r="T38" s="51" t="str">
        <f t="shared" si="39"/>
        <v/>
      </c>
      <c r="U38" s="52"/>
      <c r="V38" s="52" t="str">
        <f>IFERROR(__xludf.DUMMYFUNCTION("""COMPUTED_VALUE"""),"")</f>
        <v/>
      </c>
      <c r="W38" s="52" t="str">
        <f>IFERROR(__xludf.DUMMYFUNCTION("""COMPUTED_VALUE"""),"")</f>
        <v/>
      </c>
      <c r="X38" s="52" t="str">
        <f>IFERROR(__xludf.DUMMYFUNCTION("""COMPUTED_VALUE"""),"")</f>
        <v/>
      </c>
      <c r="Y38" s="52" t="str">
        <f>IFERROR(__xludf.DUMMYFUNCTION("""COMPUTED_VALUE"""),"")</f>
        <v/>
      </c>
      <c r="Z38" s="52" t="str">
        <f>IFERROR(__xludf.DUMMYFUNCTION("""COMPUTED_VALUE"""),"")</f>
        <v/>
      </c>
      <c r="AA38" s="52" t="str">
        <f>IFERROR(__xludf.DUMMYFUNCTION("""COMPUTED_VALUE"""),"")</f>
        <v/>
      </c>
      <c r="AB38" s="52" t="str">
        <f>IFERROR(__xludf.DUMMYFUNCTION("""COMPUTED_VALUE"""),"")</f>
        <v/>
      </c>
      <c r="AC38" s="52" t="str">
        <f>IFERROR(__xludf.DUMMYFUNCTION("""COMPUTED_VALUE"""),"")</f>
        <v/>
      </c>
      <c r="AD38" s="52" t="str">
        <f>IFERROR(__xludf.DUMMYFUNCTION("""COMPUTED_VALUE"""),"")</f>
        <v/>
      </c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</row>
    <row r="39">
      <c r="B39" s="49"/>
      <c r="C39" s="49" t="str">
        <f t="shared" si="2"/>
        <v/>
      </c>
      <c r="D39" s="50" t="str">
        <f t="shared" si="3"/>
        <v/>
      </c>
      <c r="E39" s="51" t="str">
        <f t="shared" ref="E39:T39" si="40">IFERROR(VLOOKUP($A39,INDIRECT("'" &amp; E$1 &amp; "'!$C:$G"), 5, FALSE),"")</f>
        <v/>
      </c>
      <c r="F39" s="51" t="str">
        <f t="shared" si="40"/>
        <v/>
      </c>
      <c r="G39" s="51" t="str">
        <f t="shared" si="40"/>
        <v/>
      </c>
      <c r="H39" s="51" t="str">
        <f t="shared" si="40"/>
        <v/>
      </c>
      <c r="I39" s="51" t="str">
        <f t="shared" si="40"/>
        <v/>
      </c>
      <c r="J39" s="51" t="str">
        <f t="shared" si="40"/>
        <v/>
      </c>
      <c r="K39" s="51" t="str">
        <f t="shared" si="40"/>
        <v/>
      </c>
      <c r="L39" s="51" t="str">
        <f t="shared" si="40"/>
        <v/>
      </c>
      <c r="M39" s="51" t="str">
        <f t="shared" si="40"/>
        <v/>
      </c>
      <c r="N39" s="51" t="str">
        <f t="shared" si="40"/>
        <v/>
      </c>
      <c r="O39" s="51" t="str">
        <f t="shared" si="40"/>
        <v/>
      </c>
      <c r="P39" s="51" t="str">
        <f t="shared" si="40"/>
        <v/>
      </c>
      <c r="Q39" s="51" t="str">
        <f t="shared" si="40"/>
        <v/>
      </c>
      <c r="R39" s="51" t="str">
        <f t="shared" si="40"/>
        <v/>
      </c>
      <c r="S39" s="51" t="str">
        <f t="shared" si="40"/>
        <v/>
      </c>
      <c r="T39" s="51" t="str">
        <f t="shared" si="40"/>
        <v/>
      </c>
      <c r="U39" s="52"/>
      <c r="V39" s="52" t="str">
        <f>IFERROR(__xludf.DUMMYFUNCTION("""COMPUTED_VALUE"""),"")</f>
        <v/>
      </c>
      <c r="W39" s="52" t="str">
        <f>IFERROR(__xludf.DUMMYFUNCTION("""COMPUTED_VALUE"""),"")</f>
        <v/>
      </c>
      <c r="X39" s="52" t="str">
        <f>IFERROR(__xludf.DUMMYFUNCTION("""COMPUTED_VALUE"""),"")</f>
        <v/>
      </c>
      <c r="Y39" s="52" t="str">
        <f>IFERROR(__xludf.DUMMYFUNCTION("""COMPUTED_VALUE"""),"")</f>
        <v/>
      </c>
      <c r="Z39" s="52" t="str">
        <f>IFERROR(__xludf.DUMMYFUNCTION("""COMPUTED_VALUE"""),"")</f>
        <v/>
      </c>
      <c r="AA39" s="52" t="str">
        <f>IFERROR(__xludf.DUMMYFUNCTION("""COMPUTED_VALUE"""),"")</f>
        <v/>
      </c>
      <c r="AB39" s="52" t="str">
        <f>IFERROR(__xludf.DUMMYFUNCTION("""COMPUTED_VALUE"""),"")</f>
        <v/>
      </c>
      <c r="AC39" s="52" t="str">
        <f>IFERROR(__xludf.DUMMYFUNCTION("""COMPUTED_VALUE"""),"")</f>
        <v/>
      </c>
      <c r="AD39" s="52" t="str">
        <f>IFERROR(__xludf.DUMMYFUNCTION("""COMPUTED_VALUE"""),"")</f>
        <v/>
      </c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</row>
    <row r="40">
      <c r="B40" s="49"/>
      <c r="C40" s="49" t="str">
        <f t="shared" si="2"/>
        <v/>
      </c>
      <c r="D40" s="50" t="str">
        <f t="shared" si="3"/>
        <v/>
      </c>
      <c r="E40" s="51" t="str">
        <f t="shared" ref="E40:T40" si="41">IFERROR(VLOOKUP($A40,INDIRECT("'" &amp; E$1 &amp; "'!$C:$G"), 5, FALSE),"")</f>
        <v/>
      </c>
      <c r="F40" s="51" t="str">
        <f t="shared" si="41"/>
        <v/>
      </c>
      <c r="G40" s="51" t="str">
        <f t="shared" si="41"/>
        <v/>
      </c>
      <c r="H40" s="51" t="str">
        <f t="shared" si="41"/>
        <v/>
      </c>
      <c r="I40" s="51" t="str">
        <f t="shared" si="41"/>
        <v/>
      </c>
      <c r="J40" s="51" t="str">
        <f t="shared" si="41"/>
        <v/>
      </c>
      <c r="K40" s="51" t="str">
        <f t="shared" si="41"/>
        <v/>
      </c>
      <c r="L40" s="51" t="str">
        <f t="shared" si="41"/>
        <v/>
      </c>
      <c r="M40" s="51" t="str">
        <f t="shared" si="41"/>
        <v/>
      </c>
      <c r="N40" s="51" t="str">
        <f t="shared" si="41"/>
        <v/>
      </c>
      <c r="O40" s="51" t="str">
        <f t="shared" si="41"/>
        <v/>
      </c>
      <c r="P40" s="51" t="str">
        <f t="shared" si="41"/>
        <v/>
      </c>
      <c r="Q40" s="51" t="str">
        <f t="shared" si="41"/>
        <v/>
      </c>
      <c r="R40" s="51" t="str">
        <f t="shared" si="41"/>
        <v/>
      </c>
      <c r="S40" s="51" t="str">
        <f t="shared" si="41"/>
        <v/>
      </c>
      <c r="T40" s="51" t="str">
        <f t="shared" si="41"/>
        <v/>
      </c>
      <c r="U40" s="52"/>
      <c r="V40" s="52" t="str">
        <f>IFERROR(__xludf.DUMMYFUNCTION("""COMPUTED_VALUE"""),"")</f>
        <v/>
      </c>
      <c r="W40" s="52" t="str">
        <f>IFERROR(__xludf.DUMMYFUNCTION("""COMPUTED_VALUE"""),"")</f>
        <v/>
      </c>
      <c r="X40" s="52" t="str">
        <f>IFERROR(__xludf.DUMMYFUNCTION("""COMPUTED_VALUE"""),"")</f>
        <v/>
      </c>
      <c r="Y40" s="52" t="str">
        <f>IFERROR(__xludf.DUMMYFUNCTION("""COMPUTED_VALUE"""),"")</f>
        <v/>
      </c>
      <c r="Z40" s="52" t="str">
        <f>IFERROR(__xludf.DUMMYFUNCTION("""COMPUTED_VALUE"""),"")</f>
        <v/>
      </c>
      <c r="AA40" s="52" t="str">
        <f>IFERROR(__xludf.DUMMYFUNCTION("""COMPUTED_VALUE"""),"")</f>
        <v/>
      </c>
      <c r="AB40" s="52" t="str">
        <f>IFERROR(__xludf.DUMMYFUNCTION("""COMPUTED_VALUE"""),"")</f>
        <v/>
      </c>
      <c r="AC40" s="52" t="str">
        <f>IFERROR(__xludf.DUMMYFUNCTION("""COMPUTED_VALUE"""),"")</f>
        <v/>
      </c>
      <c r="AD40" s="52" t="str">
        <f>IFERROR(__xludf.DUMMYFUNCTION("""COMPUTED_VALUE"""),"")</f>
        <v/>
      </c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</row>
    <row r="41">
      <c r="B41" s="49"/>
      <c r="C41" s="49" t="str">
        <f t="shared" si="2"/>
        <v/>
      </c>
      <c r="D41" s="50" t="str">
        <f t="shared" si="3"/>
        <v/>
      </c>
      <c r="E41" s="51" t="str">
        <f t="shared" ref="E41:T41" si="42">IFERROR(VLOOKUP($A41,INDIRECT("'" &amp; E$1 &amp; "'!$C:$G"), 5, FALSE),"")</f>
        <v/>
      </c>
      <c r="F41" s="51" t="str">
        <f t="shared" si="42"/>
        <v/>
      </c>
      <c r="G41" s="51" t="str">
        <f t="shared" si="42"/>
        <v/>
      </c>
      <c r="H41" s="51" t="str">
        <f t="shared" si="42"/>
        <v/>
      </c>
      <c r="I41" s="51" t="str">
        <f t="shared" si="42"/>
        <v/>
      </c>
      <c r="J41" s="51" t="str">
        <f t="shared" si="42"/>
        <v/>
      </c>
      <c r="K41" s="51" t="str">
        <f t="shared" si="42"/>
        <v/>
      </c>
      <c r="L41" s="51" t="str">
        <f t="shared" si="42"/>
        <v/>
      </c>
      <c r="M41" s="51" t="str">
        <f t="shared" si="42"/>
        <v/>
      </c>
      <c r="N41" s="51" t="str">
        <f t="shared" si="42"/>
        <v/>
      </c>
      <c r="O41" s="51" t="str">
        <f t="shared" si="42"/>
        <v/>
      </c>
      <c r="P41" s="51" t="str">
        <f t="shared" si="42"/>
        <v/>
      </c>
      <c r="Q41" s="51" t="str">
        <f t="shared" si="42"/>
        <v/>
      </c>
      <c r="R41" s="51" t="str">
        <f t="shared" si="42"/>
        <v/>
      </c>
      <c r="S41" s="51" t="str">
        <f t="shared" si="42"/>
        <v/>
      </c>
      <c r="T41" s="51" t="str">
        <f t="shared" si="42"/>
        <v/>
      </c>
      <c r="U41" s="52"/>
      <c r="V41" s="52" t="str">
        <f>IFERROR(__xludf.DUMMYFUNCTION("""COMPUTED_VALUE"""),"")</f>
        <v/>
      </c>
      <c r="W41" s="52" t="str">
        <f>IFERROR(__xludf.DUMMYFUNCTION("""COMPUTED_VALUE"""),"")</f>
        <v/>
      </c>
      <c r="X41" s="52" t="str">
        <f>IFERROR(__xludf.DUMMYFUNCTION("""COMPUTED_VALUE"""),"")</f>
        <v/>
      </c>
      <c r="Y41" s="52" t="str">
        <f>IFERROR(__xludf.DUMMYFUNCTION("""COMPUTED_VALUE"""),"")</f>
        <v/>
      </c>
      <c r="Z41" s="52" t="str">
        <f>IFERROR(__xludf.DUMMYFUNCTION("""COMPUTED_VALUE"""),"")</f>
        <v/>
      </c>
      <c r="AA41" s="52" t="str">
        <f>IFERROR(__xludf.DUMMYFUNCTION("""COMPUTED_VALUE"""),"")</f>
        <v/>
      </c>
      <c r="AB41" s="52" t="str">
        <f>IFERROR(__xludf.DUMMYFUNCTION("""COMPUTED_VALUE"""),"")</f>
        <v/>
      </c>
      <c r="AC41" s="52" t="str">
        <f>IFERROR(__xludf.DUMMYFUNCTION("""COMPUTED_VALUE"""),"")</f>
        <v/>
      </c>
      <c r="AD41" s="52" t="str">
        <f>IFERROR(__xludf.DUMMYFUNCTION("""COMPUTED_VALUE"""),"")</f>
        <v/>
      </c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</row>
    <row r="42">
      <c r="B42" s="49"/>
      <c r="C42" s="49" t="str">
        <f t="shared" si="2"/>
        <v/>
      </c>
      <c r="D42" s="50" t="str">
        <f t="shared" si="3"/>
        <v/>
      </c>
      <c r="E42" s="51" t="str">
        <f t="shared" ref="E42:T42" si="43">IFERROR(VLOOKUP($A42,INDIRECT("'" &amp; E$1 &amp; "'!$C:$G"), 5, FALSE),"")</f>
        <v/>
      </c>
      <c r="F42" s="51" t="str">
        <f t="shared" si="43"/>
        <v/>
      </c>
      <c r="G42" s="51" t="str">
        <f t="shared" si="43"/>
        <v/>
      </c>
      <c r="H42" s="51" t="str">
        <f t="shared" si="43"/>
        <v/>
      </c>
      <c r="I42" s="51" t="str">
        <f t="shared" si="43"/>
        <v/>
      </c>
      <c r="J42" s="51" t="str">
        <f t="shared" si="43"/>
        <v/>
      </c>
      <c r="K42" s="51" t="str">
        <f t="shared" si="43"/>
        <v/>
      </c>
      <c r="L42" s="51" t="str">
        <f t="shared" si="43"/>
        <v/>
      </c>
      <c r="M42" s="51" t="str">
        <f t="shared" si="43"/>
        <v/>
      </c>
      <c r="N42" s="51" t="str">
        <f t="shared" si="43"/>
        <v/>
      </c>
      <c r="O42" s="51" t="str">
        <f t="shared" si="43"/>
        <v/>
      </c>
      <c r="P42" s="51" t="str">
        <f t="shared" si="43"/>
        <v/>
      </c>
      <c r="Q42" s="51" t="str">
        <f t="shared" si="43"/>
        <v/>
      </c>
      <c r="R42" s="51" t="str">
        <f t="shared" si="43"/>
        <v/>
      </c>
      <c r="S42" s="51" t="str">
        <f t="shared" si="43"/>
        <v/>
      </c>
      <c r="T42" s="51" t="str">
        <f t="shared" si="43"/>
        <v/>
      </c>
      <c r="U42" s="52"/>
      <c r="V42" s="52" t="str">
        <f>IFERROR(__xludf.DUMMYFUNCTION("""COMPUTED_VALUE"""),"")</f>
        <v/>
      </c>
      <c r="W42" s="52" t="str">
        <f>IFERROR(__xludf.DUMMYFUNCTION("""COMPUTED_VALUE"""),"")</f>
        <v/>
      </c>
      <c r="X42" s="52" t="str">
        <f>IFERROR(__xludf.DUMMYFUNCTION("""COMPUTED_VALUE"""),"")</f>
        <v/>
      </c>
      <c r="Y42" s="52" t="str">
        <f>IFERROR(__xludf.DUMMYFUNCTION("""COMPUTED_VALUE"""),"")</f>
        <v/>
      </c>
      <c r="Z42" s="52" t="str">
        <f>IFERROR(__xludf.DUMMYFUNCTION("""COMPUTED_VALUE"""),"")</f>
        <v/>
      </c>
      <c r="AA42" s="52" t="str">
        <f>IFERROR(__xludf.DUMMYFUNCTION("""COMPUTED_VALUE"""),"")</f>
        <v/>
      </c>
      <c r="AB42" s="52" t="str">
        <f>IFERROR(__xludf.DUMMYFUNCTION("""COMPUTED_VALUE"""),"")</f>
        <v/>
      </c>
      <c r="AC42" s="52" t="str">
        <f>IFERROR(__xludf.DUMMYFUNCTION("""COMPUTED_VALUE"""),"")</f>
        <v/>
      </c>
      <c r="AD42" s="52" t="str">
        <f>IFERROR(__xludf.DUMMYFUNCTION("""COMPUTED_VALUE"""),"")</f>
        <v/>
      </c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</row>
    <row r="43">
      <c r="B43" s="49"/>
      <c r="C43" s="49" t="str">
        <f t="shared" si="2"/>
        <v/>
      </c>
      <c r="D43" s="50" t="str">
        <f t="shared" si="3"/>
        <v/>
      </c>
      <c r="E43" s="51" t="str">
        <f t="shared" ref="E43:T43" si="44">IFERROR(VLOOKUP($A43,INDIRECT("'" &amp; E$1 &amp; "'!$C:$G"), 5, FALSE),"")</f>
        <v/>
      </c>
      <c r="F43" s="51" t="str">
        <f t="shared" si="44"/>
        <v/>
      </c>
      <c r="G43" s="51" t="str">
        <f t="shared" si="44"/>
        <v/>
      </c>
      <c r="H43" s="51" t="str">
        <f t="shared" si="44"/>
        <v/>
      </c>
      <c r="I43" s="51" t="str">
        <f t="shared" si="44"/>
        <v/>
      </c>
      <c r="J43" s="51" t="str">
        <f t="shared" si="44"/>
        <v/>
      </c>
      <c r="K43" s="51" t="str">
        <f t="shared" si="44"/>
        <v/>
      </c>
      <c r="L43" s="51" t="str">
        <f t="shared" si="44"/>
        <v/>
      </c>
      <c r="M43" s="51" t="str">
        <f t="shared" si="44"/>
        <v/>
      </c>
      <c r="N43" s="51" t="str">
        <f t="shared" si="44"/>
        <v/>
      </c>
      <c r="O43" s="51" t="str">
        <f t="shared" si="44"/>
        <v/>
      </c>
      <c r="P43" s="51" t="str">
        <f t="shared" si="44"/>
        <v/>
      </c>
      <c r="Q43" s="51" t="str">
        <f t="shared" si="44"/>
        <v/>
      </c>
      <c r="R43" s="51" t="str">
        <f t="shared" si="44"/>
        <v/>
      </c>
      <c r="S43" s="51" t="str">
        <f t="shared" si="44"/>
        <v/>
      </c>
      <c r="T43" s="51" t="str">
        <f t="shared" si="44"/>
        <v/>
      </c>
      <c r="U43" s="52"/>
      <c r="V43" s="52" t="str">
        <f>IFERROR(__xludf.DUMMYFUNCTION("""COMPUTED_VALUE"""),"")</f>
        <v/>
      </c>
      <c r="W43" s="52" t="str">
        <f>IFERROR(__xludf.DUMMYFUNCTION("""COMPUTED_VALUE"""),"")</f>
        <v/>
      </c>
      <c r="X43" s="52" t="str">
        <f>IFERROR(__xludf.DUMMYFUNCTION("""COMPUTED_VALUE"""),"")</f>
        <v/>
      </c>
      <c r="Y43" s="52" t="str">
        <f>IFERROR(__xludf.DUMMYFUNCTION("""COMPUTED_VALUE"""),"")</f>
        <v/>
      </c>
      <c r="Z43" s="52" t="str">
        <f>IFERROR(__xludf.DUMMYFUNCTION("""COMPUTED_VALUE"""),"")</f>
        <v/>
      </c>
      <c r="AA43" s="52" t="str">
        <f>IFERROR(__xludf.DUMMYFUNCTION("""COMPUTED_VALUE"""),"")</f>
        <v/>
      </c>
      <c r="AB43" s="52" t="str">
        <f>IFERROR(__xludf.DUMMYFUNCTION("""COMPUTED_VALUE"""),"")</f>
        <v/>
      </c>
      <c r="AC43" s="52" t="str">
        <f>IFERROR(__xludf.DUMMYFUNCTION("""COMPUTED_VALUE"""),"")</f>
        <v/>
      </c>
      <c r="AD43" s="52" t="str">
        <f>IFERROR(__xludf.DUMMYFUNCTION("""COMPUTED_VALUE"""),"")</f>
        <v/>
      </c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</row>
    <row r="44">
      <c r="B44" s="49"/>
      <c r="C44" s="49" t="str">
        <f t="shared" si="2"/>
        <v/>
      </c>
      <c r="D44" s="50" t="str">
        <f t="shared" si="3"/>
        <v/>
      </c>
      <c r="E44" s="51" t="str">
        <f t="shared" ref="E44:T44" si="45">IFERROR(VLOOKUP($A44,INDIRECT("'" &amp; E$1 &amp; "'!$C:$G"), 5, FALSE),"")</f>
        <v/>
      </c>
      <c r="F44" s="51" t="str">
        <f t="shared" si="45"/>
        <v/>
      </c>
      <c r="G44" s="51" t="str">
        <f t="shared" si="45"/>
        <v/>
      </c>
      <c r="H44" s="51" t="str">
        <f t="shared" si="45"/>
        <v/>
      </c>
      <c r="I44" s="51" t="str">
        <f t="shared" si="45"/>
        <v/>
      </c>
      <c r="J44" s="51" t="str">
        <f t="shared" si="45"/>
        <v/>
      </c>
      <c r="K44" s="51" t="str">
        <f t="shared" si="45"/>
        <v/>
      </c>
      <c r="L44" s="51" t="str">
        <f t="shared" si="45"/>
        <v/>
      </c>
      <c r="M44" s="51" t="str">
        <f t="shared" si="45"/>
        <v/>
      </c>
      <c r="N44" s="51" t="str">
        <f t="shared" si="45"/>
        <v/>
      </c>
      <c r="O44" s="51" t="str">
        <f t="shared" si="45"/>
        <v/>
      </c>
      <c r="P44" s="51" t="str">
        <f t="shared" si="45"/>
        <v/>
      </c>
      <c r="Q44" s="51" t="str">
        <f t="shared" si="45"/>
        <v/>
      </c>
      <c r="R44" s="51" t="str">
        <f t="shared" si="45"/>
        <v/>
      </c>
      <c r="S44" s="51" t="str">
        <f t="shared" si="45"/>
        <v/>
      </c>
      <c r="T44" s="51" t="str">
        <f t="shared" si="45"/>
        <v/>
      </c>
      <c r="U44" s="52"/>
      <c r="V44" s="52" t="str">
        <f>IFERROR(__xludf.DUMMYFUNCTION("""COMPUTED_VALUE"""),"")</f>
        <v/>
      </c>
      <c r="W44" s="52" t="str">
        <f>IFERROR(__xludf.DUMMYFUNCTION("""COMPUTED_VALUE"""),"")</f>
        <v/>
      </c>
      <c r="X44" s="52" t="str">
        <f>IFERROR(__xludf.DUMMYFUNCTION("""COMPUTED_VALUE"""),"")</f>
        <v/>
      </c>
      <c r="Y44" s="52" t="str">
        <f>IFERROR(__xludf.DUMMYFUNCTION("""COMPUTED_VALUE"""),"")</f>
        <v/>
      </c>
      <c r="Z44" s="52" t="str">
        <f>IFERROR(__xludf.DUMMYFUNCTION("""COMPUTED_VALUE"""),"")</f>
        <v/>
      </c>
      <c r="AA44" s="52" t="str">
        <f>IFERROR(__xludf.DUMMYFUNCTION("""COMPUTED_VALUE"""),"")</f>
        <v/>
      </c>
      <c r="AB44" s="52" t="str">
        <f>IFERROR(__xludf.DUMMYFUNCTION("""COMPUTED_VALUE"""),"")</f>
        <v/>
      </c>
      <c r="AC44" s="52" t="str">
        <f>IFERROR(__xludf.DUMMYFUNCTION("""COMPUTED_VALUE"""),"")</f>
        <v/>
      </c>
      <c r="AD44" s="52" t="str">
        <f>IFERROR(__xludf.DUMMYFUNCTION("""COMPUTED_VALUE"""),"")</f>
        <v/>
      </c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</row>
    <row r="45">
      <c r="B45" s="49"/>
      <c r="C45" s="49" t="str">
        <f t="shared" si="2"/>
        <v/>
      </c>
      <c r="D45" s="50" t="str">
        <f t="shared" si="3"/>
        <v/>
      </c>
      <c r="E45" s="51" t="str">
        <f t="shared" ref="E45:T45" si="46">IFERROR(VLOOKUP($A45,INDIRECT("'" &amp; E$1 &amp; "'!$C:$G"), 5, FALSE),"")</f>
        <v/>
      </c>
      <c r="F45" s="51" t="str">
        <f t="shared" si="46"/>
        <v/>
      </c>
      <c r="G45" s="51" t="str">
        <f t="shared" si="46"/>
        <v/>
      </c>
      <c r="H45" s="51" t="str">
        <f t="shared" si="46"/>
        <v/>
      </c>
      <c r="I45" s="51" t="str">
        <f t="shared" si="46"/>
        <v/>
      </c>
      <c r="J45" s="51" t="str">
        <f t="shared" si="46"/>
        <v/>
      </c>
      <c r="K45" s="51" t="str">
        <f t="shared" si="46"/>
        <v/>
      </c>
      <c r="L45" s="51" t="str">
        <f t="shared" si="46"/>
        <v/>
      </c>
      <c r="M45" s="51" t="str">
        <f t="shared" si="46"/>
        <v/>
      </c>
      <c r="N45" s="51" t="str">
        <f t="shared" si="46"/>
        <v/>
      </c>
      <c r="O45" s="51" t="str">
        <f t="shared" si="46"/>
        <v/>
      </c>
      <c r="P45" s="51" t="str">
        <f t="shared" si="46"/>
        <v/>
      </c>
      <c r="Q45" s="51" t="str">
        <f t="shared" si="46"/>
        <v/>
      </c>
      <c r="R45" s="51" t="str">
        <f t="shared" si="46"/>
        <v/>
      </c>
      <c r="S45" s="51" t="str">
        <f t="shared" si="46"/>
        <v/>
      </c>
      <c r="T45" s="51" t="str">
        <f t="shared" si="46"/>
        <v/>
      </c>
      <c r="U45" s="52"/>
      <c r="V45" s="52" t="str">
        <f>IFERROR(__xludf.DUMMYFUNCTION("""COMPUTED_VALUE"""),"")</f>
        <v/>
      </c>
      <c r="W45" s="52" t="str">
        <f>IFERROR(__xludf.DUMMYFUNCTION("""COMPUTED_VALUE"""),"")</f>
        <v/>
      </c>
      <c r="X45" s="52" t="str">
        <f>IFERROR(__xludf.DUMMYFUNCTION("""COMPUTED_VALUE"""),"")</f>
        <v/>
      </c>
      <c r="Y45" s="52" t="str">
        <f>IFERROR(__xludf.DUMMYFUNCTION("""COMPUTED_VALUE"""),"")</f>
        <v/>
      </c>
      <c r="Z45" s="52" t="str">
        <f>IFERROR(__xludf.DUMMYFUNCTION("""COMPUTED_VALUE"""),"")</f>
        <v/>
      </c>
      <c r="AA45" s="52" t="str">
        <f>IFERROR(__xludf.DUMMYFUNCTION("""COMPUTED_VALUE"""),"")</f>
        <v/>
      </c>
      <c r="AB45" s="52" t="str">
        <f>IFERROR(__xludf.DUMMYFUNCTION("""COMPUTED_VALUE"""),"")</f>
        <v/>
      </c>
      <c r="AC45" s="52" t="str">
        <f>IFERROR(__xludf.DUMMYFUNCTION("""COMPUTED_VALUE"""),"")</f>
        <v/>
      </c>
      <c r="AD45" s="52" t="str">
        <f>IFERROR(__xludf.DUMMYFUNCTION("""COMPUTED_VALUE"""),"")</f>
        <v/>
      </c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</row>
    <row r="46">
      <c r="B46" s="49"/>
      <c r="C46" s="49" t="str">
        <f t="shared" si="2"/>
        <v/>
      </c>
      <c r="D46" s="50" t="str">
        <f t="shared" si="3"/>
        <v/>
      </c>
      <c r="E46" s="51" t="str">
        <f t="shared" ref="E46:T46" si="47">IFERROR(VLOOKUP($A46,INDIRECT("'" &amp; E$1 &amp; "'!$C:$G"), 5, FALSE),"")</f>
        <v/>
      </c>
      <c r="F46" s="51" t="str">
        <f t="shared" si="47"/>
        <v/>
      </c>
      <c r="G46" s="51" t="str">
        <f t="shared" si="47"/>
        <v/>
      </c>
      <c r="H46" s="51" t="str">
        <f t="shared" si="47"/>
        <v/>
      </c>
      <c r="I46" s="51" t="str">
        <f t="shared" si="47"/>
        <v/>
      </c>
      <c r="J46" s="51" t="str">
        <f t="shared" si="47"/>
        <v/>
      </c>
      <c r="K46" s="51" t="str">
        <f t="shared" si="47"/>
        <v/>
      </c>
      <c r="L46" s="51" t="str">
        <f t="shared" si="47"/>
        <v/>
      </c>
      <c r="M46" s="51" t="str">
        <f t="shared" si="47"/>
        <v/>
      </c>
      <c r="N46" s="51" t="str">
        <f t="shared" si="47"/>
        <v/>
      </c>
      <c r="O46" s="51" t="str">
        <f t="shared" si="47"/>
        <v/>
      </c>
      <c r="P46" s="51" t="str">
        <f t="shared" si="47"/>
        <v/>
      </c>
      <c r="Q46" s="51" t="str">
        <f t="shared" si="47"/>
        <v/>
      </c>
      <c r="R46" s="51" t="str">
        <f t="shared" si="47"/>
        <v/>
      </c>
      <c r="S46" s="51" t="str">
        <f t="shared" si="47"/>
        <v/>
      </c>
      <c r="T46" s="51" t="str">
        <f t="shared" si="47"/>
        <v/>
      </c>
      <c r="U46" s="52"/>
      <c r="V46" s="52" t="str">
        <f>IFERROR(__xludf.DUMMYFUNCTION("""COMPUTED_VALUE"""),"")</f>
        <v/>
      </c>
      <c r="W46" s="52" t="str">
        <f>IFERROR(__xludf.DUMMYFUNCTION("""COMPUTED_VALUE"""),"")</f>
        <v/>
      </c>
      <c r="X46" s="52" t="str">
        <f>IFERROR(__xludf.DUMMYFUNCTION("""COMPUTED_VALUE"""),"")</f>
        <v/>
      </c>
      <c r="Y46" s="52" t="str">
        <f>IFERROR(__xludf.DUMMYFUNCTION("""COMPUTED_VALUE"""),"")</f>
        <v/>
      </c>
      <c r="Z46" s="52" t="str">
        <f>IFERROR(__xludf.DUMMYFUNCTION("""COMPUTED_VALUE"""),"")</f>
        <v/>
      </c>
      <c r="AA46" s="52" t="str">
        <f>IFERROR(__xludf.DUMMYFUNCTION("""COMPUTED_VALUE"""),"")</f>
        <v/>
      </c>
      <c r="AB46" s="52" t="str">
        <f>IFERROR(__xludf.DUMMYFUNCTION("""COMPUTED_VALUE"""),"")</f>
        <v/>
      </c>
      <c r="AC46" s="52" t="str">
        <f>IFERROR(__xludf.DUMMYFUNCTION("""COMPUTED_VALUE"""),"")</f>
        <v/>
      </c>
      <c r="AD46" s="52" t="str">
        <f>IFERROR(__xludf.DUMMYFUNCTION("""COMPUTED_VALUE"""),"")</f>
        <v/>
      </c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</row>
    <row r="47">
      <c r="B47" s="49"/>
      <c r="C47" s="49" t="str">
        <f t="shared" si="2"/>
        <v/>
      </c>
      <c r="D47" s="50" t="str">
        <f t="shared" si="3"/>
        <v/>
      </c>
      <c r="E47" s="51" t="str">
        <f t="shared" ref="E47:T47" si="48">IFERROR(VLOOKUP($A47,INDIRECT("'" &amp; E$1 &amp; "'!$C:$G"), 5, FALSE),"")</f>
        <v/>
      </c>
      <c r="F47" s="51" t="str">
        <f t="shared" si="48"/>
        <v/>
      </c>
      <c r="G47" s="51" t="str">
        <f t="shared" si="48"/>
        <v/>
      </c>
      <c r="H47" s="51" t="str">
        <f t="shared" si="48"/>
        <v/>
      </c>
      <c r="I47" s="51" t="str">
        <f t="shared" si="48"/>
        <v/>
      </c>
      <c r="J47" s="51" t="str">
        <f t="shared" si="48"/>
        <v/>
      </c>
      <c r="K47" s="51" t="str">
        <f t="shared" si="48"/>
        <v/>
      </c>
      <c r="L47" s="51" t="str">
        <f t="shared" si="48"/>
        <v/>
      </c>
      <c r="M47" s="51" t="str">
        <f t="shared" si="48"/>
        <v/>
      </c>
      <c r="N47" s="51" t="str">
        <f t="shared" si="48"/>
        <v/>
      </c>
      <c r="O47" s="51" t="str">
        <f t="shared" si="48"/>
        <v/>
      </c>
      <c r="P47" s="51" t="str">
        <f t="shared" si="48"/>
        <v/>
      </c>
      <c r="Q47" s="51" t="str">
        <f t="shared" si="48"/>
        <v/>
      </c>
      <c r="R47" s="51" t="str">
        <f t="shared" si="48"/>
        <v/>
      </c>
      <c r="S47" s="51" t="str">
        <f t="shared" si="48"/>
        <v/>
      </c>
      <c r="T47" s="51" t="str">
        <f t="shared" si="48"/>
        <v/>
      </c>
      <c r="U47" s="52"/>
      <c r="V47" s="52" t="str">
        <f>IFERROR(__xludf.DUMMYFUNCTION("""COMPUTED_VALUE"""),"")</f>
        <v/>
      </c>
      <c r="W47" s="52" t="str">
        <f>IFERROR(__xludf.DUMMYFUNCTION("""COMPUTED_VALUE"""),"")</f>
        <v/>
      </c>
      <c r="X47" s="52" t="str">
        <f>IFERROR(__xludf.DUMMYFUNCTION("""COMPUTED_VALUE"""),"")</f>
        <v/>
      </c>
      <c r="Y47" s="52" t="str">
        <f>IFERROR(__xludf.DUMMYFUNCTION("""COMPUTED_VALUE"""),"")</f>
        <v/>
      </c>
      <c r="Z47" s="52" t="str">
        <f>IFERROR(__xludf.DUMMYFUNCTION("""COMPUTED_VALUE"""),"")</f>
        <v/>
      </c>
      <c r="AA47" s="52" t="str">
        <f>IFERROR(__xludf.DUMMYFUNCTION("""COMPUTED_VALUE"""),"")</f>
        <v/>
      </c>
      <c r="AB47" s="52" t="str">
        <f>IFERROR(__xludf.DUMMYFUNCTION("""COMPUTED_VALUE"""),"")</f>
        <v/>
      </c>
      <c r="AC47" s="52" t="str">
        <f>IFERROR(__xludf.DUMMYFUNCTION("""COMPUTED_VALUE"""),"")</f>
        <v/>
      </c>
      <c r="AD47" s="52" t="str">
        <f>IFERROR(__xludf.DUMMYFUNCTION("""COMPUTED_VALUE"""),"")</f>
        <v/>
      </c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</row>
    <row r="48">
      <c r="B48" s="49"/>
      <c r="C48" s="49" t="str">
        <f t="shared" si="2"/>
        <v/>
      </c>
      <c r="D48" s="50" t="str">
        <f t="shared" si="3"/>
        <v/>
      </c>
      <c r="E48" s="51" t="str">
        <f t="shared" ref="E48:T48" si="49">IFERROR(VLOOKUP($A48,INDIRECT("'" &amp; E$1 &amp; "'!$C:$G"), 5, FALSE),"")</f>
        <v/>
      </c>
      <c r="F48" s="51" t="str">
        <f t="shared" si="49"/>
        <v/>
      </c>
      <c r="G48" s="51" t="str">
        <f t="shared" si="49"/>
        <v/>
      </c>
      <c r="H48" s="51" t="str">
        <f t="shared" si="49"/>
        <v/>
      </c>
      <c r="I48" s="51" t="str">
        <f t="shared" si="49"/>
        <v/>
      </c>
      <c r="J48" s="51" t="str">
        <f t="shared" si="49"/>
        <v/>
      </c>
      <c r="K48" s="51" t="str">
        <f t="shared" si="49"/>
        <v/>
      </c>
      <c r="L48" s="51" t="str">
        <f t="shared" si="49"/>
        <v/>
      </c>
      <c r="M48" s="51" t="str">
        <f t="shared" si="49"/>
        <v/>
      </c>
      <c r="N48" s="51" t="str">
        <f t="shared" si="49"/>
        <v/>
      </c>
      <c r="O48" s="51" t="str">
        <f t="shared" si="49"/>
        <v/>
      </c>
      <c r="P48" s="51" t="str">
        <f t="shared" si="49"/>
        <v/>
      </c>
      <c r="Q48" s="51" t="str">
        <f t="shared" si="49"/>
        <v/>
      </c>
      <c r="R48" s="51" t="str">
        <f t="shared" si="49"/>
        <v/>
      </c>
      <c r="S48" s="51" t="str">
        <f t="shared" si="49"/>
        <v/>
      </c>
      <c r="T48" s="51" t="str">
        <f t="shared" si="49"/>
        <v/>
      </c>
      <c r="U48" s="52"/>
      <c r="V48" s="52" t="str">
        <f>IFERROR(__xludf.DUMMYFUNCTION("""COMPUTED_VALUE"""),"")</f>
        <v/>
      </c>
      <c r="W48" s="52" t="str">
        <f>IFERROR(__xludf.DUMMYFUNCTION("""COMPUTED_VALUE"""),"")</f>
        <v/>
      </c>
      <c r="X48" s="52" t="str">
        <f>IFERROR(__xludf.DUMMYFUNCTION("""COMPUTED_VALUE"""),"")</f>
        <v/>
      </c>
      <c r="Y48" s="52" t="str">
        <f>IFERROR(__xludf.DUMMYFUNCTION("""COMPUTED_VALUE"""),"")</f>
        <v/>
      </c>
      <c r="Z48" s="52" t="str">
        <f>IFERROR(__xludf.DUMMYFUNCTION("""COMPUTED_VALUE"""),"")</f>
        <v/>
      </c>
      <c r="AA48" s="52" t="str">
        <f>IFERROR(__xludf.DUMMYFUNCTION("""COMPUTED_VALUE"""),"")</f>
        <v/>
      </c>
      <c r="AB48" s="52" t="str">
        <f>IFERROR(__xludf.DUMMYFUNCTION("""COMPUTED_VALUE"""),"")</f>
        <v/>
      </c>
      <c r="AC48" s="52" t="str">
        <f>IFERROR(__xludf.DUMMYFUNCTION("""COMPUTED_VALUE"""),"")</f>
        <v/>
      </c>
      <c r="AD48" s="52" t="str">
        <f>IFERROR(__xludf.DUMMYFUNCTION("""COMPUTED_VALUE"""),"")</f>
        <v/>
      </c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</row>
    <row r="49">
      <c r="B49" s="49"/>
      <c r="C49" s="49" t="str">
        <f t="shared" si="2"/>
        <v/>
      </c>
      <c r="D49" s="50" t="str">
        <f t="shared" si="3"/>
        <v/>
      </c>
      <c r="E49" s="51" t="str">
        <f t="shared" ref="E49:T49" si="50">IFERROR(VLOOKUP($A49,INDIRECT("'" &amp; E$1 &amp; "'!$C:$G"), 5, FALSE),"")</f>
        <v/>
      </c>
      <c r="F49" s="51" t="str">
        <f t="shared" si="50"/>
        <v/>
      </c>
      <c r="G49" s="51" t="str">
        <f t="shared" si="50"/>
        <v/>
      </c>
      <c r="H49" s="51" t="str">
        <f t="shared" si="50"/>
        <v/>
      </c>
      <c r="I49" s="51" t="str">
        <f t="shared" si="50"/>
        <v/>
      </c>
      <c r="J49" s="51" t="str">
        <f t="shared" si="50"/>
        <v/>
      </c>
      <c r="K49" s="51" t="str">
        <f t="shared" si="50"/>
        <v/>
      </c>
      <c r="L49" s="51" t="str">
        <f t="shared" si="50"/>
        <v/>
      </c>
      <c r="M49" s="51" t="str">
        <f t="shared" si="50"/>
        <v/>
      </c>
      <c r="N49" s="51" t="str">
        <f t="shared" si="50"/>
        <v/>
      </c>
      <c r="O49" s="51" t="str">
        <f t="shared" si="50"/>
        <v/>
      </c>
      <c r="P49" s="51" t="str">
        <f t="shared" si="50"/>
        <v/>
      </c>
      <c r="Q49" s="51" t="str">
        <f t="shared" si="50"/>
        <v/>
      </c>
      <c r="R49" s="51" t="str">
        <f t="shared" si="50"/>
        <v/>
      </c>
      <c r="S49" s="51" t="str">
        <f t="shared" si="50"/>
        <v/>
      </c>
      <c r="T49" s="51" t="str">
        <f t="shared" si="50"/>
        <v/>
      </c>
      <c r="U49" s="52"/>
      <c r="V49" s="52" t="str">
        <f>IFERROR(__xludf.DUMMYFUNCTION("""COMPUTED_VALUE"""),"")</f>
        <v/>
      </c>
      <c r="W49" s="52" t="str">
        <f>IFERROR(__xludf.DUMMYFUNCTION("""COMPUTED_VALUE"""),"")</f>
        <v/>
      </c>
      <c r="X49" s="52" t="str">
        <f>IFERROR(__xludf.DUMMYFUNCTION("""COMPUTED_VALUE"""),"")</f>
        <v/>
      </c>
      <c r="Y49" s="52" t="str">
        <f>IFERROR(__xludf.DUMMYFUNCTION("""COMPUTED_VALUE"""),"")</f>
        <v/>
      </c>
      <c r="Z49" s="52" t="str">
        <f>IFERROR(__xludf.DUMMYFUNCTION("""COMPUTED_VALUE"""),"")</f>
        <v/>
      </c>
      <c r="AA49" s="52" t="str">
        <f>IFERROR(__xludf.DUMMYFUNCTION("""COMPUTED_VALUE"""),"")</f>
        <v/>
      </c>
      <c r="AB49" s="52" t="str">
        <f>IFERROR(__xludf.DUMMYFUNCTION("""COMPUTED_VALUE"""),"")</f>
        <v/>
      </c>
      <c r="AC49" s="52" t="str">
        <f>IFERROR(__xludf.DUMMYFUNCTION("""COMPUTED_VALUE"""),"")</f>
        <v/>
      </c>
      <c r="AD49" s="52" t="str">
        <f>IFERROR(__xludf.DUMMYFUNCTION("""COMPUTED_VALUE"""),"")</f>
        <v/>
      </c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</row>
    <row r="50">
      <c r="B50" s="49"/>
      <c r="C50" s="49" t="str">
        <f t="shared" si="2"/>
        <v/>
      </c>
      <c r="D50" s="50" t="str">
        <f t="shared" si="3"/>
        <v/>
      </c>
      <c r="E50" s="51" t="str">
        <f t="shared" ref="E50:T50" si="51">IFERROR(VLOOKUP($A50,INDIRECT("'" &amp; E$1 &amp; "'!$C:$G"), 5, FALSE),"")</f>
        <v/>
      </c>
      <c r="F50" s="51" t="str">
        <f t="shared" si="51"/>
        <v/>
      </c>
      <c r="G50" s="51" t="str">
        <f t="shared" si="51"/>
        <v/>
      </c>
      <c r="H50" s="51" t="str">
        <f t="shared" si="51"/>
        <v/>
      </c>
      <c r="I50" s="51" t="str">
        <f t="shared" si="51"/>
        <v/>
      </c>
      <c r="J50" s="51" t="str">
        <f t="shared" si="51"/>
        <v/>
      </c>
      <c r="K50" s="51" t="str">
        <f t="shared" si="51"/>
        <v/>
      </c>
      <c r="L50" s="51" t="str">
        <f t="shared" si="51"/>
        <v/>
      </c>
      <c r="M50" s="51" t="str">
        <f t="shared" si="51"/>
        <v/>
      </c>
      <c r="N50" s="51" t="str">
        <f t="shared" si="51"/>
        <v/>
      </c>
      <c r="O50" s="51" t="str">
        <f t="shared" si="51"/>
        <v/>
      </c>
      <c r="P50" s="51" t="str">
        <f t="shared" si="51"/>
        <v/>
      </c>
      <c r="Q50" s="51" t="str">
        <f t="shared" si="51"/>
        <v/>
      </c>
      <c r="R50" s="51" t="str">
        <f t="shared" si="51"/>
        <v/>
      </c>
      <c r="S50" s="51" t="str">
        <f t="shared" si="51"/>
        <v/>
      </c>
      <c r="T50" s="51" t="str">
        <f t="shared" si="51"/>
        <v/>
      </c>
      <c r="U50" s="52"/>
      <c r="V50" s="52" t="str">
        <f>IFERROR(__xludf.DUMMYFUNCTION("""COMPUTED_VALUE"""),"")</f>
        <v/>
      </c>
      <c r="W50" s="52" t="str">
        <f>IFERROR(__xludf.DUMMYFUNCTION("""COMPUTED_VALUE"""),"")</f>
        <v/>
      </c>
      <c r="X50" s="52" t="str">
        <f>IFERROR(__xludf.DUMMYFUNCTION("""COMPUTED_VALUE"""),"")</f>
        <v/>
      </c>
      <c r="Y50" s="52" t="str">
        <f>IFERROR(__xludf.DUMMYFUNCTION("""COMPUTED_VALUE"""),"")</f>
        <v/>
      </c>
      <c r="Z50" s="52" t="str">
        <f>IFERROR(__xludf.DUMMYFUNCTION("""COMPUTED_VALUE"""),"")</f>
        <v/>
      </c>
      <c r="AA50" s="52" t="str">
        <f>IFERROR(__xludf.DUMMYFUNCTION("""COMPUTED_VALUE"""),"")</f>
        <v/>
      </c>
      <c r="AB50" s="52" t="str">
        <f>IFERROR(__xludf.DUMMYFUNCTION("""COMPUTED_VALUE"""),"")</f>
        <v/>
      </c>
      <c r="AC50" s="52" t="str">
        <f>IFERROR(__xludf.DUMMYFUNCTION("""COMPUTED_VALUE"""),"")</f>
        <v/>
      </c>
      <c r="AD50" s="52" t="str">
        <f>IFERROR(__xludf.DUMMYFUNCTION("""COMPUTED_VALUE"""),"")</f>
        <v/>
      </c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</row>
    <row r="51">
      <c r="B51" s="49"/>
      <c r="C51" s="49" t="str">
        <f t="shared" si="2"/>
        <v/>
      </c>
      <c r="D51" s="50" t="str">
        <f t="shared" si="3"/>
        <v/>
      </c>
      <c r="E51" s="51" t="str">
        <f t="shared" ref="E51:T51" si="52">IFERROR(VLOOKUP($A51,INDIRECT("'" &amp; E$1 &amp; "'!$C:$G"), 5, FALSE),"")</f>
        <v/>
      </c>
      <c r="F51" s="51" t="str">
        <f t="shared" si="52"/>
        <v/>
      </c>
      <c r="G51" s="51" t="str">
        <f t="shared" si="52"/>
        <v/>
      </c>
      <c r="H51" s="51" t="str">
        <f t="shared" si="52"/>
        <v/>
      </c>
      <c r="I51" s="51" t="str">
        <f t="shared" si="52"/>
        <v/>
      </c>
      <c r="J51" s="51" t="str">
        <f t="shared" si="52"/>
        <v/>
      </c>
      <c r="K51" s="51" t="str">
        <f t="shared" si="52"/>
        <v/>
      </c>
      <c r="L51" s="51" t="str">
        <f t="shared" si="52"/>
        <v/>
      </c>
      <c r="M51" s="51" t="str">
        <f t="shared" si="52"/>
        <v/>
      </c>
      <c r="N51" s="51" t="str">
        <f t="shared" si="52"/>
        <v/>
      </c>
      <c r="O51" s="51" t="str">
        <f t="shared" si="52"/>
        <v/>
      </c>
      <c r="P51" s="51" t="str">
        <f t="shared" si="52"/>
        <v/>
      </c>
      <c r="Q51" s="51" t="str">
        <f t="shared" si="52"/>
        <v/>
      </c>
      <c r="R51" s="51" t="str">
        <f t="shared" si="52"/>
        <v/>
      </c>
      <c r="S51" s="51" t="str">
        <f t="shared" si="52"/>
        <v/>
      </c>
      <c r="T51" s="51" t="str">
        <f t="shared" si="52"/>
        <v/>
      </c>
      <c r="U51" s="52"/>
      <c r="V51" s="52" t="str">
        <f>IFERROR(__xludf.DUMMYFUNCTION("""COMPUTED_VALUE"""),"")</f>
        <v/>
      </c>
      <c r="W51" s="52" t="str">
        <f>IFERROR(__xludf.DUMMYFUNCTION("""COMPUTED_VALUE"""),"")</f>
        <v/>
      </c>
      <c r="X51" s="52" t="str">
        <f>IFERROR(__xludf.DUMMYFUNCTION("""COMPUTED_VALUE"""),"")</f>
        <v/>
      </c>
      <c r="Y51" s="52" t="str">
        <f>IFERROR(__xludf.DUMMYFUNCTION("""COMPUTED_VALUE"""),"")</f>
        <v/>
      </c>
      <c r="Z51" s="52" t="str">
        <f>IFERROR(__xludf.DUMMYFUNCTION("""COMPUTED_VALUE"""),"")</f>
        <v/>
      </c>
      <c r="AA51" s="52" t="str">
        <f>IFERROR(__xludf.DUMMYFUNCTION("""COMPUTED_VALUE"""),"")</f>
        <v/>
      </c>
      <c r="AB51" s="52" t="str">
        <f>IFERROR(__xludf.DUMMYFUNCTION("""COMPUTED_VALUE"""),"")</f>
        <v/>
      </c>
      <c r="AC51" s="52" t="str">
        <f>IFERROR(__xludf.DUMMYFUNCTION("""COMPUTED_VALUE"""),"")</f>
        <v/>
      </c>
      <c r="AD51" s="52" t="str">
        <f>IFERROR(__xludf.DUMMYFUNCTION("""COMPUTED_VALUE"""),"")</f>
        <v/>
      </c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</row>
    <row r="52">
      <c r="B52" s="49"/>
      <c r="C52" s="49" t="str">
        <f t="shared" si="2"/>
        <v/>
      </c>
      <c r="D52" s="50" t="str">
        <f t="shared" si="3"/>
        <v/>
      </c>
      <c r="E52" s="51" t="str">
        <f t="shared" ref="E52:T52" si="53">IFERROR(VLOOKUP($A52,INDIRECT("'" &amp; E$1 &amp; "'!$C:$G"), 5, FALSE),"")</f>
        <v/>
      </c>
      <c r="F52" s="51" t="str">
        <f t="shared" si="53"/>
        <v/>
      </c>
      <c r="G52" s="51" t="str">
        <f t="shared" si="53"/>
        <v/>
      </c>
      <c r="H52" s="51" t="str">
        <f t="shared" si="53"/>
        <v/>
      </c>
      <c r="I52" s="51" t="str">
        <f t="shared" si="53"/>
        <v/>
      </c>
      <c r="J52" s="51" t="str">
        <f t="shared" si="53"/>
        <v/>
      </c>
      <c r="K52" s="51" t="str">
        <f t="shared" si="53"/>
        <v/>
      </c>
      <c r="L52" s="51" t="str">
        <f t="shared" si="53"/>
        <v/>
      </c>
      <c r="M52" s="51" t="str">
        <f t="shared" si="53"/>
        <v/>
      </c>
      <c r="N52" s="51" t="str">
        <f t="shared" si="53"/>
        <v/>
      </c>
      <c r="O52" s="51" t="str">
        <f t="shared" si="53"/>
        <v/>
      </c>
      <c r="P52" s="51" t="str">
        <f t="shared" si="53"/>
        <v/>
      </c>
      <c r="Q52" s="51" t="str">
        <f t="shared" si="53"/>
        <v/>
      </c>
      <c r="R52" s="51" t="str">
        <f t="shared" si="53"/>
        <v/>
      </c>
      <c r="S52" s="51" t="str">
        <f t="shared" si="53"/>
        <v/>
      </c>
      <c r="T52" s="51" t="str">
        <f t="shared" si="53"/>
        <v/>
      </c>
      <c r="U52" s="52"/>
      <c r="V52" s="52" t="str">
        <f>IFERROR(__xludf.DUMMYFUNCTION("""COMPUTED_VALUE"""),"")</f>
        <v/>
      </c>
      <c r="W52" s="52" t="str">
        <f>IFERROR(__xludf.DUMMYFUNCTION("""COMPUTED_VALUE"""),"")</f>
        <v/>
      </c>
      <c r="X52" s="52" t="str">
        <f>IFERROR(__xludf.DUMMYFUNCTION("""COMPUTED_VALUE"""),"")</f>
        <v/>
      </c>
      <c r="Y52" s="52" t="str">
        <f>IFERROR(__xludf.DUMMYFUNCTION("""COMPUTED_VALUE"""),"")</f>
        <v/>
      </c>
      <c r="Z52" s="52" t="str">
        <f>IFERROR(__xludf.DUMMYFUNCTION("""COMPUTED_VALUE"""),"")</f>
        <v/>
      </c>
      <c r="AA52" s="52" t="str">
        <f>IFERROR(__xludf.DUMMYFUNCTION("""COMPUTED_VALUE"""),"")</f>
        <v/>
      </c>
      <c r="AB52" s="52" t="str">
        <f>IFERROR(__xludf.DUMMYFUNCTION("""COMPUTED_VALUE"""),"")</f>
        <v/>
      </c>
      <c r="AC52" s="52" t="str">
        <f>IFERROR(__xludf.DUMMYFUNCTION("""COMPUTED_VALUE"""),"")</f>
        <v/>
      </c>
      <c r="AD52" s="52" t="str">
        <f>IFERROR(__xludf.DUMMYFUNCTION("""COMPUTED_VALUE"""),"")</f>
        <v/>
      </c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</row>
    <row r="53">
      <c r="B53" s="49"/>
      <c r="C53" s="49" t="str">
        <f t="shared" si="2"/>
        <v/>
      </c>
      <c r="D53" s="50" t="str">
        <f t="shared" si="3"/>
        <v/>
      </c>
      <c r="E53" s="51" t="str">
        <f t="shared" ref="E53:T53" si="54">IFERROR(VLOOKUP($A53,INDIRECT("'" &amp; E$1 &amp; "'!$C:$G"), 5, FALSE),"")</f>
        <v/>
      </c>
      <c r="F53" s="51" t="str">
        <f t="shared" si="54"/>
        <v/>
      </c>
      <c r="G53" s="51" t="str">
        <f t="shared" si="54"/>
        <v/>
      </c>
      <c r="H53" s="51" t="str">
        <f t="shared" si="54"/>
        <v/>
      </c>
      <c r="I53" s="51" t="str">
        <f t="shared" si="54"/>
        <v/>
      </c>
      <c r="J53" s="51" t="str">
        <f t="shared" si="54"/>
        <v/>
      </c>
      <c r="K53" s="51" t="str">
        <f t="shared" si="54"/>
        <v/>
      </c>
      <c r="L53" s="51" t="str">
        <f t="shared" si="54"/>
        <v/>
      </c>
      <c r="M53" s="51" t="str">
        <f t="shared" si="54"/>
        <v/>
      </c>
      <c r="N53" s="51" t="str">
        <f t="shared" si="54"/>
        <v/>
      </c>
      <c r="O53" s="51" t="str">
        <f t="shared" si="54"/>
        <v/>
      </c>
      <c r="P53" s="51" t="str">
        <f t="shared" si="54"/>
        <v/>
      </c>
      <c r="Q53" s="51" t="str">
        <f t="shared" si="54"/>
        <v/>
      </c>
      <c r="R53" s="51" t="str">
        <f t="shared" si="54"/>
        <v/>
      </c>
      <c r="S53" s="51" t="str">
        <f t="shared" si="54"/>
        <v/>
      </c>
      <c r="T53" s="51" t="str">
        <f t="shared" si="54"/>
        <v/>
      </c>
      <c r="U53" s="52"/>
      <c r="V53" s="52" t="str">
        <f>IFERROR(__xludf.DUMMYFUNCTION("""COMPUTED_VALUE"""),"")</f>
        <v/>
      </c>
      <c r="W53" s="52" t="str">
        <f>IFERROR(__xludf.DUMMYFUNCTION("""COMPUTED_VALUE"""),"")</f>
        <v/>
      </c>
      <c r="X53" s="52" t="str">
        <f>IFERROR(__xludf.DUMMYFUNCTION("""COMPUTED_VALUE"""),"")</f>
        <v/>
      </c>
      <c r="Y53" s="52" t="str">
        <f>IFERROR(__xludf.DUMMYFUNCTION("""COMPUTED_VALUE"""),"")</f>
        <v/>
      </c>
      <c r="Z53" s="52" t="str">
        <f>IFERROR(__xludf.DUMMYFUNCTION("""COMPUTED_VALUE"""),"")</f>
        <v/>
      </c>
      <c r="AA53" s="52" t="str">
        <f>IFERROR(__xludf.DUMMYFUNCTION("""COMPUTED_VALUE"""),"")</f>
        <v/>
      </c>
      <c r="AB53" s="52" t="str">
        <f>IFERROR(__xludf.DUMMYFUNCTION("""COMPUTED_VALUE"""),"")</f>
        <v/>
      </c>
      <c r="AC53" s="52" t="str">
        <f>IFERROR(__xludf.DUMMYFUNCTION("""COMPUTED_VALUE"""),"")</f>
        <v/>
      </c>
      <c r="AD53" s="52" t="str">
        <f>IFERROR(__xludf.DUMMYFUNCTION("""COMPUTED_VALUE"""),"")</f>
        <v/>
      </c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</row>
    <row r="54">
      <c r="B54" s="49"/>
      <c r="C54" s="49" t="str">
        <f t="shared" si="2"/>
        <v/>
      </c>
      <c r="D54" s="50" t="str">
        <f t="shared" si="3"/>
        <v/>
      </c>
      <c r="E54" s="51" t="str">
        <f t="shared" ref="E54:T54" si="55">IFERROR(VLOOKUP($A54,INDIRECT("'" &amp; E$1 &amp; "'!$C:$G"), 5, FALSE),"")</f>
        <v/>
      </c>
      <c r="F54" s="51" t="str">
        <f t="shared" si="55"/>
        <v/>
      </c>
      <c r="G54" s="51" t="str">
        <f t="shared" si="55"/>
        <v/>
      </c>
      <c r="H54" s="51" t="str">
        <f t="shared" si="55"/>
        <v/>
      </c>
      <c r="I54" s="51" t="str">
        <f t="shared" si="55"/>
        <v/>
      </c>
      <c r="J54" s="51" t="str">
        <f t="shared" si="55"/>
        <v/>
      </c>
      <c r="K54" s="51" t="str">
        <f t="shared" si="55"/>
        <v/>
      </c>
      <c r="L54" s="51" t="str">
        <f t="shared" si="55"/>
        <v/>
      </c>
      <c r="M54" s="51" t="str">
        <f t="shared" si="55"/>
        <v/>
      </c>
      <c r="N54" s="51" t="str">
        <f t="shared" si="55"/>
        <v/>
      </c>
      <c r="O54" s="51" t="str">
        <f t="shared" si="55"/>
        <v/>
      </c>
      <c r="P54" s="51" t="str">
        <f t="shared" si="55"/>
        <v/>
      </c>
      <c r="Q54" s="51" t="str">
        <f t="shared" si="55"/>
        <v/>
      </c>
      <c r="R54" s="51" t="str">
        <f t="shared" si="55"/>
        <v/>
      </c>
      <c r="S54" s="51" t="str">
        <f t="shared" si="55"/>
        <v/>
      </c>
      <c r="T54" s="51" t="str">
        <f t="shared" si="55"/>
        <v/>
      </c>
      <c r="U54" s="52"/>
      <c r="V54" s="52" t="str">
        <f>IFERROR(__xludf.DUMMYFUNCTION("""COMPUTED_VALUE"""),"")</f>
        <v/>
      </c>
      <c r="W54" s="52" t="str">
        <f>IFERROR(__xludf.DUMMYFUNCTION("""COMPUTED_VALUE"""),"")</f>
        <v/>
      </c>
      <c r="X54" s="52" t="str">
        <f>IFERROR(__xludf.DUMMYFUNCTION("""COMPUTED_VALUE"""),"")</f>
        <v/>
      </c>
      <c r="Y54" s="52" t="str">
        <f>IFERROR(__xludf.DUMMYFUNCTION("""COMPUTED_VALUE"""),"")</f>
        <v/>
      </c>
      <c r="Z54" s="52" t="str">
        <f>IFERROR(__xludf.DUMMYFUNCTION("""COMPUTED_VALUE"""),"")</f>
        <v/>
      </c>
      <c r="AA54" s="52" t="str">
        <f>IFERROR(__xludf.DUMMYFUNCTION("""COMPUTED_VALUE"""),"")</f>
        <v/>
      </c>
      <c r="AB54" s="52" t="str">
        <f>IFERROR(__xludf.DUMMYFUNCTION("""COMPUTED_VALUE"""),"")</f>
        <v/>
      </c>
      <c r="AC54" s="52" t="str">
        <f>IFERROR(__xludf.DUMMYFUNCTION("""COMPUTED_VALUE"""),"")</f>
        <v/>
      </c>
      <c r="AD54" s="52" t="str">
        <f>IFERROR(__xludf.DUMMYFUNCTION("""COMPUTED_VALUE"""),"")</f>
        <v/>
      </c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</row>
    <row r="55">
      <c r="B55" s="49"/>
      <c r="C55" s="49" t="str">
        <f t="shared" si="2"/>
        <v/>
      </c>
      <c r="D55" s="50" t="str">
        <f t="shared" si="3"/>
        <v/>
      </c>
      <c r="E55" s="51" t="str">
        <f t="shared" ref="E55:T55" si="56">IFERROR(VLOOKUP($A55,INDIRECT("'" &amp; E$1 &amp; "'!$C:$G"), 5, FALSE),"")</f>
        <v/>
      </c>
      <c r="F55" s="51" t="str">
        <f t="shared" si="56"/>
        <v/>
      </c>
      <c r="G55" s="51" t="str">
        <f t="shared" si="56"/>
        <v/>
      </c>
      <c r="H55" s="51" t="str">
        <f t="shared" si="56"/>
        <v/>
      </c>
      <c r="I55" s="51" t="str">
        <f t="shared" si="56"/>
        <v/>
      </c>
      <c r="J55" s="51" t="str">
        <f t="shared" si="56"/>
        <v/>
      </c>
      <c r="K55" s="51" t="str">
        <f t="shared" si="56"/>
        <v/>
      </c>
      <c r="L55" s="51" t="str">
        <f t="shared" si="56"/>
        <v/>
      </c>
      <c r="M55" s="51" t="str">
        <f t="shared" si="56"/>
        <v/>
      </c>
      <c r="N55" s="51" t="str">
        <f t="shared" si="56"/>
        <v/>
      </c>
      <c r="O55" s="51" t="str">
        <f t="shared" si="56"/>
        <v/>
      </c>
      <c r="P55" s="51" t="str">
        <f t="shared" si="56"/>
        <v/>
      </c>
      <c r="Q55" s="51" t="str">
        <f t="shared" si="56"/>
        <v/>
      </c>
      <c r="R55" s="51" t="str">
        <f t="shared" si="56"/>
        <v/>
      </c>
      <c r="S55" s="51" t="str">
        <f t="shared" si="56"/>
        <v/>
      </c>
      <c r="T55" s="51" t="str">
        <f t="shared" si="56"/>
        <v/>
      </c>
      <c r="U55" s="52"/>
      <c r="V55" s="52" t="str">
        <f>IFERROR(__xludf.DUMMYFUNCTION("""COMPUTED_VALUE"""),"")</f>
        <v/>
      </c>
      <c r="W55" s="52" t="str">
        <f>IFERROR(__xludf.DUMMYFUNCTION("""COMPUTED_VALUE"""),"")</f>
        <v/>
      </c>
      <c r="X55" s="52" t="str">
        <f>IFERROR(__xludf.DUMMYFUNCTION("""COMPUTED_VALUE"""),"")</f>
        <v/>
      </c>
      <c r="Y55" s="52" t="str">
        <f>IFERROR(__xludf.DUMMYFUNCTION("""COMPUTED_VALUE"""),"")</f>
        <v/>
      </c>
      <c r="Z55" s="52" t="str">
        <f>IFERROR(__xludf.DUMMYFUNCTION("""COMPUTED_VALUE"""),"")</f>
        <v/>
      </c>
      <c r="AA55" s="52" t="str">
        <f>IFERROR(__xludf.DUMMYFUNCTION("""COMPUTED_VALUE"""),"")</f>
        <v/>
      </c>
      <c r="AB55" s="52" t="str">
        <f>IFERROR(__xludf.DUMMYFUNCTION("""COMPUTED_VALUE"""),"")</f>
        <v/>
      </c>
      <c r="AC55" s="52" t="str">
        <f>IFERROR(__xludf.DUMMYFUNCTION("""COMPUTED_VALUE"""),"")</f>
        <v/>
      </c>
      <c r="AD55" s="52" t="str">
        <f>IFERROR(__xludf.DUMMYFUNCTION("""COMPUTED_VALUE"""),"")</f>
        <v/>
      </c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</row>
    <row r="56">
      <c r="B56" s="49"/>
      <c r="C56" s="49" t="str">
        <f t="shared" si="2"/>
        <v/>
      </c>
      <c r="D56" s="50" t="str">
        <f t="shared" si="3"/>
        <v/>
      </c>
      <c r="E56" s="51" t="str">
        <f t="shared" ref="E56:T56" si="57">IFERROR(VLOOKUP($A56,INDIRECT("'" &amp; E$1 &amp; "'!$C:$G"), 5, FALSE),"")</f>
        <v/>
      </c>
      <c r="F56" s="51" t="str">
        <f t="shared" si="57"/>
        <v/>
      </c>
      <c r="G56" s="51" t="str">
        <f t="shared" si="57"/>
        <v/>
      </c>
      <c r="H56" s="51" t="str">
        <f t="shared" si="57"/>
        <v/>
      </c>
      <c r="I56" s="51" t="str">
        <f t="shared" si="57"/>
        <v/>
      </c>
      <c r="J56" s="51" t="str">
        <f t="shared" si="57"/>
        <v/>
      </c>
      <c r="K56" s="51" t="str">
        <f t="shared" si="57"/>
        <v/>
      </c>
      <c r="L56" s="51" t="str">
        <f t="shared" si="57"/>
        <v/>
      </c>
      <c r="M56" s="51" t="str">
        <f t="shared" si="57"/>
        <v/>
      </c>
      <c r="N56" s="51" t="str">
        <f t="shared" si="57"/>
        <v/>
      </c>
      <c r="O56" s="51" t="str">
        <f t="shared" si="57"/>
        <v/>
      </c>
      <c r="P56" s="51" t="str">
        <f t="shared" si="57"/>
        <v/>
      </c>
      <c r="Q56" s="51" t="str">
        <f t="shared" si="57"/>
        <v/>
      </c>
      <c r="R56" s="51" t="str">
        <f t="shared" si="57"/>
        <v/>
      </c>
      <c r="S56" s="51" t="str">
        <f t="shared" si="57"/>
        <v/>
      </c>
      <c r="T56" s="51" t="str">
        <f t="shared" si="57"/>
        <v/>
      </c>
      <c r="U56" s="52"/>
      <c r="V56" s="52" t="str">
        <f>IFERROR(__xludf.DUMMYFUNCTION("""COMPUTED_VALUE"""),"")</f>
        <v/>
      </c>
      <c r="W56" s="52" t="str">
        <f>IFERROR(__xludf.DUMMYFUNCTION("""COMPUTED_VALUE"""),"")</f>
        <v/>
      </c>
      <c r="X56" s="52" t="str">
        <f>IFERROR(__xludf.DUMMYFUNCTION("""COMPUTED_VALUE"""),"")</f>
        <v/>
      </c>
      <c r="Y56" s="52" t="str">
        <f>IFERROR(__xludf.DUMMYFUNCTION("""COMPUTED_VALUE"""),"")</f>
        <v/>
      </c>
      <c r="Z56" s="52" t="str">
        <f>IFERROR(__xludf.DUMMYFUNCTION("""COMPUTED_VALUE"""),"")</f>
        <v/>
      </c>
      <c r="AA56" s="52" t="str">
        <f>IFERROR(__xludf.DUMMYFUNCTION("""COMPUTED_VALUE"""),"")</f>
        <v/>
      </c>
      <c r="AB56" s="52" t="str">
        <f>IFERROR(__xludf.DUMMYFUNCTION("""COMPUTED_VALUE"""),"")</f>
        <v/>
      </c>
      <c r="AC56" s="52" t="str">
        <f>IFERROR(__xludf.DUMMYFUNCTION("""COMPUTED_VALUE"""),"")</f>
        <v/>
      </c>
      <c r="AD56" s="52" t="str">
        <f>IFERROR(__xludf.DUMMYFUNCTION("""COMPUTED_VALUE"""),"")</f>
        <v/>
      </c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</row>
    <row r="57">
      <c r="B57" s="49"/>
      <c r="C57" s="49" t="str">
        <f t="shared" si="2"/>
        <v/>
      </c>
      <c r="D57" s="50" t="str">
        <f t="shared" si="3"/>
        <v/>
      </c>
      <c r="E57" s="51" t="str">
        <f t="shared" ref="E57:T57" si="58">IFERROR(VLOOKUP($A57,INDIRECT("'" &amp; E$1 &amp; "'!$C:$G"), 5, FALSE),"")</f>
        <v/>
      </c>
      <c r="F57" s="51" t="str">
        <f t="shared" si="58"/>
        <v/>
      </c>
      <c r="G57" s="51" t="str">
        <f t="shared" si="58"/>
        <v/>
      </c>
      <c r="H57" s="51" t="str">
        <f t="shared" si="58"/>
        <v/>
      </c>
      <c r="I57" s="51" t="str">
        <f t="shared" si="58"/>
        <v/>
      </c>
      <c r="J57" s="51" t="str">
        <f t="shared" si="58"/>
        <v/>
      </c>
      <c r="K57" s="51" t="str">
        <f t="shared" si="58"/>
        <v/>
      </c>
      <c r="L57" s="51" t="str">
        <f t="shared" si="58"/>
        <v/>
      </c>
      <c r="M57" s="51" t="str">
        <f t="shared" si="58"/>
        <v/>
      </c>
      <c r="N57" s="51" t="str">
        <f t="shared" si="58"/>
        <v/>
      </c>
      <c r="O57" s="51" t="str">
        <f t="shared" si="58"/>
        <v/>
      </c>
      <c r="P57" s="51" t="str">
        <f t="shared" si="58"/>
        <v/>
      </c>
      <c r="Q57" s="51" t="str">
        <f t="shared" si="58"/>
        <v/>
      </c>
      <c r="R57" s="51" t="str">
        <f t="shared" si="58"/>
        <v/>
      </c>
      <c r="S57" s="51" t="str">
        <f t="shared" si="58"/>
        <v/>
      </c>
      <c r="T57" s="51" t="str">
        <f t="shared" si="58"/>
        <v/>
      </c>
      <c r="U57" s="52"/>
      <c r="V57" s="52" t="str">
        <f>IFERROR(__xludf.DUMMYFUNCTION("""COMPUTED_VALUE"""),"")</f>
        <v/>
      </c>
      <c r="W57" s="52" t="str">
        <f>IFERROR(__xludf.DUMMYFUNCTION("""COMPUTED_VALUE"""),"")</f>
        <v/>
      </c>
      <c r="X57" s="52" t="str">
        <f>IFERROR(__xludf.DUMMYFUNCTION("""COMPUTED_VALUE"""),"")</f>
        <v/>
      </c>
      <c r="Y57" s="52" t="str">
        <f>IFERROR(__xludf.DUMMYFUNCTION("""COMPUTED_VALUE"""),"")</f>
        <v/>
      </c>
      <c r="Z57" s="52" t="str">
        <f>IFERROR(__xludf.DUMMYFUNCTION("""COMPUTED_VALUE"""),"")</f>
        <v/>
      </c>
      <c r="AA57" s="52" t="str">
        <f>IFERROR(__xludf.DUMMYFUNCTION("""COMPUTED_VALUE"""),"")</f>
        <v/>
      </c>
      <c r="AB57" s="52" t="str">
        <f>IFERROR(__xludf.DUMMYFUNCTION("""COMPUTED_VALUE"""),"")</f>
        <v/>
      </c>
      <c r="AC57" s="52" t="str">
        <f>IFERROR(__xludf.DUMMYFUNCTION("""COMPUTED_VALUE"""),"")</f>
        <v/>
      </c>
      <c r="AD57" s="52" t="str">
        <f>IFERROR(__xludf.DUMMYFUNCTION("""COMPUTED_VALUE"""),"")</f>
        <v/>
      </c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</row>
    <row r="58">
      <c r="B58" s="49"/>
      <c r="C58" s="49" t="str">
        <f t="shared" si="2"/>
        <v/>
      </c>
      <c r="D58" s="50" t="str">
        <f t="shared" si="3"/>
        <v/>
      </c>
      <c r="E58" s="51" t="str">
        <f t="shared" ref="E58:T58" si="59">IFERROR(VLOOKUP($A58,INDIRECT("'" &amp; E$1 &amp; "'!$C:$G"), 5, FALSE),"")</f>
        <v/>
      </c>
      <c r="F58" s="51" t="str">
        <f t="shared" si="59"/>
        <v/>
      </c>
      <c r="G58" s="51" t="str">
        <f t="shared" si="59"/>
        <v/>
      </c>
      <c r="H58" s="51" t="str">
        <f t="shared" si="59"/>
        <v/>
      </c>
      <c r="I58" s="51" t="str">
        <f t="shared" si="59"/>
        <v/>
      </c>
      <c r="J58" s="51" t="str">
        <f t="shared" si="59"/>
        <v/>
      </c>
      <c r="K58" s="51" t="str">
        <f t="shared" si="59"/>
        <v/>
      </c>
      <c r="L58" s="51" t="str">
        <f t="shared" si="59"/>
        <v/>
      </c>
      <c r="M58" s="51" t="str">
        <f t="shared" si="59"/>
        <v/>
      </c>
      <c r="N58" s="51" t="str">
        <f t="shared" si="59"/>
        <v/>
      </c>
      <c r="O58" s="51" t="str">
        <f t="shared" si="59"/>
        <v/>
      </c>
      <c r="P58" s="51" t="str">
        <f t="shared" si="59"/>
        <v/>
      </c>
      <c r="Q58" s="51" t="str">
        <f t="shared" si="59"/>
        <v/>
      </c>
      <c r="R58" s="51" t="str">
        <f t="shared" si="59"/>
        <v/>
      </c>
      <c r="S58" s="51" t="str">
        <f t="shared" si="59"/>
        <v/>
      </c>
      <c r="T58" s="51" t="str">
        <f t="shared" si="59"/>
        <v/>
      </c>
      <c r="U58" s="52"/>
      <c r="V58" s="52" t="str">
        <f>IFERROR(__xludf.DUMMYFUNCTION("""COMPUTED_VALUE"""),"")</f>
        <v/>
      </c>
      <c r="W58" s="52" t="str">
        <f>IFERROR(__xludf.DUMMYFUNCTION("""COMPUTED_VALUE"""),"")</f>
        <v/>
      </c>
      <c r="X58" s="52" t="str">
        <f>IFERROR(__xludf.DUMMYFUNCTION("""COMPUTED_VALUE"""),"")</f>
        <v/>
      </c>
      <c r="Y58" s="52" t="str">
        <f>IFERROR(__xludf.DUMMYFUNCTION("""COMPUTED_VALUE"""),"")</f>
        <v/>
      </c>
      <c r="Z58" s="52" t="str">
        <f>IFERROR(__xludf.DUMMYFUNCTION("""COMPUTED_VALUE"""),"")</f>
        <v/>
      </c>
      <c r="AA58" s="52" t="str">
        <f>IFERROR(__xludf.DUMMYFUNCTION("""COMPUTED_VALUE"""),"")</f>
        <v/>
      </c>
      <c r="AB58" s="52" t="str">
        <f>IFERROR(__xludf.DUMMYFUNCTION("""COMPUTED_VALUE"""),"")</f>
        <v/>
      </c>
      <c r="AC58" s="52" t="str">
        <f>IFERROR(__xludf.DUMMYFUNCTION("""COMPUTED_VALUE"""),"")</f>
        <v/>
      </c>
      <c r="AD58" s="52" t="str">
        <f>IFERROR(__xludf.DUMMYFUNCTION("""COMPUTED_VALUE"""),"")</f>
        <v/>
      </c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</row>
    <row r="59">
      <c r="B59" s="49"/>
      <c r="C59" s="49" t="str">
        <f t="shared" si="2"/>
        <v/>
      </c>
      <c r="D59" s="50" t="str">
        <f t="shared" si="3"/>
        <v/>
      </c>
      <c r="E59" s="51" t="str">
        <f t="shared" ref="E59:T59" si="60">IFERROR(VLOOKUP($A59,INDIRECT("'" &amp; E$1 &amp; "'!$C:$G"), 5, FALSE),"")</f>
        <v/>
      </c>
      <c r="F59" s="51" t="str">
        <f t="shared" si="60"/>
        <v/>
      </c>
      <c r="G59" s="51" t="str">
        <f t="shared" si="60"/>
        <v/>
      </c>
      <c r="H59" s="51" t="str">
        <f t="shared" si="60"/>
        <v/>
      </c>
      <c r="I59" s="51" t="str">
        <f t="shared" si="60"/>
        <v/>
      </c>
      <c r="J59" s="51" t="str">
        <f t="shared" si="60"/>
        <v/>
      </c>
      <c r="K59" s="51" t="str">
        <f t="shared" si="60"/>
        <v/>
      </c>
      <c r="L59" s="51" t="str">
        <f t="shared" si="60"/>
        <v/>
      </c>
      <c r="M59" s="51" t="str">
        <f t="shared" si="60"/>
        <v/>
      </c>
      <c r="N59" s="51" t="str">
        <f t="shared" si="60"/>
        <v/>
      </c>
      <c r="O59" s="51" t="str">
        <f t="shared" si="60"/>
        <v/>
      </c>
      <c r="P59" s="51" t="str">
        <f t="shared" si="60"/>
        <v/>
      </c>
      <c r="Q59" s="51" t="str">
        <f t="shared" si="60"/>
        <v/>
      </c>
      <c r="R59" s="51" t="str">
        <f t="shared" si="60"/>
        <v/>
      </c>
      <c r="S59" s="51" t="str">
        <f t="shared" si="60"/>
        <v/>
      </c>
      <c r="T59" s="51" t="str">
        <f t="shared" si="60"/>
        <v/>
      </c>
      <c r="U59" s="52"/>
      <c r="V59" s="52" t="str">
        <f>IFERROR(__xludf.DUMMYFUNCTION("""COMPUTED_VALUE"""),"")</f>
        <v/>
      </c>
      <c r="W59" s="52" t="str">
        <f>IFERROR(__xludf.DUMMYFUNCTION("""COMPUTED_VALUE"""),"")</f>
        <v/>
      </c>
      <c r="X59" s="52" t="str">
        <f>IFERROR(__xludf.DUMMYFUNCTION("""COMPUTED_VALUE"""),"")</f>
        <v/>
      </c>
      <c r="Y59" s="52" t="str">
        <f>IFERROR(__xludf.DUMMYFUNCTION("""COMPUTED_VALUE"""),"")</f>
        <v/>
      </c>
      <c r="Z59" s="52" t="str">
        <f>IFERROR(__xludf.DUMMYFUNCTION("""COMPUTED_VALUE"""),"")</f>
        <v/>
      </c>
      <c r="AA59" s="52" t="str">
        <f>IFERROR(__xludf.DUMMYFUNCTION("""COMPUTED_VALUE"""),"")</f>
        <v/>
      </c>
      <c r="AB59" s="52" t="str">
        <f>IFERROR(__xludf.DUMMYFUNCTION("""COMPUTED_VALUE"""),"")</f>
        <v/>
      </c>
      <c r="AC59" s="52" t="str">
        <f>IFERROR(__xludf.DUMMYFUNCTION("""COMPUTED_VALUE"""),"")</f>
        <v/>
      </c>
      <c r="AD59" s="52" t="str">
        <f>IFERROR(__xludf.DUMMYFUNCTION("""COMPUTED_VALUE"""),"")</f>
        <v/>
      </c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</row>
    <row r="60">
      <c r="B60" s="49"/>
      <c r="C60" s="49" t="str">
        <f t="shared" si="2"/>
        <v/>
      </c>
      <c r="D60" s="50" t="str">
        <f t="shared" si="3"/>
        <v/>
      </c>
      <c r="E60" s="51" t="str">
        <f t="shared" ref="E60:T60" si="61">IFERROR(VLOOKUP($A60,INDIRECT("'" &amp; E$1 &amp; "'!$C:$G"), 5, FALSE),"")</f>
        <v/>
      </c>
      <c r="F60" s="51" t="str">
        <f t="shared" si="61"/>
        <v/>
      </c>
      <c r="G60" s="51" t="str">
        <f t="shared" si="61"/>
        <v/>
      </c>
      <c r="H60" s="51" t="str">
        <f t="shared" si="61"/>
        <v/>
      </c>
      <c r="I60" s="51" t="str">
        <f t="shared" si="61"/>
        <v/>
      </c>
      <c r="J60" s="51" t="str">
        <f t="shared" si="61"/>
        <v/>
      </c>
      <c r="K60" s="51" t="str">
        <f t="shared" si="61"/>
        <v/>
      </c>
      <c r="L60" s="51" t="str">
        <f t="shared" si="61"/>
        <v/>
      </c>
      <c r="M60" s="51" t="str">
        <f t="shared" si="61"/>
        <v/>
      </c>
      <c r="N60" s="51" t="str">
        <f t="shared" si="61"/>
        <v/>
      </c>
      <c r="O60" s="51" t="str">
        <f t="shared" si="61"/>
        <v/>
      </c>
      <c r="P60" s="51" t="str">
        <f t="shared" si="61"/>
        <v/>
      </c>
      <c r="Q60" s="51" t="str">
        <f t="shared" si="61"/>
        <v/>
      </c>
      <c r="R60" s="51" t="str">
        <f t="shared" si="61"/>
        <v/>
      </c>
      <c r="S60" s="51" t="str">
        <f t="shared" si="61"/>
        <v/>
      </c>
      <c r="T60" s="51" t="str">
        <f t="shared" si="61"/>
        <v/>
      </c>
      <c r="U60" s="52"/>
      <c r="V60" s="52" t="str">
        <f>IFERROR(__xludf.DUMMYFUNCTION("""COMPUTED_VALUE"""),"")</f>
        <v/>
      </c>
      <c r="W60" s="52" t="str">
        <f>IFERROR(__xludf.DUMMYFUNCTION("""COMPUTED_VALUE"""),"")</f>
        <v/>
      </c>
      <c r="X60" s="52" t="str">
        <f>IFERROR(__xludf.DUMMYFUNCTION("""COMPUTED_VALUE"""),"")</f>
        <v/>
      </c>
      <c r="Y60" s="52" t="str">
        <f>IFERROR(__xludf.DUMMYFUNCTION("""COMPUTED_VALUE"""),"")</f>
        <v/>
      </c>
      <c r="Z60" s="52" t="str">
        <f>IFERROR(__xludf.DUMMYFUNCTION("""COMPUTED_VALUE"""),"")</f>
        <v/>
      </c>
      <c r="AA60" s="52" t="str">
        <f>IFERROR(__xludf.DUMMYFUNCTION("""COMPUTED_VALUE"""),"")</f>
        <v/>
      </c>
      <c r="AB60" s="52" t="str">
        <f>IFERROR(__xludf.DUMMYFUNCTION("""COMPUTED_VALUE"""),"")</f>
        <v/>
      </c>
      <c r="AC60" s="52" t="str">
        <f>IFERROR(__xludf.DUMMYFUNCTION("""COMPUTED_VALUE"""),"")</f>
        <v/>
      </c>
      <c r="AD60" s="52" t="str">
        <f>IFERROR(__xludf.DUMMYFUNCTION("""COMPUTED_VALUE"""),"")</f>
        <v/>
      </c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</row>
    <row r="61">
      <c r="B61" s="49"/>
      <c r="C61" s="49" t="str">
        <f t="shared" si="2"/>
        <v/>
      </c>
      <c r="D61" s="50" t="str">
        <f t="shared" si="3"/>
        <v/>
      </c>
      <c r="E61" s="51" t="str">
        <f t="shared" ref="E61:T61" si="62">IFERROR(VLOOKUP($A61,INDIRECT("'" &amp; E$1 &amp; "'!$C:$G"), 5, FALSE),"")</f>
        <v/>
      </c>
      <c r="F61" s="51" t="str">
        <f t="shared" si="62"/>
        <v/>
      </c>
      <c r="G61" s="51" t="str">
        <f t="shared" si="62"/>
        <v/>
      </c>
      <c r="H61" s="51" t="str">
        <f t="shared" si="62"/>
        <v/>
      </c>
      <c r="I61" s="51" t="str">
        <f t="shared" si="62"/>
        <v/>
      </c>
      <c r="J61" s="51" t="str">
        <f t="shared" si="62"/>
        <v/>
      </c>
      <c r="K61" s="51" t="str">
        <f t="shared" si="62"/>
        <v/>
      </c>
      <c r="L61" s="51" t="str">
        <f t="shared" si="62"/>
        <v/>
      </c>
      <c r="M61" s="51" t="str">
        <f t="shared" si="62"/>
        <v/>
      </c>
      <c r="N61" s="51" t="str">
        <f t="shared" si="62"/>
        <v/>
      </c>
      <c r="O61" s="51" t="str">
        <f t="shared" si="62"/>
        <v/>
      </c>
      <c r="P61" s="51" t="str">
        <f t="shared" si="62"/>
        <v/>
      </c>
      <c r="Q61" s="51" t="str">
        <f t="shared" si="62"/>
        <v/>
      </c>
      <c r="R61" s="51" t="str">
        <f t="shared" si="62"/>
        <v/>
      </c>
      <c r="S61" s="51" t="str">
        <f t="shared" si="62"/>
        <v/>
      </c>
      <c r="T61" s="51" t="str">
        <f t="shared" si="62"/>
        <v/>
      </c>
      <c r="U61" s="52"/>
      <c r="V61" s="52" t="str">
        <f>IFERROR(__xludf.DUMMYFUNCTION("""COMPUTED_VALUE"""),"")</f>
        <v/>
      </c>
      <c r="W61" s="52" t="str">
        <f>IFERROR(__xludf.DUMMYFUNCTION("""COMPUTED_VALUE"""),"")</f>
        <v/>
      </c>
      <c r="X61" s="52" t="str">
        <f>IFERROR(__xludf.DUMMYFUNCTION("""COMPUTED_VALUE"""),"")</f>
        <v/>
      </c>
      <c r="Y61" s="52" t="str">
        <f>IFERROR(__xludf.DUMMYFUNCTION("""COMPUTED_VALUE"""),"")</f>
        <v/>
      </c>
      <c r="Z61" s="52" t="str">
        <f>IFERROR(__xludf.DUMMYFUNCTION("""COMPUTED_VALUE"""),"")</f>
        <v/>
      </c>
      <c r="AA61" s="52" t="str">
        <f>IFERROR(__xludf.DUMMYFUNCTION("""COMPUTED_VALUE"""),"")</f>
        <v/>
      </c>
      <c r="AB61" s="52" t="str">
        <f>IFERROR(__xludf.DUMMYFUNCTION("""COMPUTED_VALUE"""),"")</f>
        <v/>
      </c>
      <c r="AC61" s="52" t="str">
        <f>IFERROR(__xludf.DUMMYFUNCTION("""COMPUTED_VALUE"""),"")</f>
        <v/>
      </c>
      <c r="AD61" s="52" t="str">
        <f>IFERROR(__xludf.DUMMYFUNCTION("""COMPUTED_VALUE"""),"")</f>
        <v/>
      </c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</row>
    <row r="62">
      <c r="B62" s="49"/>
      <c r="C62" s="49" t="str">
        <f t="shared" si="2"/>
        <v/>
      </c>
      <c r="D62" s="50" t="str">
        <f t="shared" si="3"/>
        <v/>
      </c>
      <c r="E62" s="51" t="str">
        <f t="shared" ref="E62:T62" si="63">IFERROR(VLOOKUP($A62,INDIRECT("'" &amp; E$1 &amp; "'!$C:$G"), 5, FALSE),"")</f>
        <v/>
      </c>
      <c r="F62" s="51" t="str">
        <f t="shared" si="63"/>
        <v/>
      </c>
      <c r="G62" s="51" t="str">
        <f t="shared" si="63"/>
        <v/>
      </c>
      <c r="H62" s="51" t="str">
        <f t="shared" si="63"/>
        <v/>
      </c>
      <c r="I62" s="51" t="str">
        <f t="shared" si="63"/>
        <v/>
      </c>
      <c r="J62" s="51" t="str">
        <f t="shared" si="63"/>
        <v/>
      </c>
      <c r="K62" s="51" t="str">
        <f t="shared" si="63"/>
        <v/>
      </c>
      <c r="L62" s="51" t="str">
        <f t="shared" si="63"/>
        <v/>
      </c>
      <c r="M62" s="51" t="str">
        <f t="shared" si="63"/>
        <v/>
      </c>
      <c r="N62" s="51" t="str">
        <f t="shared" si="63"/>
        <v/>
      </c>
      <c r="O62" s="51" t="str">
        <f t="shared" si="63"/>
        <v/>
      </c>
      <c r="P62" s="51" t="str">
        <f t="shared" si="63"/>
        <v/>
      </c>
      <c r="Q62" s="51" t="str">
        <f t="shared" si="63"/>
        <v/>
      </c>
      <c r="R62" s="51" t="str">
        <f t="shared" si="63"/>
        <v/>
      </c>
      <c r="S62" s="51" t="str">
        <f t="shared" si="63"/>
        <v/>
      </c>
      <c r="T62" s="51" t="str">
        <f t="shared" si="63"/>
        <v/>
      </c>
      <c r="U62" s="52"/>
      <c r="V62" s="52" t="str">
        <f>IFERROR(__xludf.DUMMYFUNCTION("""COMPUTED_VALUE"""),"")</f>
        <v/>
      </c>
      <c r="W62" s="52" t="str">
        <f>IFERROR(__xludf.DUMMYFUNCTION("""COMPUTED_VALUE"""),"")</f>
        <v/>
      </c>
      <c r="X62" s="52" t="str">
        <f>IFERROR(__xludf.DUMMYFUNCTION("""COMPUTED_VALUE"""),"")</f>
        <v/>
      </c>
      <c r="Y62" s="52" t="str">
        <f>IFERROR(__xludf.DUMMYFUNCTION("""COMPUTED_VALUE"""),"")</f>
        <v/>
      </c>
      <c r="Z62" s="52" t="str">
        <f>IFERROR(__xludf.DUMMYFUNCTION("""COMPUTED_VALUE"""),"")</f>
        <v/>
      </c>
      <c r="AA62" s="52" t="str">
        <f>IFERROR(__xludf.DUMMYFUNCTION("""COMPUTED_VALUE"""),"")</f>
        <v/>
      </c>
      <c r="AB62" s="52" t="str">
        <f>IFERROR(__xludf.DUMMYFUNCTION("""COMPUTED_VALUE"""),"")</f>
        <v/>
      </c>
      <c r="AC62" s="52" t="str">
        <f>IFERROR(__xludf.DUMMYFUNCTION("""COMPUTED_VALUE"""),"")</f>
        <v/>
      </c>
      <c r="AD62" s="52" t="str">
        <f>IFERROR(__xludf.DUMMYFUNCTION("""COMPUTED_VALUE"""),"")</f>
        <v/>
      </c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</row>
    <row r="63">
      <c r="B63" s="49"/>
      <c r="C63" s="49" t="str">
        <f t="shared" si="2"/>
        <v/>
      </c>
      <c r="D63" s="50" t="str">
        <f t="shared" si="3"/>
        <v/>
      </c>
      <c r="E63" s="51" t="str">
        <f t="shared" ref="E63:T63" si="64">IFERROR(VLOOKUP($A63,INDIRECT("'" &amp; E$1 &amp; "'!$C:$G"), 5, FALSE),"")</f>
        <v/>
      </c>
      <c r="F63" s="51" t="str">
        <f t="shared" si="64"/>
        <v/>
      </c>
      <c r="G63" s="51" t="str">
        <f t="shared" si="64"/>
        <v/>
      </c>
      <c r="H63" s="51" t="str">
        <f t="shared" si="64"/>
        <v/>
      </c>
      <c r="I63" s="51" t="str">
        <f t="shared" si="64"/>
        <v/>
      </c>
      <c r="J63" s="51" t="str">
        <f t="shared" si="64"/>
        <v/>
      </c>
      <c r="K63" s="51" t="str">
        <f t="shared" si="64"/>
        <v/>
      </c>
      <c r="L63" s="51" t="str">
        <f t="shared" si="64"/>
        <v/>
      </c>
      <c r="M63" s="51" t="str">
        <f t="shared" si="64"/>
        <v/>
      </c>
      <c r="N63" s="51" t="str">
        <f t="shared" si="64"/>
        <v/>
      </c>
      <c r="O63" s="51" t="str">
        <f t="shared" si="64"/>
        <v/>
      </c>
      <c r="P63" s="51" t="str">
        <f t="shared" si="64"/>
        <v/>
      </c>
      <c r="Q63" s="51" t="str">
        <f t="shared" si="64"/>
        <v/>
      </c>
      <c r="R63" s="51" t="str">
        <f t="shared" si="64"/>
        <v/>
      </c>
      <c r="S63" s="51" t="str">
        <f t="shared" si="64"/>
        <v/>
      </c>
      <c r="T63" s="51" t="str">
        <f t="shared" si="64"/>
        <v/>
      </c>
      <c r="U63" s="52"/>
      <c r="V63" s="52" t="str">
        <f>IFERROR(__xludf.DUMMYFUNCTION("""COMPUTED_VALUE"""),"")</f>
        <v/>
      </c>
      <c r="W63" s="52" t="str">
        <f>IFERROR(__xludf.DUMMYFUNCTION("""COMPUTED_VALUE"""),"")</f>
        <v/>
      </c>
      <c r="X63" s="52" t="str">
        <f>IFERROR(__xludf.DUMMYFUNCTION("""COMPUTED_VALUE"""),"")</f>
        <v/>
      </c>
      <c r="Y63" s="52" t="str">
        <f>IFERROR(__xludf.DUMMYFUNCTION("""COMPUTED_VALUE"""),"")</f>
        <v/>
      </c>
      <c r="Z63" s="52" t="str">
        <f>IFERROR(__xludf.DUMMYFUNCTION("""COMPUTED_VALUE"""),"")</f>
        <v/>
      </c>
      <c r="AA63" s="52" t="str">
        <f>IFERROR(__xludf.DUMMYFUNCTION("""COMPUTED_VALUE"""),"")</f>
        <v/>
      </c>
      <c r="AB63" s="52" t="str">
        <f>IFERROR(__xludf.DUMMYFUNCTION("""COMPUTED_VALUE"""),"")</f>
        <v/>
      </c>
      <c r="AC63" s="52" t="str">
        <f>IFERROR(__xludf.DUMMYFUNCTION("""COMPUTED_VALUE"""),"")</f>
        <v/>
      </c>
      <c r="AD63" s="52" t="str">
        <f>IFERROR(__xludf.DUMMYFUNCTION("""COMPUTED_VALUE"""),"")</f>
        <v/>
      </c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</row>
    <row r="64">
      <c r="B64" s="49"/>
      <c r="C64" s="49" t="str">
        <f t="shared" si="2"/>
        <v/>
      </c>
      <c r="D64" s="50" t="str">
        <f t="shared" si="3"/>
        <v/>
      </c>
      <c r="E64" s="51" t="str">
        <f t="shared" ref="E64:T64" si="65">IFERROR(VLOOKUP($A64,INDIRECT("'" &amp; E$1 &amp; "'!$C:$G"), 5, FALSE),"")</f>
        <v/>
      </c>
      <c r="F64" s="51" t="str">
        <f t="shared" si="65"/>
        <v/>
      </c>
      <c r="G64" s="51" t="str">
        <f t="shared" si="65"/>
        <v/>
      </c>
      <c r="H64" s="51" t="str">
        <f t="shared" si="65"/>
        <v/>
      </c>
      <c r="I64" s="51" t="str">
        <f t="shared" si="65"/>
        <v/>
      </c>
      <c r="J64" s="51" t="str">
        <f t="shared" si="65"/>
        <v/>
      </c>
      <c r="K64" s="51" t="str">
        <f t="shared" si="65"/>
        <v/>
      </c>
      <c r="L64" s="51" t="str">
        <f t="shared" si="65"/>
        <v/>
      </c>
      <c r="M64" s="51" t="str">
        <f t="shared" si="65"/>
        <v/>
      </c>
      <c r="N64" s="51" t="str">
        <f t="shared" si="65"/>
        <v/>
      </c>
      <c r="O64" s="51" t="str">
        <f t="shared" si="65"/>
        <v/>
      </c>
      <c r="P64" s="51" t="str">
        <f t="shared" si="65"/>
        <v/>
      </c>
      <c r="Q64" s="51" t="str">
        <f t="shared" si="65"/>
        <v/>
      </c>
      <c r="R64" s="51" t="str">
        <f t="shared" si="65"/>
        <v/>
      </c>
      <c r="S64" s="51" t="str">
        <f t="shared" si="65"/>
        <v/>
      </c>
      <c r="T64" s="51" t="str">
        <f t="shared" si="65"/>
        <v/>
      </c>
      <c r="U64" s="52"/>
      <c r="V64" s="52" t="str">
        <f>IFERROR(__xludf.DUMMYFUNCTION("""COMPUTED_VALUE"""),"")</f>
        <v/>
      </c>
      <c r="W64" s="52" t="str">
        <f>IFERROR(__xludf.DUMMYFUNCTION("""COMPUTED_VALUE"""),"")</f>
        <v/>
      </c>
      <c r="X64" s="52" t="str">
        <f>IFERROR(__xludf.DUMMYFUNCTION("""COMPUTED_VALUE"""),"")</f>
        <v/>
      </c>
      <c r="Y64" s="52" t="str">
        <f>IFERROR(__xludf.DUMMYFUNCTION("""COMPUTED_VALUE"""),"")</f>
        <v/>
      </c>
      <c r="Z64" s="52" t="str">
        <f>IFERROR(__xludf.DUMMYFUNCTION("""COMPUTED_VALUE"""),"")</f>
        <v/>
      </c>
      <c r="AA64" s="52" t="str">
        <f>IFERROR(__xludf.DUMMYFUNCTION("""COMPUTED_VALUE"""),"")</f>
        <v/>
      </c>
      <c r="AB64" s="52" t="str">
        <f>IFERROR(__xludf.DUMMYFUNCTION("""COMPUTED_VALUE"""),"")</f>
        <v/>
      </c>
      <c r="AC64" s="52" t="str">
        <f>IFERROR(__xludf.DUMMYFUNCTION("""COMPUTED_VALUE"""),"")</f>
        <v/>
      </c>
      <c r="AD64" s="52" t="str">
        <f>IFERROR(__xludf.DUMMYFUNCTION("""COMPUTED_VALUE"""),"")</f>
        <v/>
      </c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</row>
    <row r="65">
      <c r="B65" s="49"/>
      <c r="C65" s="49" t="str">
        <f t="shared" si="2"/>
        <v/>
      </c>
      <c r="D65" s="50" t="str">
        <f t="shared" si="3"/>
        <v/>
      </c>
      <c r="E65" s="51" t="str">
        <f t="shared" ref="E65:T65" si="66">IFERROR(VLOOKUP($A65,INDIRECT("'" &amp; E$1 &amp; "'!$C:$G"), 5, FALSE),"")</f>
        <v/>
      </c>
      <c r="F65" s="51" t="str">
        <f t="shared" si="66"/>
        <v/>
      </c>
      <c r="G65" s="51" t="str">
        <f t="shared" si="66"/>
        <v/>
      </c>
      <c r="H65" s="51" t="str">
        <f t="shared" si="66"/>
        <v/>
      </c>
      <c r="I65" s="51" t="str">
        <f t="shared" si="66"/>
        <v/>
      </c>
      <c r="J65" s="51" t="str">
        <f t="shared" si="66"/>
        <v/>
      </c>
      <c r="K65" s="51" t="str">
        <f t="shared" si="66"/>
        <v/>
      </c>
      <c r="L65" s="51" t="str">
        <f t="shared" si="66"/>
        <v/>
      </c>
      <c r="M65" s="51" t="str">
        <f t="shared" si="66"/>
        <v/>
      </c>
      <c r="N65" s="51" t="str">
        <f t="shared" si="66"/>
        <v/>
      </c>
      <c r="O65" s="51" t="str">
        <f t="shared" si="66"/>
        <v/>
      </c>
      <c r="P65" s="51" t="str">
        <f t="shared" si="66"/>
        <v/>
      </c>
      <c r="Q65" s="51" t="str">
        <f t="shared" si="66"/>
        <v/>
      </c>
      <c r="R65" s="51" t="str">
        <f t="shared" si="66"/>
        <v/>
      </c>
      <c r="S65" s="51" t="str">
        <f t="shared" si="66"/>
        <v/>
      </c>
      <c r="T65" s="51" t="str">
        <f t="shared" si="66"/>
        <v/>
      </c>
      <c r="U65" s="52"/>
      <c r="V65" s="52" t="str">
        <f>IFERROR(__xludf.DUMMYFUNCTION("""COMPUTED_VALUE"""),"")</f>
        <v/>
      </c>
      <c r="W65" s="52" t="str">
        <f>IFERROR(__xludf.DUMMYFUNCTION("""COMPUTED_VALUE"""),"")</f>
        <v/>
      </c>
      <c r="X65" s="52" t="str">
        <f>IFERROR(__xludf.DUMMYFUNCTION("""COMPUTED_VALUE"""),"")</f>
        <v/>
      </c>
      <c r="Y65" s="52" t="str">
        <f>IFERROR(__xludf.DUMMYFUNCTION("""COMPUTED_VALUE"""),"")</f>
        <v/>
      </c>
      <c r="Z65" s="52" t="str">
        <f>IFERROR(__xludf.DUMMYFUNCTION("""COMPUTED_VALUE"""),"")</f>
        <v/>
      </c>
      <c r="AA65" s="52" t="str">
        <f>IFERROR(__xludf.DUMMYFUNCTION("""COMPUTED_VALUE"""),"")</f>
        <v/>
      </c>
      <c r="AB65" s="52" t="str">
        <f>IFERROR(__xludf.DUMMYFUNCTION("""COMPUTED_VALUE"""),"")</f>
        <v/>
      </c>
      <c r="AC65" s="52" t="str">
        <f>IFERROR(__xludf.DUMMYFUNCTION("""COMPUTED_VALUE"""),"")</f>
        <v/>
      </c>
      <c r="AD65" s="52" t="str">
        <f>IFERROR(__xludf.DUMMYFUNCTION("""COMPUTED_VALUE"""),"")</f>
        <v/>
      </c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</row>
    <row r="66">
      <c r="B66" s="49"/>
      <c r="C66" s="49" t="str">
        <f t="shared" si="2"/>
        <v/>
      </c>
      <c r="D66" s="50" t="str">
        <f t="shared" si="3"/>
        <v/>
      </c>
      <c r="E66" s="51" t="str">
        <f t="shared" ref="E66:T66" si="67">IFERROR(VLOOKUP($A66,INDIRECT("'" &amp; E$1 &amp; "'!$C:$G"), 5, FALSE),"")</f>
        <v/>
      </c>
      <c r="F66" s="51" t="str">
        <f t="shared" si="67"/>
        <v/>
      </c>
      <c r="G66" s="51" t="str">
        <f t="shared" si="67"/>
        <v/>
      </c>
      <c r="H66" s="51" t="str">
        <f t="shared" si="67"/>
        <v/>
      </c>
      <c r="I66" s="51" t="str">
        <f t="shared" si="67"/>
        <v/>
      </c>
      <c r="J66" s="51" t="str">
        <f t="shared" si="67"/>
        <v/>
      </c>
      <c r="K66" s="51" t="str">
        <f t="shared" si="67"/>
        <v/>
      </c>
      <c r="L66" s="51" t="str">
        <f t="shared" si="67"/>
        <v/>
      </c>
      <c r="M66" s="51" t="str">
        <f t="shared" si="67"/>
        <v/>
      </c>
      <c r="N66" s="51" t="str">
        <f t="shared" si="67"/>
        <v/>
      </c>
      <c r="O66" s="51" t="str">
        <f t="shared" si="67"/>
        <v/>
      </c>
      <c r="P66" s="51" t="str">
        <f t="shared" si="67"/>
        <v/>
      </c>
      <c r="Q66" s="51" t="str">
        <f t="shared" si="67"/>
        <v/>
      </c>
      <c r="R66" s="51" t="str">
        <f t="shared" si="67"/>
        <v/>
      </c>
      <c r="S66" s="51" t="str">
        <f t="shared" si="67"/>
        <v/>
      </c>
      <c r="T66" s="51" t="str">
        <f t="shared" si="67"/>
        <v/>
      </c>
      <c r="U66" s="52"/>
      <c r="V66" s="52" t="str">
        <f>IFERROR(__xludf.DUMMYFUNCTION("""COMPUTED_VALUE"""),"")</f>
        <v/>
      </c>
      <c r="W66" s="52" t="str">
        <f>IFERROR(__xludf.DUMMYFUNCTION("""COMPUTED_VALUE"""),"")</f>
        <v/>
      </c>
      <c r="X66" s="52" t="str">
        <f>IFERROR(__xludf.DUMMYFUNCTION("""COMPUTED_VALUE"""),"")</f>
        <v/>
      </c>
      <c r="Y66" s="52" t="str">
        <f>IFERROR(__xludf.DUMMYFUNCTION("""COMPUTED_VALUE"""),"")</f>
        <v/>
      </c>
      <c r="Z66" s="52" t="str">
        <f>IFERROR(__xludf.DUMMYFUNCTION("""COMPUTED_VALUE"""),"")</f>
        <v/>
      </c>
      <c r="AA66" s="52" t="str">
        <f>IFERROR(__xludf.DUMMYFUNCTION("""COMPUTED_VALUE"""),"")</f>
        <v/>
      </c>
      <c r="AB66" s="52" t="str">
        <f>IFERROR(__xludf.DUMMYFUNCTION("""COMPUTED_VALUE"""),"")</f>
        <v/>
      </c>
      <c r="AC66" s="52" t="str">
        <f>IFERROR(__xludf.DUMMYFUNCTION("""COMPUTED_VALUE"""),"")</f>
        <v/>
      </c>
      <c r="AD66" s="52" t="str">
        <f>IFERROR(__xludf.DUMMYFUNCTION("""COMPUTED_VALUE"""),"")</f>
        <v/>
      </c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</row>
    <row r="67">
      <c r="B67" s="49"/>
      <c r="C67" s="49" t="str">
        <f t="shared" si="2"/>
        <v/>
      </c>
      <c r="D67" s="50" t="str">
        <f t="shared" si="3"/>
        <v/>
      </c>
      <c r="E67" s="51" t="str">
        <f t="shared" ref="E67:T67" si="68">IFERROR(VLOOKUP($A67,INDIRECT("'" &amp; E$1 &amp; "'!$C:$G"), 5, FALSE),"")</f>
        <v/>
      </c>
      <c r="F67" s="51" t="str">
        <f t="shared" si="68"/>
        <v/>
      </c>
      <c r="G67" s="51" t="str">
        <f t="shared" si="68"/>
        <v/>
      </c>
      <c r="H67" s="51" t="str">
        <f t="shared" si="68"/>
        <v/>
      </c>
      <c r="I67" s="51" t="str">
        <f t="shared" si="68"/>
        <v/>
      </c>
      <c r="J67" s="51" t="str">
        <f t="shared" si="68"/>
        <v/>
      </c>
      <c r="K67" s="51" t="str">
        <f t="shared" si="68"/>
        <v/>
      </c>
      <c r="L67" s="51" t="str">
        <f t="shared" si="68"/>
        <v/>
      </c>
      <c r="M67" s="51" t="str">
        <f t="shared" si="68"/>
        <v/>
      </c>
      <c r="N67" s="51" t="str">
        <f t="shared" si="68"/>
        <v/>
      </c>
      <c r="O67" s="51" t="str">
        <f t="shared" si="68"/>
        <v/>
      </c>
      <c r="P67" s="51" t="str">
        <f t="shared" si="68"/>
        <v/>
      </c>
      <c r="Q67" s="51" t="str">
        <f t="shared" si="68"/>
        <v/>
      </c>
      <c r="R67" s="51" t="str">
        <f t="shared" si="68"/>
        <v/>
      </c>
      <c r="S67" s="51" t="str">
        <f t="shared" si="68"/>
        <v/>
      </c>
      <c r="T67" s="51" t="str">
        <f t="shared" si="68"/>
        <v/>
      </c>
      <c r="U67" s="52"/>
      <c r="V67" s="52" t="str">
        <f>IFERROR(__xludf.DUMMYFUNCTION("""COMPUTED_VALUE"""),"")</f>
        <v/>
      </c>
      <c r="W67" s="52" t="str">
        <f>IFERROR(__xludf.DUMMYFUNCTION("""COMPUTED_VALUE"""),"")</f>
        <v/>
      </c>
      <c r="X67" s="52" t="str">
        <f>IFERROR(__xludf.DUMMYFUNCTION("""COMPUTED_VALUE"""),"")</f>
        <v/>
      </c>
      <c r="Y67" s="52" t="str">
        <f>IFERROR(__xludf.DUMMYFUNCTION("""COMPUTED_VALUE"""),"")</f>
        <v/>
      </c>
      <c r="Z67" s="52" t="str">
        <f>IFERROR(__xludf.DUMMYFUNCTION("""COMPUTED_VALUE"""),"")</f>
        <v/>
      </c>
      <c r="AA67" s="52" t="str">
        <f>IFERROR(__xludf.DUMMYFUNCTION("""COMPUTED_VALUE"""),"")</f>
        <v/>
      </c>
      <c r="AB67" s="52" t="str">
        <f>IFERROR(__xludf.DUMMYFUNCTION("""COMPUTED_VALUE"""),"")</f>
        <v/>
      </c>
      <c r="AC67" s="52" t="str">
        <f>IFERROR(__xludf.DUMMYFUNCTION("""COMPUTED_VALUE"""),"")</f>
        <v/>
      </c>
      <c r="AD67" s="52" t="str">
        <f>IFERROR(__xludf.DUMMYFUNCTION("""COMPUTED_VALUE"""),"")</f>
        <v/>
      </c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</row>
    <row r="68">
      <c r="B68" s="49"/>
      <c r="C68" s="49" t="str">
        <f t="shared" si="2"/>
        <v/>
      </c>
      <c r="D68" s="50" t="str">
        <f t="shared" si="3"/>
        <v/>
      </c>
      <c r="E68" s="51" t="str">
        <f t="shared" ref="E68:T68" si="69">IFERROR(VLOOKUP($A68,INDIRECT("'" &amp; E$1 &amp; "'!$C:$G"), 5, FALSE),"")</f>
        <v/>
      </c>
      <c r="F68" s="51" t="str">
        <f t="shared" si="69"/>
        <v/>
      </c>
      <c r="G68" s="51" t="str">
        <f t="shared" si="69"/>
        <v/>
      </c>
      <c r="H68" s="51" t="str">
        <f t="shared" si="69"/>
        <v/>
      </c>
      <c r="I68" s="51" t="str">
        <f t="shared" si="69"/>
        <v/>
      </c>
      <c r="J68" s="51" t="str">
        <f t="shared" si="69"/>
        <v/>
      </c>
      <c r="K68" s="51" t="str">
        <f t="shared" si="69"/>
        <v/>
      </c>
      <c r="L68" s="51" t="str">
        <f t="shared" si="69"/>
        <v/>
      </c>
      <c r="M68" s="51" t="str">
        <f t="shared" si="69"/>
        <v/>
      </c>
      <c r="N68" s="51" t="str">
        <f t="shared" si="69"/>
        <v/>
      </c>
      <c r="O68" s="51" t="str">
        <f t="shared" si="69"/>
        <v/>
      </c>
      <c r="P68" s="51" t="str">
        <f t="shared" si="69"/>
        <v/>
      </c>
      <c r="Q68" s="51" t="str">
        <f t="shared" si="69"/>
        <v/>
      </c>
      <c r="R68" s="51" t="str">
        <f t="shared" si="69"/>
        <v/>
      </c>
      <c r="S68" s="51" t="str">
        <f t="shared" si="69"/>
        <v/>
      </c>
      <c r="T68" s="51" t="str">
        <f t="shared" si="69"/>
        <v/>
      </c>
      <c r="U68" s="52"/>
      <c r="V68" s="52" t="str">
        <f>IFERROR(__xludf.DUMMYFUNCTION("""COMPUTED_VALUE"""),"")</f>
        <v/>
      </c>
      <c r="W68" s="52" t="str">
        <f>IFERROR(__xludf.DUMMYFUNCTION("""COMPUTED_VALUE"""),"")</f>
        <v/>
      </c>
      <c r="X68" s="52" t="str">
        <f>IFERROR(__xludf.DUMMYFUNCTION("""COMPUTED_VALUE"""),"")</f>
        <v/>
      </c>
      <c r="Y68" s="52" t="str">
        <f>IFERROR(__xludf.DUMMYFUNCTION("""COMPUTED_VALUE"""),"")</f>
        <v/>
      </c>
      <c r="Z68" s="52" t="str">
        <f>IFERROR(__xludf.DUMMYFUNCTION("""COMPUTED_VALUE"""),"")</f>
        <v/>
      </c>
      <c r="AA68" s="52" t="str">
        <f>IFERROR(__xludf.DUMMYFUNCTION("""COMPUTED_VALUE"""),"")</f>
        <v/>
      </c>
      <c r="AB68" s="52" t="str">
        <f>IFERROR(__xludf.DUMMYFUNCTION("""COMPUTED_VALUE"""),"")</f>
        <v/>
      </c>
      <c r="AC68" s="52" t="str">
        <f>IFERROR(__xludf.DUMMYFUNCTION("""COMPUTED_VALUE"""),"")</f>
        <v/>
      </c>
      <c r="AD68" s="52" t="str">
        <f>IFERROR(__xludf.DUMMYFUNCTION("""COMPUTED_VALUE"""),"")</f>
        <v/>
      </c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</row>
    <row r="69">
      <c r="B69" s="49"/>
      <c r="C69" s="49" t="str">
        <f t="shared" si="2"/>
        <v/>
      </c>
      <c r="D69" s="50" t="str">
        <f t="shared" si="3"/>
        <v/>
      </c>
      <c r="E69" s="51" t="str">
        <f t="shared" ref="E69:T69" si="70">IFERROR(VLOOKUP($A69,INDIRECT("'" &amp; E$1 &amp; "'!$C:$G"), 5, FALSE),"")</f>
        <v/>
      </c>
      <c r="F69" s="51" t="str">
        <f t="shared" si="70"/>
        <v/>
      </c>
      <c r="G69" s="51" t="str">
        <f t="shared" si="70"/>
        <v/>
      </c>
      <c r="H69" s="51" t="str">
        <f t="shared" si="70"/>
        <v/>
      </c>
      <c r="I69" s="51" t="str">
        <f t="shared" si="70"/>
        <v/>
      </c>
      <c r="J69" s="51" t="str">
        <f t="shared" si="70"/>
        <v/>
      </c>
      <c r="K69" s="51" t="str">
        <f t="shared" si="70"/>
        <v/>
      </c>
      <c r="L69" s="51" t="str">
        <f t="shared" si="70"/>
        <v/>
      </c>
      <c r="M69" s="51" t="str">
        <f t="shared" si="70"/>
        <v/>
      </c>
      <c r="N69" s="51" t="str">
        <f t="shared" si="70"/>
        <v/>
      </c>
      <c r="O69" s="51" t="str">
        <f t="shared" si="70"/>
        <v/>
      </c>
      <c r="P69" s="51" t="str">
        <f t="shared" si="70"/>
        <v/>
      </c>
      <c r="Q69" s="51" t="str">
        <f t="shared" si="70"/>
        <v/>
      </c>
      <c r="R69" s="51" t="str">
        <f t="shared" si="70"/>
        <v/>
      </c>
      <c r="S69" s="51" t="str">
        <f t="shared" si="70"/>
        <v/>
      </c>
      <c r="T69" s="51" t="str">
        <f t="shared" si="70"/>
        <v/>
      </c>
      <c r="U69" s="52"/>
      <c r="V69" s="52" t="str">
        <f>IFERROR(__xludf.DUMMYFUNCTION("""COMPUTED_VALUE"""),"")</f>
        <v/>
      </c>
      <c r="W69" s="52" t="str">
        <f>IFERROR(__xludf.DUMMYFUNCTION("""COMPUTED_VALUE"""),"")</f>
        <v/>
      </c>
      <c r="X69" s="52" t="str">
        <f>IFERROR(__xludf.DUMMYFUNCTION("""COMPUTED_VALUE"""),"")</f>
        <v/>
      </c>
      <c r="Y69" s="52" t="str">
        <f>IFERROR(__xludf.DUMMYFUNCTION("""COMPUTED_VALUE"""),"")</f>
        <v/>
      </c>
      <c r="Z69" s="52" t="str">
        <f>IFERROR(__xludf.DUMMYFUNCTION("""COMPUTED_VALUE"""),"")</f>
        <v/>
      </c>
      <c r="AA69" s="52" t="str">
        <f>IFERROR(__xludf.DUMMYFUNCTION("""COMPUTED_VALUE"""),"")</f>
        <v/>
      </c>
      <c r="AB69" s="52" t="str">
        <f>IFERROR(__xludf.DUMMYFUNCTION("""COMPUTED_VALUE"""),"")</f>
        <v/>
      </c>
      <c r="AC69" s="52" t="str">
        <f>IFERROR(__xludf.DUMMYFUNCTION("""COMPUTED_VALUE"""),"")</f>
        <v/>
      </c>
      <c r="AD69" s="52" t="str">
        <f>IFERROR(__xludf.DUMMYFUNCTION("""COMPUTED_VALUE"""),"")</f>
        <v/>
      </c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</row>
    <row r="70">
      <c r="B70" s="49"/>
      <c r="C70" s="49" t="str">
        <f t="shared" si="2"/>
        <v/>
      </c>
      <c r="D70" s="50" t="str">
        <f t="shared" si="3"/>
        <v/>
      </c>
      <c r="E70" s="51" t="str">
        <f t="shared" ref="E70:T70" si="71">IFERROR(VLOOKUP($A70,INDIRECT("'" &amp; E$1 &amp; "'!$C:$G"), 5, FALSE),"")</f>
        <v/>
      </c>
      <c r="F70" s="51" t="str">
        <f t="shared" si="71"/>
        <v/>
      </c>
      <c r="G70" s="51" t="str">
        <f t="shared" si="71"/>
        <v/>
      </c>
      <c r="H70" s="51" t="str">
        <f t="shared" si="71"/>
        <v/>
      </c>
      <c r="I70" s="51" t="str">
        <f t="shared" si="71"/>
        <v/>
      </c>
      <c r="J70" s="51" t="str">
        <f t="shared" si="71"/>
        <v/>
      </c>
      <c r="K70" s="51" t="str">
        <f t="shared" si="71"/>
        <v/>
      </c>
      <c r="L70" s="51" t="str">
        <f t="shared" si="71"/>
        <v/>
      </c>
      <c r="M70" s="51" t="str">
        <f t="shared" si="71"/>
        <v/>
      </c>
      <c r="N70" s="51" t="str">
        <f t="shared" si="71"/>
        <v/>
      </c>
      <c r="O70" s="51" t="str">
        <f t="shared" si="71"/>
        <v/>
      </c>
      <c r="P70" s="51" t="str">
        <f t="shared" si="71"/>
        <v/>
      </c>
      <c r="Q70" s="51" t="str">
        <f t="shared" si="71"/>
        <v/>
      </c>
      <c r="R70" s="51" t="str">
        <f t="shared" si="71"/>
        <v/>
      </c>
      <c r="S70" s="51" t="str">
        <f t="shared" si="71"/>
        <v/>
      </c>
      <c r="T70" s="51" t="str">
        <f t="shared" si="71"/>
        <v/>
      </c>
      <c r="U70" s="52"/>
      <c r="V70" s="52" t="str">
        <f>IFERROR(__xludf.DUMMYFUNCTION("""COMPUTED_VALUE"""),"")</f>
        <v/>
      </c>
      <c r="W70" s="52" t="str">
        <f>IFERROR(__xludf.DUMMYFUNCTION("""COMPUTED_VALUE"""),"")</f>
        <v/>
      </c>
      <c r="X70" s="52" t="str">
        <f>IFERROR(__xludf.DUMMYFUNCTION("""COMPUTED_VALUE"""),"")</f>
        <v/>
      </c>
      <c r="Y70" s="52" t="str">
        <f>IFERROR(__xludf.DUMMYFUNCTION("""COMPUTED_VALUE"""),"")</f>
        <v/>
      </c>
      <c r="Z70" s="52" t="str">
        <f>IFERROR(__xludf.DUMMYFUNCTION("""COMPUTED_VALUE"""),"")</f>
        <v/>
      </c>
      <c r="AA70" s="52" t="str">
        <f>IFERROR(__xludf.DUMMYFUNCTION("""COMPUTED_VALUE"""),"")</f>
        <v/>
      </c>
      <c r="AB70" s="52" t="str">
        <f>IFERROR(__xludf.DUMMYFUNCTION("""COMPUTED_VALUE"""),"")</f>
        <v/>
      </c>
      <c r="AC70" s="52" t="str">
        <f>IFERROR(__xludf.DUMMYFUNCTION("""COMPUTED_VALUE"""),"")</f>
        <v/>
      </c>
      <c r="AD70" s="52" t="str">
        <f>IFERROR(__xludf.DUMMYFUNCTION("""COMPUTED_VALUE"""),"")</f>
        <v/>
      </c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</row>
    <row r="71">
      <c r="B71" s="49"/>
      <c r="C71" s="49" t="str">
        <f t="shared" si="2"/>
        <v/>
      </c>
      <c r="D71" s="50" t="str">
        <f t="shared" si="3"/>
        <v/>
      </c>
      <c r="E71" s="51" t="str">
        <f t="shared" ref="E71:T71" si="72">IFERROR(VLOOKUP($A71,INDIRECT("'" &amp; E$1 &amp; "'!$C:$G"), 5, FALSE),"")</f>
        <v/>
      </c>
      <c r="F71" s="51" t="str">
        <f t="shared" si="72"/>
        <v/>
      </c>
      <c r="G71" s="51" t="str">
        <f t="shared" si="72"/>
        <v/>
      </c>
      <c r="H71" s="51" t="str">
        <f t="shared" si="72"/>
        <v/>
      </c>
      <c r="I71" s="51" t="str">
        <f t="shared" si="72"/>
        <v/>
      </c>
      <c r="J71" s="51" t="str">
        <f t="shared" si="72"/>
        <v/>
      </c>
      <c r="K71" s="51" t="str">
        <f t="shared" si="72"/>
        <v/>
      </c>
      <c r="L71" s="51" t="str">
        <f t="shared" si="72"/>
        <v/>
      </c>
      <c r="M71" s="51" t="str">
        <f t="shared" si="72"/>
        <v/>
      </c>
      <c r="N71" s="51" t="str">
        <f t="shared" si="72"/>
        <v/>
      </c>
      <c r="O71" s="51" t="str">
        <f t="shared" si="72"/>
        <v/>
      </c>
      <c r="P71" s="51" t="str">
        <f t="shared" si="72"/>
        <v/>
      </c>
      <c r="Q71" s="51" t="str">
        <f t="shared" si="72"/>
        <v/>
      </c>
      <c r="R71" s="51" t="str">
        <f t="shared" si="72"/>
        <v/>
      </c>
      <c r="S71" s="51" t="str">
        <f t="shared" si="72"/>
        <v/>
      </c>
      <c r="T71" s="51" t="str">
        <f t="shared" si="72"/>
        <v/>
      </c>
      <c r="U71" s="52"/>
      <c r="V71" s="52" t="str">
        <f>IFERROR(__xludf.DUMMYFUNCTION("""COMPUTED_VALUE"""),"")</f>
        <v/>
      </c>
      <c r="W71" s="52" t="str">
        <f>IFERROR(__xludf.DUMMYFUNCTION("""COMPUTED_VALUE"""),"")</f>
        <v/>
      </c>
      <c r="X71" s="52" t="str">
        <f>IFERROR(__xludf.DUMMYFUNCTION("""COMPUTED_VALUE"""),"")</f>
        <v/>
      </c>
      <c r="Y71" s="52" t="str">
        <f>IFERROR(__xludf.DUMMYFUNCTION("""COMPUTED_VALUE"""),"")</f>
        <v/>
      </c>
      <c r="Z71" s="52" t="str">
        <f>IFERROR(__xludf.DUMMYFUNCTION("""COMPUTED_VALUE"""),"")</f>
        <v/>
      </c>
      <c r="AA71" s="52" t="str">
        <f>IFERROR(__xludf.DUMMYFUNCTION("""COMPUTED_VALUE"""),"")</f>
        <v/>
      </c>
      <c r="AB71" s="52" t="str">
        <f>IFERROR(__xludf.DUMMYFUNCTION("""COMPUTED_VALUE"""),"")</f>
        <v/>
      </c>
      <c r="AC71" s="52" t="str">
        <f>IFERROR(__xludf.DUMMYFUNCTION("""COMPUTED_VALUE"""),"")</f>
        <v/>
      </c>
      <c r="AD71" s="52" t="str">
        <f>IFERROR(__xludf.DUMMYFUNCTION("""COMPUTED_VALUE"""),"")</f>
        <v/>
      </c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</row>
    <row r="72">
      <c r="B72" s="49"/>
      <c r="C72" s="49" t="str">
        <f t="shared" si="2"/>
        <v/>
      </c>
      <c r="D72" s="50" t="str">
        <f t="shared" si="3"/>
        <v/>
      </c>
      <c r="E72" s="51" t="str">
        <f t="shared" ref="E72:T72" si="73">IFERROR(VLOOKUP($A72,INDIRECT("'" &amp; E$1 &amp; "'!$C:$G"), 5, FALSE),"")</f>
        <v/>
      </c>
      <c r="F72" s="51" t="str">
        <f t="shared" si="73"/>
        <v/>
      </c>
      <c r="G72" s="51" t="str">
        <f t="shared" si="73"/>
        <v/>
      </c>
      <c r="H72" s="51" t="str">
        <f t="shared" si="73"/>
        <v/>
      </c>
      <c r="I72" s="51" t="str">
        <f t="shared" si="73"/>
        <v/>
      </c>
      <c r="J72" s="51" t="str">
        <f t="shared" si="73"/>
        <v/>
      </c>
      <c r="K72" s="51" t="str">
        <f t="shared" si="73"/>
        <v/>
      </c>
      <c r="L72" s="51" t="str">
        <f t="shared" si="73"/>
        <v/>
      </c>
      <c r="M72" s="51" t="str">
        <f t="shared" si="73"/>
        <v/>
      </c>
      <c r="N72" s="51" t="str">
        <f t="shared" si="73"/>
        <v/>
      </c>
      <c r="O72" s="51" t="str">
        <f t="shared" si="73"/>
        <v/>
      </c>
      <c r="P72" s="51" t="str">
        <f t="shared" si="73"/>
        <v/>
      </c>
      <c r="Q72" s="51" t="str">
        <f t="shared" si="73"/>
        <v/>
      </c>
      <c r="R72" s="51" t="str">
        <f t="shared" si="73"/>
        <v/>
      </c>
      <c r="S72" s="51" t="str">
        <f t="shared" si="73"/>
        <v/>
      </c>
      <c r="T72" s="51" t="str">
        <f t="shared" si="73"/>
        <v/>
      </c>
      <c r="U72" s="52"/>
      <c r="V72" s="52" t="str">
        <f>IFERROR(__xludf.DUMMYFUNCTION("""COMPUTED_VALUE"""),"")</f>
        <v/>
      </c>
      <c r="W72" s="52" t="str">
        <f>IFERROR(__xludf.DUMMYFUNCTION("""COMPUTED_VALUE"""),"")</f>
        <v/>
      </c>
      <c r="X72" s="52" t="str">
        <f>IFERROR(__xludf.DUMMYFUNCTION("""COMPUTED_VALUE"""),"")</f>
        <v/>
      </c>
      <c r="Y72" s="52" t="str">
        <f>IFERROR(__xludf.DUMMYFUNCTION("""COMPUTED_VALUE"""),"")</f>
        <v/>
      </c>
      <c r="Z72" s="52" t="str">
        <f>IFERROR(__xludf.DUMMYFUNCTION("""COMPUTED_VALUE"""),"")</f>
        <v/>
      </c>
      <c r="AA72" s="52" t="str">
        <f>IFERROR(__xludf.DUMMYFUNCTION("""COMPUTED_VALUE"""),"")</f>
        <v/>
      </c>
      <c r="AB72" s="52" t="str">
        <f>IFERROR(__xludf.DUMMYFUNCTION("""COMPUTED_VALUE"""),"")</f>
        <v/>
      </c>
      <c r="AC72" s="52" t="str">
        <f>IFERROR(__xludf.DUMMYFUNCTION("""COMPUTED_VALUE"""),"")</f>
        <v/>
      </c>
      <c r="AD72" s="52" t="str">
        <f>IFERROR(__xludf.DUMMYFUNCTION("""COMPUTED_VALUE"""),"")</f>
        <v/>
      </c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</row>
    <row r="73">
      <c r="B73" s="49"/>
      <c r="C73" s="49" t="str">
        <f t="shared" si="2"/>
        <v/>
      </c>
      <c r="D73" s="50" t="str">
        <f t="shared" si="3"/>
        <v/>
      </c>
      <c r="E73" s="51" t="str">
        <f t="shared" ref="E73:T73" si="74">IFERROR(VLOOKUP($A73,INDIRECT("'" &amp; E$1 &amp; "'!$C:$G"), 5, FALSE),"")</f>
        <v/>
      </c>
      <c r="F73" s="51" t="str">
        <f t="shared" si="74"/>
        <v/>
      </c>
      <c r="G73" s="51" t="str">
        <f t="shared" si="74"/>
        <v/>
      </c>
      <c r="H73" s="51" t="str">
        <f t="shared" si="74"/>
        <v/>
      </c>
      <c r="I73" s="51" t="str">
        <f t="shared" si="74"/>
        <v/>
      </c>
      <c r="J73" s="51" t="str">
        <f t="shared" si="74"/>
        <v/>
      </c>
      <c r="K73" s="51" t="str">
        <f t="shared" si="74"/>
        <v/>
      </c>
      <c r="L73" s="51" t="str">
        <f t="shared" si="74"/>
        <v/>
      </c>
      <c r="M73" s="51" t="str">
        <f t="shared" si="74"/>
        <v/>
      </c>
      <c r="N73" s="51" t="str">
        <f t="shared" si="74"/>
        <v/>
      </c>
      <c r="O73" s="51" t="str">
        <f t="shared" si="74"/>
        <v/>
      </c>
      <c r="P73" s="51" t="str">
        <f t="shared" si="74"/>
        <v/>
      </c>
      <c r="Q73" s="51" t="str">
        <f t="shared" si="74"/>
        <v/>
      </c>
      <c r="R73" s="51" t="str">
        <f t="shared" si="74"/>
        <v/>
      </c>
      <c r="S73" s="51" t="str">
        <f t="shared" si="74"/>
        <v/>
      </c>
      <c r="T73" s="51" t="str">
        <f t="shared" si="74"/>
        <v/>
      </c>
      <c r="U73" s="52"/>
      <c r="V73" s="52" t="str">
        <f>IFERROR(__xludf.DUMMYFUNCTION("""COMPUTED_VALUE"""),"")</f>
        <v/>
      </c>
      <c r="W73" s="52" t="str">
        <f>IFERROR(__xludf.DUMMYFUNCTION("""COMPUTED_VALUE"""),"")</f>
        <v/>
      </c>
      <c r="X73" s="52" t="str">
        <f>IFERROR(__xludf.DUMMYFUNCTION("""COMPUTED_VALUE"""),"")</f>
        <v/>
      </c>
      <c r="Y73" s="52" t="str">
        <f>IFERROR(__xludf.DUMMYFUNCTION("""COMPUTED_VALUE"""),"")</f>
        <v/>
      </c>
      <c r="Z73" s="52" t="str">
        <f>IFERROR(__xludf.DUMMYFUNCTION("""COMPUTED_VALUE"""),"")</f>
        <v/>
      </c>
      <c r="AA73" s="52" t="str">
        <f>IFERROR(__xludf.DUMMYFUNCTION("""COMPUTED_VALUE"""),"")</f>
        <v/>
      </c>
      <c r="AB73" s="52" t="str">
        <f>IFERROR(__xludf.DUMMYFUNCTION("""COMPUTED_VALUE"""),"")</f>
        <v/>
      </c>
      <c r="AC73" s="52" t="str">
        <f>IFERROR(__xludf.DUMMYFUNCTION("""COMPUTED_VALUE"""),"")</f>
        <v/>
      </c>
      <c r="AD73" s="52" t="str">
        <f>IFERROR(__xludf.DUMMYFUNCTION("""COMPUTED_VALUE"""),"")</f>
        <v/>
      </c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</row>
    <row r="74">
      <c r="B74" s="49"/>
      <c r="C74" s="49" t="str">
        <f t="shared" si="2"/>
        <v/>
      </c>
      <c r="D74" s="50" t="str">
        <f t="shared" si="3"/>
        <v/>
      </c>
      <c r="E74" s="51" t="str">
        <f t="shared" ref="E74:T74" si="75">IFERROR(VLOOKUP($A74,INDIRECT("'" &amp; E$1 &amp; "'!$C:$G"), 5, FALSE),"")</f>
        <v/>
      </c>
      <c r="F74" s="51" t="str">
        <f t="shared" si="75"/>
        <v/>
      </c>
      <c r="G74" s="51" t="str">
        <f t="shared" si="75"/>
        <v/>
      </c>
      <c r="H74" s="51" t="str">
        <f t="shared" si="75"/>
        <v/>
      </c>
      <c r="I74" s="51" t="str">
        <f t="shared" si="75"/>
        <v/>
      </c>
      <c r="J74" s="51" t="str">
        <f t="shared" si="75"/>
        <v/>
      </c>
      <c r="K74" s="51" t="str">
        <f t="shared" si="75"/>
        <v/>
      </c>
      <c r="L74" s="51" t="str">
        <f t="shared" si="75"/>
        <v/>
      </c>
      <c r="M74" s="51" t="str">
        <f t="shared" si="75"/>
        <v/>
      </c>
      <c r="N74" s="51" t="str">
        <f t="shared" si="75"/>
        <v/>
      </c>
      <c r="O74" s="51" t="str">
        <f t="shared" si="75"/>
        <v/>
      </c>
      <c r="P74" s="51" t="str">
        <f t="shared" si="75"/>
        <v/>
      </c>
      <c r="Q74" s="51" t="str">
        <f t="shared" si="75"/>
        <v/>
      </c>
      <c r="R74" s="51" t="str">
        <f t="shared" si="75"/>
        <v/>
      </c>
      <c r="S74" s="51" t="str">
        <f t="shared" si="75"/>
        <v/>
      </c>
      <c r="T74" s="51" t="str">
        <f t="shared" si="75"/>
        <v/>
      </c>
      <c r="U74" s="52"/>
      <c r="V74" s="52" t="str">
        <f>IFERROR(__xludf.DUMMYFUNCTION("""COMPUTED_VALUE"""),"")</f>
        <v/>
      </c>
      <c r="W74" s="52" t="str">
        <f>IFERROR(__xludf.DUMMYFUNCTION("""COMPUTED_VALUE"""),"")</f>
        <v/>
      </c>
      <c r="X74" s="52" t="str">
        <f>IFERROR(__xludf.DUMMYFUNCTION("""COMPUTED_VALUE"""),"")</f>
        <v/>
      </c>
      <c r="Y74" s="52" t="str">
        <f>IFERROR(__xludf.DUMMYFUNCTION("""COMPUTED_VALUE"""),"")</f>
        <v/>
      </c>
      <c r="Z74" s="52" t="str">
        <f>IFERROR(__xludf.DUMMYFUNCTION("""COMPUTED_VALUE"""),"")</f>
        <v/>
      </c>
      <c r="AA74" s="52" t="str">
        <f>IFERROR(__xludf.DUMMYFUNCTION("""COMPUTED_VALUE"""),"")</f>
        <v/>
      </c>
      <c r="AB74" s="52" t="str">
        <f>IFERROR(__xludf.DUMMYFUNCTION("""COMPUTED_VALUE"""),"")</f>
        <v/>
      </c>
      <c r="AC74" s="52" t="str">
        <f>IFERROR(__xludf.DUMMYFUNCTION("""COMPUTED_VALUE"""),"")</f>
        <v/>
      </c>
      <c r="AD74" s="52" t="str">
        <f>IFERROR(__xludf.DUMMYFUNCTION("""COMPUTED_VALUE"""),"")</f>
        <v/>
      </c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</row>
    <row r="75">
      <c r="B75" s="49"/>
      <c r="C75" s="49" t="str">
        <f t="shared" si="2"/>
        <v/>
      </c>
      <c r="D75" s="50" t="str">
        <f t="shared" si="3"/>
        <v/>
      </c>
      <c r="E75" s="51" t="str">
        <f t="shared" ref="E75:T75" si="76">IFERROR(VLOOKUP($A75,INDIRECT("'" &amp; E$1 &amp; "'!$C:$G"), 5, FALSE),"")</f>
        <v/>
      </c>
      <c r="F75" s="51" t="str">
        <f t="shared" si="76"/>
        <v/>
      </c>
      <c r="G75" s="51" t="str">
        <f t="shared" si="76"/>
        <v/>
      </c>
      <c r="H75" s="51" t="str">
        <f t="shared" si="76"/>
        <v/>
      </c>
      <c r="I75" s="51" t="str">
        <f t="shared" si="76"/>
        <v/>
      </c>
      <c r="J75" s="51" t="str">
        <f t="shared" si="76"/>
        <v/>
      </c>
      <c r="K75" s="51" t="str">
        <f t="shared" si="76"/>
        <v/>
      </c>
      <c r="L75" s="51" t="str">
        <f t="shared" si="76"/>
        <v/>
      </c>
      <c r="M75" s="51" t="str">
        <f t="shared" si="76"/>
        <v/>
      </c>
      <c r="N75" s="51" t="str">
        <f t="shared" si="76"/>
        <v/>
      </c>
      <c r="O75" s="51" t="str">
        <f t="shared" si="76"/>
        <v/>
      </c>
      <c r="P75" s="51" t="str">
        <f t="shared" si="76"/>
        <v/>
      </c>
      <c r="Q75" s="51" t="str">
        <f t="shared" si="76"/>
        <v/>
      </c>
      <c r="R75" s="51" t="str">
        <f t="shared" si="76"/>
        <v/>
      </c>
      <c r="S75" s="51" t="str">
        <f t="shared" si="76"/>
        <v/>
      </c>
      <c r="T75" s="51" t="str">
        <f t="shared" si="76"/>
        <v/>
      </c>
      <c r="U75" s="52"/>
      <c r="V75" s="52" t="str">
        <f>IFERROR(__xludf.DUMMYFUNCTION("""COMPUTED_VALUE"""),"")</f>
        <v/>
      </c>
      <c r="W75" s="52" t="str">
        <f>IFERROR(__xludf.DUMMYFUNCTION("""COMPUTED_VALUE"""),"")</f>
        <v/>
      </c>
      <c r="X75" s="52" t="str">
        <f>IFERROR(__xludf.DUMMYFUNCTION("""COMPUTED_VALUE"""),"")</f>
        <v/>
      </c>
      <c r="Y75" s="52" t="str">
        <f>IFERROR(__xludf.DUMMYFUNCTION("""COMPUTED_VALUE"""),"")</f>
        <v/>
      </c>
      <c r="Z75" s="52" t="str">
        <f>IFERROR(__xludf.DUMMYFUNCTION("""COMPUTED_VALUE"""),"")</f>
        <v/>
      </c>
      <c r="AA75" s="52" t="str">
        <f>IFERROR(__xludf.DUMMYFUNCTION("""COMPUTED_VALUE"""),"")</f>
        <v/>
      </c>
      <c r="AB75" s="52" t="str">
        <f>IFERROR(__xludf.DUMMYFUNCTION("""COMPUTED_VALUE"""),"")</f>
        <v/>
      </c>
      <c r="AC75" s="52" t="str">
        <f>IFERROR(__xludf.DUMMYFUNCTION("""COMPUTED_VALUE"""),"")</f>
        <v/>
      </c>
      <c r="AD75" s="52" t="str">
        <f>IFERROR(__xludf.DUMMYFUNCTION("""COMPUTED_VALUE"""),"")</f>
        <v/>
      </c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</row>
    <row r="76">
      <c r="B76" s="49"/>
      <c r="C76" s="49" t="str">
        <f t="shared" si="2"/>
        <v/>
      </c>
      <c r="D76" s="50" t="str">
        <f t="shared" si="3"/>
        <v/>
      </c>
      <c r="E76" s="51" t="str">
        <f t="shared" ref="E76:T76" si="77">IFERROR(VLOOKUP($A76,INDIRECT("'" &amp; E$1 &amp; "'!$C:$G"), 5, FALSE),"")</f>
        <v/>
      </c>
      <c r="F76" s="51" t="str">
        <f t="shared" si="77"/>
        <v/>
      </c>
      <c r="G76" s="51" t="str">
        <f t="shared" si="77"/>
        <v/>
      </c>
      <c r="H76" s="51" t="str">
        <f t="shared" si="77"/>
        <v/>
      </c>
      <c r="I76" s="51" t="str">
        <f t="shared" si="77"/>
        <v/>
      </c>
      <c r="J76" s="51" t="str">
        <f t="shared" si="77"/>
        <v/>
      </c>
      <c r="K76" s="51" t="str">
        <f t="shared" si="77"/>
        <v/>
      </c>
      <c r="L76" s="51" t="str">
        <f t="shared" si="77"/>
        <v/>
      </c>
      <c r="M76" s="51" t="str">
        <f t="shared" si="77"/>
        <v/>
      </c>
      <c r="N76" s="51" t="str">
        <f t="shared" si="77"/>
        <v/>
      </c>
      <c r="O76" s="51" t="str">
        <f t="shared" si="77"/>
        <v/>
      </c>
      <c r="P76" s="51" t="str">
        <f t="shared" si="77"/>
        <v/>
      </c>
      <c r="Q76" s="51" t="str">
        <f t="shared" si="77"/>
        <v/>
      </c>
      <c r="R76" s="51" t="str">
        <f t="shared" si="77"/>
        <v/>
      </c>
      <c r="S76" s="51" t="str">
        <f t="shared" si="77"/>
        <v/>
      </c>
      <c r="T76" s="51" t="str">
        <f t="shared" si="77"/>
        <v/>
      </c>
      <c r="U76" s="52"/>
      <c r="V76" s="52" t="str">
        <f>IFERROR(__xludf.DUMMYFUNCTION("""COMPUTED_VALUE"""),"")</f>
        <v/>
      </c>
      <c r="W76" s="52" t="str">
        <f>IFERROR(__xludf.DUMMYFUNCTION("""COMPUTED_VALUE"""),"")</f>
        <v/>
      </c>
      <c r="X76" s="52" t="str">
        <f>IFERROR(__xludf.DUMMYFUNCTION("""COMPUTED_VALUE"""),"")</f>
        <v/>
      </c>
      <c r="Y76" s="52" t="str">
        <f>IFERROR(__xludf.DUMMYFUNCTION("""COMPUTED_VALUE"""),"")</f>
        <v/>
      </c>
      <c r="Z76" s="52" t="str">
        <f>IFERROR(__xludf.DUMMYFUNCTION("""COMPUTED_VALUE"""),"")</f>
        <v/>
      </c>
      <c r="AA76" s="52" t="str">
        <f>IFERROR(__xludf.DUMMYFUNCTION("""COMPUTED_VALUE"""),"")</f>
        <v/>
      </c>
      <c r="AB76" s="52" t="str">
        <f>IFERROR(__xludf.DUMMYFUNCTION("""COMPUTED_VALUE"""),"")</f>
        <v/>
      </c>
      <c r="AC76" s="52" t="str">
        <f>IFERROR(__xludf.DUMMYFUNCTION("""COMPUTED_VALUE"""),"")</f>
        <v/>
      </c>
      <c r="AD76" s="52" t="str">
        <f>IFERROR(__xludf.DUMMYFUNCTION("""COMPUTED_VALUE"""),"")</f>
        <v/>
      </c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</row>
    <row r="77">
      <c r="B77" s="49"/>
      <c r="C77" s="49" t="str">
        <f t="shared" si="2"/>
        <v/>
      </c>
      <c r="D77" s="50" t="str">
        <f t="shared" si="3"/>
        <v/>
      </c>
      <c r="E77" s="51" t="str">
        <f t="shared" ref="E77:T77" si="78">IFERROR(VLOOKUP($A77,INDIRECT("'" &amp; E$1 &amp; "'!$C:$G"), 5, FALSE),"")</f>
        <v/>
      </c>
      <c r="F77" s="51" t="str">
        <f t="shared" si="78"/>
        <v/>
      </c>
      <c r="G77" s="51" t="str">
        <f t="shared" si="78"/>
        <v/>
      </c>
      <c r="H77" s="51" t="str">
        <f t="shared" si="78"/>
        <v/>
      </c>
      <c r="I77" s="51" t="str">
        <f t="shared" si="78"/>
        <v/>
      </c>
      <c r="J77" s="51" t="str">
        <f t="shared" si="78"/>
        <v/>
      </c>
      <c r="K77" s="51" t="str">
        <f t="shared" si="78"/>
        <v/>
      </c>
      <c r="L77" s="51" t="str">
        <f t="shared" si="78"/>
        <v/>
      </c>
      <c r="M77" s="51" t="str">
        <f t="shared" si="78"/>
        <v/>
      </c>
      <c r="N77" s="51" t="str">
        <f t="shared" si="78"/>
        <v/>
      </c>
      <c r="O77" s="51" t="str">
        <f t="shared" si="78"/>
        <v/>
      </c>
      <c r="P77" s="51" t="str">
        <f t="shared" si="78"/>
        <v/>
      </c>
      <c r="Q77" s="51" t="str">
        <f t="shared" si="78"/>
        <v/>
      </c>
      <c r="R77" s="51" t="str">
        <f t="shared" si="78"/>
        <v/>
      </c>
      <c r="S77" s="51" t="str">
        <f t="shared" si="78"/>
        <v/>
      </c>
      <c r="T77" s="51" t="str">
        <f t="shared" si="78"/>
        <v/>
      </c>
      <c r="U77" s="52"/>
      <c r="V77" s="52" t="str">
        <f>IFERROR(__xludf.DUMMYFUNCTION("""COMPUTED_VALUE"""),"")</f>
        <v/>
      </c>
      <c r="W77" s="52" t="str">
        <f>IFERROR(__xludf.DUMMYFUNCTION("""COMPUTED_VALUE"""),"")</f>
        <v/>
      </c>
      <c r="X77" s="52" t="str">
        <f>IFERROR(__xludf.DUMMYFUNCTION("""COMPUTED_VALUE"""),"")</f>
        <v/>
      </c>
      <c r="Y77" s="52" t="str">
        <f>IFERROR(__xludf.DUMMYFUNCTION("""COMPUTED_VALUE"""),"")</f>
        <v/>
      </c>
      <c r="Z77" s="52" t="str">
        <f>IFERROR(__xludf.DUMMYFUNCTION("""COMPUTED_VALUE"""),"")</f>
        <v/>
      </c>
      <c r="AA77" s="52" t="str">
        <f>IFERROR(__xludf.DUMMYFUNCTION("""COMPUTED_VALUE"""),"")</f>
        <v/>
      </c>
      <c r="AB77" s="52" t="str">
        <f>IFERROR(__xludf.DUMMYFUNCTION("""COMPUTED_VALUE"""),"")</f>
        <v/>
      </c>
      <c r="AC77" s="52" t="str">
        <f>IFERROR(__xludf.DUMMYFUNCTION("""COMPUTED_VALUE"""),"")</f>
        <v/>
      </c>
      <c r="AD77" s="52" t="str">
        <f>IFERROR(__xludf.DUMMYFUNCTION("""COMPUTED_VALUE"""),"")</f>
        <v/>
      </c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</row>
    <row r="78">
      <c r="B78" s="49"/>
      <c r="C78" s="49" t="str">
        <f t="shared" si="2"/>
        <v/>
      </c>
      <c r="D78" s="50" t="str">
        <f t="shared" si="3"/>
        <v/>
      </c>
      <c r="E78" s="51" t="str">
        <f t="shared" ref="E78:T78" si="79">IFERROR(VLOOKUP($A78,INDIRECT("'" &amp; E$1 &amp; "'!$C:$G"), 5, FALSE),"")</f>
        <v/>
      </c>
      <c r="F78" s="51" t="str">
        <f t="shared" si="79"/>
        <v/>
      </c>
      <c r="G78" s="51" t="str">
        <f t="shared" si="79"/>
        <v/>
      </c>
      <c r="H78" s="51" t="str">
        <f t="shared" si="79"/>
        <v/>
      </c>
      <c r="I78" s="51" t="str">
        <f t="shared" si="79"/>
        <v/>
      </c>
      <c r="J78" s="51" t="str">
        <f t="shared" si="79"/>
        <v/>
      </c>
      <c r="K78" s="51" t="str">
        <f t="shared" si="79"/>
        <v/>
      </c>
      <c r="L78" s="51" t="str">
        <f t="shared" si="79"/>
        <v/>
      </c>
      <c r="M78" s="51" t="str">
        <f t="shared" si="79"/>
        <v/>
      </c>
      <c r="N78" s="51" t="str">
        <f t="shared" si="79"/>
        <v/>
      </c>
      <c r="O78" s="51" t="str">
        <f t="shared" si="79"/>
        <v/>
      </c>
      <c r="P78" s="51" t="str">
        <f t="shared" si="79"/>
        <v/>
      </c>
      <c r="Q78" s="51" t="str">
        <f t="shared" si="79"/>
        <v/>
      </c>
      <c r="R78" s="51" t="str">
        <f t="shared" si="79"/>
        <v/>
      </c>
      <c r="S78" s="51" t="str">
        <f t="shared" si="79"/>
        <v/>
      </c>
      <c r="T78" s="51" t="str">
        <f t="shared" si="79"/>
        <v/>
      </c>
      <c r="U78" s="52"/>
      <c r="V78" s="52" t="str">
        <f>IFERROR(__xludf.DUMMYFUNCTION("""COMPUTED_VALUE"""),"")</f>
        <v/>
      </c>
      <c r="W78" s="52" t="str">
        <f>IFERROR(__xludf.DUMMYFUNCTION("""COMPUTED_VALUE"""),"")</f>
        <v/>
      </c>
      <c r="X78" s="52" t="str">
        <f>IFERROR(__xludf.DUMMYFUNCTION("""COMPUTED_VALUE"""),"")</f>
        <v/>
      </c>
      <c r="Y78" s="52" t="str">
        <f>IFERROR(__xludf.DUMMYFUNCTION("""COMPUTED_VALUE"""),"")</f>
        <v/>
      </c>
      <c r="Z78" s="52" t="str">
        <f>IFERROR(__xludf.DUMMYFUNCTION("""COMPUTED_VALUE"""),"")</f>
        <v/>
      </c>
      <c r="AA78" s="52" t="str">
        <f>IFERROR(__xludf.DUMMYFUNCTION("""COMPUTED_VALUE"""),"")</f>
        <v/>
      </c>
      <c r="AB78" s="52" t="str">
        <f>IFERROR(__xludf.DUMMYFUNCTION("""COMPUTED_VALUE"""),"")</f>
        <v/>
      </c>
      <c r="AC78" s="52" t="str">
        <f>IFERROR(__xludf.DUMMYFUNCTION("""COMPUTED_VALUE"""),"")</f>
        <v/>
      </c>
      <c r="AD78" s="52" t="str">
        <f>IFERROR(__xludf.DUMMYFUNCTION("""COMPUTED_VALUE"""),"")</f>
        <v/>
      </c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</row>
    <row r="79">
      <c r="B79" s="49"/>
      <c r="C79" s="49" t="str">
        <f t="shared" si="2"/>
        <v/>
      </c>
      <c r="D79" s="50" t="str">
        <f t="shared" si="3"/>
        <v/>
      </c>
      <c r="E79" s="51" t="str">
        <f t="shared" ref="E79:T79" si="80">IFERROR(VLOOKUP($A79,INDIRECT("'" &amp; E$1 &amp; "'!$C:$G"), 5, FALSE),"")</f>
        <v/>
      </c>
      <c r="F79" s="51" t="str">
        <f t="shared" si="80"/>
        <v/>
      </c>
      <c r="G79" s="51" t="str">
        <f t="shared" si="80"/>
        <v/>
      </c>
      <c r="H79" s="51" t="str">
        <f t="shared" si="80"/>
        <v/>
      </c>
      <c r="I79" s="51" t="str">
        <f t="shared" si="80"/>
        <v/>
      </c>
      <c r="J79" s="51" t="str">
        <f t="shared" si="80"/>
        <v/>
      </c>
      <c r="K79" s="51" t="str">
        <f t="shared" si="80"/>
        <v/>
      </c>
      <c r="L79" s="51" t="str">
        <f t="shared" si="80"/>
        <v/>
      </c>
      <c r="M79" s="51" t="str">
        <f t="shared" si="80"/>
        <v/>
      </c>
      <c r="N79" s="51" t="str">
        <f t="shared" si="80"/>
        <v/>
      </c>
      <c r="O79" s="51" t="str">
        <f t="shared" si="80"/>
        <v/>
      </c>
      <c r="P79" s="51" t="str">
        <f t="shared" si="80"/>
        <v/>
      </c>
      <c r="Q79" s="51" t="str">
        <f t="shared" si="80"/>
        <v/>
      </c>
      <c r="R79" s="51" t="str">
        <f t="shared" si="80"/>
        <v/>
      </c>
      <c r="S79" s="51" t="str">
        <f t="shared" si="80"/>
        <v/>
      </c>
      <c r="T79" s="51" t="str">
        <f t="shared" si="80"/>
        <v/>
      </c>
      <c r="U79" s="52"/>
      <c r="V79" s="52" t="str">
        <f>IFERROR(__xludf.DUMMYFUNCTION("""COMPUTED_VALUE"""),"")</f>
        <v/>
      </c>
      <c r="W79" s="52" t="str">
        <f>IFERROR(__xludf.DUMMYFUNCTION("""COMPUTED_VALUE"""),"")</f>
        <v/>
      </c>
      <c r="X79" s="52" t="str">
        <f>IFERROR(__xludf.DUMMYFUNCTION("""COMPUTED_VALUE"""),"")</f>
        <v/>
      </c>
      <c r="Y79" s="52" t="str">
        <f>IFERROR(__xludf.DUMMYFUNCTION("""COMPUTED_VALUE"""),"")</f>
        <v/>
      </c>
      <c r="Z79" s="52" t="str">
        <f>IFERROR(__xludf.DUMMYFUNCTION("""COMPUTED_VALUE"""),"")</f>
        <v/>
      </c>
      <c r="AA79" s="52" t="str">
        <f>IFERROR(__xludf.DUMMYFUNCTION("""COMPUTED_VALUE"""),"")</f>
        <v/>
      </c>
      <c r="AB79" s="52" t="str">
        <f>IFERROR(__xludf.DUMMYFUNCTION("""COMPUTED_VALUE"""),"")</f>
        <v/>
      </c>
      <c r="AC79" s="52" t="str">
        <f>IFERROR(__xludf.DUMMYFUNCTION("""COMPUTED_VALUE"""),"")</f>
        <v/>
      </c>
      <c r="AD79" s="52" t="str">
        <f>IFERROR(__xludf.DUMMYFUNCTION("""COMPUTED_VALUE"""),"")</f>
        <v/>
      </c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</row>
    <row r="80">
      <c r="B80" s="49"/>
      <c r="C80" s="49" t="str">
        <f t="shared" si="2"/>
        <v/>
      </c>
      <c r="D80" s="50" t="str">
        <f t="shared" si="3"/>
        <v/>
      </c>
      <c r="E80" s="51" t="str">
        <f t="shared" ref="E80:T80" si="81">IFERROR(VLOOKUP($A80,INDIRECT("'" &amp; E$1 &amp; "'!$C:$G"), 5, FALSE),"")</f>
        <v/>
      </c>
      <c r="F80" s="51" t="str">
        <f t="shared" si="81"/>
        <v/>
      </c>
      <c r="G80" s="51" t="str">
        <f t="shared" si="81"/>
        <v/>
      </c>
      <c r="H80" s="51" t="str">
        <f t="shared" si="81"/>
        <v/>
      </c>
      <c r="I80" s="51" t="str">
        <f t="shared" si="81"/>
        <v/>
      </c>
      <c r="J80" s="51" t="str">
        <f t="shared" si="81"/>
        <v/>
      </c>
      <c r="K80" s="51" t="str">
        <f t="shared" si="81"/>
        <v/>
      </c>
      <c r="L80" s="51" t="str">
        <f t="shared" si="81"/>
        <v/>
      </c>
      <c r="M80" s="51" t="str">
        <f t="shared" si="81"/>
        <v/>
      </c>
      <c r="N80" s="51" t="str">
        <f t="shared" si="81"/>
        <v/>
      </c>
      <c r="O80" s="51" t="str">
        <f t="shared" si="81"/>
        <v/>
      </c>
      <c r="P80" s="51" t="str">
        <f t="shared" si="81"/>
        <v/>
      </c>
      <c r="Q80" s="51" t="str">
        <f t="shared" si="81"/>
        <v/>
      </c>
      <c r="R80" s="51" t="str">
        <f t="shared" si="81"/>
        <v/>
      </c>
      <c r="S80" s="51" t="str">
        <f t="shared" si="81"/>
        <v/>
      </c>
      <c r="T80" s="51" t="str">
        <f t="shared" si="81"/>
        <v/>
      </c>
      <c r="U80" s="52"/>
      <c r="V80" s="52" t="str">
        <f>IFERROR(__xludf.DUMMYFUNCTION("""COMPUTED_VALUE"""),"")</f>
        <v/>
      </c>
      <c r="W80" s="52" t="str">
        <f>IFERROR(__xludf.DUMMYFUNCTION("""COMPUTED_VALUE"""),"")</f>
        <v/>
      </c>
      <c r="X80" s="52" t="str">
        <f>IFERROR(__xludf.DUMMYFUNCTION("""COMPUTED_VALUE"""),"")</f>
        <v/>
      </c>
      <c r="Y80" s="52" t="str">
        <f>IFERROR(__xludf.DUMMYFUNCTION("""COMPUTED_VALUE"""),"")</f>
        <v/>
      </c>
      <c r="Z80" s="52" t="str">
        <f>IFERROR(__xludf.DUMMYFUNCTION("""COMPUTED_VALUE"""),"")</f>
        <v/>
      </c>
      <c r="AA80" s="52" t="str">
        <f>IFERROR(__xludf.DUMMYFUNCTION("""COMPUTED_VALUE"""),"")</f>
        <v/>
      </c>
      <c r="AB80" s="52" t="str">
        <f>IFERROR(__xludf.DUMMYFUNCTION("""COMPUTED_VALUE"""),"")</f>
        <v/>
      </c>
      <c r="AC80" s="52" t="str">
        <f>IFERROR(__xludf.DUMMYFUNCTION("""COMPUTED_VALUE"""),"")</f>
        <v/>
      </c>
      <c r="AD80" s="52" t="str">
        <f>IFERROR(__xludf.DUMMYFUNCTION("""COMPUTED_VALUE"""),"")</f>
        <v/>
      </c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</row>
    <row r="81">
      <c r="B81" s="49"/>
      <c r="C81" s="49" t="str">
        <f t="shared" si="2"/>
        <v/>
      </c>
      <c r="D81" s="50" t="str">
        <f t="shared" si="3"/>
        <v/>
      </c>
      <c r="E81" s="51" t="str">
        <f t="shared" ref="E81:T81" si="82">IFERROR(VLOOKUP($A81,INDIRECT("'" &amp; E$1 &amp; "'!$C:$G"), 5, FALSE),"")</f>
        <v/>
      </c>
      <c r="F81" s="51" t="str">
        <f t="shared" si="82"/>
        <v/>
      </c>
      <c r="G81" s="51" t="str">
        <f t="shared" si="82"/>
        <v/>
      </c>
      <c r="H81" s="51" t="str">
        <f t="shared" si="82"/>
        <v/>
      </c>
      <c r="I81" s="51" t="str">
        <f t="shared" si="82"/>
        <v/>
      </c>
      <c r="J81" s="51" t="str">
        <f t="shared" si="82"/>
        <v/>
      </c>
      <c r="K81" s="51" t="str">
        <f t="shared" si="82"/>
        <v/>
      </c>
      <c r="L81" s="51" t="str">
        <f t="shared" si="82"/>
        <v/>
      </c>
      <c r="M81" s="51" t="str">
        <f t="shared" si="82"/>
        <v/>
      </c>
      <c r="N81" s="51" t="str">
        <f t="shared" si="82"/>
        <v/>
      </c>
      <c r="O81" s="51" t="str">
        <f t="shared" si="82"/>
        <v/>
      </c>
      <c r="P81" s="51" t="str">
        <f t="shared" si="82"/>
        <v/>
      </c>
      <c r="Q81" s="51" t="str">
        <f t="shared" si="82"/>
        <v/>
      </c>
      <c r="R81" s="51" t="str">
        <f t="shared" si="82"/>
        <v/>
      </c>
      <c r="S81" s="51" t="str">
        <f t="shared" si="82"/>
        <v/>
      </c>
      <c r="T81" s="51" t="str">
        <f t="shared" si="82"/>
        <v/>
      </c>
      <c r="U81" s="52"/>
      <c r="V81" s="52" t="str">
        <f>IFERROR(__xludf.DUMMYFUNCTION("""COMPUTED_VALUE"""),"")</f>
        <v/>
      </c>
      <c r="W81" s="52" t="str">
        <f>IFERROR(__xludf.DUMMYFUNCTION("""COMPUTED_VALUE"""),"")</f>
        <v/>
      </c>
      <c r="X81" s="52" t="str">
        <f>IFERROR(__xludf.DUMMYFUNCTION("""COMPUTED_VALUE"""),"")</f>
        <v/>
      </c>
      <c r="Y81" s="52" t="str">
        <f>IFERROR(__xludf.DUMMYFUNCTION("""COMPUTED_VALUE"""),"")</f>
        <v/>
      </c>
      <c r="Z81" s="52" t="str">
        <f>IFERROR(__xludf.DUMMYFUNCTION("""COMPUTED_VALUE"""),"")</f>
        <v/>
      </c>
      <c r="AA81" s="52" t="str">
        <f>IFERROR(__xludf.DUMMYFUNCTION("""COMPUTED_VALUE"""),"")</f>
        <v/>
      </c>
      <c r="AB81" s="52" t="str">
        <f>IFERROR(__xludf.DUMMYFUNCTION("""COMPUTED_VALUE"""),"")</f>
        <v/>
      </c>
      <c r="AC81" s="52" t="str">
        <f>IFERROR(__xludf.DUMMYFUNCTION("""COMPUTED_VALUE"""),"")</f>
        <v/>
      </c>
      <c r="AD81" s="52" t="str">
        <f>IFERROR(__xludf.DUMMYFUNCTION("""COMPUTED_VALUE"""),"")</f>
        <v/>
      </c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</row>
    <row r="82">
      <c r="B82" s="49"/>
      <c r="C82" s="49" t="str">
        <f t="shared" si="2"/>
        <v/>
      </c>
      <c r="D82" s="50" t="str">
        <f t="shared" si="3"/>
        <v/>
      </c>
      <c r="E82" s="51" t="str">
        <f t="shared" ref="E82:T82" si="83">IFERROR(VLOOKUP($A82,INDIRECT("'" &amp; E$1 &amp; "'!$C:$G"), 5, FALSE),"")</f>
        <v/>
      </c>
      <c r="F82" s="51" t="str">
        <f t="shared" si="83"/>
        <v/>
      </c>
      <c r="G82" s="51" t="str">
        <f t="shared" si="83"/>
        <v/>
      </c>
      <c r="H82" s="51" t="str">
        <f t="shared" si="83"/>
        <v/>
      </c>
      <c r="I82" s="51" t="str">
        <f t="shared" si="83"/>
        <v/>
      </c>
      <c r="J82" s="51" t="str">
        <f t="shared" si="83"/>
        <v/>
      </c>
      <c r="K82" s="51" t="str">
        <f t="shared" si="83"/>
        <v/>
      </c>
      <c r="L82" s="51" t="str">
        <f t="shared" si="83"/>
        <v/>
      </c>
      <c r="M82" s="51" t="str">
        <f t="shared" si="83"/>
        <v/>
      </c>
      <c r="N82" s="51" t="str">
        <f t="shared" si="83"/>
        <v/>
      </c>
      <c r="O82" s="51" t="str">
        <f t="shared" si="83"/>
        <v/>
      </c>
      <c r="P82" s="51" t="str">
        <f t="shared" si="83"/>
        <v/>
      </c>
      <c r="Q82" s="51" t="str">
        <f t="shared" si="83"/>
        <v/>
      </c>
      <c r="R82" s="51" t="str">
        <f t="shared" si="83"/>
        <v/>
      </c>
      <c r="S82" s="51" t="str">
        <f t="shared" si="83"/>
        <v/>
      </c>
      <c r="T82" s="51" t="str">
        <f t="shared" si="83"/>
        <v/>
      </c>
      <c r="U82" s="52"/>
      <c r="V82" s="52" t="str">
        <f>IFERROR(__xludf.DUMMYFUNCTION("""COMPUTED_VALUE"""),"")</f>
        <v/>
      </c>
      <c r="W82" s="52" t="str">
        <f>IFERROR(__xludf.DUMMYFUNCTION("""COMPUTED_VALUE"""),"")</f>
        <v/>
      </c>
      <c r="X82" s="52" t="str">
        <f>IFERROR(__xludf.DUMMYFUNCTION("""COMPUTED_VALUE"""),"")</f>
        <v/>
      </c>
      <c r="Y82" s="52" t="str">
        <f>IFERROR(__xludf.DUMMYFUNCTION("""COMPUTED_VALUE"""),"")</f>
        <v/>
      </c>
      <c r="Z82" s="52" t="str">
        <f>IFERROR(__xludf.DUMMYFUNCTION("""COMPUTED_VALUE"""),"")</f>
        <v/>
      </c>
      <c r="AA82" s="52" t="str">
        <f>IFERROR(__xludf.DUMMYFUNCTION("""COMPUTED_VALUE"""),"")</f>
        <v/>
      </c>
      <c r="AB82" s="52" t="str">
        <f>IFERROR(__xludf.DUMMYFUNCTION("""COMPUTED_VALUE"""),"")</f>
        <v/>
      </c>
      <c r="AC82" s="52" t="str">
        <f>IFERROR(__xludf.DUMMYFUNCTION("""COMPUTED_VALUE"""),"")</f>
        <v/>
      </c>
      <c r="AD82" s="52" t="str">
        <f>IFERROR(__xludf.DUMMYFUNCTION("""COMPUTED_VALUE"""),"")</f>
        <v/>
      </c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</row>
    <row r="83">
      <c r="B83" s="49"/>
      <c r="C83" s="49" t="str">
        <f t="shared" si="2"/>
        <v/>
      </c>
      <c r="D83" s="50" t="str">
        <f t="shared" si="3"/>
        <v/>
      </c>
      <c r="E83" s="51" t="str">
        <f t="shared" ref="E83:T83" si="84">IFERROR(VLOOKUP($A83,INDIRECT("'" &amp; E$1 &amp; "'!$C:$G"), 5, FALSE),"")</f>
        <v/>
      </c>
      <c r="F83" s="51" t="str">
        <f t="shared" si="84"/>
        <v/>
      </c>
      <c r="G83" s="51" t="str">
        <f t="shared" si="84"/>
        <v/>
      </c>
      <c r="H83" s="51" t="str">
        <f t="shared" si="84"/>
        <v/>
      </c>
      <c r="I83" s="51" t="str">
        <f t="shared" si="84"/>
        <v/>
      </c>
      <c r="J83" s="51" t="str">
        <f t="shared" si="84"/>
        <v/>
      </c>
      <c r="K83" s="51" t="str">
        <f t="shared" si="84"/>
        <v/>
      </c>
      <c r="L83" s="51" t="str">
        <f t="shared" si="84"/>
        <v/>
      </c>
      <c r="M83" s="51" t="str">
        <f t="shared" si="84"/>
        <v/>
      </c>
      <c r="N83" s="51" t="str">
        <f t="shared" si="84"/>
        <v/>
      </c>
      <c r="O83" s="51" t="str">
        <f t="shared" si="84"/>
        <v/>
      </c>
      <c r="P83" s="51" t="str">
        <f t="shared" si="84"/>
        <v/>
      </c>
      <c r="Q83" s="51" t="str">
        <f t="shared" si="84"/>
        <v/>
      </c>
      <c r="R83" s="51" t="str">
        <f t="shared" si="84"/>
        <v/>
      </c>
      <c r="S83" s="51" t="str">
        <f t="shared" si="84"/>
        <v/>
      </c>
      <c r="T83" s="51" t="str">
        <f t="shared" si="84"/>
        <v/>
      </c>
      <c r="U83" s="52"/>
      <c r="V83" s="52" t="str">
        <f>IFERROR(__xludf.DUMMYFUNCTION("""COMPUTED_VALUE"""),"")</f>
        <v/>
      </c>
      <c r="W83" s="52" t="str">
        <f>IFERROR(__xludf.DUMMYFUNCTION("""COMPUTED_VALUE"""),"")</f>
        <v/>
      </c>
      <c r="X83" s="52" t="str">
        <f>IFERROR(__xludf.DUMMYFUNCTION("""COMPUTED_VALUE"""),"")</f>
        <v/>
      </c>
      <c r="Y83" s="52" t="str">
        <f>IFERROR(__xludf.DUMMYFUNCTION("""COMPUTED_VALUE"""),"")</f>
        <v/>
      </c>
      <c r="Z83" s="52" t="str">
        <f>IFERROR(__xludf.DUMMYFUNCTION("""COMPUTED_VALUE"""),"")</f>
        <v/>
      </c>
      <c r="AA83" s="52" t="str">
        <f>IFERROR(__xludf.DUMMYFUNCTION("""COMPUTED_VALUE"""),"")</f>
        <v/>
      </c>
      <c r="AB83" s="52" t="str">
        <f>IFERROR(__xludf.DUMMYFUNCTION("""COMPUTED_VALUE"""),"")</f>
        <v/>
      </c>
      <c r="AC83" s="52" t="str">
        <f>IFERROR(__xludf.DUMMYFUNCTION("""COMPUTED_VALUE"""),"")</f>
        <v/>
      </c>
      <c r="AD83" s="52" t="str">
        <f>IFERROR(__xludf.DUMMYFUNCTION("""COMPUTED_VALUE"""),"")</f>
        <v/>
      </c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</row>
    <row r="84">
      <c r="B84" s="49"/>
      <c r="C84" s="49" t="str">
        <f t="shared" si="2"/>
        <v/>
      </c>
      <c r="D84" s="50" t="str">
        <f t="shared" si="3"/>
        <v/>
      </c>
      <c r="E84" s="51" t="str">
        <f t="shared" ref="E84:T84" si="85">IFERROR(VLOOKUP($A84,INDIRECT("'" &amp; E$1 &amp; "'!$C:$G"), 5, FALSE),"")</f>
        <v/>
      </c>
      <c r="F84" s="51" t="str">
        <f t="shared" si="85"/>
        <v/>
      </c>
      <c r="G84" s="51" t="str">
        <f t="shared" si="85"/>
        <v/>
      </c>
      <c r="H84" s="51" t="str">
        <f t="shared" si="85"/>
        <v/>
      </c>
      <c r="I84" s="51" t="str">
        <f t="shared" si="85"/>
        <v/>
      </c>
      <c r="J84" s="51" t="str">
        <f t="shared" si="85"/>
        <v/>
      </c>
      <c r="K84" s="51" t="str">
        <f t="shared" si="85"/>
        <v/>
      </c>
      <c r="L84" s="51" t="str">
        <f t="shared" si="85"/>
        <v/>
      </c>
      <c r="M84" s="51" t="str">
        <f t="shared" si="85"/>
        <v/>
      </c>
      <c r="N84" s="51" t="str">
        <f t="shared" si="85"/>
        <v/>
      </c>
      <c r="O84" s="51" t="str">
        <f t="shared" si="85"/>
        <v/>
      </c>
      <c r="P84" s="51" t="str">
        <f t="shared" si="85"/>
        <v/>
      </c>
      <c r="Q84" s="51" t="str">
        <f t="shared" si="85"/>
        <v/>
      </c>
      <c r="R84" s="51" t="str">
        <f t="shared" si="85"/>
        <v/>
      </c>
      <c r="S84" s="51" t="str">
        <f t="shared" si="85"/>
        <v/>
      </c>
      <c r="T84" s="51" t="str">
        <f t="shared" si="85"/>
        <v/>
      </c>
      <c r="U84" s="52"/>
      <c r="V84" s="52" t="str">
        <f>IFERROR(__xludf.DUMMYFUNCTION("""COMPUTED_VALUE"""),"")</f>
        <v/>
      </c>
      <c r="W84" s="52" t="str">
        <f>IFERROR(__xludf.DUMMYFUNCTION("""COMPUTED_VALUE"""),"")</f>
        <v/>
      </c>
      <c r="X84" s="52" t="str">
        <f>IFERROR(__xludf.DUMMYFUNCTION("""COMPUTED_VALUE"""),"")</f>
        <v/>
      </c>
      <c r="Y84" s="52" t="str">
        <f>IFERROR(__xludf.DUMMYFUNCTION("""COMPUTED_VALUE"""),"")</f>
        <v/>
      </c>
      <c r="Z84" s="52" t="str">
        <f>IFERROR(__xludf.DUMMYFUNCTION("""COMPUTED_VALUE"""),"")</f>
        <v/>
      </c>
      <c r="AA84" s="52" t="str">
        <f>IFERROR(__xludf.DUMMYFUNCTION("""COMPUTED_VALUE"""),"")</f>
        <v/>
      </c>
      <c r="AB84" s="52" t="str">
        <f>IFERROR(__xludf.DUMMYFUNCTION("""COMPUTED_VALUE"""),"")</f>
        <v/>
      </c>
      <c r="AC84" s="52" t="str">
        <f>IFERROR(__xludf.DUMMYFUNCTION("""COMPUTED_VALUE"""),"")</f>
        <v/>
      </c>
      <c r="AD84" s="52" t="str">
        <f>IFERROR(__xludf.DUMMYFUNCTION("""COMPUTED_VALUE"""),"")</f>
        <v/>
      </c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</row>
    <row r="85">
      <c r="B85" s="49"/>
      <c r="C85" s="49" t="str">
        <f t="shared" si="2"/>
        <v/>
      </c>
      <c r="D85" s="50" t="str">
        <f t="shared" si="3"/>
        <v/>
      </c>
      <c r="E85" s="51" t="str">
        <f t="shared" ref="E85:T85" si="86">IFERROR(VLOOKUP($A85,INDIRECT("'" &amp; E$1 &amp; "'!$C:$G"), 5, FALSE),"")</f>
        <v/>
      </c>
      <c r="F85" s="51" t="str">
        <f t="shared" si="86"/>
        <v/>
      </c>
      <c r="G85" s="51" t="str">
        <f t="shared" si="86"/>
        <v/>
      </c>
      <c r="H85" s="51" t="str">
        <f t="shared" si="86"/>
        <v/>
      </c>
      <c r="I85" s="51" t="str">
        <f t="shared" si="86"/>
        <v/>
      </c>
      <c r="J85" s="51" t="str">
        <f t="shared" si="86"/>
        <v/>
      </c>
      <c r="K85" s="51" t="str">
        <f t="shared" si="86"/>
        <v/>
      </c>
      <c r="L85" s="51" t="str">
        <f t="shared" si="86"/>
        <v/>
      </c>
      <c r="M85" s="51" t="str">
        <f t="shared" si="86"/>
        <v/>
      </c>
      <c r="N85" s="51" t="str">
        <f t="shared" si="86"/>
        <v/>
      </c>
      <c r="O85" s="51" t="str">
        <f t="shared" si="86"/>
        <v/>
      </c>
      <c r="P85" s="51" t="str">
        <f t="shared" si="86"/>
        <v/>
      </c>
      <c r="Q85" s="51" t="str">
        <f t="shared" si="86"/>
        <v/>
      </c>
      <c r="R85" s="51" t="str">
        <f t="shared" si="86"/>
        <v/>
      </c>
      <c r="S85" s="51" t="str">
        <f t="shared" si="86"/>
        <v/>
      </c>
      <c r="T85" s="51" t="str">
        <f t="shared" si="86"/>
        <v/>
      </c>
      <c r="U85" s="52"/>
      <c r="V85" s="52" t="str">
        <f>IFERROR(__xludf.DUMMYFUNCTION("""COMPUTED_VALUE"""),"")</f>
        <v/>
      </c>
      <c r="W85" s="52" t="str">
        <f>IFERROR(__xludf.DUMMYFUNCTION("""COMPUTED_VALUE"""),"")</f>
        <v/>
      </c>
      <c r="X85" s="52" t="str">
        <f>IFERROR(__xludf.DUMMYFUNCTION("""COMPUTED_VALUE"""),"")</f>
        <v/>
      </c>
      <c r="Y85" s="52" t="str">
        <f>IFERROR(__xludf.DUMMYFUNCTION("""COMPUTED_VALUE"""),"")</f>
        <v/>
      </c>
      <c r="Z85" s="52" t="str">
        <f>IFERROR(__xludf.DUMMYFUNCTION("""COMPUTED_VALUE"""),"")</f>
        <v/>
      </c>
      <c r="AA85" s="52" t="str">
        <f>IFERROR(__xludf.DUMMYFUNCTION("""COMPUTED_VALUE"""),"")</f>
        <v/>
      </c>
      <c r="AB85" s="52" t="str">
        <f>IFERROR(__xludf.DUMMYFUNCTION("""COMPUTED_VALUE"""),"")</f>
        <v/>
      </c>
      <c r="AC85" s="52" t="str">
        <f>IFERROR(__xludf.DUMMYFUNCTION("""COMPUTED_VALUE"""),"")</f>
        <v/>
      </c>
      <c r="AD85" s="52" t="str">
        <f>IFERROR(__xludf.DUMMYFUNCTION("""COMPUTED_VALUE"""),"")</f>
        <v/>
      </c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</row>
    <row r="86">
      <c r="B86" s="49"/>
      <c r="C86" s="49" t="str">
        <f t="shared" si="2"/>
        <v/>
      </c>
      <c r="D86" s="50" t="str">
        <f t="shared" si="3"/>
        <v/>
      </c>
      <c r="E86" s="51" t="str">
        <f t="shared" ref="E86:T86" si="87">IFERROR(VLOOKUP($A86,INDIRECT("'" &amp; E$1 &amp; "'!$C:$G"), 5, FALSE),"")</f>
        <v/>
      </c>
      <c r="F86" s="51" t="str">
        <f t="shared" si="87"/>
        <v/>
      </c>
      <c r="G86" s="51" t="str">
        <f t="shared" si="87"/>
        <v/>
      </c>
      <c r="H86" s="51" t="str">
        <f t="shared" si="87"/>
        <v/>
      </c>
      <c r="I86" s="51" t="str">
        <f t="shared" si="87"/>
        <v/>
      </c>
      <c r="J86" s="51" t="str">
        <f t="shared" si="87"/>
        <v/>
      </c>
      <c r="K86" s="51" t="str">
        <f t="shared" si="87"/>
        <v/>
      </c>
      <c r="L86" s="51" t="str">
        <f t="shared" si="87"/>
        <v/>
      </c>
      <c r="M86" s="51" t="str">
        <f t="shared" si="87"/>
        <v/>
      </c>
      <c r="N86" s="51" t="str">
        <f t="shared" si="87"/>
        <v/>
      </c>
      <c r="O86" s="51" t="str">
        <f t="shared" si="87"/>
        <v/>
      </c>
      <c r="P86" s="51" t="str">
        <f t="shared" si="87"/>
        <v/>
      </c>
      <c r="Q86" s="51" t="str">
        <f t="shared" si="87"/>
        <v/>
      </c>
      <c r="R86" s="51" t="str">
        <f t="shared" si="87"/>
        <v/>
      </c>
      <c r="S86" s="51" t="str">
        <f t="shared" si="87"/>
        <v/>
      </c>
      <c r="T86" s="51" t="str">
        <f t="shared" si="87"/>
        <v/>
      </c>
      <c r="U86" s="52"/>
      <c r="V86" s="52" t="str">
        <f>IFERROR(__xludf.DUMMYFUNCTION("""COMPUTED_VALUE"""),"")</f>
        <v/>
      </c>
      <c r="W86" s="52" t="str">
        <f>IFERROR(__xludf.DUMMYFUNCTION("""COMPUTED_VALUE"""),"")</f>
        <v/>
      </c>
      <c r="X86" s="52" t="str">
        <f>IFERROR(__xludf.DUMMYFUNCTION("""COMPUTED_VALUE"""),"")</f>
        <v/>
      </c>
      <c r="Y86" s="52" t="str">
        <f>IFERROR(__xludf.DUMMYFUNCTION("""COMPUTED_VALUE"""),"")</f>
        <v/>
      </c>
      <c r="Z86" s="52" t="str">
        <f>IFERROR(__xludf.DUMMYFUNCTION("""COMPUTED_VALUE"""),"")</f>
        <v/>
      </c>
      <c r="AA86" s="52" t="str">
        <f>IFERROR(__xludf.DUMMYFUNCTION("""COMPUTED_VALUE"""),"")</f>
        <v/>
      </c>
      <c r="AB86" s="52" t="str">
        <f>IFERROR(__xludf.DUMMYFUNCTION("""COMPUTED_VALUE"""),"")</f>
        <v/>
      </c>
      <c r="AC86" s="52" t="str">
        <f>IFERROR(__xludf.DUMMYFUNCTION("""COMPUTED_VALUE"""),"")</f>
        <v/>
      </c>
      <c r="AD86" s="52" t="str">
        <f>IFERROR(__xludf.DUMMYFUNCTION("""COMPUTED_VALUE"""),"")</f>
        <v/>
      </c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</row>
    <row r="87">
      <c r="B87" s="49"/>
      <c r="C87" s="49" t="str">
        <f t="shared" si="2"/>
        <v/>
      </c>
      <c r="D87" s="50" t="str">
        <f t="shared" si="3"/>
        <v/>
      </c>
      <c r="E87" s="51" t="str">
        <f t="shared" ref="E87:T87" si="88">IFERROR(VLOOKUP($A87,INDIRECT("'" &amp; E$1 &amp; "'!$C:$G"), 5, FALSE),"")</f>
        <v/>
      </c>
      <c r="F87" s="51" t="str">
        <f t="shared" si="88"/>
        <v/>
      </c>
      <c r="G87" s="51" t="str">
        <f t="shared" si="88"/>
        <v/>
      </c>
      <c r="H87" s="51" t="str">
        <f t="shared" si="88"/>
        <v/>
      </c>
      <c r="I87" s="51" t="str">
        <f t="shared" si="88"/>
        <v/>
      </c>
      <c r="J87" s="51" t="str">
        <f t="shared" si="88"/>
        <v/>
      </c>
      <c r="K87" s="51" t="str">
        <f t="shared" si="88"/>
        <v/>
      </c>
      <c r="L87" s="51" t="str">
        <f t="shared" si="88"/>
        <v/>
      </c>
      <c r="M87" s="51" t="str">
        <f t="shared" si="88"/>
        <v/>
      </c>
      <c r="N87" s="51" t="str">
        <f t="shared" si="88"/>
        <v/>
      </c>
      <c r="O87" s="51" t="str">
        <f t="shared" si="88"/>
        <v/>
      </c>
      <c r="P87" s="51" t="str">
        <f t="shared" si="88"/>
        <v/>
      </c>
      <c r="Q87" s="51" t="str">
        <f t="shared" si="88"/>
        <v/>
      </c>
      <c r="R87" s="51" t="str">
        <f t="shared" si="88"/>
        <v/>
      </c>
      <c r="S87" s="51" t="str">
        <f t="shared" si="88"/>
        <v/>
      </c>
      <c r="T87" s="51" t="str">
        <f t="shared" si="88"/>
        <v/>
      </c>
      <c r="U87" s="52"/>
      <c r="V87" s="52" t="str">
        <f>IFERROR(__xludf.DUMMYFUNCTION("""COMPUTED_VALUE"""),"")</f>
        <v/>
      </c>
      <c r="W87" s="52" t="str">
        <f>IFERROR(__xludf.DUMMYFUNCTION("""COMPUTED_VALUE"""),"")</f>
        <v/>
      </c>
      <c r="X87" s="52" t="str">
        <f>IFERROR(__xludf.DUMMYFUNCTION("""COMPUTED_VALUE"""),"")</f>
        <v/>
      </c>
      <c r="Y87" s="52" t="str">
        <f>IFERROR(__xludf.DUMMYFUNCTION("""COMPUTED_VALUE"""),"")</f>
        <v/>
      </c>
      <c r="Z87" s="52" t="str">
        <f>IFERROR(__xludf.DUMMYFUNCTION("""COMPUTED_VALUE"""),"")</f>
        <v/>
      </c>
      <c r="AA87" s="52" t="str">
        <f>IFERROR(__xludf.DUMMYFUNCTION("""COMPUTED_VALUE"""),"")</f>
        <v/>
      </c>
      <c r="AB87" s="52" t="str">
        <f>IFERROR(__xludf.DUMMYFUNCTION("""COMPUTED_VALUE"""),"")</f>
        <v/>
      </c>
      <c r="AC87" s="52" t="str">
        <f>IFERROR(__xludf.DUMMYFUNCTION("""COMPUTED_VALUE"""),"")</f>
        <v/>
      </c>
      <c r="AD87" s="52" t="str">
        <f>IFERROR(__xludf.DUMMYFUNCTION("""COMPUTED_VALUE"""),"")</f>
        <v/>
      </c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</row>
    <row r="88">
      <c r="B88" s="49"/>
      <c r="C88" s="49" t="str">
        <f t="shared" si="2"/>
        <v/>
      </c>
      <c r="D88" s="50" t="str">
        <f t="shared" si="3"/>
        <v/>
      </c>
      <c r="E88" s="51" t="str">
        <f t="shared" ref="E88:T88" si="89">IFERROR(VLOOKUP($A88,INDIRECT("'" &amp; E$1 &amp; "'!$C:$G"), 5, FALSE),"")</f>
        <v/>
      </c>
      <c r="F88" s="51" t="str">
        <f t="shared" si="89"/>
        <v/>
      </c>
      <c r="G88" s="51" t="str">
        <f t="shared" si="89"/>
        <v/>
      </c>
      <c r="H88" s="51" t="str">
        <f t="shared" si="89"/>
        <v/>
      </c>
      <c r="I88" s="51" t="str">
        <f t="shared" si="89"/>
        <v/>
      </c>
      <c r="J88" s="51" t="str">
        <f t="shared" si="89"/>
        <v/>
      </c>
      <c r="K88" s="51" t="str">
        <f t="shared" si="89"/>
        <v/>
      </c>
      <c r="L88" s="51" t="str">
        <f t="shared" si="89"/>
        <v/>
      </c>
      <c r="M88" s="51" t="str">
        <f t="shared" si="89"/>
        <v/>
      </c>
      <c r="N88" s="51" t="str">
        <f t="shared" si="89"/>
        <v/>
      </c>
      <c r="O88" s="51" t="str">
        <f t="shared" si="89"/>
        <v/>
      </c>
      <c r="P88" s="51" t="str">
        <f t="shared" si="89"/>
        <v/>
      </c>
      <c r="Q88" s="51" t="str">
        <f t="shared" si="89"/>
        <v/>
      </c>
      <c r="R88" s="51" t="str">
        <f t="shared" si="89"/>
        <v/>
      </c>
      <c r="S88" s="51" t="str">
        <f t="shared" si="89"/>
        <v/>
      </c>
      <c r="T88" s="51" t="str">
        <f t="shared" si="89"/>
        <v/>
      </c>
      <c r="U88" s="52"/>
      <c r="V88" s="52" t="str">
        <f>IFERROR(__xludf.DUMMYFUNCTION("""COMPUTED_VALUE"""),"")</f>
        <v/>
      </c>
      <c r="W88" s="52" t="str">
        <f>IFERROR(__xludf.DUMMYFUNCTION("""COMPUTED_VALUE"""),"")</f>
        <v/>
      </c>
      <c r="X88" s="52" t="str">
        <f>IFERROR(__xludf.DUMMYFUNCTION("""COMPUTED_VALUE"""),"")</f>
        <v/>
      </c>
      <c r="Y88" s="52" t="str">
        <f>IFERROR(__xludf.DUMMYFUNCTION("""COMPUTED_VALUE"""),"")</f>
        <v/>
      </c>
      <c r="Z88" s="52" t="str">
        <f>IFERROR(__xludf.DUMMYFUNCTION("""COMPUTED_VALUE"""),"")</f>
        <v/>
      </c>
      <c r="AA88" s="52" t="str">
        <f>IFERROR(__xludf.DUMMYFUNCTION("""COMPUTED_VALUE"""),"")</f>
        <v/>
      </c>
      <c r="AB88" s="52" t="str">
        <f>IFERROR(__xludf.DUMMYFUNCTION("""COMPUTED_VALUE"""),"")</f>
        <v/>
      </c>
      <c r="AC88" s="52" t="str">
        <f>IFERROR(__xludf.DUMMYFUNCTION("""COMPUTED_VALUE"""),"")</f>
        <v/>
      </c>
      <c r="AD88" s="52" t="str">
        <f>IFERROR(__xludf.DUMMYFUNCTION("""COMPUTED_VALUE"""),"")</f>
        <v/>
      </c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</row>
    <row r="89">
      <c r="B89" s="49"/>
      <c r="C89" s="49" t="str">
        <f t="shared" si="2"/>
        <v/>
      </c>
      <c r="D89" s="50" t="str">
        <f t="shared" si="3"/>
        <v/>
      </c>
      <c r="E89" s="51" t="str">
        <f t="shared" ref="E89:T89" si="90">IFERROR(VLOOKUP($A89,INDIRECT("'" &amp; E$1 &amp; "'!$C:$G"), 5, FALSE),"")</f>
        <v/>
      </c>
      <c r="F89" s="51" t="str">
        <f t="shared" si="90"/>
        <v/>
      </c>
      <c r="G89" s="51" t="str">
        <f t="shared" si="90"/>
        <v/>
      </c>
      <c r="H89" s="51" t="str">
        <f t="shared" si="90"/>
        <v/>
      </c>
      <c r="I89" s="51" t="str">
        <f t="shared" si="90"/>
        <v/>
      </c>
      <c r="J89" s="51" t="str">
        <f t="shared" si="90"/>
        <v/>
      </c>
      <c r="K89" s="51" t="str">
        <f t="shared" si="90"/>
        <v/>
      </c>
      <c r="L89" s="51" t="str">
        <f t="shared" si="90"/>
        <v/>
      </c>
      <c r="M89" s="51" t="str">
        <f t="shared" si="90"/>
        <v/>
      </c>
      <c r="N89" s="51" t="str">
        <f t="shared" si="90"/>
        <v/>
      </c>
      <c r="O89" s="51" t="str">
        <f t="shared" si="90"/>
        <v/>
      </c>
      <c r="P89" s="51" t="str">
        <f t="shared" si="90"/>
        <v/>
      </c>
      <c r="Q89" s="51" t="str">
        <f t="shared" si="90"/>
        <v/>
      </c>
      <c r="R89" s="51" t="str">
        <f t="shared" si="90"/>
        <v/>
      </c>
      <c r="S89" s="51" t="str">
        <f t="shared" si="90"/>
        <v/>
      </c>
      <c r="T89" s="51" t="str">
        <f t="shared" si="90"/>
        <v/>
      </c>
      <c r="U89" s="52"/>
      <c r="V89" s="52" t="str">
        <f>IFERROR(__xludf.DUMMYFUNCTION("""COMPUTED_VALUE"""),"")</f>
        <v/>
      </c>
      <c r="W89" s="52" t="str">
        <f>IFERROR(__xludf.DUMMYFUNCTION("""COMPUTED_VALUE"""),"")</f>
        <v/>
      </c>
      <c r="X89" s="52" t="str">
        <f>IFERROR(__xludf.DUMMYFUNCTION("""COMPUTED_VALUE"""),"")</f>
        <v/>
      </c>
      <c r="Y89" s="52" t="str">
        <f>IFERROR(__xludf.DUMMYFUNCTION("""COMPUTED_VALUE"""),"")</f>
        <v/>
      </c>
      <c r="Z89" s="52" t="str">
        <f>IFERROR(__xludf.DUMMYFUNCTION("""COMPUTED_VALUE"""),"")</f>
        <v/>
      </c>
      <c r="AA89" s="52" t="str">
        <f>IFERROR(__xludf.DUMMYFUNCTION("""COMPUTED_VALUE"""),"")</f>
        <v/>
      </c>
      <c r="AB89" s="52" t="str">
        <f>IFERROR(__xludf.DUMMYFUNCTION("""COMPUTED_VALUE"""),"")</f>
        <v/>
      </c>
      <c r="AC89" s="52" t="str">
        <f>IFERROR(__xludf.DUMMYFUNCTION("""COMPUTED_VALUE"""),"")</f>
        <v/>
      </c>
      <c r="AD89" s="52" t="str">
        <f>IFERROR(__xludf.DUMMYFUNCTION("""COMPUTED_VALUE"""),"")</f>
        <v/>
      </c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</row>
    <row r="90">
      <c r="B90" s="49"/>
      <c r="C90" s="49" t="str">
        <f t="shared" si="2"/>
        <v/>
      </c>
      <c r="D90" s="50" t="str">
        <f t="shared" si="3"/>
        <v/>
      </c>
      <c r="E90" s="51" t="str">
        <f t="shared" ref="E90:T90" si="91">IFERROR(VLOOKUP($A90,INDIRECT("'" &amp; E$1 &amp; "'!$C:$G"), 5, FALSE),"")</f>
        <v/>
      </c>
      <c r="F90" s="51" t="str">
        <f t="shared" si="91"/>
        <v/>
      </c>
      <c r="G90" s="51" t="str">
        <f t="shared" si="91"/>
        <v/>
      </c>
      <c r="H90" s="51" t="str">
        <f t="shared" si="91"/>
        <v/>
      </c>
      <c r="I90" s="51" t="str">
        <f t="shared" si="91"/>
        <v/>
      </c>
      <c r="J90" s="51" t="str">
        <f t="shared" si="91"/>
        <v/>
      </c>
      <c r="K90" s="51" t="str">
        <f t="shared" si="91"/>
        <v/>
      </c>
      <c r="L90" s="51" t="str">
        <f t="shared" si="91"/>
        <v/>
      </c>
      <c r="M90" s="51" t="str">
        <f t="shared" si="91"/>
        <v/>
      </c>
      <c r="N90" s="51" t="str">
        <f t="shared" si="91"/>
        <v/>
      </c>
      <c r="O90" s="51" t="str">
        <f t="shared" si="91"/>
        <v/>
      </c>
      <c r="P90" s="51" t="str">
        <f t="shared" si="91"/>
        <v/>
      </c>
      <c r="Q90" s="51" t="str">
        <f t="shared" si="91"/>
        <v/>
      </c>
      <c r="R90" s="51" t="str">
        <f t="shared" si="91"/>
        <v/>
      </c>
      <c r="S90" s="51" t="str">
        <f t="shared" si="91"/>
        <v/>
      </c>
      <c r="T90" s="51" t="str">
        <f t="shared" si="91"/>
        <v/>
      </c>
      <c r="U90" s="52"/>
      <c r="V90" s="52" t="str">
        <f>IFERROR(__xludf.DUMMYFUNCTION("""COMPUTED_VALUE"""),"")</f>
        <v/>
      </c>
      <c r="W90" s="52" t="str">
        <f>IFERROR(__xludf.DUMMYFUNCTION("""COMPUTED_VALUE"""),"")</f>
        <v/>
      </c>
      <c r="X90" s="52" t="str">
        <f>IFERROR(__xludf.DUMMYFUNCTION("""COMPUTED_VALUE"""),"")</f>
        <v/>
      </c>
      <c r="Y90" s="52" t="str">
        <f>IFERROR(__xludf.DUMMYFUNCTION("""COMPUTED_VALUE"""),"")</f>
        <v/>
      </c>
      <c r="Z90" s="52" t="str">
        <f>IFERROR(__xludf.DUMMYFUNCTION("""COMPUTED_VALUE"""),"")</f>
        <v/>
      </c>
      <c r="AA90" s="52" t="str">
        <f>IFERROR(__xludf.DUMMYFUNCTION("""COMPUTED_VALUE"""),"")</f>
        <v/>
      </c>
      <c r="AB90" s="52" t="str">
        <f>IFERROR(__xludf.DUMMYFUNCTION("""COMPUTED_VALUE"""),"")</f>
        <v/>
      </c>
      <c r="AC90" s="52" t="str">
        <f>IFERROR(__xludf.DUMMYFUNCTION("""COMPUTED_VALUE"""),"")</f>
        <v/>
      </c>
      <c r="AD90" s="52" t="str">
        <f>IFERROR(__xludf.DUMMYFUNCTION("""COMPUTED_VALUE"""),"")</f>
        <v/>
      </c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</row>
    <row r="91">
      <c r="B91" s="49"/>
      <c r="C91" s="49" t="str">
        <f t="shared" si="2"/>
        <v/>
      </c>
      <c r="D91" s="50" t="str">
        <f t="shared" si="3"/>
        <v/>
      </c>
      <c r="E91" s="51" t="str">
        <f t="shared" ref="E91:T91" si="92">IFERROR(VLOOKUP($A91,INDIRECT("'" &amp; E$1 &amp; "'!$C:$G"), 5, FALSE),"")</f>
        <v/>
      </c>
      <c r="F91" s="51" t="str">
        <f t="shared" si="92"/>
        <v/>
      </c>
      <c r="G91" s="51" t="str">
        <f t="shared" si="92"/>
        <v/>
      </c>
      <c r="H91" s="51" t="str">
        <f t="shared" si="92"/>
        <v/>
      </c>
      <c r="I91" s="51" t="str">
        <f t="shared" si="92"/>
        <v/>
      </c>
      <c r="J91" s="51" t="str">
        <f t="shared" si="92"/>
        <v/>
      </c>
      <c r="K91" s="51" t="str">
        <f t="shared" si="92"/>
        <v/>
      </c>
      <c r="L91" s="51" t="str">
        <f t="shared" si="92"/>
        <v/>
      </c>
      <c r="M91" s="51" t="str">
        <f t="shared" si="92"/>
        <v/>
      </c>
      <c r="N91" s="51" t="str">
        <f t="shared" si="92"/>
        <v/>
      </c>
      <c r="O91" s="51" t="str">
        <f t="shared" si="92"/>
        <v/>
      </c>
      <c r="P91" s="51" t="str">
        <f t="shared" si="92"/>
        <v/>
      </c>
      <c r="Q91" s="51" t="str">
        <f t="shared" si="92"/>
        <v/>
      </c>
      <c r="R91" s="51" t="str">
        <f t="shared" si="92"/>
        <v/>
      </c>
      <c r="S91" s="51" t="str">
        <f t="shared" si="92"/>
        <v/>
      </c>
      <c r="T91" s="51" t="str">
        <f t="shared" si="92"/>
        <v/>
      </c>
      <c r="U91" s="52"/>
      <c r="V91" s="52" t="str">
        <f>IFERROR(__xludf.DUMMYFUNCTION("""COMPUTED_VALUE"""),"")</f>
        <v/>
      </c>
      <c r="W91" s="52" t="str">
        <f>IFERROR(__xludf.DUMMYFUNCTION("""COMPUTED_VALUE"""),"")</f>
        <v/>
      </c>
      <c r="X91" s="52" t="str">
        <f>IFERROR(__xludf.DUMMYFUNCTION("""COMPUTED_VALUE"""),"")</f>
        <v/>
      </c>
      <c r="Y91" s="52" t="str">
        <f>IFERROR(__xludf.DUMMYFUNCTION("""COMPUTED_VALUE"""),"")</f>
        <v/>
      </c>
      <c r="Z91" s="52" t="str">
        <f>IFERROR(__xludf.DUMMYFUNCTION("""COMPUTED_VALUE"""),"")</f>
        <v/>
      </c>
      <c r="AA91" s="52" t="str">
        <f>IFERROR(__xludf.DUMMYFUNCTION("""COMPUTED_VALUE"""),"")</f>
        <v/>
      </c>
      <c r="AB91" s="52" t="str">
        <f>IFERROR(__xludf.DUMMYFUNCTION("""COMPUTED_VALUE"""),"")</f>
        <v/>
      </c>
      <c r="AC91" s="52" t="str">
        <f>IFERROR(__xludf.DUMMYFUNCTION("""COMPUTED_VALUE"""),"")</f>
        <v/>
      </c>
      <c r="AD91" s="52" t="str">
        <f>IFERROR(__xludf.DUMMYFUNCTION("""COMPUTED_VALUE"""),"")</f>
        <v/>
      </c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</row>
    <row r="92">
      <c r="B92" s="49"/>
      <c r="C92" s="49" t="str">
        <f t="shared" si="2"/>
        <v/>
      </c>
      <c r="D92" s="50" t="str">
        <f t="shared" si="3"/>
        <v/>
      </c>
      <c r="E92" s="51" t="str">
        <f t="shared" ref="E92:T92" si="93">IFERROR(VLOOKUP($A92,INDIRECT("'" &amp; E$1 &amp; "'!$C:$G"), 5, FALSE),"")</f>
        <v/>
      </c>
      <c r="F92" s="51" t="str">
        <f t="shared" si="93"/>
        <v/>
      </c>
      <c r="G92" s="51" t="str">
        <f t="shared" si="93"/>
        <v/>
      </c>
      <c r="H92" s="51" t="str">
        <f t="shared" si="93"/>
        <v/>
      </c>
      <c r="I92" s="51" t="str">
        <f t="shared" si="93"/>
        <v/>
      </c>
      <c r="J92" s="51" t="str">
        <f t="shared" si="93"/>
        <v/>
      </c>
      <c r="K92" s="51" t="str">
        <f t="shared" si="93"/>
        <v/>
      </c>
      <c r="L92" s="51" t="str">
        <f t="shared" si="93"/>
        <v/>
      </c>
      <c r="M92" s="51" t="str">
        <f t="shared" si="93"/>
        <v/>
      </c>
      <c r="N92" s="51" t="str">
        <f t="shared" si="93"/>
        <v/>
      </c>
      <c r="O92" s="51" t="str">
        <f t="shared" si="93"/>
        <v/>
      </c>
      <c r="P92" s="51" t="str">
        <f t="shared" si="93"/>
        <v/>
      </c>
      <c r="Q92" s="51" t="str">
        <f t="shared" si="93"/>
        <v/>
      </c>
      <c r="R92" s="51" t="str">
        <f t="shared" si="93"/>
        <v/>
      </c>
      <c r="S92" s="51" t="str">
        <f t="shared" si="93"/>
        <v/>
      </c>
      <c r="T92" s="51" t="str">
        <f t="shared" si="93"/>
        <v/>
      </c>
      <c r="U92" s="52"/>
      <c r="V92" s="52" t="str">
        <f>IFERROR(__xludf.DUMMYFUNCTION("""COMPUTED_VALUE"""),"")</f>
        <v/>
      </c>
      <c r="W92" s="52" t="str">
        <f>IFERROR(__xludf.DUMMYFUNCTION("""COMPUTED_VALUE"""),"")</f>
        <v/>
      </c>
      <c r="X92" s="52" t="str">
        <f>IFERROR(__xludf.DUMMYFUNCTION("""COMPUTED_VALUE"""),"")</f>
        <v/>
      </c>
      <c r="Y92" s="52" t="str">
        <f>IFERROR(__xludf.DUMMYFUNCTION("""COMPUTED_VALUE"""),"")</f>
        <v/>
      </c>
      <c r="Z92" s="52" t="str">
        <f>IFERROR(__xludf.DUMMYFUNCTION("""COMPUTED_VALUE"""),"")</f>
        <v/>
      </c>
      <c r="AA92" s="52" t="str">
        <f>IFERROR(__xludf.DUMMYFUNCTION("""COMPUTED_VALUE"""),"")</f>
        <v/>
      </c>
      <c r="AB92" s="52" t="str">
        <f>IFERROR(__xludf.DUMMYFUNCTION("""COMPUTED_VALUE"""),"")</f>
        <v/>
      </c>
      <c r="AC92" s="52" t="str">
        <f>IFERROR(__xludf.DUMMYFUNCTION("""COMPUTED_VALUE"""),"")</f>
        <v/>
      </c>
      <c r="AD92" s="52" t="str">
        <f>IFERROR(__xludf.DUMMYFUNCTION("""COMPUTED_VALUE"""),"")</f>
        <v/>
      </c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</row>
    <row r="93">
      <c r="B93" s="49"/>
      <c r="C93" s="49" t="str">
        <f t="shared" si="2"/>
        <v/>
      </c>
      <c r="D93" s="50" t="str">
        <f t="shared" si="3"/>
        <v/>
      </c>
      <c r="E93" s="51" t="str">
        <f t="shared" ref="E93:T93" si="94">IFERROR(VLOOKUP($A93,INDIRECT("'" &amp; E$1 &amp; "'!$C:$G"), 5, FALSE),"")</f>
        <v/>
      </c>
      <c r="F93" s="51" t="str">
        <f t="shared" si="94"/>
        <v/>
      </c>
      <c r="G93" s="51" t="str">
        <f t="shared" si="94"/>
        <v/>
      </c>
      <c r="H93" s="51" t="str">
        <f t="shared" si="94"/>
        <v/>
      </c>
      <c r="I93" s="51" t="str">
        <f t="shared" si="94"/>
        <v/>
      </c>
      <c r="J93" s="51" t="str">
        <f t="shared" si="94"/>
        <v/>
      </c>
      <c r="K93" s="51" t="str">
        <f t="shared" si="94"/>
        <v/>
      </c>
      <c r="L93" s="51" t="str">
        <f t="shared" si="94"/>
        <v/>
      </c>
      <c r="M93" s="51" t="str">
        <f t="shared" si="94"/>
        <v/>
      </c>
      <c r="N93" s="51" t="str">
        <f t="shared" si="94"/>
        <v/>
      </c>
      <c r="O93" s="51" t="str">
        <f t="shared" si="94"/>
        <v/>
      </c>
      <c r="P93" s="51" t="str">
        <f t="shared" si="94"/>
        <v/>
      </c>
      <c r="Q93" s="51" t="str">
        <f t="shared" si="94"/>
        <v/>
      </c>
      <c r="R93" s="51" t="str">
        <f t="shared" si="94"/>
        <v/>
      </c>
      <c r="S93" s="51" t="str">
        <f t="shared" si="94"/>
        <v/>
      </c>
      <c r="T93" s="51" t="str">
        <f t="shared" si="94"/>
        <v/>
      </c>
      <c r="U93" s="52"/>
      <c r="V93" s="52" t="str">
        <f>IFERROR(__xludf.DUMMYFUNCTION("""COMPUTED_VALUE"""),"")</f>
        <v/>
      </c>
      <c r="W93" s="52" t="str">
        <f>IFERROR(__xludf.DUMMYFUNCTION("""COMPUTED_VALUE"""),"")</f>
        <v/>
      </c>
      <c r="X93" s="52" t="str">
        <f>IFERROR(__xludf.DUMMYFUNCTION("""COMPUTED_VALUE"""),"")</f>
        <v/>
      </c>
      <c r="Y93" s="52" t="str">
        <f>IFERROR(__xludf.DUMMYFUNCTION("""COMPUTED_VALUE"""),"")</f>
        <v/>
      </c>
      <c r="Z93" s="52" t="str">
        <f>IFERROR(__xludf.DUMMYFUNCTION("""COMPUTED_VALUE"""),"")</f>
        <v/>
      </c>
      <c r="AA93" s="52" t="str">
        <f>IFERROR(__xludf.DUMMYFUNCTION("""COMPUTED_VALUE"""),"")</f>
        <v/>
      </c>
      <c r="AB93" s="52" t="str">
        <f>IFERROR(__xludf.DUMMYFUNCTION("""COMPUTED_VALUE"""),"")</f>
        <v/>
      </c>
      <c r="AC93" s="52" t="str">
        <f>IFERROR(__xludf.DUMMYFUNCTION("""COMPUTED_VALUE"""),"")</f>
        <v/>
      </c>
      <c r="AD93" s="52" t="str">
        <f>IFERROR(__xludf.DUMMYFUNCTION("""COMPUTED_VALUE"""),"")</f>
        <v/>
      </c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</row>
    <row r="94">
      <c r="B94" s="49"/>
      <c r="C94" s="49" t="str">
        <f t="shared" si="2"/>
        <v/>
      </c>
      <c r="D94" s="50" t="str">
        <f t="shared" si="3"/>
        <v/>
      </c>
      <c r="E94" s="51" t="str">
        <f t="shared" ref="E94:T94" si="95">IFERROR(VLOOKUP($A94,INDIRECT("'" &amp; E$1 &amp; "'!$C:$G"), 5, FALSE),"")</f>
        <v/>
      </c>
      <c r="F94" s="51" t="str">
        <f t="shared" si="95"/>
        <v/>
      </c>
      <c r="G94" s="51" t="str">
        <f t="shared" si="95"/>
        <v/>
      </c>
      <c r="H94" s="51" t="str">
        <f t="shared" si="95"/>
        <v/>
      </c>
      <c r="I94" s="51" t="str">
        <f t="shared" si="95"/>
        <v/>
      </c>
      <c r="J94" s="51" t="str">
        <f t="shared" si="95"/>
        <v/>
      </c>
      <c r="K94" s="51" t="str">
        <f t="shared" si="95"/>
        <v/>
      </c>
      <c r="L94" s="51" t="str">
        <f t="shared" si="95"/>
        <v/>
      </c>
      <c r="M94" s="51" t="str">
        <f t="shared" si="95"/>
        <v/>
      </c>
      <c r="N94" s="51" t="str">
        <f t="shared" si="95"/>
        <v/>
      </c>
      <c r="O94" s="51" t="str">
        <f t="shared" si="95"/>
        <v/>
      </c>
      <c r="P94" s="51" t="str">
        <f t="shared" si="95"/>
        <v/>
      </c>
      <c r="Q94" s="51" t="str">
        <f t="shared" si="95"/>
        <v/>
      </c>
      <c r="R94" s="51" t="str">
        <f t="shared" si="95"/>
        <v/>
      </c>
      <c r="S94" s="51" t="str">
        <f t="shared" si="95"/>
        <v/>
      </c>
      <c r="T94" s="51" t="str">
        <f t="shared" si="95"/>
        <v/>
      </c>
      <c r="U94" s="52"/>
      <c r="V94" s="52" t="str">
        <f>IFERROR(__xludf.DUMMYFUNCTION("""COMPUTED_VALUE"""),"")</f>
        <v/>
      </c>
      <c r="W94" s="52" t="str">
        <f>IFERROR(__xludf.DUMMYFUNCTION("""COMPUTED_VALUE"""),"")</f>
        <v/>
      </c>
      <c r="X94" s="52" t="str">
        <f>IFERROR(__xludf.DUMMYFUNCTION("""COMPUTED_VALUE"""),"")</f>
        <v/>
      </c>
      <c r="Y94" s="52" t="str">
        <f>IFERROR(__xludf.DUMMYFUNCTION("""COMPUTED_VALUE"""),"")</f>
        <v/>
      </c>
      <c r="Z94" s="52" t="str">
        <f>IFERROR(__xludf.DUMMYFUNCTION("""COMPUTED_VALUE"""),"")</f>
        <v/>
      </c>
      <c r="AA94" s="52" t="str">
        <f>IFERROR(__xludf.DUMMYFUNCTION("""COMPUTED_VALUE"""),"")</f>
        <v/>
      </c>
      <c r="AB94" s="52" t="str">
        <f>IFERROR(__xludf.DUMMYFUNCTION("""COMPUTED_VALUE"""),"")</f>
        <v/>
      </c>
      <c r="AC94" s="52" t="str">
        <f>IFERROR(__xludf.DUMMYFUNCTION("""COMPUTED_VALUE"""),"")</f>
        <v/>
      </c>
      <c r="AD94" s="52" t="str">
        <f>IFERROR(__xludf.DUMMYFUNCTION("""COMPUTED_VALUE"""),"")</f>
        <v/>
      </c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</row>
    <row r="95">
      <c r="B95" s="49"/>
      <c r="C95" s="49" t="str">
        <f t="shared" si="2"/>
        <v/>
      </c>
      <c r="D95" s="50" t="str">
        <f t="shared" si="3"/>
        <v/>
      </c>
      <c r="E95" s="51" t="str">
        <f t="shared" ref="E95:T95" si="96">IFERROR(VLOOKUP($A95,INDIRECT("'" &amp; E$1 &amp; "'!$C:$G"), 5, FALSE),"")</f>
        <v/>
      </c>
      <c r="F95" s="51" t="str">
        <f t="shared" si="96"/>
        <v/>
      </c>
      <c r="G95" s="51" t="str">
        <f t="shared" si="96"/>
        <v/>
      </c>
      <c r="H95" s="51" t="str">
        <f t="shared" si="96"/>
        <v/>
      </c>
      <c r="I95" s="51" t="str">
        <f t="shared" si="96"/>
        <v/>
      </c>
      <c r="J95" s="51" t="str">
        <f t="shared" si="96"/>
        <v/>
      </c>
      <c r="K95" s="51" t="str">
        <f t="shared" si="96"/>
        <v/>
      </c>
      <c r="L95" s="51" t="str">
        <f t="shared" si="96"/>
        <v/>
      </c>
      <c r="M95" s="51" t="str">
        <f t="shared" si="96"/>
        <v/>
      </c>
      <c r="N95" s="51" t="str">
        <f t="shared" si="96"/>
        <v/>
      </c>
      <c r="O95" s="51" t="str">
        <f t="shared" si="96"/>
        <v/>
      </c>
      <c r="P95" s="51" t="str">
        <f t="shared" si="96"/>
        <v/>
      </c>
      <c r="Q95" s="51" t="str">
        <f t="shared" si="96"/>
        <v/>
      </c>
      <c r="R95" s="51" t="str">
        <f t="shared" si="96"/>
        <v/>
      </c>
      <c r="S95" s="51" t="str">
        <f t="shared" si="96"/>
        <v/>
      </c>
      <c r="T95" s="51" t="str">
        <f t="shared" si="96"/>
        <v/>
      </c>
      <c r="U95" s="52"/>
      <c r="V95" s="52" t="str">
        <f>IFERROR(__xludf.DUMMYFUNCTION("""COMPUTED_VALUE"""),"")</f>
        <v/>
      </c>
      <c r="W95" s="52" t="str">
        <f>IFERROR(__xludf.DUMMYFUNCTION("""COMPUTED_VALUE"""),"")</f>
        <v/>
      </c>
      <c r="X95" s="52" t="str">
        <f>IFERROR(__xludf.DUMMYFUNCTION("""COMPUTED_VALUE"""),"")</f>
        <v/>
      </c>
      <c r="Y95" s="52" t="str">
        <f>IFERROR(__xludf.DUMMYFUNCTION("""COMPUTED_VALUE"""),"")</f>
        <v/>
      </c>
      <c r="Z95" s="52" t="str">
        <f>IFERROR(__xludf.DUMMYFUNCTION("""COMPUTED_VALUE"""),"")</f>
        <v/>
      </c>
      <c r="AA95" s="52" t="str">
        <f>IFERROR(__xludf.DUMMYFUNCTION("""COMPUTED_VALUE"""),"")</f>
        <v/>
      </c>
      <c r="AB95" s="52" t="str">
        <f>IFERROR(__xludf.DUMMYFUNCTION("""COMPUTED_VALUE"""),"")</f>
        <v/>
      </c>
      <c r="AC95" s="52" t="str">
        <f>IFERROR(__xludf.DUMMYFUNCTION("""COMPUTED_VALUE"""),"")</f>
        <v/>
      </c>
      <c r="AD95" s="52" t="str">
        <f>IFERROR(__xludf.DUMMYFUNCTION("""COMPUTED_VALUE"""),"")</f>
        <v/>
      </c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</row>
    <row r="96">
      <c r="B96" s="49"/>
      <c r="C96" s="49" t="str">
        <f t="shared" si="2"/>
        <v/>
      </c>
      <c r="D96" s="50" t="str">
        <f t="shared" si="3"/>
        <v/>
      </c>
      <c r="E96" s="51" t="str">
        <f t="shared" ref="E96:T96" si="97">IFERROR(VLOOKUP($A96,INDIRECT("'" &amp; E$1 &amp; "'!$C:$G"), 5, FALSE),"")</f>
        <v/>
      </c>
      <c r="F96" s="51" t="str">
        <f t="shared" si="97"/>
        <v/>
      </c>
      <c r="G96" s="51" t="str">
        <f t="shared" si="97"/>
        <v/>
      </c>
      <c r="H96" s="51" t="str">
        <f t="shared" si="97"/>
        <v/>
      </c>
      <c r="I96" s="51" t="str">
        <f t="shared" si="97"/>
        <v/>
      </c>
      <c r="J96" s="51" t="str">
        <f t="shared" si="97"/>
        <v/>
      </c>
      <c r="K96" s="51" t="str">
        <f t="shared" si="97"/>
        <v/>
      </c>
      <c r="L96" s="51" t="str">
        <f t="shared" si="97"/>
        <v/>
      </c>
      <c r="M96" s="51" t="str">
        <f t="shared" si="97"/>
        <v/>
      </c>
      <c r="N96" s="51" t="str">
        <f t="shared" si="97"/>
        <v/>
      </c>
      <c r="O96" s="51" t="str">
        <f t="shared" si="97"/>
        <v/>
      </c>
      <c r="P96" s="51" t="str">
        <f t="shared" si="97"/>
        <v/>
      </c>
      <c r="Q96" s="51" t="str">
        <f t="shared" si="97"/>
        <v/>
      </c>
      <c r="R96" s="51" t="str">
        <f t="shared" si="97"/>
        <v/>
      </c>
      <c r="S96" s="51" t="str">
        <f t="shared" si="97"/>
        <v/>
      </c>
      <c r="T96" s="51" t="str">
        <f t="shared" si="97"/>
        <v/>
      </c>
      <c r="U96" s="52"/>
      <c r="V96" s="52" t="str">
        <f>IFERROR(__xludf.DUMMYFUNCTION("""COMPUTED_VALUE"""),"")</f>
        <v/>
      </c>
      <c r="W96" s="52" t="str">
        <f>IFERROR(__xludf.DUMMYFUNCTION("""COMPUTED_VALUE"""),"")</f>
        <v/>
      </c>
      <c r="X96" s="52" t="str">
        <f>IFERROR(__xludf.DUMMYFUNCTION("""COMPUTED_VALUE"""),"")</f>
        <v/>
      </c>
      <c r="Y96" s="52" t="str">
        <f>IFERROR(__xludf.DUMMYFUNCTION("""COMPUTED_VALUE"""),"")</f>
        <v/>
      </c>
      <c r="Z96" s="52" t="str">
        <f>IFERROR(__xludf.DUMMYFUNCTION("""COMPUTED_VALUE"""),"")</f>
        <v/>
      </c>
      <c r="AA96" s="52" t="str">
        <f>IFERROR(__xludf.DUMMYFUNCTION("""COMPUTED_VALUE"""),"")</f>
        <v/>
      </c>
      <c r="AB96" s="52" t="str">
        <f>IFERROR(__xludf.DUMMYFUNCTION("""COMPUTED_VALUE"""),"")</f>
        <v/>
      </c>
      <c r="AC96" s="52" t="str">
        <f>IFERROR(__xludf.DUMMYFUNCTION("""COMPUTED_VALUE"""),"")</f>
        <v/>
      </c>
      <c r="AD96" s="52" t="str">
        <f>IFERROR(__xludf.DUMMYFUNCTION("""COMPUTED_VALUE"""),"")</f>
        <v/>
      </c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</row>
    <row r="97">
      <c r="B97" s="49"/>
      <c r="C97" s="49" t="str">
        <f t="shared" si="2"/>
        <v/>
      </c>
      <c r="D97" s="50" t="str">
        <f t="shared" si="3"/>
        <v/>
      </c>
      <c r="E97" s="51" t="str">
        <f t="shared" ref="E97:T97" si="98">IFERROR(VLOOKUP($A97,INDIRECT("'" &amp; E$1 &amp; "'!$C:$G"), 5, FALSE),"")</f>
        <v/>
      </c>
      <c r="F97" s="51" t="str">
        <f t="shared" si="98"/>
        <v/>
      </c>
      <c r="G97" s="51" t="str">
        <f t="shared" si="98"/>
        <v/>
      </c>
      <c r="H97" s="51" t="str">
        <f t="shared" si="98"/>
        <v/>
      </c>
      <c r="I97" s="51" t="str">
        <f t="shared" si="98"/>
        <v/>
      </c>
      <c r="J97" s="51" t="str">
        <f t="shared" si="98"/>
        <v/>
      </c>
      <c r="K97" s="51" t="str">
        <f t="shared" si="98"/>
        <v/>
      </c>
      <c r="L97" s="51" t="str">
        <f t="shared" si="98"/>
        <v/>
      </c>
      <c r="M97" s="51" t="str">
        <f t="shared" si="98"/>
        <v/>
      </c>
      <c r="N97" s="51" t="str">
        <f t="shared" si="98"/>
        <v/>
      </c>
      <c r="O97" s="51" t="str">
        <f t="shared" si="98"/>
        <v/>
      </c>
      <c r="P97" s="51" t="str">
        <f t="shared" si="98"/>
        <v/>
      </c>
      <c r="Q97" s="51" t="str">
        <f t="shared" si="98"/>
        <v/>
      </c>
      <c r="R97" s="51" t="str">
        <f t="shared" si="98"/>
        <v/>
      </c>
      <c r="S97" s="51" t="str">
        <f t="shared" si="98"/>
        <v/>
      </c>
      <c r="T97" s="51" t="str">
        <f t="shared" si="98"/>
        <v/>
      </c>
      <c r="U97" s="52"/>
      <c r="V97" s="52" t="str">
        <f>IFERROR(__xludf.DUMMYFUNCTION("""COMPUTED_VALUE"""),"")</f>
        <v/>
      </c>
      <c r="W97" s="52" t="str">
        <f>IFERROR(__xludf.DUMMYFUNCTION("""COMPUTED_VALUE"""),"")</f>
        <v/>
      </c>
      <c r="X97" s="52" t="str">
        <f>IFERROR(__xludf.DUMMYFUNCTION("""COMPUTED_VALUE"""),"")</f>
        <v/>
      </c>
      <c r="Y97" s="52" t="str">
        <f>IFERROR(__xludf.DUMMYFUNCTION("""COMPUTED_VALUE"""),"")</f>
        <v/>
      </c>
      <c r="Z97" s="52" t="str">
        <f>IFERROR(__xludf.DUMMYFUNCTION("""COMPUTED_VALUE"""),"")</f>
        <v/>
      </c>
      <c r="AA97" s="52" t="str">
        <f>IFERROR(__xludf.DUMMYFUNCTION("""COMPUTED_VALUE"""),"")</f>
        <v/>
      </c>
      <c r="AB97" s="52" t="str">
        <f>IFERROR(__xludf.DUMMYFUNCTION("""COMPUTED_VALUE"""),"")</f>
        <v/>
      </c>
      <c r="AC97" s="52" t="str">
        <f>IFERROR(__xludf.DUMMYFUNCTION("""COMPUTED_VALUE"""),"")</f>
        <v/>
      </c>
      <c r="AD97" s="52" t="str">
        <f>IFERROR(__xludf.DUMMYFUNCTION("""COMPUTED_VALUE"""),"")</f>
        <v/>
      </c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</row>
    <row r="98">
      <c r="B98" s="49"/>
      <c r="C98" s="49" t="str">
        <f t="shared" si="2"/>
        <v/>
      </c>
      <c r="D98" s="50" t="str">
        <f t="shared" si="3"/>
        <v/>
      </c>
      <c r="E98" s="51" t="str">
        <f t="shared" ref="E98:T98" si="99">IFERROR(VLOOKUP($A98,INDIRECT("'" &amp; E$1 &amp; "'!$C:$G"), 5, FALSE),"")</f>
        <v/>
      </c>
      <c r="F98" s="51" t="str">
        <f t="shared" si="99"/>
        <v/>
      </c>
      <c r="G98" s="51" t="str">
        <f t="shared" si="99"/>
        <v/>
      </c>
      <c r="H98" s="51" t="str">
        <f t="shared" si="99"/>
        <v/>
      </c>
      <c r="I98" s="51" t="str">
        <f t="shared" si="99"/>
        <v/>
      </c>
      <c r="J98" s="51" t="str">
        <f t="shared" si="99"/>
        <v/>
      </c>
      <c r="K98" s="51" t="str">
        <f t="shared" si="99"/>
        <v/>
      </c>
      <c r="L98" s="51" t="str">
        <f t="shared" si="99"/>
        <v/>
      </c>
      <c r="M98" s="51" t="str">
        <f t="shared" si="99"/>
        <v/>
      </c>
      <c r="N98" s="51" t="str">
        <f t="shared" si="99"/>
        <v/>
      </c>
      <c r="O98" s="51" t="str">
        <f t="shared" si="99"/>
        <v/>
      </c>
      <c r="P98" s="51" t="str">
        <f t="shared" si="99"/>
        <v/>
      </c>
      <c r="Q98" s="51" t="str">
        <f t="shared" si="99"/>
        <v/>
      </c>
      <c r="R98" s="51" t="str">
        <f t="shared" si="99"/>
        <v/>
      </c>
      <c r="S98" s="51" t="str">
        <f t="shared" si="99"/>
        <v/>
      </c>
      <c r="T98" s="51" t="str">
        <f t="shared" si="99"/>
        <v/>
      </c>
      <c r="U98" s="52"/>
      <c r="V98" s="52" t="str">
        <f>IFERROR(__xludf.DUMMYFUNCTION("""COMPUTED_VALUE"""),"")</f>
        <v/>
      </c>
      <c r="W98" s="52" t="str">
        <f>IFERROR(__xludf.DUMMYFUNCTION("""COMPUTED_VALUE"""),"")</f>
        <v/>
      </c>
      <c r="X98" s="52" t="str">
        <f>IFERROR(__xludf.DUMMYFUNCTION("""COMPUTED_VALUE"""),"")</f>
        <v/>
      </c>
      <c r="Y98" s="52" t="str">
        <f>IFERROR(__xludf.DUMMYFUNCTION("""COMPUTED_VALUE"""),"")</f>
        <v/>
      </c>
      <c r="Z98" s="52" t="str">
        <f>IFERROR(__xludf.DUMMYFUNCTION("""COMPUTED_VALUE"""),"")</f>
        <v/>
      </c>
      <c r="AA98" s="52" t="str">
        <f>IFERROR(__xludf.DUMMYFUNCTION("""COMPUTED_VALUE"""),"")</f>
        <v/>
      </c>
      <c r="AB98" s="52" t="str">
        <f>IFERROR(__xludf.DUMMYFUNCTION("""COMPUTED_VALUE"""),"")</f>
        <v/>
      </c>
      <c r="AC98" s="52" t="str">
        <f>IFERROR(__xludf.DUMMYFUNCTION("""COMPUTED_VALUE"""),"")</f>
        <v/>
      </c>
      <c r="AD98" s="52" t="str">
        <f>IFERROR(__xludf.DUMMYFUNCTION("""COMPUTED_VALUE"""),"")</f>
        <v/>
      </c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</row>
    <row r="99">
      <c r="B99" s="49"/>
      <c r="C99" s="49" t="str">
        <f t="shared" si="2"/>
        <v/>
      </c>
      <c r="D99" s="50" t="str">
        <f t="shared" si="3"/>
        <v/>
      </c>
      <c r="E99" s="51" t="str">
        <f t="shared" ref="E99:T99" si="100">IFERROR(VLOOKUP($A99,INDIRECT("'" &amp; E$1 &amp; "'!$C:$G"), 5, FALSE),"")</f>
        <v/>
      </c>
      <c r="F99" s="51" t="str">
        <f t="shared" si="100"/>
        <v/>
      </c>
      <c r="G99" s="51" t="str">
        <f t="shared" si="100"/>
        <v/>
      </c>
      <c r="H99" s="51" t="str">
        <f t="shared" si="100"/>
        <v/>
      </c>
      <c r="I99" s="51" t="str">
        <f t="shared" si="100"/>
        <v/>
      </c>
      <c r="J99" s="51" t="str">
        <f t="shared" si="100"/>
        <v/>
      </c>
      <c r="K99" s="51" t="str">
        <f t="shared" si="100"/>
        <v/>
      </c>
      <c r="L99" s="51" t="str">
        <f t="shared" si="100"/>
        <v/>
      </c>
      <c r="M99" s="51" t="str">
        <f t="shared" si="100"/>
        <v/>
      </c>
      <c r="N99" s="51" t="str">
        <f t="shared" si="100"/>
        <v/>
      </c>
      <c r="O99" s="51" t="str">
        <f t="shared" si="100"/>
        <v/>
      </c>
      <c r="P99" s="51" t="str">
        <f t="shared" si="100"/>
        <v/>
      </c>
      <c r="Q99" s="51" t="str">
        <f t="shared" si="100"/>
        <v/>
      </c>
      <c r="R99" s="51" t="str">
        <f t="shared" si="100"/>
        <v/>
      </c>
      <c r="S99" s="51" t="str">
        <f t="shared" si="100"/>
        <v/>
      </c>
      <c r="T99" s="51" t="str">
        <f t="shared" si="100"/>
        <v/>
      </c>
      <c r="U99" s="52"/>
      <c r="V99" s="52" t="str">
        <f>IFERROR(__xludf.DUMMYFUNCTION("""COMPUTED_VALUE"""),"")</f>
        <v/>
      </c>
      <c r="W99" s="52" t="str">
        <f>IFERROR(__xludf.DUMMYFUNCTION("""COMPUTED_VALUE"""),"")</f>
        <v/>
      </c>
      <c r="X99" s="52" t="str">
        <f>IFERROR(__xludf.DUMMYFUNCTION("""COMPUTED_VALUE"""),"")</f>
        <v/>
      </c>
      <c r="Y99" s="52" t="str">
        <f>IFERROR(__xludf.DUMMYFUNCTION("""COMPUTED_VALUE"""),"")</f>
        <v/>
      </c>
      <c r="Z99" s="52" t="str">
        <f>IFERROR(__xludf.DUMMYFUNCTION("""COMPUTED_VALUE"""),"")</f>
        <v/>
      </c>
      <c r="AA99" s="52" t="str">
        <f>IFERROR(__xludf.DUMMYFUNCTION("""COMPUTED_VALUE"""),"")</f>
        <v/>
      </c>
      <c r="AB99" s="52" t="str">
        <f>IFERROR(__xludf.DUMMYFUNCTION("""COMPUTED_VALUE"""),"")</f>
        <v/>
      </c>
      <c r="AC99" s="52" t="str">
        <f>IFERROR(__xludf.DUMMYFUNCTION("""COMPUTED_VALUE"""),"")</f>
        <v/>
      </c>
      <c r="AD99" s="52" t="str">
        <f>IFERROR(__xludf.DUMMYFUNCTION("""COMPUTED_VALUE"""),"")</f>
        <v/>
      </c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</row>
    <row r="100">
      <c r="B100" s="49"/>
      <c r="C100" s="49" t="str">
        <f t="shared" si="2"/>
        <v/>
      </c>
      <c r="D100" s="50" t="str">
        <f t="shared" si="3"/>
        <v/>
      </c>
      <c r="E100" s="51" t="str">
        <f t="shared" ref="E100:T100" si="101">IFERROR(VLOOKUP($A100,INDIRECT("'" &amp; E$1 &amp; "'!$C:$G"), 5, FALSE),"")</f>
        <v/>
      </c>
      <c r="F100" s="51" t="str">
        <f t="shared" si="101"/>
        <v/>
      </c>
      <c r="G100" s="51" t="str">
        <f t="shared" si="101"/>
        <v/>
      </c>
      <c r="H100" s="51" t="str">
        <f t="shared" si="101"/>
        <v/>
      </c>
      <c r="I100" s="51" t="str">
        <f t="shared" si="101"/>
        <v/>
      </c>
      <c r="J100" s="51" t="str">
        <f t="shared" si="101"/>
        <v/>
      </c>
      <c r="K100" s="51" t="str">
        <f t="shared" si="101"/>
        <v/>
      </c>
      <c r="L100" s="51" t="str">
        <f t="shared" si="101"/>
        <v/>
      </c>
      <c r="M100" s="51" t="str">
        <f t="shared" si="101"/>
        <v/>
      </c>
      <c r="N100" s="51" t="str">
        <f t="shared" si="101"/>
        <v/>
      </c>
      <c r="O100" s="51" t="str">
        <f t="shared" si="101"/>
        <v/>
      </c>
      <c r="P100" s="51" t="str">
        <f t="shared" si="101"/>
        <v/>
      </c>
      <c r="Q100" s="51" t="str">
        <f t="shared" si="101"/>
        <v/>
      </c>
      <c r="R100" s="51" t="str">
        <f t="shared" si="101"/>
        <v/>
      </c>
      <c r="S100" s="51" t="str">
        <f t="shared" si="101"/>
        <v/>
      </c>
      <c r="T100" s="51" t="str">
        <f t="shared" si="101"/>
        <v/>
      </c>
      <c r="U100" s="52"/>
      <c r="V100" s="52" t="str">
        <f>IFERROR(__xludf.DUMMYFUNCTION("""COMPUTED_VALUE"""),"")</f>
        <v/>
      </c>
      <c r="W100" s="52" t="str">
        <f>IFERROR(__xludf.DUMMYFUNCTION("""COMPUTED_VALUE"""),"")</f>
        <v/>
      </c>
      <c r="X100" s="52" t="str">
        <f>IFERROR(__xludf.DUMMYFUNCTION("""COMPUTED_VALUE"""),"")</f>
        <v/>
      </c>
      <c r="Y100" s="52" t="str">
        <f>IFERROR(__xludf.DUMMYFUNCTION("""COMPUTED_VALUE"""),"")</f>
        <v/>
      </c>
      <c r="Z100" s="52" t="str">
        <f>IFERROR(__xludf.DUMMYFUNCTION("""COMPUTED_VALUE"""),"")</f>
        <v/>
      </c>
      <c r="AA100" s="52" t="str">
        <f>IFERROR(__xludf.DUMMYFUNCTION("""COMPUTED_VALUE"""),"")</f>
        <v/>
      </c>
      <c r="AB100" s="52" t="str">
        <f>IFERROR(__xludf.DUMMYFUNCTION("""COMPUTED_VALUE"""),"")</f>
        <v/>
      </c>
      <c r="AC100" s="52" t="str">
        <f>IFERROR(__xludf.DUMMYFUNCTION("""COMPUTED_VALUE"""),"")</f>
        <v/>
      </c>
      <c r="AD100" s="52" t="str">
        <f>IFERROR(__xludf.DUMMYFUNCTION("""COMPUTED_VALUE"""),"")</f>
        <v/>
      </c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</row>
    <row r="101">
      <c r="B101" s="49"/>
      <c r="C101" s="49" t="str">
        <f t="shared" si="2"/>
        <v/>
      </c>
      <c r="D101" s="50" t="str">
        <f t="shared" si="3"/>
        <v/>
      </c>
      <c r="E101" s="51" t="str">
        <f t="shared" ref="E101:T101" si="102">IFERROR(VLOOKUP($A101,INDIRECT("'" &amp; E$1 &amp; "'!$C:$G"), 5, FALSE),"")</f>
        <v/>
      </c>
      <c r="F101" s="51" t="str">
        <f t="shared" si="102"/>
        <v/>
      </c>
      <c r="G101" s="51" t="str">
        <f t="shared" si="102"/>
        <v/>
      </c>
      <c r="H101" s="51" t="str">
        <f t="shared" si="102"/>
        <v/>
      </c>
      <c r="I101" s="51" t="str">
        <f t="shared" si="102"/>
        <v/>
      </c>
      <c r="J101" s="51" t="str">
        <f t="shared" si="102"/>
        <v/>
      </c>
      <c r="K101" s="51" t="str">
        <f t="shared" si="102"/>
        <v/>
      </c>
      <c r="L101" s="51" t="str">
        <f t="shared" si="102"/>
        <v/>
      </c>
      <c r="M101" s="51" t="str">
        <f t="shared" si="102"/>
        <v/>
      </c>
      <c r="N101" s="51" t="str">
        <f t="shared" si="102"/>
        <v/>
      </c>
      <c r="O101" s="51" t="str">
        <f t="shared" si="102"/>
        <v/>
      </c>
      <c r="P101" s="51" t="str">
        <f t="shared" si="102"/>
        <v/>
      </c>
      <c r="Q101" s="51" t="str">
        <f t="shared" si="102"/>
        <v/>
      </c>
      <c r="R101" s="51" t="str">
        <f t="shared" si="102"/>
        <v/>
      </c>
      <c r="S101" s="51" t="str">
        <f t="shared" si="102"/>
        <v/>
      </c>
      <c r="T101" s="51" t="str">
        <f t="shared" si="102"/>
        <v/>
      </c>
      <c r="U101" s="52"/>
      <c r="V101" s="52" t="str">
        <f>IFERROR(__xludf.DUMMYFUNCTION("""COMPUTED_VALUE"""),"")</f>
        <v/>
      </c>
      <c r="W101" s="52" t="str">
        <f>IFERROR(__xludf.DUMMYFUNCTION("""COMPUTED_VALUE"""),"")</f>
        <v/>
      </c>
      <c r="X101" s="52" t="str">
        <f>IFERROR(__xludf.DUMMYFUNCTION("""COMPUTED_VALUE"""),"")</f>
        <v/>
      </c>
      <c r="Y101" s="52" t="str">
        <f>IFERROR(__xludf.DUMMYFUNCTION("""COMPUTED_VALUE"""),"")</f>
        <v/>
      </c>
      <c r="Z101" s="52" t="str">
        <f>IFERROR(__xludf.DUMMYFUNCTION("""COMPUTED_VALUE"""),"")</f>
        <v/>
      </c>
      <c r="AA101" s="52" t="str">
        <f>IFERROR(__xludf.DUMMYFUNCTION("""COMPUTED_VALUE"""),"")</f>
        <v/>
      </c>
      <c r="AB101" s="52" t="str">
        <f>IFERROR(__xludf.DUMMYFUNCTION("""COMPUTED_VALUE"""),"")</f>
        <v/>
      </c>
      <c r="AC101" s="52" t="str">
        <f>IFERROR(__xludf.DUMMYFUNCTION("""COMPUTED_VALUE"""),"")</f>
        <v/>
      </c>
      <c r="AD101" s="52" t="str">
        <f>IFERROR(__xludf.DUMMYFUNCTION("""COMPUTED_VALUE"""),"")</f>
        <v/>
      </c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</row>
    <row r="102">
      <c r="B102" s="49"/>
      <c r="C102" s="49" t="str">
        <f t="shared" si="2"/>
        <v/>
      </c>
      <c r="D102" s="50" t="str">
        <f t="shared" si="3"/>
        <v/>
      </c>
      <c r="E102" s="51" t="str">
        <f t="shared" ref="E102:T102" si="103">IFERROR(VLOOKUP($A102,INDIRECT("'" &amp; E$1 &amp; "'!$C:$G"), 5, FALSE),"")</f>
        <v/>
      </c>
      <c r="F102" s="51" t="str">
        <f t="shared" si="103"/>
        <v/>
      </c>
      <c r="G102" s="51" t="str">
        <f t="shared" si="103"/>
        <v/>
      </c>
      <c r="H102" s="51" t="str">
        <f t="shared" si="103"/>
        <v/>
      </c>
      <c r="I102" s="51" t="str">
        <f t="shared" si="103"/>
        <v/>
      </c>
      <c r="J102" s="51" t="str">
        <f t="shared" si="103"/>
        <v/>
      </c>
      <c r="K102" s="51" t="str">
        <f t="shared" si="103"/>
        <v/>
      </c>
      <c r="L102" s="51" t="str">
        <f t="shared" si="103"/>
        <v/>
      </c>
      <c r="M102" s="51" t="str">
        <f t="shared" si="103"/>
        <v/>
      </c>
      <c r="N102" s="51" t="str">
        <f t="shared" si="103"/>
        <v/>
      </c>
      <c r="O102" s="51" t="str">
        <f t="shared" si="103"/>
        <v/>
      </c>
      <c r="P102" s="51" t="str">
        <f t="shared" si="103"/>
        <v/>
      </c>
      <c r="Q102" s="51" t="str">
        <f t="shared" si="103"/>
        <v/>
      </c>
      <c r="R102" s="51" t="str">
        <f t="shared" si="103"/>
        <v/>
      </c>
      <c r="S102" s="51" t="str">
        <f t="shared" si="103"/>
        <v/>
      </c>
      <c r="T102" s="51" t="str">
        <f t="shared" si="103"/>
        <v/>
      </c>
      <c r="U102" s="52"/>
      <c r="V102" s="52" t="str">
        <f>IFERROR(__xludf.DUMMYFUNCTION("""COMPUTED_VALUE"""),"")</f>
        <v/>
      </c>
      <c r="W102" s="52" t="str">
        <f>IFERROR(__xludf.DUMMYFUNCTION("""COMPUTED_VALUE"""),"")</f>
        <v/>
      </c>
      <c r="X102" s="52" t="str">
        <f>IFERROR(__xludf.DUMMYFUNCTION("""COMPUTED_VALUE"""),"")</f>
        <v/>
      </c>
      <c r="Y102" s="52" t="str">
        <f>IFERROR(__xludf.DUMMYFUNCTION("""COMPUTED_VALUE"""),"")</f>
        <v/>
      </c>
      <c r="Z102" s="52" t="str">
        <f>IFERROR(__xludf.DUMMYFUNCTION("""COMPUTED_VALUE"""),"")</f>
        <v/>
      </c>
      <c r="AA102" s="52" t="str">
        <f>IFERROR(__xludf.DUMMYFUNCTION("""COMPUTED_VALUE"""),"")</f>
        <v/>
      </c>
      <c r="AB102" s="52" t="str">
        <f>IFERROR(__xludf.DUMMYFUNCTION("""COMPUTED_VALUE"""),"")</f>
        <v/>
      </c>
      <c r="AC102" s="52" t="str">
        <f>IFERROR(__xludf.DUMMYFUNCTION("""COMPUTED_VALUE"""),"")</f>
        <v/>
      </c>
      <c r="AD102" s="52" t="str">
        <f>IFERROR(__xludf.DUMMYFUNCTION("""COMPUTED_VALUE"""),"")</f>
        <v/>
      </c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</row>
    <row r="103">
      <c r="B103" s="49"/>
      <c r="C103" s="49" t="str">
        <f t="shared" si="2"/>
        <v/>
      </c>
      <c r="D103" s="50" t="str">
        <f t="shared" si="3"/>
        <v/>
      </c>
      <c r="E103" s="51" t="str">
        <f t="shared" ref="E103:T103" si="104">IFERROR(VLOOKUP($A103,INDIRECT("'" &amp; E$1 &amp; "'!$C:$G"), 5, FALSE),"")</f>
        <v/>
      </c>
      <c r="F103" s="51" t="str">
        <f t="shared" si="104"/>
        <v/>
      </c>
      <c r="G103" s="51" t="str">
        <f t="shared" si="104"/>
        <v/>
      </c>
      <c r="H103" s="51" t="str">
        <f t="shared" si="104"/>
        <v/>
      </c>
      <c r="I103" s="51" t="str">
        <f t="shared" si="104"/>
        <v/>
      </c>
      <c r="J103" s="51" t="str">
        <f t="shared" si="104"/>
        <v/>
      </c>
      <c r="K103" s="51" t="str">
        <f t="shared" si="104"/>
        <v/>
      </c>
      <c r="L103" s="51" t="str">
        <f t="shared" si="104"/>
        <v/>
      </c>
      <c r="M103" s="51" t="str">
        <f t="shared" si="104"/>
        <v/>
      </c>
      <c r="N103" s="51" t="str">
        <f t="shared" si="104"/>
        <v/>
      </c>
      <c r="O103" s="51" t="str">
        <f t="shared" si="104"/>
        <v/>
      </c>
      <c r="P103" s="51" t="str">
        <f t="shared" si="104"/>
        <v/>
      </c>
      <c r="Q103" s="51" t="str">
        <f t="shared" si="104"/>
        <v/>
      </c>
      <c r="R103" s="51" t="str">
        <f t="shared" si="104"/>
        <v/>
      </c>
      <c r="S103" s="51" t="str">
        <f t="shared" si="104"/>
        <v/>
      </c>
      <c r="T103" s="51" t="str">
        <f t="shared" si="104"/>
        <v/>
      </c>
      <c r="U103" s="52"/>
      <c r="V103" s="52" t="str">
        <f>IFERROR(__xludf.DUMMYFUNCTION("""COMPUTED_VALUE"""),"")</f>
        <v/>
      </c>
      <c r="W103" s="52" t="str">
        <f>IFERROR(__xludf.DUMMYFUNCTION("""COMPUTED_VALUE"""),"")</f>
        <v/>
      </c>
      <c r="X103" s="52" t="str">
        <f>IFERROR(__xludf.DUMMYFUNCTION("""COMPUTED_VALUE"""),"")</f>
        <v/>
      </c>
      <c r="Y103" s="52" t="str">
        <f>IFERROR(__xludf.DUMMYFUNCTION("""COMPUTED_VALUE"""),"")</f>
        <v/>
      </c>
      <c r="Z103" s="52" t="str">
        <f>IFERROR(__xludf.DUMMYFUNCTION("""COMPUTED_VALUE"""),"")</f>
        <v/>
      </c>
      <c r="AA103" s="52" t="str">
        <f>IFERROR(__xludf.DUMMYFUNCTION("""COMPUTED_VALUE"""),"")</f>
        <v/>
      </c>
      <c r="AB103" s="52" t="str">
        <f>IFERROR(__xludf.DUMMYFUNCTION("""COMPUTED_VALUE"""),"")</f>
        <v/>
      </c>
      <c r="AC103" s="52" t="str">
        <f>IFERROR(__xludf.DUMMYFUNCTION("""COMPUTED_VALUE"""),"")</f>
        <v/>
      </c>
      <c r="AD103" s="52" t="str">
        <f>IFERROR(__xludf.DUMMYFUNCTION("""COMPUTED_VALUE"""),"")</f>
        <v/>
      </c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</row>
    <row r="104">
      <c r="B104" s="49"/>
      <c r="C104" s="49" t="str">
        <f t="shared" si="2"/>
        <v/>
      </c>
      <c r="D104" s="50" t="str">
        <f t="shared" si="3"/>
        <v/>
      </c>
      <c r="E104" s="51" t="str">
        <f t="shared" ref="E104:T104" si="105">IFERROR(VLOOKUP($A104,INDIRECT("'" &amp; E$1 &amp; "'!$C:$G"), 5, FALSE),"")</f>
        <v/>
      </c>
      <c r="F104" s="51" t="str">
        <f t="shared" si="105"/>
        <v/>
      </c>
      <c r="G104" s="51" t="str">
        <f t="shared" si="105"/>
        <v/>
      </c>
      <c r="H104" s="51" t="str">
        <f t="shared" si="105"/>
        <v/>
      </c>
      <c r="I104" s="51" t="str">
        <f t="shared" si="105"/>
        <v/>
      </c>
      <c r="J104" s="51" t="str">
        <f t="shared" si="105"/>
        <v/>
      </c>
      <c r="K104" s="51" t="str">
        <f t="shared" si="105"/>
        <v/>
      </c>
      <c r="L104" s="51" t="str">
        <f t="shared" si="105"/>
        <v/>
      </c>
      <c r="M104" s="51" t="str">
        <f t="shared" si="105"/>
        <v/>
      </c>
      <c r="N104" s="51" t="str">
        <f t="shared" si="105"/>
        <v/>
      </c>
      <c r="O104" s="51" t="str">
        <f t="shared" si="105"/>
        <v/>
      </c>
      <c r="P104" s="51" t="str">
        <f t="shared" si="105"/>
        <v/>
      </c>
      <c r="Q104" s="51" t="str">
        <f t="shared" si="105"/>
        <v/>
      </c>
      <c r="R104" s="51" t="str">
        <f t="shared" si="105"/>
        <v/>
      </c>
      <c r="S104" s="51" t="str">
        <f t="shared" si="105"/>
        <v/>
      </c>
      <c r="T104" s="51" t="str">
        <f t="shared" si="105"/>
        <v/>
      </c>
      <c r="U104" s="52"/>
      <c r="V104" s="52" t="str">
        <f>IFERROR(__xludf.DUMMYFUNCTION("""COMPUTED_VALUE"""),"")</f>
        <v/>
      </c>
      <c r="W104" s="52" t="str">
        <f>IFERROR(__xludf.DUMMYFUNCTION("""COMPUTED_VALUE"""),"")</f>
        <v/>
      </c>
      <c r="X104" s="52" t="str">
        <f>IFERROR(__xludf.DUMMYFUNCTION("""COMPUTED_VALUE"""),"")</f>
        <v/>
      </c>
      <c r="Y104" s="52" t="str">
        <f>IFERROR(__xludf.DUMMYFUNCTION("""COMPUTED_VALUE"""),"")</f>
        <v/>
      </c>
      <c r="Z104" s="52" t="str">
        <f>IFERROR(__xludf.DUMMYFUNCTION("""COMPUTED_VALUE"""),"")</f>
        <v/>
      </c>
      <c r="AA104" s="52" t="str">
        <f>IFERROR(__xludf.DUMMYFUNCTION("""COMPUTED_VALUE"""),"")</f>
        <v/>
      </c>
      <c r="AB104" s="52" t="str">
        <f>IFERROR(__xludf.DUMMYFUNCTION("""COMPUTED_VALUE"""),"")</f>
        <v/>
      </c>
      <c r="AC104" s="52" t="str">
        <f>IFERROR(__xludf.DUMMYFUNCTION("""COMPUTED_VALUE"""),"")</f>
        <v/>
      </c>
      <c r="AD104" s="52" t="str">
        <f>IFERROR(__xludf.DUMMYFUNCTION("""COMPUTED_VALUE"""),"")</f>
        <v/>
      </c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</row>
    <row r="105">
      <c r="B105" s="49"/>
      <c r="C105" s="49" t="str">
        <f t="shared" si="2"/>
        <v/>
      </c>
      <c r="D105" s="50" t="str">
        <f t="shared" si="3"/>
        <v/>
      </c>
      <c r="E105" s="51" t="str">
        <f t="shared" ref="E105:T105" si="106">IFERROR(VLOOKUP($A105,INDIRECT("'" &amp; E$1 &amp; "'!$C:$G"), 5, FALSE),"")</f>
        <v/>
      </c>
      <c r="F105" s="51" t="str">
        <f t="shared" si="106"/>
        <v/>
      </c>
      <c r="G105" s="51" t="str">
        <f t="shared" si="106"/>
        <v/>
      </c>
      <c r="H105" s="51" t="str">
        <f t="shared" si="106"/>
        <v/>
      </c>
      <c r="I105" s="51" t="str">
        <f t="shared" si="106"/>
        <v/>
      </c>
      <c r="J105" s="51" t="str">
        <f t="shared" si="106"/>
        <v/>
      </c>
      <c r="K105" s="51" t="str">
        <f t="shared" si="106"/>
        <v/>
      </c>
      <c r="L105" s="51" t="str">
        <f t="shared" si="106"/>
        <v/>
      </c>
      <c r="M105" s="51" t="str">
        <f t="shared" si="106"/>
        <v/>
      </c>
      <c r="N105" s="51" t="str">
        <f t="shared" si="106"/>
        <v/>
      </c>
      <c r="O105" s="51" t="str">
        <f t="shared" si="106"/>
        <v/>
      </c>
      <c r="P105" s="51" t="str">
        <f t="shared" si="106"/>
        <v/>
      </c>
      <c r="Q105" s="51" t="str">
        <f t="shared" si="106"/>
        <v/>
      </c>
      <c r="R105" s="51" t="str">
        <f t="shared" si="106"/>
        <v/>
      </c>
      <c r="S105" s="51" t="str">
        <f t="shared" si="106"/>
        <v/>
      </c>
      <c r="T105" s="51" t="str">
        <f t="shared" si="106"/>
        <v/>
      </c>
      <c r="U105" s="52"/>
      <c r="V105" s="52" t="str">
        <f>IFERROR(__xludf.DUMMYFUNCTION("""COMPUTED_VALUE"""),"")</f>
        <v/>
      </c>
      <c r="W105" s="52" t="str">
        <f>IFERROR(__xludf.DUMMYFUNCTION("""COMPUTED_VALUE"""),"")</f>
        <v/>
      </c>
      <c r="X105" s="52" t="str">
        <f>IFERROR(__xludf.DUMMYFUNCTION("""COMPUTED_VALUE"""),"")</f>
        <v/>
      </c>
      <c r="Y105" s="52" t="str">
        <f>IFERROR(__xludf.DUMMYFUNCTION("""COMPUTED_VALUE"""),"")</f>
        <v/>
      </c>
      <c r="Z105" s="52" t="str">
        <f>IFERROR(__xludf.DUMMYFUNCTION("""COMPUTED_VALUE"""),"")</f>
        <v/>
      </c>
      <c r="AA105" s="52" t="str">
        <f>IFERROR(__xludf.DUMMYFUNCTION("""COMPUTED_VALUE"""),"")</f>
        <v/>
      </c>
      <c r="AB105" s="52" t="str">
        <f>IFERROR(__xludf.DUMMYFUNCTION("""COMPUTED_VALUE"""),"")</f>
        <v/>
      </c>
      <c r="AC105" s="52" t="str">
        <f>IFERROR(__xludf.DUMMYFUNCTION("""COMPUTED_VALUE"""),"")</f>
        <v/>
      </c>
      <c r="AD105" s="52" t="str">
        <f>IFERROR(__xludf.DUMMYFUNCTION("""COMPUTED_VALUE"""),"")</f>
        <v/>
      </c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</row>
    <row r="106">
      <c r="B106" s="49"/>
      <c r="C106" s="49" t="str">
        <f t="shared" si="2"/>
        <v/>
      </c>
      <c r="D106" s="50" t="str">
        <f t="shared" si="3"/>
        <v/>
      </c>
      <c r="E106" s="51" t="str">
        <f t="shared" ref="E106:T106" si="107">IFERROR(VLOOKUP($A106,INDIRECT("'" &amp; E$1 &amp; "'!$C:$G"), 5, FALSE),"")</f>
        <v/>
      </c>
      <c r="F106" s="51" t="str">
        <f t="shared" si="107"/>
        <v/>
      </c>
      <c r="G106" s="51" t="str">
        <f t="shared" si="107"/>
        <v/>
      </c>
      <c r="H106" s="51" t="str">
        <f t="shared" si="107"/>
        <v/>
      </c>
      <c r="I106" s="51" t="str">
        <f t="shared" si="107"/>
        <v/>
      </c>
      <c r="J106" s="51" t="str">
        <f t="shared" si="107"/>
        <v/>
      </c>
      <c r="K106" s="51" t="str">
        <f t="shared" si="107"/>
        <v/>
      </c>
      <c r="L106" s="51" t="str">
        <f t="shared" si="107"/>
        <v/>
      </c>
      <c r="M106" s="51" t="str">
        <f t="shared" si="107"/>
        <v/>
      </c>
      <c r="N106" s="51" t="str">
        <f t="shared" si="107"/>
        <v/>
      </c>
      <c r="O106" s="51" t="str">
        <f t="shared" si="107"/>
        <v/>
      </c>
      <c r="P106" s="51" t="str">
        <f t="shared" si="107"/>
        <v/>
      </c>
      <c r="Q106" s="51" t="str">
        <f t="shared" si="107"/>
        <v/>
      </c>
      <c r="R106" s="51" t="str">
        <f t="shared" si="107"/>
        <v/>
      </c>
      <c r="S106" s="51" t="str">
        <f t="shared" si="107"/>
        <v/>
      </c>
      <c r="T106" s="51" t="str">
        <f t="shared" si="107"/>
        <v/>
      </c>
      <c r="U106" s="52"/>
      <c r="V106" s="52" t="str">
        <f>IFERROR(__xludf.DUMMYFUNCTION("""COMPUTED_VALUE"""),"")</f>
        <v/>
      </c>
      <c r="W106" s="52" t="str">
        <f>IFERROR(__xludf.DUMMYFUNCTION("""COMPUTED_VALUE"""),"")</f>
        <v/>
      </c>
      <c r="X106" s="52" t="str">
        <f>IFERROR(__xludf.DUMMYFUNCTION("""COMPUTED_VALUE"""),"")</f>
        <v/>
      </c>
      <c r="Y106" s="52" t="str">
        <f>IFERROR(__xludf.DUMMYFUNCTION("""COMPUTED_VALUE"""),"")</f>
        <v/>
      </c>
      <c r="Z106" s="52" t="str">
        <f>IFERROR(__xludf.DUMMYFUNCTION("""COMPUTED_VALUE"""),"")</f>
        <v/>
      </c>
      <c r="AA106" s="52" t="str">
        <f>IFERROR(__xludf.DUMMYFUNCTION("""COMPUTED_VALUE"""),"")</f>
        <v/>
      </c>
      <c r="AB106" s="52" t="str">
        <f>IFERROR(__xludf.DUMMYFUNCTION("""COMPUTED_VALUE"""),"")</f>
        <v/>
      </c>
      <c r="AC106" s="52" t="str">
        <f>IFERROR(__xludf.DUMMYFUNCTION("""COMPUTED_VALUE"""),"")</f>
        <v/>
      </c>
      <c r="AD106" s="52" t="str">
        <f>IFERROR(__xludf.DUMMYFUNCTION("""COMPUTED_VALUE"""),"")</f>
        <v/>
      </c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</row>
    <row r="107">
      <c r="B107" s="49"/>
      <c r="C107" s="49" t="str">
        <f t="shared" si="2"/>
        <v/>
      </c>
      <c r="D107" s="50" t="str">
        <f t="shared" si="3"/>
        <v/>
      </c>
      <c r="E107" s="51" t="str">
        <f t="shared" ref="E107:T107" si="108">IFERROR(VLOOKUP($A107,INDIRECT("'" &amp; E$1 &amp; "'!$C:$G"), 5, FALSE),"")</f>
        <v/>
      </c>
      <c r="F107" s="51" t="str">
        <f t="shared" si="108"/>
        <v/>
      </c>
      <c r="G107" s="51" t="str">
        <f t="shared" si="108"/>
        <v/>
      </c>
      <c r="H107" s="51" t="str">
        <f t="shared" si="108"/>
        <v/>
      </c>
      <c r="I107" s="51" t="str">
        <f t="shared" si="108"/>
        <v/>
      </c>
      <c r="J107" s="51" t="str">
        <f t="shared" si="108"/>
        <v/>
      </c>
      <c r="K107" s="51" t="str">
        <f t="shared" si="108"/>
        <v/>
      </c>
      <c r="L107" s="51" t="str">
        <f t="shared" si="108"/>
        <v/>
      </c>
      <c r="M107" s="51" t="str">
        <f t="shared" si="108"/>
        <v/>
      </c>
      <c r="N107" s="51" t="str">
        <f t="shared" si="108"/>
        <v/>
      </c>
      <c r="O107" s="51" t="str">
        <f t="shared" si="108"/>
        <v/>
      </c>
      <c r="P107" s="51" t="str">
        <f t="shared" si="108"/>
        <v/>
      </c>
      <c r="Q107" s="51" t="str">
        <f t="shared" si="108"/>
        <v/>
      </c>
      <c r="R107" s="51" t="str">
        <f t="shared" si="108"/>
        <v/>
      </c>
      <c r="S107" s="51" t="str">
        <f t="shared" si="108"/>
        <v/>
      </c>
      <c r="T107" s="51" t="str">
        <f t="shared" si="108"/>
        <v/>
      </c>
      <c r="U107" s="52"/>
      <c r="V107" s="52" t="str">
        <f>IFERROR(__xludf.DUMMYFUNCTION("""COMPUTED_VALUE"""),"")</f>
        <v/>
      </c>
      <c r="W107" s="52" t="str">
        <f>IFERROR(__xludf.DUMMYFUNCTION("""COMPUTED_VALUE"""),"")</f>
        <v/>
      </c>
      <c r="X107" s="52" t="str">
        <f>IFERROR(__xludf.DUMMYFUNCTION("""COMPUTED_VALUE"""),"")</f>
        <v/>
      </c>
      <c r="Y107" s="52" t="str">
        <f>IFERROR(__xludf.DUMMYFUNCTION("""COMPUTED_VALUE"""),"")</f>
        <v/>
      </c>
      <c r="Z107" s="52" t="str">
        <f>IFERROR(__xludf.DUMMYFUNCTION("""COMPUTED_VALUE"""),"")</f>
        <v/>
      </c>
      <c r="AA107" s="52" t="str">
        <f>IFERROR(__xludf.DUMMYFUNCTION("""COMPUTED_VALUE"""),"")</f>
        <v/>
      </c>
      <c r="AB107" s="52" t="str">
        <f>IFERROR(__xludf.DUMMYFUNCTION("""COMPUTED_VALUE"""),"")</f>
        <v/>
      </c>
      <c r="AC107" s="52" t="str">
        <f>IFERROR(__xludf.DUMMYFUNCTION("""COMPUTED_VALUE"""),"")</f>
        <v/>
      </c>
      <c r="AD107" s="52" t="str">
        <f>IFERROR(__xludf.DUMMYFUNCTION("""COMPUTED_VALUE"""),"")</f>
        <v/>
      </c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</row>
    <row r="108">
      <c r="B108" s="49"/>
      <c r="C108" s="49" t="str">
        <f t="shared" si="2"/>
        <v/>
      </c>
      <c r="D108" s="50" t="str">
        <f t="shared" si="3"/>
        <v/>
      </c>
      <c r="E108" s="51" t="str">
        <f t="shared" ref="E108:T108" si="109">IFERROR(VLOOKUP($A108,INDIRECT("'" &amp; E$1 &amp; "'!$C:$G"), 5, FALSE),"")</f>
        <v/>
      </c>
      <c r="F108" s="51" t="str">
        <f t="shared" si="109"/>
        <v/>
      </c>
      <c r="G108" s="51" t="str">
        <f t="shared" si="109"/>
        <v/>
      </c>
      <c r="H108" s="51" t="str">
        <f t="shared" si="109"/>
        <v/>
      </c>
      <c r="I108" s="51" t="str">
        <f t="shared" si="109"/>
        <v/>
      </c>
      <c r="J108" s="51" t="str">
        <f t="shared" si="109"/>
        <v/>
      </c>
      <c r="K108" s="51" t="str">
        <f t="shared" si="109"/>
        <v/>
      </c>
      <c r="L108" s="51" t="str">
        <f t="shared" si="109"/>
        <v/>
      </c>
      <c r="M108" s="51" t="str">
        <f t="shared" si="109"/>
        <v/>
      </c>
      <c r="N108" s="51" t="str">
        <f t="shared" si="109"/>
        <v/>
      </c>
      <c r="O108" s="51" t="str">
        <f t="shared" si="109"/>
        <v/>
      </c>
      <c r="P108" s="51" t="str">
        <f t="shared" si="109"/>
        <v/>
      </c>
      <c r="Q108" s="51" t="str">
        <f t="shared" si="109"/>
        <v/>
      </c>
      <c r="R108" s="51" t="str">
        <f t="shared" si="109"/>
        <v/>
      </c>
      <c r="S108" s="51" t="str">
        <f t="shared" si="109"/>
        <v/>
      </c>
      <c r="T108" s="51" t="str">
        <f t="shared" si="109"/>
        <v/>
      </c>
      <c r="U108" s="52"/>
      <c r="V108" s="52" t="str">
        <f>IFERROR(__xludf.DUMMYFUNCTION("""COMPUTED_VALUE"""),"")</f>
        <v/>
      </c>
      <c r="W108" s="52" t="str">
        <f>IFERROR(__xludf.DUMMYFUNCTION("""COMPUTED_VALUE"""),"")</f>
        <v/>
      </c>
      <c r="X108" s="52" t="str">
        <f>IFERROR(__xludf.DUMMYFUNCTION("""COMPUTED_VALUE"""),"")</f>
        <v/>
      </c>
      <c r="Y108" s="52" t="str">
        <f>IFERROR(__xludf.DUMMYFUNCTION("""COMPUTED_VALUE"""),"")</f>
        <v/>
      </c>
      <c r="Z108" s="52" t="str">
        <f>IFERROR(__xludf.DUMMYFUNCTION("""COMPUTED_VALUE"""),"")</f>
        <v/>
      </c>
      <c r="AA108" s="52" t="str">
        <f>IFERROR(__xludf.DUMMYFUNCTION("""COMPUTED_VALUE"""),"")</f>
        <v/>
      </c>
      <c r="AB108" s="52" t="str">
        <f>IFERROR(__xludf.DUMMYFUNCTION("""COMPUTED_VALUE"""),"")</f>
        <v/>
      </c>
      <c r="AC108" s="52" t="str">
        <f>IFERROR(__xludf.DUMMYFUNCTION("""COMPUTED_VALUE"""),"")</f>
        <v/>
      </c>
      <c r="AD108" s="52" t="str">
        <f>IFERROR(__xludf.DUMMYFUNCTION("""COMPUTED_VALUE"""),"")</f>
        <v/>
      </c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</row>
    <row r="109">
      <c r="B109" s="49"/>
      <c r="C109" s="49" t="str">
        <f t="shared" si="2"/>
        <v/>
      </c>
      <c r="D109" s="50" t="str">
        <f t="shared" si="3"/>
        <v/>
      </c>
      <c r="E109" s="51" t="str">
        <f t="shared" ref="E109:T109" si="110">IFERROR(VLOOKUP($A109,INDIRECT("'" &amp; E$1 &amp; "'!$C:$G"), 5, FALSE),"")</f>
        <v/>
      </c>
      <c r="F109" s="51" t="str">
        <f t="shared" si="110"/>
        <v/>
      </c>
      <c r="G109" s="51" t="str">
        <f t="shared" si="110"/>
        <v/>
      </c>
      <c r="H109" s="51" t="str">
        <f t="shared" si="110"/>
        <v/>
      </c>
      <c r="I109" s="51" t="str">
        <f t="shared" si="110"/>
        <v/>
      </c>
      <c r="J109" s="51" t="str">
        <f t="shared" si="110"/>
        <v/>
      </c>
      <c r="K109" s="51" t="str">
        <f t="shared" si="110"/>
        <v/>
      </c>
      <c r="L109" s="51" t="str">
        <f t="shared" si="110"/>
        <v/>
      </c>
      <c r="M109" s="51" t="str">
        <f t="shared" si="110"/>
        <v/>
      </c>
      <c r="N109" s="51" t="str">
        <f t="shared" si="110"/>
        <v/>
      </c>
      <c r="O109" s="51" t="str">
        <f t="shared" si="110"/>
        <v/>
      </c>
      <c r="P109" s="51" t="str">
        <f t="shared" si="110"/>
        <v/>
      </c>
      <c r="Q109" s="51" t="str">
        <f t="shared" si="110"/>
        <v/>
      </c>
      <c r="R109" s="51" t="str">
        <f t="shared" si="110"/>
        <v/>
      </c>
      <c r="S109" s="51" t="str">
        <f t="shared" si="110"/>
        <v/>
      </c>
      <c r="T109" s="51" t="str">
        <f t="shared" si="110"/>
        <v/>
      </c>
      <c r="U109" s="52"/>
      <c r="V109" s="52" t="str">
        <f>IFERROR(__xludf.DUMMYFUNCTION("""COMPUTED_VALUE"""),"")</f>
        <v/>
      </c>
      <c r="W109" s="52" t="str">
        <f>IFERROR(__xludf.DUMMYFUNCTION("""COMPUTED_VALUE"""),"")</f>
        <v/>
      </c>
      <c r="X109" s="52" t="str">
        <f>IFERROR(__xludf.DUMMYFUNCTION("""COMPUTED_VALUE"""),"")</f>
        <v/>
      </c>
      <c r="Y109" s="52" t="str">
        <f>IFERROR(__xludf.DUMMYFUNCTION("""COMPUTED_VALUE"""),"")</f>
        <v/>
      </c>
      <c r="Z109" s="52" t="str">
        <f>IFERROR(__xludf.DUMMYFUNCTION("""COMPUTED_VALUE"""),"")</f>
        <v/>
      </c>
      <c r="AA109" s="52" t="str">
        <f>IFERROR(__xludf.DUMMYFUNCTION("""COMPUTED_VALUE"""),"")</f>
        <v/>
      </c>
      <c r="AB109" s="52" t="str">
        <f>IFERROR(__xludf.DUMMYFUNCTION("""COMPUTED_VALUE"""),"")</f>
        <v/>
      </c>
      <c r="AC109" s="52" t="str">
        <f>IFERROR(__xludf.DUMMYFUNCTION("""COMPUTED_VALUE"""),"")</f>
        <v/>
      </c>
      <c r="AD109" s="52" t="str">
        <f>IFERROR(__xludf.DUMMYFUNCTION("""COMPUTED_VALUE"""),"")</f>
        <v/>
      </c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</row>
    <row r="110">
      <c r="B110" s="49"/>
      <c r="C110" s="49" t="str">
        <f t="shared" si="2"/>
        <v/>
      </c>
      <c r="D110" s="50" t="str">
        <f t="shared" si="3"/>
        <v/>
      </c>
      <c r="E110" s="51" t="str">
        <f t="shared" ref="E110:T110" si="111">IFERROR(VLOOKUP($A110,INDIRECT("'" &amp; E$1 &amp; "'!$C:$G"), 5, FALSE),"")</f>
        <v/>
      </c>
      <c r="F110" s="51" t="str">
        <f t="shared" si="111"/>
        <v/>
      </c>
      <c r="G110" s="51" t="str">
        <f t="shared" si="111"/>
        <v/>
      </c>
      <c r="H110" s="51" t="str">
        <f t="shared" si="111"/>
        <v/>
      </c>
      <c r="I110" s="51" t="str">
        <f t="shared" si="111"/>
        <v/>
      </c>
      <c r="J110" s="51" t="str">
        <f t="shared" si="111"/>
        <v/>
      </c>
      <c r="K110" s="51" t="str">
        <f t="shared" si="111"/>
        <v/>
      </c>
      <c r="L110" s="51" t="str">
        <f t="shared" si="111"/>
        <v/>
      </c>
      <c r="M110" s="51" t="str">
        <f t="shared" si="111"/>
        <v/>
      </c>
      <c r="N110" s="51" t="str">
        <f t="shared" si="111"/>
        <v/>
      </c>
      <c r="O110" s="51" t="str">
        <f t="shared" si="111"/>
        <v/>
      </c>
      <c r="P110" s="51" t="str">
        <f t="shared" si="111"/>
        <v/>
      </c>
      <c r="Q110" s="51" t="str">
        <f t="shared" si="111"/>
        <v/>
      </c>
      <c r="R110" s="51" t="str">
        <f t="shared" si="111"/>
        <v/>
      </c>
      <c r="S110" s="51" t="str">
        <f t="shared" si="111"/>
        <v/>
      </c>
      <c r="T110" s="51" t="str">
        <f t="shared" si="111"/>
        <v/>
      </c>
      <c r="U110" s="52"/>
      <c r="V110" s="52" t="str">
        <f>IFERROR(__xludf.DUMMYFUNCTION("""COMPUTED_VALUE"""),"")</f>
        <v/>
      </c>
      <c r="W110" s="52" t="str">
        <f>IFERROR(__xludf.DUMMYFUNCTION("""COMPUTED_VALUE"""),"")</f>
        <v/>
      </c>
      <c r="X110" s="52" t="str">
        <f>IFERROR(__xludf.DUMMYFUNCTION("""COMPUTED_VALUE"""),"")</f>
        <v/>
      </c>
      <c r="Y110" s="52" t="str">
        <f>IFERROR(__xludf.DUMMYFUNCTION("""COMPUTED_VALUE"""),"")</f>
        <v/>
      </c>
      <c r="Z110" s="52" t="str">
        <f>IFERROR(__xludf.DUMMYFUNCTION("""COMPUTED_VALUE"""),"")</f>
        <v/>
      </c>
      <c r="AA110" s="52" t="str">
        <f>IFERROR(__xludf.DUMMYFUNCTION("""COMPUTED_VALUE"""),"")</f>
        <v/>
      </c>
      <c r="AB110" s="52" t="str">
        <f>IFERROR(__xludf.DUMMYFUNCTION("""COMPUTED_VALUE"""),"")</f>
        <v/>
      </c>
      <c r="AC110" s="52" t="str">
        <f>IFERROR(__xludf.DUMMYFUNCTION("""COMPUTED_VALUE"""),"")</f>
        <v/>
      </c>
      <c r="AD110" s="52" t="str">
        <f>IFERROR(__xludf.DUMMYFUNCTION("""COMPUTED_VALUE"""),"")</f>
        <v/>
      </c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</row>
    <row r="111">
      <c r="B111" s="49"/>
      <c r="C111" s="49" t="str">
        <f t="shared" si="2"/>
        <v/>
      </c>
      <c r="D111" s="50" t="str">
        <f t="shared" si="3"/>
        <v/>
      </c>
      <c r="E111" s="51" t="str">
        <f t="shared" ref="E111:T111" si="112">IFERROR(VLOOKUP($A111,INDIRECT("'" &amp; E$1 &amp; "'!$C:$G"), 5, FALSE),"")</f>
        <v/>
      </c>
      <c r="F111" s="51" t="str">
        <f t="shared" si="112"/>
        <v/>
      </c>
      <c r="G111" s="51" t="str">
        <f t="shared" si="112"/>
        <v/>
      </c>
      <c r="H111" s="51" t="str">
        <f t="shared" si="112"/>
        <v/>
      </c>
      <c r="I111" s="51" t="str">
        <f t="shared" si="112"/>
        <v/>
      </c>
      <c r="J111" s="51" t="str">
        <f t="shared" si="112"/>
        <v/>
      </c>
      <c r="K111" s="51" t="str">
        <f t="shared" si="112"/>
        <v/>
      </c>
      <c r="L111" s="51" t="str">
        <f t="shared" si="112"/>
        <v/>
      </c>
      <c r="M111" s="51" t="str">
        <f t="shared" si="112"/>
        <v/>
      </c>
      <c r="N111" s="51" t="str">
        <f t="shared" si="112"/>
        <v/>
      </c>
      <c r="O111" s="51" t="str">
        <f t="shared" si="112"/>
        <v/>
      </c>
      <c r="P111" s="51" t="str">
        <f t="shared" si="112"/>
        <v/>
      </c>
      <c r="Q111" s="51" t="str">
        <f t="shared" si="112"/>
        <v/>
      </c>
      <c r="R111" s="51" t="str">
        <f t="shared" si="112"/>
        <v/>
      </c>
      <c r="S111" s="51" t="str">
        <f t="shared" si="112"/>
        <v/>
      </c>
      <c r="T111" s="51" t="str">
        <f t="shared" si="112"/>
        <v/>
      </c>
      <c r="U111" s="52"/>
      <c r="V111" s="52" t="str">
        <f>IFERROR(__xludf.DUMMYFUNCTION("""COMPUTED_VALUE"""),"")</f>
        <v/>
      </c>
      <c r="W111" s="52" t="str">
        <f>IFERROR(__xludf.DUMMYFUNCTION("""COMPUTED_VALUE"""),"")</f>
        <v/>
      </c>
      <c r="X111" s="52" t="str">
        <f>IFERROR(__xludf.DUMMYFUNCTION("""COMPUTED_VALUE"""),"")</f>
        <v/>
      </c>
      <c r="Y111" s="52" t="str">
        <f>IFERROR(__xludf.DUMMYFUNCTION("""COMPUTED_VALUE"""),"")</f>
        <v/>
      </c>
      <c r="Z111" s="52" t="str">
        <f>IFERROR(__xludf.DUMMYFUNCTION("""COMPUTED_VALUE"""),"")</f>
        <v/>
      </c>
      <c r="AA111" s="52" t="str">
        <f>IFERROR(__xludf.DUMMYFUNCTION("""COMPUTED_VALUE"""),"")</f>
        <v/>
      </c>
      <c r="AB111" s="52" t="str">
        <f>IFERROR(__xludf.DUMMYFUNCTION("""COMPUTED_VALUE"""),"")</f>
        <v/>
      </c>
      <c r="AC111" s="52" t="str">
        <f>IFERROR(__xludf.DUMMYFUNCTION("""COMPUTED_VALUE"""),"")</f>
        <v/>
      </c>
      <c r="AD111" s="52" t="str">
        <f>IFERROR(__xludf.DUMMYFUNCTION("""COMPUTED_VALUE"""),"")</f>
        <v/>
      </c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</row>
    <row r="112">
      <c r="B112" s="49"/>
      <c r="C112" s="49" t="str">
        <f t="shared" si="2"/>
        <v/>
      </c>
      <c r="D112" s="50" t="str">
        <f t="shared" si="3"/>
        <v/>
      </c>
      <c r="E112" s="51" t="str">
        <f t="shared" ref="E112:T112" si="113">IFERROR(VLOOKUP($A112,INDIRECT("'" &amp; E$1 &amp; "'!$C:$G"), 5, FALSE),"")</f>
        <v/>
      </c>
      <c r="F112" s="51" t="str">
        <f t="shared" si="113"/>
        <v/>
      </c>
      <c r="G112" s="51" t="str">
        <f t="shared" si="113"/>
        <v/>
      </c>
      <c r="H112" s="51" t="str">
        <f t="shared" si="113"/>
        <v/>
      </c>
      <c r="I112" s="51" t="str">
        <f t="shared" si="113"/>
        <v/>
      </c>
      <c r="J112" s="51" t="str">
        <f t="shared" si="113"/>
        <v/>
      </c>
      <c r="K112" s="51" t="str">
        <f t="shared" si="113"/>
        <v/>
      </c>
      <c r="L112" s="51" t="str">
        <f t="shared" si="113"/>
        <v/>
      </c>
      <c r="M112" s="51" t="str">
        <f t="shared" si="113"/>
        <v/>
      </c>
      <c r="N112" s="51" t="str">
        <f t="shared" si="113"/>
        <v/>
      </c>
      <c r="O112" s="51" t="str">
        <f t="shared" si="113"/>
        <v/>
      </c>
      <c r="P112" s="51" t="str">
        <f t="shared" si="113"/>
        <v/>
      </c>
      <c r="Q112" s="51" t="str">
        <f t="shared" si="113"/>
        <v/>
      </c>
      <c r="R112" s="51" t="str">
        <f t="shared" si="113"/>
        <v/>
      </c>
      <c r="S112" s="51" t="str">
        <f t="shared" si="113"/>
        <v/>
      </c>
      <c r="T112" s="51" t="str">
        <f t="shared" si="113"/>
        <v/>
      </c>
      <c r="U112" s="52"/>
      <c r="V112" s="52" t="str">
        <f>IFERROR(__xludf.DUMMYFUNCTION("""COMPUTED_VALUE"""),"")</f>
        <v/>
      </c>
      <c r="W112" s="52" t="str">
        <f>IFERROR(__xludf.DUMMYFUNCTION("""COMPUTED_VALUE"""),"")</f>
        <v/>
      </c>
      <c r="X112" s="52" t="str">
        <f>IFERROR(__xludf.DUMMYFUNCTION("""COMPUTED_VALUE"""),"")</f>
        <v/>
      </c>
      <c r="Y112" s="52" t="str">
        <f>IFERROR(__xludf.DUMMYFUNCTION("""COMPUTED_VALUE"""),"")</f>
        <v/>
      </c>
      <c r="Z112" s="52" t="str">
        <f>IFERROR(__xludf.DUMMYFUNCTION("""COMPUTED_VALUE"""),"")</f>
        <v/>
      </c>
      <c r="AA112" s="52" t="str">
        <f>IFERROR(__xludf.DUMMYFUNCTION("""COMPUTED_VALUE"""),"")</f>
        <v/>
      </c>
      <c r="AB112" s="52" t="str">
        <f>IFERROR(__xludf.DUMMYFUNCTION("""COMPUTED_VALUE"""),"")</f>
        <v/>
      </c>
      <c r="AC112" s="52" t="str">
        <f>IFERROR(__xludf.DUMMYFUNCTION("""COMPUTED_VALUE"""),"")</f>
        <v/>
      </c>
      <c r="AD112" s="52" t="str">
        <f>IFERROR(__xludf.DUMMYFUNCTION("""COMPUTED_VALUE"""),"")</f>
        <v/>
      </c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</row>
    <row r="113">
      <c r="B113" s="49"/>
      <c r="C113" s="49" t="str">
        <f t="shared" si="2"/>
        <v/>
      </c>
      <c r="D113" s="50" t="str">
        <f t="shared" si="3"/>
        <v/>
      </c>
      <c r="E113" s="51" t="str">
        <f t="shared" ref="E113:T113" si="114">IFERROR(VLOOKUP($A113,INDIRECT("'" &amp; E$1 &amp; "'!$C:$G"), 5, FALSE),"")</f>
        <v/>
      </c>
      <c r="F113" s="51" t="str">
        <f t="shared" si="114"/>
        <v/>
      </c>
      <c r="G113" s="51" t="str">
        <f t="shared" si="114"/>
        <v/>
      </c>
      <c r="H113" s="51" t="str">
        <f t="shared" si="114"/>
        <v/>
      </c>
      <c r="I113" s="51" t="str">
        <f t="shared" si="114"/>
        <v/>
      </c>
      <c r="J113" s="51" t="str">
        <f t="shared" si="114"/>
        <v/>
      </c>
      <c r="K113" s="51" t="str">
        <f t="shared" si="114"/>
        <v/>
      </c>
      <c r="L113" s="51" t="str">
        <f t="shared" si="114"/>
        <v/>
      </c>
      <c r="M113" s="51" t="str">
        <f t="shared" si="114"/>
        <v/>
      </c>
      <c r="N113" s="51" t="str">
        <f t="shared" si="114"/>
        <v/>
      </c>
      <c r="O113" s="51" t="str">
        <f t="shared" si="114"/>
        <v/>
      </c>
      <c r="P113" s="51" t="str">
        <f t="shared" si="114"/>
        <v/>
      </c>
      <c r="Q113" s="51" t="str">
        <f t="shared" si="114"/>
        <v/>
      </c>
      <c r="R113" s="51" t="str">
        <f t="shared" si="114"/>
        <v/>
      </c>
      <c r="S113" s="51" t="str">
        <f t="shared" si="114"/>
        <v/>
      </c>
      <c r="T113" s="51" t="str">
        <f t="shared" si="114"/>
        <v/>
      </c>
      <c r="U113" s="52"/>
      <c r="V113" s="52" t="str">
        <f>IFERROR(__xludf.DUMMYFUNCTION("""COMPUTED_VALUE"""),"")</f>
        <v/>
      </c>
      <c r="W113" s="52" t="str">
        <f>IFERROR(__xludf.DUMMYFUNCTION("""COMPUTED_VALUE"""),"")</f>
        <v/>
      </c>
      <c r="X113" s="52" t="str">
        <f>IFERROR(__xludf.DUMMYFUNCTION("""COMPUTED_VALUE"""),"")</f>
        <v/>
      </c>
      <c r="Y113" s="52" t="str">
        <f>IFERROR(__xludf.DUMMYFUNCTION("""COMPUTED_VALUE"""),"")</f>
        <v/>
      </c>
      <c r="Z113" s="52" t="str">
        <f>IFERROR(__xludf.DUMMYFUNCTION("""COMPUTED_VALUE"""),"")</f>
        <v/>
      </c>
      <c r="AA113" s="52" t="str">
        <f>IFERROR(__xludf.DUMMYFUNCTION("""COMPUTED_VALUE"""),"")</f>
        <v/>
      </c>
      <c r="AB113" s="52" t="str">
        <f>IFERROR(__xludf.DUMMYFUNCTION("""COMPUTED_VALUE"""),"")</f>
        <v/>
      </c>
      <c r="AC113" s="52" t="str">
        <f>IFERROR(__xludf.DUMMYFUNCTION("""COMPUTED_VALUE"""),"")</f>
        <v/>
      </c>
      <c r="AD113" s="52" t="str">
        <f>IFERROR(__xludf.DUMMYFUNCTION("""COMPUTED_VALUE"""),"")</f>
        <v/>
      </c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</row>
    <row r="114">
      <c r="B114" s="49"/>
      <c r="C114" s="49" t="str">
        <f t="shared" si="2"/>
        <v/>
      </c>
      <c r="D114" s="50" t="str">
        <f t="shared" si="3"/>
        <v/>
      </c>
      <c r="E114" s="51" t="str">
        <f t="shared" ref="E114:T114" si="115">IFERROR(VLOOKUP($A114,INDIRECT("'" &amp; E$1 &amp; "'!$C:$G"), 5, FALSE),"")</f>
        <v/>
      </c>
      <c r="F114" s="51" t="str">
        <f t="shared" si="115"/>
        <v/>
      </c>
      <c r="G114" s="51" t="str">
        <f t="shared" si="115"/>
        <v/>
      </c>
      <c r="H114" s="51" t="str">
        <f t="shared" si="115"/>
        <v/>
      </c>
      <c r="I114" s="51" t="str">
        <f t="shared" si="115"/>
        <v/>
      </c>
      <c r="J114" s="51" t="str">
        <f t="shared" si="115"/>
        <v/>
      </c>
      <c r="K114" s="51" t="str">
        <f t="shared" si="115"/>
        <v/>
      </c>
      <c r="L114" s="51" t="str">
        <f t="shared" si="115"/>
        <v/>
      </c>
      <c r="M114" s="51" t="str">
        <f t="shared" si="115"/>
        <v/>
      </c>
      <c r="N114" s="51" t="str">
        <f t="shared" si="115"/>
        <v/>
      </c>
      <c r="O114" s="51" t="str">
        <f t="shared" si="115"/>
        <v/>
      </c>
      <c r="P114" s="51" t="str">
        <f t="shared" si="115"/>
        <v/>
      </c>
      <c r="Q114" s="51" t="str">
        <f t="shared" si="115"/>
        <v/>
      </c>
      <c r="R114" s="51" t="str">
        <f t="shared" si="115"/>
        <v/>
      </c>
      <c r="S114" s="51" t="str">
        <f t="shared" si="115"/>
        <v/>
      </c>
      <c r="T114" s="51" t="str">
        <f t="shared" si="115"/>
        <v/>
      </c>
      <c r="U114" s="52"/>
      <c r="V114" s="52" t="str">
        <f>IFERROR(__xludf.DUMMYFUNCTION("""COMPUTED_VALUE"""),"")</f>
        <v/>
      </c>
      <c r="W114" s="52" t="str">
        <f>IFERROR(__xludf.DUMMYFUNCTION("""COMPUTED_VALUE"""),"")</f>
        <v/>
      </c>
      <c r="X114" s="52" t="str">
        <f>IFERROR(__xludf.DUMMYFUNCTION("""COMPUTED_VALUE"""),"")</f>
        <v/>
      </c>
      <c r="Y114" s="52" t="str">
        <f>IFERROR(__xludf.DUMMYFUNCTION("""COMPUTED_VALUE"""),"")</f>
        <v/>
      </c>
      <c r="Z114" s="52" t="str">
        <f>IFERROR(__xludf.DUMMYFUNCTION("""COMPUTED_VALUE"""),"")</f>
        <v/>
      </c>
      <c r="AA114" s="52" t="str">
        <f>IFERROR(__xludf.DUMMYFUNCTION("""COMPUTED_VALUE"""),"")</f>
        <v/>
      </c>
      <c r="AB114" s="52" t="str">
        <f>IFERROR(__xludf.DUMMYFUNCTION("""COMPUTED_VALUE"""),"")</f>
        <v/>
      </c>
      <c r="AC114" s="52" t="str">
        <f>IFERROR(__xludf.DUMMYFUNCTION("""COMPUTED_VALUE"""),"")</f>
        <v/>
      </c>
      <c r="AD114" s="52" t="str">
        <f>IFERROR(__xludf.DUMMYFUNCTION("""COMPUTED_VALUE"""),"")</f>
        <v/>
      </c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</row>
    <row r="115">
      <c r="B115" s="49"/>
      <c r="C115" s="49" t="str">
        <f t="shared" si="2"/>
        <v/>
      </c>
      <c r="D115" s="50" t="str">
        <f t="shared" si="3"/>
        <v/>
      </c>
      <c r="E115" s="51" t="str">
        <f t="shared" ref="E115:T115" si="116">IFERROR(VLOOKUP($A115,INDIRECT("'" &amp; E$1 &amp; "'!$C:$G"), 5, FALSE),"")</f>
        <v/>
      </c>
      <c r="F115" s="51" t="str">
        <f t="shared" si="116"/>
        <v/>
      </c>
      <c r="G115" s="51" t="str">
        <f t="shared" si="116"/>
        <v/>
      </c>
      <c r="H115" s="51" t="str">
        <f t="shared" si="116"/>
        <v/>
      </c>
      <c r="I115" s="51" t="str">
        <f t="shared" si="116"/>
        <v/>
      </c>
      <c r="J115" s="51" t="str">
        <f t="shared" si="116"/>
        <v/>
      </c>
      <c r="K115" s="51" t="str">
        <f t="shared" si="116"/>
        <v/>
      </c>
      <c r="L115" s="51" t="str">
        <f t="shared" si="116"/>
        <v/>
      </c>
      <c r="M115" s="51" t="str">
        <f t="shared" si="116"/>
        <v/>
      </c>
      <c r="N115" s="51" t="str">
        <f t="shared" si="116"/>
        <v/>
      </c>
      <c r="O115" s="51" t="str">
        <f t="shared" si="116"/>
        <v/>
      </c>
      <c r="P115" s="51" t="str">
        <f t="shared" si="116"/>
        <v/>
      </c>
      <c r="Q115" s="51" t="str">
        <f t="shared" si="116"/>
        <v/>
      </c>
      <c r="R115" s="51" t="str">
        <f t="shared" si="116"/>
        <v/>
      </c>
      <c r="S115" s="51" t="str">
        <f t="shared" si="116"/>
        <v/>
      </c>
      <c r="T115" s="51" t="str">
        <f t="shared" si="116"/>
        <v/>
      </c>
      <c r="U115" s="52"/>
      <c r="V115" s="52" t="str">
        <f>IFERROR(__xludf.DUMMYFUNCTION("""COMPUTED_VALUE"""),"")</f>
        <v/>
      </c>
      <c r="W115" s="52" t="str">
        <f>IFERROR(__xludf.DUMMYFUNCTION("""COMPUTED_VALUE"""),"")</f>
        <v/>
      </c>
      <c r="X115" s="52" t="str">
        <f>IFERROR(__xludf.DUMMYFUNCTION("""COMPUTED_VALUE"""),"")</f>
        <v/>
      </c>
      <c r="Y115" s="52" t="str">
        <f>IFERROR(__xludf.DUMMYFUNCTION("""COMPUTED_VALUE"""),"")</f>
        <v/>
      </c>
      <c r="Z115" s="52" t="str">
        <f>IFERROR(__xludf.DUMMYFUNCTION("""COMPUTED_VALUE"""),"")</f>
        <v/>
      </c>
      <c r="AA115" s="52" t="str">
        <f>IFERROR(__xludf.DUMMYFUNCTION("""COMPUTED_VALUE"""),"")</f>
        <v/>
      </c>
      <c r="AB115" s="52" t="str">
        <f>IFERROR(__xludf.DUMMYFUNCTION("""COMPUTED_VALUE"""),"")</f>
        <v/>
      </c>
      <c r="AC115" s="52" t="str">
        <f>IFERROR(__xludf.DUMMYFUNCTION("""COMPUTED_VALUE"""),"")</f>
        <v/>
      </c>
      <c r="AD115" s="52" t="str">
        <f>IFERROR(__xludf.DUMMYFUNCTION("""COMPUTED_VALUE"""),"")</f>
        <v/>
      </c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</row>
    <row r="116">
      <c r="B116" s="49"/>
      <c r="C116" s="49" t="str">
        <f t="shared" si="2"/>
        <v/>
      </c>
      <c r="D116" s="50" t="str">
        <f t="shared" si="3"/>
        <v/>
      </c>
      <c r="E116" s="51" t="str">
        <f t="shared" ref="E116:T116" si="117">IFERROR(VLOOKUP($A116,INDIRECT("'" &amp; E$1 &amp; "'!$C:$G"), 5, FALSE),"")</f>
        <v/>
      </c>
      <c r="F116" s="51" t="str">
        <f t="shared" si="117"/>
        <v/>
      </c>
      <c r="G116" s="51" t="str">
        <f t="shared" si="117"/>
        <v/>
      </c>
      <c r="H116" s="51" t="str">
        <f t="shared" si="117"/>
        <v/>
      </c>
      <c r="I116" s="51" t="str">
        <f t="shared" si="117"/>
        <v/>
      </c>
      <c r="J116" s="51" t="str">
        <f t="shared" si="117"/>
        <v/>
      </c>
      <c r="K116" s="51" t="str">
        <f t="shared" si="117"/>
        <v/>
      </c>
      <c r="L116" s="51" t="str">
        <f t="shared" si="117"/>
        <v/>
      </c>
      <c r="M116" s="51" t="str">
        <f t="shared" si="117"/>
        <v/>
      </c>
      <c r="N116" s="51" t="str">
        <f t="shared" si="117"/>
        <v/>
      </c>
      <c r="O116" s="51" t="str">
        <f t="shared" si="117"/>
        <v/>
      </c>
      <c r="P116" s="51" t="str">
        <f t="shared" si="117"/>
        <v/>
      </c>
      <c r="Q116" s="51" t="str">
        <f t="shared" si="117"/>
        <v/>
      </c>
      <c r="R116" s="51" t="str">
        <f t="shared" si="117"/>
        <v/>
      </c>
      <c r="S116" s="51" t="str">
        <f t="shared" si="117"/>
        <v/>
      </c>
      <c r="T116" s="51" t="str">
        <f t="shared" si="117"/>
        <v/>
      </c>
      <c r="U116" s="52"/>
      <c r="V116" s="52" t="str">
        <f>IFERROR(__xludf.DUMMYFUNCTION("""COMPUTED_VALUE"""),"")</f>
        <v/>
      </c>
      <c r="W116" s="52" t="str">
        <f>IFERROR(__xludf.DUMMYFUNCTION("""COMPUTED_VALUE"""),"")</f>
        <v/>
      </c>
      <c r="X116" s="52" t="str">
        <f>IFERROR(__xludf.DUMMYFUNCTION("""COMPUTED_VALUE"""),"")</f>
        <v/>
      </c>
      <c r="Y116" s="52" t="str">
        <f>IFERROR(__xludf.DUMMYFUNCTION("""COMPUTED_VALUE"""),"")</f>
        <v/>
      </c>
      <c r="Z116" s="52" t="str">
        <f>IFERROR(__xludf.DUMMYFUNCTION("""COMPUTED_VALUE"""),"")</f>
        <v/>
      </c>
      <c r="AA116" s="52" t="str">
        <f>IFERROR(__xludf.DUMMYFUNCTION("""COMPUTED_VALUE"""),"")</f>
        <v/>
      </c>
      <c r="AB116" s="52" t="str">
        <f>IFERROR(__xludf.DUMMYFUNCTION("""COMPUTED_VALUE"""),"")</f>
        <v/>
      </c>
      <c r="AC116" s="52" t="str">
        <f>IFERROR(__xludf.DUMMYFUNCTION("""COMPUTED_VALUE"""),"")</f>
        <v/>
      </c>
      <c r="AD116" s="52" t="str">
        <f>IFERROR(__xludf.DUMMYFUNCTION("""COMPUTED_VALUE"""),"")</f>
        <v/>
      </c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</row>
    <row r="117">
      <c r="B117" s="49"/>
      <c r="C117" s="49" t="str">
        <f t="shared" si="2"/>
        <v/>
      </c>
      <c r="D117" s="50" t="str">
        <f t="shared" si="3"/>
        <v/>
      </c>
      <c r="E117" s="51" t="str">
        <f t="shared" ref="E117:T117" si="118">IFERROR(VLOOKUP($A117,INDIRECT("'" &amp; E$1 &amp; "'!$C:$G"), 5, FALSE),"")</f>
        <v/>
      </c>
      <c r="F117" s="51" t="str">
        <f t="shared" si="118"/>
        <v/>
      </c>
      <c r="G117" s="51" t="str">
        <f t="shared" si="118"/>
        <v/>
      </c>
      <c r="H117" s="51" t="str">
        <f t="shared" si="118"/>
        <v/>
      </c>
      <c r="I117" s="51" t="str">
        <f t="shared" si="118"/>
        <v/>
      </c>
      <c r="J117" s="51" t="str">
        <f t="shared" si="118"/>
        <v/>
      </c>
      <c r="K117" s="51" t="str">
        <f t="shared" si="118"/>
        <v/>
      </c>
      <c r="L117" s="51" t="str">
        <f t="shared" si="118"/>
        <v/>
      </c>
      <c r="M117" s="51" t="str">
        <f t="shared" si="118"/>
        <v/>
      </c>
      <c r="N117" s="51" t="str">
        <f t="shared" si="118"/>
        <v/>
      </c>
      <c r="O117" s="51" t="str">
        <f t="shared" si="118"/>
        <v/>
      </c>
      <c r="P117" s="51" t="str">
        <f t="shared" si="118"/>
        <v/>
      </c>
      <c r="Q117" s="51" t="str">
        <f t="shared" si="118"/>
        <v/>
      </c>
      <c r="R117" s="51" t="str">
        <f t="shared" si="118"/>
        <v/>
      </c>
      <c r="S117" s="51" t="str">
        <f t="shared" si="118"/>
        <v/>
      </c>
      <c r="T117" s="51" t="str">
        <f t="shared" si="118"/>
        <v/>
      </c>
      <c r="U117" s="52"/>
      <c r="V117" s="52" t="str">
        <f>IFERROR(__xludf.DUMMYFUNCTION("""COMPUTED_VALUE"""),"")</f>
        <v/>
      </c>
      <c r="W117" s="52" t="str">
        <f>IFERROR(__xludf.DUMMYFUNCTION("""COMPUTED_VALUE"""),"")</f>
        <v/>
      </c>
      <c r="X117" s="52" t="str">
        <f>IFERROR(__xludf.DUMMYFUNCTION("""COMPUTED_VALUE"""),"")</f>
        <v/>
      </c>
      <c r="Y117" s="52" t="str">
        <f>IFERROR(__xludf.DUMMYFUNCTION("""COMPUTED_VALUE"""),"")</f>
        <v/>
      </c>
      <c r="Z117" s="52" t="str">
        <f>IFERROR(__xludf.DUMMYFUNCTION("""COMPUTED_VALUE"""),"")</f>
        <v/>
      </c>
      <c r="AA117" s="52" t="str">
        <f>IFERROR(__xludf.DUMMYFUNCTION("""COMPUTED_VALUE"""),"")</f>
        <v/>
      </c>
      <c r="AB117" s="52" t="str">
        <f>IFERROR(__xludf.DUMMYFUNCTION("""COMPUTED_VALUE"""),"")</f>
        <v/>
      </c>
      <c r="AC117" s="52" t="str">
        <f>IFERROR(__xludf.DUMMYFUNCTION("""COMPUTED_VALUE"""),"")</f>
        <v/>
      </c>
      <c r="AD117" s="52" t="str">
        <f>IFERROR(__xludf.DUMMYFUNCTION("""COMPUTED_VALUE"""),"")</f>
        <v/>
      </c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</row>
    <row r="118">
      <c r="B118" s="49"/>
      <c r="C118" s="49" t="str">
        <f t="shared" si="2"/>
        <v/>
      </c>
      <c r="D118" s="50" t="str">
        <f t="shared" si="3"/>
        <v/>
      </c>
      <c r="E118" s="51" t="str">
        <f t="shared" ref="E118:T118" si="119">IFERROR(VLOOKUP($A118,INDIRECT("'" &amp; E$1 &amp; "'!$C:$G"), 5, FALSE),"")</f>
        <v/>
      </c>
      <c r="F118" s="51" t="str">
        <f t="shared" si="119"/>
        <v/>
      </c>
      <c r="G118" s="51" t="str">
        <f t="shared" si="119"/>
        <v/>
      </c>
      <c r="H118" s="51" t="str">
        <f t="shared" si="119"/>
        <v/>
      </c>
      <c r="I118" s="51" t="str">
        <f t="shared" si="119"/>
        <v/>
      </c>
      <c r="J118" s="51" t="str">
        <f t="shared" si="119"/>
        <v/>
      </c>
      <c r="K118" s="51" t="str">
        <f t="shared" si="119"/>
        <v/>
      </c>
      <c r="L118" s="51" t="str">
        <f t="shared" si="119"/>
        <v/>
      </c>
      <c r="M118" s="51" t="str">
        <f t="shared" si="119"/>
        <v/>
      </c>
      <c r="N118" s="51" t="str">
        <f t="shared" si="119"/>
        <v/>
      </c>
      <c r="O118" s="51" t="str">
        <f t="shared" si="119"/>
        <v/>
      </c>
      <c r="P118" s="51" t="str">
        <f t="shared" si="119"/>
        <v/>
      </c>
      <c r="Q118" s="51" t="str">
        <f t="shared" si="119"/>
        <v/>
      </c>
      <c r="R118" s="51" t="str">
        <f t="shared" si="119"/>
        <v/>
      </c>
      <c r="S118" s="51" t="str">
        <f t="shared" si="119"/>
        <v/>
      </c>
      <c r="T118" s="51" t="str">
        <f t="shared" si="119"/>
        <v/>
      </c>
      <c r="U118" s="52"/>
      <c r="V118" s="52" t="str">
        <f>IFERROR(__xludf.DUMMYFUNCTION("""COMPUTED_VALUE"""),"")</f>
        <v/>
      </c>
      <c r="W118" s="52" t="str">
        <f>IFERROR(__xludf.DUMMYFUNCTION("""COMPUTED_VALUE"""),"")</f>
        <v/>
      </c>
      <c r="X118" s="52" t="str">
        <f>IFERROR(__xludf.DUMMYFUNCTION("""COMPUTED_VALUE"""),"")</f>
        <v/>
      </c>
      <c r="Y118" s="52" t="str">
        <f>IFERROR(__xludf.DUMMYFUNCTION("""COMPUTED_VALUE"""),"")</f>
        <v/>
      </c>
      <c r="Z118" s="52" t="str">
        <f>IFERROR(__xludf.DUMMYFUNCTION("""COMPUTED_VALUE"""),"")</f>
        <v/>
      </c>
      <c r="AA118" s="52" t="str">
        <f>IFERROR(__xludf.DUMMYFUNCTION("""COMPUTED_VALUE"""),"")</f>
        <v/>
      </c>
      <c r="AB118" s="52" t="str">
        <f>IFERROR(__xludf.DUMMYFUNCTION("""COMPUTED_VALUE"""),"")</f>
        <v/>
      </c>
      <c r="AC118" s="52" t="str">
        <f>IFERROR(__xludf.DUMMYFUNCTION("""COMPUTED_VALUE"""),"")</f>
        <v/>
      </c>
      <c r="AD118" s="52" t="str">
        <f>IFERROR(__xludf.DUMMYFUNCTION("""COMPUTED_VALUE"""),"")</f>
        <v/>
      </c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</row>
    <row r="119">
      <c r="B119" s="49"/>
      <c r="C119" s="49" t="str">
        <f t="shared" si="2"/>
        <v/>
      </c>
      <c r="D119" s="50" t="str">
        <f t="shared" si="3"/>
        <v/>
      </c>
      <c r="E119" s="51" t="str">
        <f t="shared" ref="E119:T119" si="120">IFERROR(VLOOKUP($A119,INDIRECT("'" &amp; E$1 &amp; "'!$C:$G"), 5, FALSE),"")</f>
        <v/>
      </c>
      <c r="F119" s="51" t="str">
        <f t="shared" si="120"/>
        <v/>
      </c>
      <c r="G119" s="51" t="str">
        <f t="shared" si="120"/>
        <v/>
      </c>
      <c r="H119" s="51" t="str">
        <f t="shared" si="120"/>
        <v/>
      </c>
      <c r="I119" s="51" t="str">
        <f t="shared" si="120"/>
        <v/>
      </c>
      <c r="J119" s="51" t="str">
        <f t="shared" si="120"/>
        <v/>
      </c>
      <c r="K119" s="51" t="str">
        <f t="shared" si="120"/>
        <v/>
      </c>
      <c r="L119" s="51" t="str">
        <f t="shared" si="120"/>
        <v/>
      </c>
      <c r="M119" s="51" t="str">
        <f t="shared" si="120"/>
        <v/>
      </c>
      <c r="N119" s="51" t="str">
        <f t="shared" si="120"/>
        <v/>
      </c>
      <c r="O119" s="51" t="str">
        <f t="shared" si="120"/>
        <v/>
      </c>
      <c r="P119" s="51" t="str">
        <f t="shared" si="120"/>
        <v/>
      </c>
      <c r="Q119" s="51" t="str">
        <f t="shared" si="120"/>
        <v/>
      </c>
      <c r="R119" s="51" t="str">
        <f t="shared" si="120"/>
        <v/>
      </c>
      <c r="S119" s="51" t="str">
        <f t="shared" si="120"/>
        <v/>
      </c>
      <c r="T119" s="51" t="str">
        <f t="shared" si="120"/>
        <v/>
      </c>
      <c r="U119" s="52"/>
      <c r="V119" s="52" t="str">
        <f>IFERROR(__xludf.DUMMYFUNCTION("""COMPUTED_VALUE"""),"")</f>
        <v/>
      </c>
      <c r="W119" s="52" t="str">
        <f>IFERROR(__xludf.DUMMYFUNCTION("""COMPUTED_VALUE"""),"")</f>
        <v/>
      </c>
      <c r="X119" s="52" t="str">
        <f>IFERROR(__xludf.DUMMYFUNCTION("""COMPUTED_VALUE"""),"")</f>
        <v/>
      </c>
      <c r="Y119" s="52" t="str">
        <f>IFERROR(__xludf.DUMMYFUNCTION("""COMPUTED_VALUE"""),"")</f>
        <v/>
      </c>
      <c r="Z119" s="52" t="str">
        <f>IFERROR(__xludf.DUMMYFUNCTION("""COMPUTED_VALUE"""),"")</f>
        <v/>
      </c>
      <c r="AA119" s="52" t="str">
        <f>IFERROR(__xludf.DUMMYFUNCTION("""COMPUTED_VALUE"""),"")</f>
        <v/>
      </c>
      <c r="AB119" s="52" t="str">
        <f>IFERROR(__xludf.DUMMYFUNCTION("""COMPUTED_VALUE"""),"")</f>
        <v/>
      </c>
      <c r="AC119" s="52" t="str">
        <f>IFERROR(__xludf.DUMMYFUNCTION("""COMPUTED_VALUE"""),"")</f>
        <v/>
      </c>
      <c r="AD119" s="52" t="str">
        <f>IFERROR(__xludf.DUMMYFUNCTION("""COMPUTED_VALUE"""),"")</f>
        <v/>
      </c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</row>
    <row r="120">
      <c r="B120" s="49"/>
      <c r="C120" s="49" t="str">
        <f t="shared" si="2"/>
        <v/>
      </c>
      <c r="D120" s="50" t="str">
        <f t="shared" si="3"/>
        <v/>
      </c>
      <c r="E120" s="51" t="str">
        <f t="shared" ref="E120:T120" si="121">IFERROR(VLOOKUP($A120,INDIRECT("'" &amp; E$1 &amp; "'!$C:$G"), 5, FALSE),"")</f>
        <v/>
      </c>
      <c r="F120" s="51" t="str">
        <f t="shared" si="121"/>
        <v/>
      </c>
      <c r="G120" s="51" t="str">
        <f t="shared" si="121"/>
        <v/>
      </c>
      <c r="H120" s="51" t="str">
        <f t="shared" si="121"/>
        <v/>
      </c>
      <c r="I120" s="51" t="str">
        <f t="shared" si="121"/>
        <v/>
      </c>
      <c r="J120" s="51" t="str">
        <f t="shared" si="121"/>
        <v/>
      </c>
      <c r="K120" s="51" t="str">
        <f t="shared" si="121"/>
        <v/>
      </c>
      <c r="L120" s="51" t="str">
        <f t="shared" si="121"/>
        <v/>
      </c>
      <c r="M120" s="51" t="str">
        <f t="shared" si="121"/>
        <v/>
      </c>
      <c r="N120" s="51" t="str">
        <f t="shared" si="121"/>
        <v/>
      </c>
      <c r="O120" s="51" t="str">
        <f t="shared" si="121"/>
        <v/>
      </c>
      <c r="P120" s="51" t="str">
        <f t="shared" si="121"/>
        <v/>
      </c>
      <c r="Q120" s="51" t="str">
        <f t="shared" si="121"/>
        <v/>
      </c>
      <c r="R120" s="51" t="str">
        <f t="shared" si="121"/>
        <v/>
      </c>
      <c r="S120" s="51" t="str">
        <f t="shared" si="121"/>
        <v/>
      </c>
      <c r="T120" s="51" t="str">
        <f t="shared" si="121"/>
        <v/>
      </c>
      <c r="U120" s="52"/>
      <c r="V120" s="52" t="str">
        <f>IFERROR(__xludf.DUMMYFUNCTION("""COMPUTED_VALUE"""),"")</f>
        <v/>
      </c>
      <c r="W120" s="52" t="str">
        <f>IFERROR(__xludf.DUMMYFUNCTION("""COMPUTED_VALUE"""),"")</f>
        <v/>
      </c>
      <c r="X120" s="52" t="str">
        <f>IFERROR(__xludf.DUMMYFUNCTION("""COMPUTED_VALUE"""),"")</f>
        <v/>
      </c>
      <c r="Y120" s="52" t="str">
        <f>IFERROR(__xludf.DUMMYFUNCTION("""COMPUTED_VALUE"""),"")</f>
        <v/>
      </c>
      <c r="Z120" s="52" t="str">
        <f>IFERROR(__xludf.DUMMYFUNCTION("""COMPUTED_VALUE"""),"")</f>
        <v/>
      </c>
      <c r="AA120" s="52" t="str">
        <f>IFERROR(__xludf.DUMMYFUNCTION("""COMPUTED_VALUE"""),"")</f>
        <v/>
      </c>
      <c r="AB120" s="52" t="str">
        <f>IFERROR(__xludf.DUMMYFUNCTION("""COMPUTED_VALUE"""),"")</f>
        <v/>
      </c>
      <c r="AC120" s="52" t="str">
        <f>IFERROR(__xludf.DUMMYFUNCTION("""COMPUTED_VALUE"""),"")</f>
        <v/>
      </c>
      <c r="AD120" s="52" t="str">
        <f>IFERROR(__xludf.DUMMYFUNCTION("""COMPUTED_VALUE"""),"")</f>
        <v/>
      </c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</row>
    <row r="121">
      <c r="B121" s="49"/>
      <c r="C121" s="49" t="str">
        <f t="shared" si="2"/>
        <v/>
      </c>
      <c r="D121" s="50" t="str">
        <f t="shared" si="3"/>
        <v/>
      </c>
      <c r="E121" s="51" t="str">
        <f t="shared" ref="E121:T121" si="122">IFERROR(VLOOKUP($A121,INDIRECT("'" &amp; E$1 &amp; "'!$C:$G"), 5, FALSE),"")</f>
        <v/>
      </c>
      <c r="F121" s="51" t="str">
        <f t="shared" si="122"/>
        <v/>
      </c>
      <c r="G121" s="51" t="str">
        <f t="shared" si="122"/>
        <v/>
      </c>
      <c r="H121" s="51" t="str">
        <f t="shared" si="122"/>
        <v/>
      </c>
      <c r="I121" s="51" t="str">
        <f t="shared" si="122"/>
        <v/>
      </c>
      <c r="J121" s="51" t="str">
        <f t="shared" si="122"/>
        <v/>
      </c>
      <c r="K121" s="51" t="str">
        <f t="shared" si="122"/>
        <v/>
      </c>
      <c r="L121" s="51" t="str">
        <f t="shared" si="122"/>
        <v/>
      </c>
      <c r="M121" s="51" t="str">
        <f t="shared" si="122"/>
        <v/>
      </c>
      <c r="N121" s="51" t="str">
        <f t="shared" si="122"/>
        <v/>
      </c>
      <c r="O121" s="51" t="str">
        <f t="shared" si="122"/>
        <v/>
      </c>
      <c r="P121" s="51" t="str">
        <f t="shared" si="122"/>
        <v/>
      </c>
      <c r="Q121" s="51" t="str">
        <f t="shared" si="122"/>
        <v/>
      </c>
      <c r="R121" s="51" t="str">
        <f t="shared" si="122"/>
        <v/>
      </c>
      <c r="S121" s="51" t="str">
        <f t="shared" si="122"/>
        <v/>
      </c>
      <c r="T121" s="51" t="str">
        <f t="shared" si="122"/>
        <v/>
      </c>
      <c r="U121" s="52"/>
      <c r="V121" s="52" t="str">
        <f>IFERROR(__xludf.DUMMYFUNCTION("""COMPUTED_VALUE"""),"")</f>
        <v/>
      </c>
      <c r="W121" s="52" t="str">
        <f>IFERROR(__xludf.DUMMYFUNCTION("""COMPUTED_VALUE"""),"")</f>
        <v/>
      </c>
      <c r="X121" s="52" t="str">
        <f>IFERROR(__xludf.DUMMYFUNCTION("""COMPUTED_VALUE"""),"")</f>
        <v/>
      </c>
      <c r="Y121" s="52" t="str">
        <f>IFERROR(__xludf.DUMMYFUNCTION("""COMPUTED_VALUE"""),"")</f>
        <v/>
      </c>
      <c r="Z121" s="52" t="str">
        <f>IFERROR(__xludf.DUMMYFUNCTION("""COMPUTED_VALUE"""),"")</f>
        <v/>
      </c>
      <c r="AA121" s="52" t="str">
        <f>IFERROR(__xludf.DUMMYFUNCTION("""COMPUTED_VALUE"""),"")</f>
        <v/>
      </c>
      <c r="AB121" s="52" t="str">
        <f>IFERROR(__xludf.DUMMYFUNCTION("""COMPUTED_VALUE"""),"")</f>
        <v/>
      </c>
      <c r="AC121" s="52" t="str">
        <f>IFERROR(__xludf.DUMMYFUNCTION("""COMPUTED_VALUE"""),"")</f>
        <v/>
      </c>
      <c r="AD121" s="52" t="str">
        <f>IFERROR(__xludf.DUMMYFUNCTION("""COMPUTED_VALUE"""),"")</f>
        <v/>
      </c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</row>
    <row r="122">
      <c r="B122" s="49"/>
      <c r="C122" s="49" t="str">
        <f t="shared" si="2"/>
        <v/>
      </c>
      <c r="D122" s="50" t="str">
        <f t="shared" si="3"/>
        <v/>
      </c>
      <c r="E122" s="51" t="str">
        <f t="shared" ref="E122:T122" si="123">IFERROR(VLOOKUP($A122,INDIRECT("'" &amp; E$1 &amp; "'!$C:$G"), 5, FALSE),"")</f>
        <v/>
      </c>
      <c r="F122" s="51" t="str">
        <f t="shared" si="123"/>
        <v/>
      </c>
      <c r="G122" s="51" t="str">
        <f t="shared" si="123"/>
        <v/>
      </c>
      <c r="H122" s="51" t="str">
        <f t="shared" si="123"/>
        <v/>
      </c>
      <c r="I122" s="51" t="str">
        <f t="shared" si="123"/>
        <v/>
      </c>
      <c r="J122" s="51" t="str">
        <f t="shared" si="123"/>
        <v/>
      </c>
      <c r="K122" s="51" t="str">
        <f t="shared" si="123"/>
        <v/>
      </c>
      <c r="L122" s="51" t="str">
        <f t="shared" si="123"/>
        <v/>
      </c>
      <c r="M122" s="51" t="str">
        <f t="shared" si="123"/>
        <v/>
      </c>
      <c r="N122" s="51" t="str">
        <f t="shared" si="123"/>
        <v/>
      </c>
      <c r="O122" s="51" t="str">
        <f t="shared" si="123"/>
        <v/>
      </c>
      <c r="P122" s="51" t="str">
        <f t="shared" si="123"/>
        <v/>
      </c>
      <c r="Q122" s="51" t="str">
        <f t="shared" si="123"/>
        <v/>
      </c>
      <c r="R122" s="51" t="str">
        <f t="shared" si="123"/>
        <v/>
      </c>
      <c r="S122" s="51" t="str">
        <f t="shared" si="123"/>
        <v/>
      </c>
      <c r="T122" s="51" t="str">
        <f t="shared" si="123"/>
        <v/>
      </c>
      <c r="U122" s="52"/>
      <c r="V122" s="52" t="str">
        <f>IFERROR(__xludf.DUMMYFUNCTION("""COMPUTED_VALUE"""),"")</f>
        <v/>
      </c>
      <c r="W122" s="52" t="str">
        <f>IFERROR(__xludf.DUMMYFUNCTION("""COMPUTED_VALUE"""),"")</f>
        <v/>
      </c>
      <c r="X122" s="52" t="str">
        <f>IFERROR(__xludf.DUMMYFUNCTION("""COMPUTED_VALUE"""),"")</f>
        <v/>
      </c>
      <c r="Y122" s="52" t="str">
        <f>IFERROR(__xludf.DUMMYFUNCTION("""COMPUTED_VALUE"""),"")</f>
        <v/>
      </c>
      <c r="Z122" s="52" t="str">
        <f>IFERROR(__xludf.DUMMYFUNCTION("""COMPUTED_VALUE"""),"")</f>
        <v/>
      </c>
      <c r="AA122" s="52" t="str">
        <f>IFERROR(__xludf.DUMMYFUNCTION("""COMPUTED_VALUE"""),"")</f>
        <v/>
      </c>
      <c r="AB122" s="52" t="str">
        <f>IFERROR(__xludf.DUMMYFUNCTION("""COMPUTED_VALUE"""),"")</f>
        <v/>
      </c>
      <c r="AC122" s="52" t="str">
        <f>IFERROR(__xludf.DUMMYFUNCTION("""COMPUTED_VALUE"""),"")</f>
        <v/>
      </c>
      <c r="AD122" s="52" t="str">
        <f>IFERROR(__xludf.DUMMYFUNCTION("""COMPUTED_VALUE"""),"")</f>
        <v/>
      </c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</row>
    <row r="123">
      <c r="B123" s="49"/>
      <c r="C123" s="49" t="str">
        <f t="shared" si="2"/>
        <v/>
      </c>
      <c r="D123" s="50" t="str">
        <f t="shared" si="3"/>
        <v/>
      </c>
      <c r="E123" s="51" t="str">
        <f t="shared" ref="E123:T123" si="124">IFERROR(VLOOKUP($A123,INDIRECT("'" &amp; E$1 &amp; "'!$C:$G"), 5, FALSE),"")</f>
        <v/>
      </c>
      <c r="F123" s="51" t="str">
        <f t="shared" si="124"/>
        <v/>
      </c>
      <c r="G123" s="51" t="str">
        <f t="shared" si="124"/>
        <v/>
      </c>
      <c r="H123" s="51" t="str">
        <f t="shared" si="124"/>
        <v/>
      </c>
      <c r="I123" s="51" t="str">
        <f t="shared" si="124"/>
        <v/>
      </c>
      <c r="J123" s="51" t="str">
        <f t="shared" si="124"/>
        <v/>
      </c>
      <c r="K123" s="51" t="str">
        <f t="shared" si="124"/>
        <v/>
      </c>
      <c r="L123" s="51" t="str">
        <f t="shared" si="124"/>
        <v/>
      </c>
      <c r="M123" s="51" t="str">
        <f t="shared" si="124"/>
        <v/>
      </c>
      <c r="N123" s="51" t="str">
        <f t="shared" si="124"/>
        <v/>
      </c>
      <c r="O123" s="51" t="str">
        <f t="shared" si="124"/>
        <v/>
      </c>
      <c r="P123" s="51" t="str">
        <f t="shared" si="124"/>
        <v/>
      </c>
      <c r="Q123" s="51" t="str">
        <f t="shared" si="124"/>
        <v/>
      </c>
      <c r="R123" s="51" t="str">
        <f t="shared" si="124"/>
        <v/>
      </c>
      <c r="S123" s="51" t="str">
        <f t="shared" si="124"/>
        <v/>
      </c>
      <c r="T123" s="51" t="str">
        <f t="shared" si="124"/>
        <v/>
      </c>
      <c r="U123" s="52"/>
      <c r="V123" s="52" t="str">
        <f>IFERROR(__xludf.DUMMYFUNCTION("""COMPUTED_VALUE"""),"")</f>
        <v/>
      </c>
      <c r="W123" s="52" t="str">
        <f>IFERROR(__xludf.DUMMYFUNCTION("""COMPUTED_VALUE"""),"")</f>
        <v/>
      </c>
      <c r="X123" s="52" t="str">
        <f>IFERROR(__xludf.DUMMYFUNCTION("""COMPUTED_VALUE"""),"")</f>
        <v/>
      </c>
      <c r="Y123" s="52" t="str">
        <f>IFERROR(__xludf.DUMMYFUNCTION("""COMPUTED_VALUE"""),"")</f>
        <v/>
      </c>
      <c r="Z123" s="52" t="str">
        <f>IFERROR(__xludf.DUMMYFUNCTION("""COMPUTED_VALUE"""),"")</f>
        <v/>
      </c>
      <c r="AA123" s="52" t="str">
        <f>IFERROR(__xludf.DUMMYFUNCTION("""COMPUTED_VALUE"""),"")</f>
        <v/>
      </c>
      <c r="AB123" s="52" t="str">
        <f>IFERROR(__xludf.DUMMYFUNCTION("""COMPUTED_VALUE"""),"")</f>
        <v/>
      </c>
      <c r="AC123" s="52" t="str">
        <f>IFERROR(__xludf.DUMMYFUNCTION("""COMPUTED_VALUE"""),"")</f>
        <v/>
      </c>
      <c r="AD123" s="52" t="str">
        <f>IFERROR(__xludf.DUMMYFUNCTION("""COMPUTED_VALUE"""),"")</f>
        <v/>
      </c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</row>
    <row r="124">
      <c r="B124" s="49"/>
      <c r="C124" s="49" t="str">
        <f t="shared" si="2"/>
        <v/>
      </c>
      <c r="D124" s="50" t="str">
        <f t="shared" si="3"/>
        <v/>
      </c>
      <c r="E124" s="51" t="str">
        <f t="shared" ref="E124:T124" si="125">IFERROR(VLOOKUP($A124,INDIRECT("'" &amp; E$1 &amp; "'!$C:$G"), 5, FALSE),"")</f>
        <v/>
      </c>
      <c r="F124" s="51" t="str">
        <f t="shared" si="125"/>
        <v/>
      </c>
      <c r="G124" s="51" t="str">
        <f t="shared" si="125"/>
        <v/>
      </c>
      <c r="H124" s="51" t="str">
        <f t="shared" si="125"/>
        <v/>
      </c>
      <c r="I124" s="51" t="str">
        <f t="shared" si="125"/>
        <v/>
      </c>
      <c r="J124" s="51" t="str">
        <f t="shared" si="125"/>
        <v/>
      </c>
      <c r="K124" s="51" t="str">
        <f t="shared" si="125"/>
        <v/>
      </c>
      <c r="L124" s="51" t="str">
        <f t="shared" si="125"/>
        <v/>
      </c>
      <c r="M124" s="51" t="str">
        <f t="shared" si="125"/>
        <v/>
      </c>
      <c r="N124" s="51" t="str">
        <f t="shared" si="125"/>
        <v/>
      </c>
      <c r="O124" s="51" t="str">
        <f t="shared" si="125"/>
        <v/>
      </c>
      <c r="P124" s="51" t="str">
        <f t="shared" si="125"/>
        <v/>
      </c>
      <c r="Q124" s="51" t="str">
        <f t="shared" si="125"/>
        <v/>
      </c>
      <c r="R124" s="51" t="str">
        <f t="shared" si="125"/>
        <v/>
      </c>
      <c r="S124" s="51" t="str">
        <f t="shared" si="125"/>
        <v/>
      </c>
      <c r="T124" s="51" t="str">
        <f t="shared" si="125"/>
        <v/>
      </c>
      <c r="U124" s="52"/>
      <c r="V124" s="52" t="str">
        <f>IFERROR(__xludf.DUMMYFUNCTION("""COMPUTED_VALUE"""),"")</f>
        <v/>
      </c>
      <c r="W124" s="52" t="str">
        <f>IFERROR(__xludf.DUMMYFUNCTION("""COMPUTED_VALUE"""),"")</f>
        <v/>
      </c>
      <c r="X124" s="52" t="str">
        <f>IFERROR(__xludf.DUMMYFUNCTION("""COMPUTED_VALUE"""),"")</f>
        <v/>
      </c>
      <c r="Y124" s="52" t="str">
        <f>IFERROR(__xludf.DUMMYFUNCTION("""COMPUTED_VALUE"""),"")</f>
        <v/>
      </c>
      <c r="Z124" s="52" t="str">
        <f>IFERROR(__xludf.DUMMYFUNCTION("""COMPUTED_VALUE"""),"")</f>
        <v/>
      </c>
      <c r="AA124" s="52" t="str">
        <f>IFERROR(__xludf.DUMMYFUNCTION("""COMPUTED_VALUE"""),"")</f>
        <v/>
      </c>
      <c r="AB124" s="52" t="str">
        <f>IFERROR(__xludf.DUMMYFUNCTION("""COMPUTED_VALUE"""),"")</f>
        <v/>
      </c>
      <c r="AC124" s="52" t="str">
        <f>IFERROR(__xludf.DUMMYFUNCTION("""COMPUTED_VALUE"""),"")</f>
        <v/>
      </c>
      <c r="AD124" s="52" t="str">
        <f>IFERROR(__xludf.DUMMYFUNCTION("""COMPUTED_VALUE"""),"")</f>
        <v/>
      </c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</row>
    <row r="125">
      <c r="B125" s="49"/>
      <c r="C125" s="49" t="str">
        <f t="shared" si="2"/>
        <v/>
      </c>
      <c r="D125" s="50" t="str">
        <f t="shared" si="3"/>
        <v/>
      </c>
      <c r="E125" s="51" t="str">
        <f t="shared" ref="E125:T125" si="126">IFERROR(VLOOKUP($A125,INDIRECT("'" &amp; E$1 &amp; "'!$C:$G"), 5, FALSE),"")</f>
        <v/>
      </c>
      <c r="F125" s="51" t="str">
        <f t="shared" si="126"/>
        <v/>
      </c>
      <c r="G125" s="51" t="str">
        <f t="shared" si="126"/>
        <v/>
      </c>
      <c r="H125" s="51" t="str">
        <f t="shared" si="126"/>
        <v/>
      </c>
      <c r="I125" s="51" t="str">
        <f t="shared" si="126"/>
        <v/>
      </c>
      <c r="J125" s="51" t="str">
        <f t="shared" si="126"/>
        <v/>
      </c>
      <c r="K125" s="51" t="str">
        <f t="shared" si="126"/>
        <v/>
      </c>
      <c r="L125" s="51" t="str">
        <f t="shared" si="126"/>
        <v/>
      </c>
      <c r="M125" s="51" t="str">
        <f t="shared" si="126"/>
        <v/>
      </c>
      <c r="N125" s="51" t="str">
        <f t="shared" si="126"/>
        <v/>
      </c>
      <c r="O125" s="51" t="str">
        <f t="shared" si="126"/>
        <v/>
      </c>
      <c r="P125" s="51" t="str">
        <f t="shared" si="126"/>
        <v/>
      </c>
      <c r="Q125" s="51" t="str">
        <f t="shared" si="126"/>
        <v/>
      </c>
      <c r="R125" s="51" t="str">
        <f t="shared" si="126"/>
        <v/>
      </c>
      <c r="S125" s="51" t="str">
        <f t="shared" si="126"/>
        <v/>
      </c>
      <c r="T125" s="51" t="str">
        <f t="shared" si="126"/>
        <v/>
      </c>
      <c r="U125" s="52"/>
      <c r="V125" s="52" t="str">
        <f>IFERROR(__xludf.DUMMYFUNCTION("""COMPUTED_VALUE"""),"")</f>
        <v/>
      </c>
      <c r="W125" s="52" t="str">
        <f>IFERROR(__xludf.DUMMYFUNCTION("""COMPUTED_VALUE"""),"")</f>
        <v/>
      </c>
      <c r="X125" s="52" t="str">
        <f>IFERROR(__xludf.DUMMYFUNCTION("""COMPUTED_VALUE"""),"")</f>
        <v/>
      </c>
      <c r="Y125" s="52" t="str">
        <f>IFERROR(__xludf.DUMMYFUNCTION("""COMPUTED_VALUE"""),"")</f>
        <v/>
      </c>
      <c r="Z125" s="52" t="str">
        <f>IFERROR(__xludf.DUMMYFUNCTION("""COMPUTED_VALUE"""),"")</f>
        <v/>
      </c>
      <c r="AA125" s="52" t="str">
        <f>IFERROR(__xludf.DUMMYFUNCTION("""COMPUTED_VALUE"""),"")</f>
        <v/>
      </c>
      <c r="AB125" s="52" t="str">
        <f>IFERROR(__xludf.DUMMYFUNCTION("""COMPUTED_VALUE"""),"")</f>
        <v/>
      </c>
      <c r="AC125" s="52" t="str">
        <f>IFERROR(__xludf.DUMMYFUNCTION("""COMPUTED_VALUE"""),"")</f>
        <v/>
      </c>
      <c r="AD125" s="52" t="str">
        <f>IFERROR(__xludf.DUMMYFUNCTION("""COMPUTED_VALUE"""),"")</f>
        <v/>
      </c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</row>
    <row r="126">
      <c r="B126" s="49"/>
      <c r="C126" s="49" t="str">
        <f t="shared" si="2"/>
        <v/>
      </c>
      <c r="D126" s="50" t="str">
        <f t="shared" si="3"/>
        <v/>
      </c>
      <c r="E126" s="51" t="str">
        <f t="shared" ref="E126:T126" si="127">IFERROR(VLOOKUP($A126,INDIRECT("'" &amp; E$1 &amp; "'!$C:$G"), 5, FALSE),"")</f>
        <v/>
      </c>
      <c r="F126" s="51" t="str">
        <f t="shared" si="127"/>
        <v/>
      </c>
      <c r="G126" s="51" t="str">
        <f t="shared" si="127"/>
        <v/>
      </c>
      <c r="H126" s="51" t="str">
        <f t="shared" si="127"/>
        <v/>
      </c>
      <c r="I126" s="51" t="str">
        <f t="shared" si="127"/>
        <v/>
      </c>
      <c r="J126" s="51" t="str">
        <f t="shared" si="127"/>
        <v/>
      </c>
      <c r="K126" s="51" t="str">
        <f t="shared" si="127"/>
        <v/>
      </c>
      <c r="L126" s="51" t="str">
        <f t="shared" si="127"/>
        <v/>
      </c>
      <c r="M126" s="51" t="str">
        <f t="shared" si="127"/>
        <v/>
      </c>
      <c r="N126" s="51" t="str">
        <f t="shared" si="127"/>
        <v/>
      </c>
      <c r="O126" s="51" t="str">
        <f t="shared" si="127"/>
        <v/>
      </c>
      <c r="P126" s="51" t="str">
        <f t="shared" si="127"/>
        <v/>
      </c>
      <c r="Q126" s="51" t="str">
        <f t="shared" si="127"/>
        <v/>
      </c>
      <c r="R126" s="51" t="str">
        <f t="shared" si="127"/>
        <v/>
      </c>
      <c r="S126" s="51" t="str">
        <f t="shared" si="127"/>
        <v/>
      </c>
      <c r="T126" s="51" t="str">
        <f t="shared" si="127"/>
        <v/>
      </c>
      <c r="U126" s="52"/>
      <c r="V126" s="52" t="str">
        <f>IFERROR(__xludf.DUMMYFUNCTION("""COMPUTED_VALUE"""),"")</f>
        <v/>
      </c>
      <c r="W126" s="52" t="str">
        <f>IFERROR(__xludf.DUMMYFUNCTION("""COMPUTED_VALUE"""),"")</f>
        <v/>
      </c>
      <c r="X126" s="52" t="str">
        <f>IFERROR(__xludf.DUMMYFUNCTION("""COMPUTED_VALUE"""),"")</f>
        <v/>
      </c>
      <c r="Y126" s="52" t="str">
        <f>IFERROR(__xludf.DUMMYFUNCTION("""COMPUTED_VALUE"""),"")</f>
        <v/>
      </c>
      <c r="Z126" s="52" t="str">
        <f>IFERROR(__xludf.DUMMYFUNCTION("""COMPUTED_VALUE"""),"")</f>
        <v/>
      </c>
      <c r="AA126" s="52" t="str">
        <f>IFERROR(__xludf.DUMMYFUNCTION("""COMPUTED_VALUE"""),"")</f>
        <v/>
      </c>
      <c r="AB126" s="52" t="str">
        <f>IFERROR(__xludf.DUMMYFUNCTION("""COMPUTED_VALUE"""),"")</f>
        <v/>
      </c>
      <c r="AC126" s="52" t="str">
        <f>IFERROR(__xludf.DUMMYFUNCTION("""COMPUTED_VALUE"""),"")</f>
        <v/>
      </c>
      <c r="AD126" s="52" t="str">
        <f>IFERROR(__xludf.DUMMYFUNCTION("""COMPUTED_VALUE"""),"")</f>
        <v/>
      </c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</row>
    <row r="127">
      <c r="B127" s="49"/>
      <c r="C127" s="49" t="str">
        <f t="shared" si="2"/>
        <v/>
      </c>
      <c r="D127" s="50" t="str">
        <f t="shared" si="3"/>
        <v/>
      </c>
      <c r="E127" s="51" t="str">
        <f t="shared" ref="E127:T127" si="128">IFERROR(VLOOKUP($A127,INDIRECT("'" &amp; E$1 &amp; "'!$C:$G"), 5, FALSE),"")</f>
        <v/>
      </c>
      <c r="F127" s="51" t="str">
        <f t="shared" si="128"/>
        <v/>
      </c>
      <c r="G127" s="51" t="str">
        <f t="shared" si="128"/>
        <v/>
      </c>
      <c r="H127" s="51" t="str">
        <f t="shared" si="128"/>
        <v/>
      </c>
      <c r="I127" s="51" t="str">
        <f t="shared" si="128"/>
        <v/>
      </c>
      <c r="J127" s="51" t="str">
        <f t="shared" si="128"/>
        <v/>
      </c>
      <c r="K127" s="51" t="str">
        <f t="shared" si="128"/>
        <v/>
      </c>
      <c r="L127" s="51" t="str">
        <f t="shared" si="128"/>
        <v/>
      </c>
      <c r="M127" s="51" t="str">
        <f t="shared" si="128"/>
        <v/>
      </c>
      <c r="N127" s="51" t="str">
        <f t="shared" si="128"/>
        <v/>
      </c>
      <c r="O127" s="51" t="str">
        <f t="shared" si="128"/>
        <v/>
      </c>
      <c r="P127" s="51" t="str">
        <f t="shared" si="128"/>
        <v/>
      </c>
      <c r="Q127" s="51" t="str">
        <f t="shared" si="128"/>
        <v/>
      </c>
      <c r="R127" s="51" t="str">
        <f t="shared" si="128"/>
        <v/>
      </c>
      <c r="S127" s="51" t="str">
        <f t="shared" si="128"/>
        <v/>
      </c>
      <c r="T127" s="51" t="str">
        <f t="shared" si="128"/>
        <v/>
      </c>
      <c r="U127" s="52"/>
      <c r="V127" s="52" t="str">
        <f>IFERROR(__xludf.DUMMYFUNCTION("""COMPUTED_VALUE"""),"")</f>
        <v/>
      </c>
      <c r="W127" s="52" t="str">
        <f>IFERROR(__xludf.DUMMYFUNCTION("""COMPUTED_VALUE"""),"")</f>
        <v/>
      </c>
      <c r="X127" s="52" t="str">
        <f>IFERROR(__xludf.DUMMYFUNCTION("""COMPUTED_VALUE"""),"")</f>
        <v/>
      </c>
      <c r="Y127" s="52" t="str">
        <f>IFERROR(__xludf.DUMMYFUNCTION("""COMPUTED_VALUE"""),"")</f>
        <v/>
      </c>
      <c r="Z127" s="52" t="str">
        <f>IFERROR(__xludf.DUMMYFUNCTION("""COMPUTED_VALUE"""),"")</f>
        <v/>
      </c>
      <c r="AA127" s="52" t="str">
        <f>IFERROR(__xludf.DUMMYFUNCTION("""COMPUTED_VALUE"""),"")</f>
        <v/>
      </c>
      <c r="AB127" s="52" t="str">
        <f>IFERROR(__xludf.DUMMYFUNCTION("""COMPUTED_VALUE"""),"")</f>
        <v/>
      </c>
      <c r="AC127" s="52" t="str">
        <f>IFERROR(__xludf.DUMMYFUNCTION("""COMPUTED_VALUE"""),"")</f>
        <v/>
      </c>
      <c r="AD127" s="52" t="str">
        <f>IFERROR(__xludf.DUMMYFUNCTION("""COMPUTED_VALUE"""),"")</f>
        <v/>
      </c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</row>
    <row r="128">
      <c r="B128" s="49"/>
      <c r="C128" s="49" t="str">
        <f t="shared" si="2"/>
        <v/>
      </c>
      <c r="D128" s="50" t="str">
        <f t="shared" si="3"/>
        <v/>
      </c>
      <c r="E128" s="51" t="str">
        <f t="shared" ref="E128:T128" si="129">IFERROR(VLOOKUP($A128,INDIRECT("'" &amp; E$1 &amp; "'!$C:$G"), 5, FALSE),"")</f>
        <v/>
      </c>
      <c r="F128" s="51" t="str">
        <f t="shared" si="129"/>
        <v/>
      </c>
      <c r="G128" s="51" t="str">
        <f t="shared" si="129"/>
        <v/>
      </c>
      <c r="H128" s="51" t="str">
        <f t="shared" si="129"/>
        <v/>
      </c>
      <c r="I128" s="51" t="str">
        <f t="shared" si="129"/>
        <v/>
      </c>
      <c r="J128" s="51" t="str">
        <f t="shared" si="129"/>
        <v/>
      </c>
      <c r="K128" s="51" t="str">
        <f t="shared" si="129"/>
        <v/>
      </c>
      <c r="L128" s="51" t="str">
        <f t="shared" si="129"/>
        <v/>
      </c>
      <c r="M128" s="51" t="str">
        <f t="shared" si="129"/>
        <v/>
      </c>
      <c r="N128" s="51" t="str">
        <f t="shared" si="129"/>
        <v/>
      </c>
      <c r="O128" s="51" t="str">
        <f t="shared" si="129"/>
        <v/>
      </c>
      <c r="P128" s="51" t="str">
        <f t="shared" si="129"/>
        <v/>
      </c>
      <c r="Q128" s="51" t="str">
        <f t="shared" si="129"/>
        <v/>
      </c>
      <c r="R128" s="51" t="str">
        <f t="shared" si="129"/>
        <v/>
      </c>
      <c r="S128" s="51" t="str">
        <f t="shared" si="129"/>
        <v/>
      </c>
      <c r="T128" s="51" t="str">
        <f t="shared" si="129"/>
        <v/>
      </c>
      <c r="U128" s="52"/>
      <c r="V128" s="52" t="str">
        <f>IFERROR(__xludf.DUMMYFUNCTION("""COMPUTED_VALUE"""),"")</f>
        <v/>
      </c>
      <c r="W128" s="52" t="str">
        <f>IFERROR(__xludf.DUMMYFUNCTION("""COMPUTED_VALUE"""),"")</f>
        <v/>
      </c>
      <c r="X128" s="52" t="str">
        <f>IFERROR(__xludf.DUMMYFUNCTION("""COMPUTED_VALUE"""),"")</f>
        <v/>
      </c>
      <c r="Y128" s="52" t="str">
        <f>IFERROR(__xludf.DUMMYFUNCTION("""COMPUTED_VALUE"""),"")</f>
        <v/>
      </c>
      <c r="Z128" s="52" t="str">
        <f>IFERROR(__xludf.DUMMYFUNCTION("""COMPUTED_VALUE"""),"")</f>
        <v/>
      </c>
      <c r="AA128" s="52" t="str">
        <f>IFERROR(__xludf.DUMMYFUNCTION("""COMPUTED_VALUE"""),"")</f>
        <v/>
      </c>
      <c r="AB128" s="52" t="str">
        <f>IFERROR(__xludf.DUMMYFUNCTION("""COMPUTED_VALUE"""),"")</f>
        <v/>
      </c>
      <c r="AC128" s="52" t="str">
        <f>IFERROR(__xludf.DUMMYFUNCTION("""COMPUTED_VALUE"""),"")</f>
        <v/>
      </c>
      <c r="AD128" s="52" t="str">
        <f>IFERROR(__xludf.DUMMYFUNCTION("""COMPUTED_VALUE"""),"")</f>
        <v/>
      </c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</row>
    <row r="129">
      <c r="B129" s="49"/>
      <c r="C129" s="49" t="str">
        <f t="shared" si="2"/>
        <v/>
      </c>
      <c r="D129" s="50" t="str">
        <f t="shared" si="3"/>
        <v/>
      </c>
      <c r="E129" s="51" t="str">
        <f t="shared" ref="E129:T129" si="130">IFERROR(VLOOKUP($A129,INDIRECT("'" &amp; E$1 &amp; "'!$C:$G"), 5, FALSE),"")</f>
        <v/>
      </c>
      <c r="F129" s="51" t="str">
        <f t="shared" si="130"/>
        <v/>
      </c>
      <c r="G129" s="51" t="str">
        <f t="shared" si="130"/>
        <v/>
      </c>
      <c r="H129" s="51" t="str">
        <f t="shared" si="130"/>
        <v/>
      </c>
      <c r="I129" s="51" t="str">
        <f t="shared" si="130"/>
        <v/>
      </c>
      <c r="J129" s="51" t="str">
        <f t="shared" si="130"/>
        <v/>
      </c>
      <c r="K129" s="51" t="str">
        <f t="shared" si="130"/>
        <v/>
      </c>
      <c r="L129" s="51" t="str">
        <f t="shared" si="130"/>
        <v/>
      </c>
      <c r="M129" s="51" t="str">
        <f t="shared" si="130"/>
        <v/>
      </c>
      <c r="N129" s="51" t="str">
        <f t="shared" si="130"/>
        <v/>
      </c>
      <c r="O129" s="51" t="str">
        <f t="shared" si="130"/>
        <v/>
      </c>
      <c r="P129" s="51" t="str">
        <f t="shared" si="130"/>
        <v/>
      </c>
      <c r="Q129" s="51" t="str">
        <f t="shared" si="130"/>
        <v/>
      </c>
      <c r="R129" s="51" t="str">
        <f t="shared" si="130"/>
        <v/>
      </c>
      <c r="S129" s="51" t="str">
        <f t="shared" si="130"/>
        <v/>
      </c>
      <c r="T129" s="51" t="str">
        <f t="shared" si="130"/>
        <v/>
      </c>
      <c r="U129" s="52"/>
      <c r="V129" s="52" t="str">
        <f>IFERROR(__xludf.DUMMYFUNCTION("""COMPUTED_VALUE"""),"")</f>
        <v/>
      </c>
      <c r="W129" s="52" t="str">
        <f>IFERROR(__xludf.DUMMYFUNCTION("""COMPUTED_VALUE"""),"")</f>
        <v/>
      </c>
      <c r="X129" s="52" t="str">
        <f>IFERROR(__xludf.DUMMYFUNCTION("""COMPUTED_VALUE"""),"")</f>
        <v/>
      </c>
      <c r="Y129" s="52" t="str">
        <f>IFERROR(__xludf.DUMMYFUNCTION("""COMPUTED_VALUE"""),"")</f>
        <v/>
      </c>
      <c r="Z129" s="52" t="str">
        <f>IFERROR(__xludf.DUMMYFUNCTION("""COMPUTED_VALUE"""),"")</f>
        <v/>
      </c>
      <c r="AA129" s="52" t="str">
        <f>IFERROR(__xludf.DUMMYFUNCTION("""COMPUTED_VALUE"""),"")</f>
        <v/>
      </c>
      <c r="AB129" s="52" t="str">
        <f>IFERROR(__xludf.DUMMYFUNCTION("""COMPUTED_VALUE"""),"")</f>
        <v/>
      </c>
      <c r="AC129" s="52" t="str">
        <f>IFERROR(__xludf.DUMMYFUNCTION("""COMPUTED_VALUE"""),"")</f>
        <v/>
      </c>
      <c r="AD129" s="52" t="str">
        <f>IFERROR(__xludf.DUMMYFUNCTION("""COMPUTED_VALUE"""),"")</f>
        <v/>
      </c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</row>
    <row r="130">
      <c r="B130" s="49"/>
      <c r="C130" s="49" t="str">
        <f t="shared" si="2"/>
        <v/>
      </c>
      <c r="D130" s="50" t="str">
        <f t="shared" si="3"/>
        <v/>
      </c>
      <c r="E130" s="51" t="str">
        <f t="shared" ref="E130:T130" si="131">IFERROR(VLOOKUP($A130,INDIRECT("'" &amp; E$1 &amp; "'!$C:$G"), 5, FALSE),"")</f>
        <v/>
      </c>
      <c r="F130" s="51" t="str">
        <f t="shared" si="131"/>
        <v/>
      </c>
      <c r="G130" s="51" t="str">
        <f t="shared" si="131"/>
        <v/>
      </c>
      <c r="H130" s="51" t="str">
        <f t="shared" si="131"/>
        <v/>
      </c>
      <c r="I130" s="51" t="str">
        <f t="shared" si="131"/>
        <v/>
      </c>
      <c r="J130" s="51" t="str">
        <f t="shared" si="131"/>
        <v/>
      </c>
      <c r="K130" s="51" t="str">
        <f t="shared" si="131"/>
        <v/>
      </c>
      <c r="L130" s="51" t="str">
        <f t="shared" si="131"/>
        <v/>
      </c>
      <c r="M130" s="51" t="str">
        <f t="shared" si="131"/>
        <v/>
      </c>
      <c r="N130" s="51" t="str">
        <f t="shared" si="131"/>
        <v/>
      </c>
      <c r="O130" s="51" t="str">
        <f t="shared" si="131"/>
        <v/>
      </c>
      <c r="P130" s="51" t="str">
        <f t="shared" si="131"/>
        <v/>
      </c>
      <c r="Q130" s="51" t="str">
        <f t="shared" si="131"/>
        <v/>
      </c>
      <c r="R130" s="51" t="str">
        <f t="shared" si="131"/>
        <v/>
      </c>
      <c r="S130" s="51" t="str">
        <f t="shared" si="131"/>
        <v/>
      </c>
      <c r="T130" s="51" t="str">
        <f t="shared" si="131"/>
        <v/>
      </c>
      <c r="U130" s="52"/>
      <c r="V130" s="52" t="str">
        <f>IFERROR(__xludf.DUMMYFUNCTION("""COMPUTED_VALUE"""),"")</f>
        <v/>
      </c>
      <c r="W130" s="52" t="str">
        <f>IFERROR(__xludf.DUMMYFUNCTION("""COMPUTED_VALUE"""),"")</f>
        <v/>
      </c>
      <c r="X130" s="52" t="str">
        <f>IFERROR(__xludf.DUMMYFUNCTION("""COMPUTED_VALUE"""),"")</f>
        <v/>
      </c>
      <c r="Y130" s="52" t="str">
        <f>IFERROR(__xludf.DUMMYFUNCTION("""COMPUTED_VALUE"""),"")</f>
        <v/>
      </c>
      <c r="Z130" s="52" t="str">
        <f>IFERROR(__xludf.DUMMYFUNCTION("""COMPUTED_VALUE"""),"")</f>
        <v/>
      </c>
      <c r="AA130" s="52" t="str">
        <f>IFERROR(__xludf.DUMMYFUNCTION("""COMPUTED_VALUE"""),"")</f>
        <v/>
      </c>
      <c r="AB130" s="52" t="str">
        <f>IFERROR(__xludf.DUMMYFUNCTION("""COMPUTED_VALUE"""),"")</f>
        <v/>
      </c>
      <c r="AC130" s="52" t="str">
        <f>IFERROR(__xludf.DUMMYFUNCTION("""COMPUTED_VALUE"""),"")</f>
        <v/>
      </c>
      <c r="AD130" s="52" t="str">
        <f>IFERROR(__xludf.DUMMYFUNCTION("""COMPUTED_VALUE"""),"")</f>
        <v/>
      </c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</row>
    <row r="131">
      <c r="B131" s="49"/>
      <c r="C131" s="49" t="str">
        <f t="shared" si="2"/>
        <v/>
      </c>
      <c r="D131" s="50" t="str">
        <f t="shared" si="3"/>
        <v/>
      </c>
      <c r="E131" s="51" t="str">
        <f t="shared" ref="E131:T131" si="132">IFERROR(VLOOKUP($A131,INDIRECT("'" &amp; E$1 &amp; "'!$C:$G"), 5, FALSE),"")</f>
        <v/>
      </c>
      <c r="F131" s="51" t="str">
        <f t="shared" si="132"/>
        <v/>
      </c>
      <c r="G131" s="51" t="str">
        <f t="shared" si="132"/>
        <v/>
      </c>
      <c r="H131" s="51" t="str">
        <f t="shared" si="132"/>
        <v/>
      </c>
      <c r="I131" s="51" t="str">
        <f t="shared" si="132"/>
        <v/>
      </c>
      <c r="J131" s="51" t="str">
        <f t="shared" si="132"/>
        <v/>
      </c>
      <c r="K131" s="51" t="str">
        <f t="shared" si="132"/>
        <v/>
      </c>
      <c r="L131" s="51" t="str">
        <f t="shared" si="132"/>
        <v/>
      </c>
      <c r="M131" s="51" t="str">
        <f t="shared" si="132"/>
        <v/>
      </c>
      <c r="N131" s="51" t="str">
        <f t="shared" si="132"/>
        <v/>
      </c>
      <c r="O131" s="51" t="str">
        <f t="shared" si="132"/>
        <v/>
      </c>
      <c r="P131" s="51" t="str">
        <f t="shared" si="132"/>
        <v/>
      </c>
      <c r="Q131" s="51" t="str">
        <f t="shared" si="132"/>
        <v/>
      </c>
      <c r="R131" s="51" t="str">
        <f t="shared" si="132"/>
        <v/>
      </c>
      <c r="S131" s="51" t="str">
        <f t="shared" si="132"/>
        <v/>
      </c>
      <c r="T131" s="51" t="str">
        <f t="shared" si="132"/>
        <v/>
      </c>
      <c r="U131" s="52"/>
      <c r="V131" s="52" t="str">
        <f>IFERROR(__xludf.DUMMYFUNCTION("""COMPUTED_VALUE"""),"")</f>
        <v/>
      </c>
      <c r="W131" s="52" t="str">
        <f>IFERROR(__xludf.DUMMYFUNCTION("""COMPUTED_VALUE"""),"")</f>
        <v/>
      </c>
      <c r="X131" s="52" t="str">
        <f>IFERROR(__xludf.DUMMYFUNCTION("""COMPUTED_VALUE"""),"")</f>
        <v/>
      </c>
      <c r="Y131" s="52" t="str">
        <f>IFERROR(__xludf.DUMMYFUNCTION("""COMPUTED_VALUE"""),"")</f>
        <v/>
      </c>
      <c r="Z131" s="52" t="str">
        <f>IFERROR(__xludf.DUMMYFUNCTION("""COMPUTED_VALUE"""),"")</f>
        <v/>
      </c>
      <c r="AA131" s="52" t="str">
        <f>IFERROR(__xludf.DUMMYFUNCTION("""COMPUTED_VALUE"""),"")</f>
        <v/>
      </c>
      <c r="AB131" s="52" t="str">
        <f>IFERROR(__xludf.DUMMYFUNCTION("""COMPUTED_VALUE"""),"")</f>
        <v/>
      </c>
      <c r="AC131" s="52" t="str">
        <f>IFERROR(__xludf.DUMMYFUNCTION("""COMPUTED_VALUE"""),"")</f>
        <v/>
      </c>
      <c r="AD131" s="52" t="str">
        <f>IFERROR(__xludf.DUMMYFUNCTION("""COMPUTED_VALUE"""),"")</f>
        <v/>
      </c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</row>
    <row r="132">
      <c r="B132" s="49"/>
      <c r="C132" s="49" t="str">
        <f t="shared" si="2"/>
        <v/>
      </c>
      <c r="D132" s="50" t="str">
        <f t="shared" si="3"/>
        <v/>
      </c>
      <c r="E132" s="51" t="str">
        <f t="shared" ref="E132:T132" si="133">IFERROR(VLOOKUP($A132,INDIRECT("'" &amp; E$1 &amp; "'!$C:$G"), 5, FALSE),"")</f>
        <v/>
      </c>
      <c r="F132" s="51" t="str">
        <f t="shared" si="133"/>
        <v/>
      </c>
      <c r="G132" s="51" t="str">
        <f t="shared" si="133"/>
        <v/>
      </c>
      <c r="H132" s="51" t="str">
        <f t="shared" si="133"/>
        <v/>
      </c>
      <c r="I132" s="51" t="str">
        <f t="shared" si="133"/>
        <v/>
      </c>
      <c r="J132" s="51" t="str">
        <f t="shared" si="133"/>
        <v/>
      </c>
      <c r="K132" s="51" t="str">
        <f t="shared" si="133"/>
        <v/>
      </c>
      <c r="L132" s="51" t="str">
        <f t="shared" si="133"/>
        <v/>
      </c>
      <c r="M132" s="51" t="str">
        <f t="shared" si="133"/>
        <v/>
      </c>
      <c r="N132" s="51" t="str">
        <f t="shared" si="133"/>
        <v/>
      </c>
      <c r="O132" s="51" t="str">
        <f t="shared" si="133"/>
        <v/>
      </c>
      <c r="P132" s="51" t="str">
        <f t="shared" si="133"/>
        <v/>
      </c>
      <c r="Q132" s="51" t="str">
        <f t="shared" si="133"/>
        <v/>
      </c>
      <c r="R132" s="51" t="str">
        <f t="shared" si="133"/>
        <v/>
      </c>
      <c r="S132" s="51" t="str">
        <f t="shared" si="133"/>
        <v/>
      </c>
      <c r="T132" s="51" t="str">
        <f t="shared" si="133"/>
        <v/>
      </c>
      <c r="U132" s="52"/>
      <c r="V132" s="52" t="str">
        <f>IFERROR(__xludf.DUMMYFUNCTION("""COMPUTED_VALUE"""),"")</f>
        <v/>
      </c>
      <c r="W132" s="52" t="str">
        <f>IFERROR(__xludf.DUMMYFUNCTION("""COMPUTED_VALUE"""),"")</f>
        <v/>
      </c>
      <c r="X132" s="52" t="str">
        <f>IFERROR(__xludf.DUMMYFUNCTION("""COMPUTED_VALUE"""),"")</f>
        <v/>
      </c>
      <c r="Y132" s="52" t="str">
        <f>IFERROR(__xludf.DUMMYFUNCTION("""COMPUTED_VALUE"""),"")</f>
        <v/>
      </c>
      <c r="Z132" s="52" t="str">
        <f>IFERROR(__xludf.DUMMYFUNCTION("""COMPUTED_VALUE"""),"")</f>
        <v/>
      </c>
      <c r="AA132" s="52" t="str">
        <f>IFERROR(__xludf.DUMMYFUNCTION("""COMPUTED_VALUE"""),"")</f>
        <v/>
      </c>
      <c r="AB132" s="52" t="str">
        <f>IFERROR(__xludf.DUMMYFUNCTION("""COMPUTED_VALUE"""),"")</f>
        <v/>
      </c>
      <c r="AC132" s="52" t="str">
        <f>IFERROR(__xludf.DUMMYFUNCTION("""COMPUTED_VALUE"""),"")</f>
        <v/>
      </c>
      <c r="AD132" s="52" t="str">
        <f>IFERROR(__xludf.DUMMYFUNCTION("""COMPUTED_VALUE"""),"")</f>
        <v/>
      </c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</row>
    <row r="133">
      <c r="B133" s="49"/>
      <c r="C133" s="49" t="str">
        <f t="shared" si="2"/>
        <v/>
      </c>
      <c r="D133" s="50" t="str">
        <f t="shared" si="3"/>
        <v/>
      </c>
      <c r="E133" s="51" t="str">
        <f t="shared" ref="E133:T133" si="134">IFERROR(VLOOKUP($A133,INDIRECT("'" &amp; E$1 &amp; "'!$C:$G"), 5, FALSE),"")</f>
        <v/>
      </c>
      <c r="F133" s="51" t="str">
        <f t="shared" si="134"/>
        <v/>
      </c>
      <c r="G133" s="51" t="str">
        <f t="shared" si="134"/>
        <v/>
      </c>
      <c r="H133" s="51" t="str">
        <f t="shared" si="134"/>
        <v/>
      </c>
      <c r="I133" s="51" t="str">
        <f t="shared" si="134"/>
        <v/>
      </c>
      <c r="J133" s="51" t="str">
        <f t="shared" si="134"/>
        <v/>
      </c>
      <c r="K133" s="51" t="str">
        <f t="shared" si="134"/>
        <v/>
      </c>
      <c r="L133" s="51" t="str">
        <f t="shared" si="134"/>
        <v/>
      </c>
      <c r="M133" s="51" t="str">
        <f t="shared" si="134"/>
        <v/>
      </c>
      <c r="N133" s="51" t="str">
        <f t="shared" si="134"/>
        <v/>
      </c>
      <c r="O133" s="51" t="str">
        <f t="shared" si="134"/>
        <v/>
      </c>
      <c r="P133" s="51" t="str">
        <f t="shared" si="134"/>
        <v/>
      </c>
      <c r="Q133" s="51" t="str">
        <f t="shared" si="134"/>
        <v/>
      </c>
      <c r="R133" s="51" t="str">
        <f t="shared" si="134"/>
        <v/>
      </c>
      <c r="S133" s="51" t="str">
        <f t="shared" si="134"/>
        <v/>
      </c>
      <c r="T133" s="51" t="str">
        <f t="shared" si="134"/>
        <v/>
      </c>
      <c r="U133" s="52"/>
      <c r="V133" s="52" t="str">
        <f>IFERROR(__xludf.DUMMYFUNCTION("""COMPUTED_VALUE"""),"")</f>
        <v/>
      </c>
      <c r="W133" s="52" t="str">
        <f>IFERROR(__xludf.DUMMYFUNCTION("""COMPUTED_VALUE"""),"")</f>
        <v/>
      </c>
      <c r="X133" s="52" t="str">
        <f>IFERROR(__xludf.DUMMYFUNCTION("""COMPUTED_VALUE"""),"")</f>
        <v/>
      </c>
      <c r="Y133" s="52" t="str">
        <f>IFERROR(__xludf.DUMMYFUNCTION("""COMPUTED_VALUE"""),"")</f>
        <v/>
      </c>
      <c r="Z133" s="52" t="str">
        <f>IFERROR(__xludf.DUMMYFUNCTION("""COMPUTED_VALUE"""),"")</f>
        <v/>
      </c>
      <c r="AA133" s="52" t="str">
        <f>IFERROR(__xludf.DUMMYFUNCTION("""COMPUTED_VALUE"""),"")</f>
        <v/>
      </c>
      <c r="AB133" s="52" t="str">
        <f>IFERROR(__xludf.DUMMYFUNCTION("""COMPUTED_VALUE"""),"")</f>
        <v/>
      </c>
      <c r="AC133" s="52" t="str">
        <f>IFERROR(__xludf.DUMMYFUNCTION("""COMPUTED_VALUE"""),"")</f>
        <v/>
      </c>
      <c r="AD133" s="52" t="str">
        <f>IFERROR(__xludf.DUMMYFUNCTION("""COMPUTED_VALUE"""),"")</f>
        <v/>
      </c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</row>
    <row r="134">
      <c r="B134" s="49"/>
      <c r="C134" s="49" t="str">
        <f t="shared" si="2"/>
        <v/>
      </c>
      <c r="D134" s="50" t="str">
        <f t="shared" si="3"/>
        <v/>
      </c>
      <c r="E134" s="51" t="str">
        <f t="shared" ref="E134:T134" si="135">IFERROR(VLOOKUP($A134,INDIRECT("'" &amp; E$1 &amp; "'!$C:$G"), 5, FALSE),"")</f>
        <v/>
      </c>
      <c r="F134" s="51" t="str">
        <f t="shared" si="135"/>
        <v/>
      </c>
      <c r="G134" s="51" t="str">
        <f t="shared" si="135"/>
        <v/>
      </c>
      <c r="H134" s="51" t="str">
        <f t="shared" si="135"/>
        <v/>
      </c>
      <c r="I134" s="51" t="str">
        <f t="shared" si="135"/>
        <v/>
      </c>
      <c r="J134" s="51" t="str">
        <f t="shared" si="135"/>
        <v/>
      </c>
      <c r="K134" s="51" t="str">
        <f t="shared" si="135"/>
        <v/>
      </c>
      <c r="L134" s="51" t="str">
        <f t="shared" si="135"/>
        <v/>
      </c>
      <c r="M134" s="51" t="str">
        <f t="shared" si="135"/>
        <v/>
      </c>
      <c r="N134" s="51" t="str">
        <f t="shared" si="135"/>
        <v/>
      </c>
      <c r="O134" s="51" t="str">
        <f t="shared" si="135"/>
        <v/>
      </c>
      <c r="P134" s="51" t="str">
        <f t="shared" si="135"/>
        <v/>
      </c>
      <c r="Q134" s="51" t="str">
        <f t="shared" si="135"/>
        <v/>
      </c>
      <c r="R134" s="51" t="str">
        <f t="shared" si="135"/>
        <v/>
      </c>
      <c r="S134" s="51" t="str">
        <f t="shared" si="135"/>
        <v/>
      </c>
      <c r="T134" s="51" t="str">
        <f t="shared" si="135"/>
        <v/>
      </c>
      <c r="U134" s="52"/>
      <c r="V134" s="52" t="str">
        <f>IFERROR(__xludf.DUMMYFUNCTION("""COMPUTED_VALUE"""),"")</f>
        <v/>
      </c>
      <c r="W134" s="52" t="str">
        <f>IFERROR(__xludf.DUMMYFUNCTION("""COMPUTED_VALUE"""),"")</f>
        <v/>
      </c>
      <c r="X134" s="52" t="str">
        <f>IFERROR(__xludf.DUMMYFUNCTION("""COMPUTED_VALUE"""),"")</f>
        <v/>
      </c>
      <c r="Y134" s="52" t="str">
        <f>IFERROR(__xludf.DUMMYFUNCTION("""COMPUTED_VALUE"""),"")</f>
        <v/>
      </c>
      <c r="Z134" s="52" t="str">
        <f>IFERROR(__xludf.DUMMYFUNCTION("""COMPUTED_VALUE"""),"")</f>
        <v/>
      </c>
      <c r="AA134" s="52" t="str">
        <f>IFERROR(__xludf.DUMMYFUNCTION("""COMPUTED_VALUE"""),"")</f>
        <v/>
      </c>
      <c r="AB134" s="52" t="str">
        <f>IFERROR(__xludf.DUMMYFUNCTION("""COMPUTED_VALUE"""),"")</f>
        <v/>
      </c>
      <c r="AC134" s="52" t="str">
        <f>IFERROR(__xludf.DUMMYFUNCTION("""COMPUTED_VALUE"""),"")</f>
        <v/>
      </c>
      <c r="AD134" s="52" t="str">
        <f>IFERROR(__xludf.DUMMYFUNCTION("""COMPUTED_VALUE"""),"")</f>
        <v/>
      </c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</row>
    <row r="135">
      <c r="B135" s="49"/>
      <c r="C135" s="49" t="str">
        <f t="shared" si="2"/>
        <v/>
      </c>
      <c r="D135" s="50" t="str">
        <f t="shared" si="3"/>
        <v/>
      </c>
      <c r="E135" s="51" t="str">
        <f t="shared" ref="E135:T135" si="136">IFERROR(VLOOKUP($A135,INDIRECT("'" &amp; E$1 &amp; "'!$C:$G"), 5, FALSE),"")</f>
        <v/>
      </c>
      <c r="F135" s="51" t="str">
        <f t="shared" si="136"/>
        <v/>
      </c>
      <c r="G135" s="51" t="str">
        <f t="shared" si="136"/>
        <v/>
      </c>
      <c r="H135" s="51" t="str">
        <f t="shared" si="136"/>
        <v/>
      </c>
      <c r="I135" s="51" t="str">
        <f t="shared" si="136"/>
        <v/>
      </c>
      <c r="J135" s="51" t="str">
        <f t="shared" si="136"/>
        <v/>
      </c>
      <c r="K135" s="51" t="str">
        <f t="shared" si="136"/>
        <v/>
      </c>
      <c r="L135" s="51" t="str">
        <f t="shared" si="136"/>
        <v/>
      </c>
      <c r="M135" s="51" t="str">
        <f t="shared" si="136"/>
        <v/>
      </c>
      <c r="N135" s="51" t="str">
        <f t="shared" si="136"/>
        <v/>
      </c>
      <c r="O135" s="51" t="str">
        <f t="shared" si="136"/>
        <v/>
      </c>
      <c r="P135" s="51" t="str">
        <f t="shared" si="136"/>
        <v/>
      </c>
      <c r="Q135" s="51" t="str">
        <f t="shared" si="136"/>
        <v/>
      </c>
      <c r="R135" s="51" t="str">
        <f t="shared" si="136"/>
        <v/>
      </c>
      <c r="S135" s="51" t="str">
        <f t="shared" si="136"/>
        <v/>
      </c>
      <c r="T135" s="51" t="str">
        <f t="shared" si="136"/>
        <v/>
      </c>
      <c r="U135" s="52"/>
      <c r="V135" s="52" t="str">
        <f>IFERROR(__xludf.DUMMYFUNCTION("""COMPUTED_VALUE"""),"")</f>
        <v/>
      </c>
      <c r="W135" s="52" t="str">
        <f>IFERROR(__xludf.DUMMYFUNCTION("""COMPUTED_VALUE"""),"")</f>
        <v/>
      </c>
      <c r="X135" s="52" t="str">
        <f>IFERROR(__xludf.DUMMYFUNCTION("""COMPUTED_VALUE"""),"")</f>
        <v/>
      </c>
      <c r="Y135" s="52" t="str">
        <f>IFERROR(__xludf.DUMMYFUNCTION("""COMPUTED_VALUE"""),"")</f>
        <v/>
      </c>
      <c r="Z135" s="52" t="str">
        <f>IFERROR(__xludf.DUMMYFUNCTION("""COMPUTED_VALUE"""),"")</f>
        <v/>
      </c>
      <c r="AA135" s="52" t="str">
        <f>IFERROR(__xludf.DUMMYFUNCTION("""COMPUTED_VALUE"""),"")</f>
        <v/>
      </c>
      <c r="AB135" s="52" t="str">
        <f>IFERROR(__xludf.DUMMYFUNCTION("""COMPUTED_VALUE"""),"")</f>
        <v/>
      </c>
      <c r="AC135" s="52" t="str">
        <f>IFERROR(__xludf.DUMMYFUNCTION("""COMPUTED_VALUE"""),"")</f>
        <v/>
      </c>
      <c r="AD135" s="52" t="str">
        <f>IFERROR(__xludf.DUMMYFUNCTION("""COMPUTED_VALUE"""),"")</f>
        <v/>
      </c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</row>
    <row r="136">
      <c r="B136" s="49"/>
      <c r="C136" s="49" t="str">
        <f t="shared" si="2"/>
        <v/>
      </c>
      <c r="D136" s="50" t="str">
        <f t="shared" si="3"/>
        <v/>
      </c>
      <c r="E136" s="51" t="str">
        <f t="shared" ref="E136:T136" si="137">IFERROR(VLOOKUP($A136,INDIRECT("'" &amp; E$1 &amp; "'!$C:$G"), 5, FALSE),"")</f>
        <v/>
      </c>
      <c r="F136" s="51" t="str">
        <f t="shared" si="137"/>
        <v/>
      </c>
      <c r="G136" s="51" t="str">
        <f t="shared" si="137"/>
        <v/>
      </c>
      <c r="H136" s="51" t="str">
        <f t="shared" si="137"/>
        <v/>
      </c>
      <c r="I136" s="51" t="str">
        <f t="shared" si="137"/>
        <v/>
      </c>
      <c r="J136" s="51" t="str">
        <f t="shared" si="137"/>
        <v/>
      </c>
      <c r="K136" s="51" t="str">
        <f t="shared" si="137"/>
        <v/>
      </c>
      <c r="L136" s="51" t="str">
        <f t="shared" si="137"/>
        <v/>
      </c>
      <c r="M136" s="51" t="str">
        <f t="shared" si="137"/>
        <v/>
      </c>
      <c r="N136" s="51" t="str">
        <f t="shared" si="137"/>
        <v/>
      </c>
      <c r="O136" s="51" t="str">
        <f t="shared" si="137"/>
        <v/>
      </c>
      <c r="P136" s="51" t="str">
        <f t="shared" si="137"/>
        <v/>
      </c>
      <c r="Q136" s="51" t="str">
        <f t="shared" si="137"/>
        <v/>
      </c>
      <c r="R136" s="51" t="str">
        <f t="shared" si="137"/>
        <v/>
      </c>
      <c r="S136" s="51" t="str">
        <f t="shared" si="137"/>
        <v/>
      </c>
      <c r="T136" s="51" t="str">
        <f t="shared" si="137"/>
        <v/>
      </c>
      <c r="U136" s="52"/>
      <c r="V136" s="52" t="str">
        <f>IFERROR(__xludf.DUMMYFUNCTION("""COMPUTED_VALUE"""),"")</f>
        <v/>
      </c>
      <c r="W136" s="52" t="str">
        <f>IFERROR(__xludf.DUMMYFUNCTION("""COMPUTED_VALUE"""),"")</f>
        <v/>
      </c>
      <c r="X136" s="52" t="str">
        <f>IFERROR(__xludf.DUMMYFUNCTION("""COMPUTED_VALUE"""),"")</f>
        <v/>
      </c>
      <c r="Y136" s="52" t="str">
        <f>IFERROR(__xludf.DUMMYFUNCTION("""COMPUTED_VALUE"""),"")</f>
        <v/>
      </c>
      <c r="Z136" s="52" t="str">
        <f>IFERROR(__xludf.DUMMYFUNCTION("""COMPUTED_VALUE"""),"")</f>
        <v/>
      </c>
      <c r="AA136" s="52" t="str">
        <f>IFERROR(__xludf.DUMMYFUNCTION("""COMPUTED_VALUE"""),"")</f>
        <v/>
      </c>
      <c r="AB136" s="52" t="str">
        <f>IFERROR(__xludf.DUMMYFUNCTION("""COMPUTED_VALUE"""),"")</f>
        <v/>
      </c>
      <c r="AC136" s="52" t="str">
        <f>IFERROR(__xludf.DUMMYFUNCTION("""COMPUTED_VALUE"""),"")</f>
        <v/>
      </c>
      <c r="AD136" s="52" t="str">
        <f>IFERROR(__xludf.DUMMYFUNCTION("""COMPUTED_VALUE"""),"")</f>
        <v/>
      </c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</row>
    <row r="137">
      <c r="B137" s="49"/>
      <c r="C137" s="49" t="str">
        <f t="shared" si="2"/>
        <v/>
      </c>
      <c r="D137" s="50" t="str">
        <f t="shared" si="3"/>
        <v/>
      </c>
      <c r="E137" s="51" t="str">
        <f t="shared" ref="E137:T137" si="138">IFERROR(VLOOKUP($A137,INDIRECT("'" &amp; E$1 &amp; "'!$C:$G"), 5, FALSE),"")</f>
        <v/>
      </c>
      <c r="F137" s="51" t="str">
        <f t="shared" si="138"/>
        <v/>
      </c>
      <c r="G137" s="51" t="str">
        <f t="shared" si="138"/>
        <v/>
      </c>
      <c r="H137" s="51" t="str">
        <f t="shared" si="138"/>
        <v/>
      </c>
      <c r="I137" s="51" t="str">
        <f t="shared" si="138"/>
        <v/>
      </c>
      <c r="J137" s="51" t="str">
        <f t="shared" si="138"/>
        <v/>
      </c>
      <c r="K137" s="51" t="str">
        <f t="shared" si="138"/>
        <v/>
      </c>
      <c r="L137" s="51" t="str">
        <f t="shared" si="138"/>
        <v/>
      </c>
      <c r="M137" s="51" t="str">
        <f t="shared" si="138"/>
        <v/>
      </c>
      <c r="N137" s="51" t="str">
        <f t="shared" si="138"/>
        <v/>
      </c>
      <c r="O137" s="51" t="str">
        <f t="shared" si="138"/>
        <v/>
      </c>
      <c r="P137" s="51" t="str">
        <f t="shared" si="138"/>
        <v/>
      </c>
      <c r="Q137" s="51" t="str">
        <f t="shared" si="138"/>
        <v/>
      </c>
      <c r="R137" s="51" t="str">
        <f t="shared" si="138"/>
        <v/>
      </c>
      <c r="S137" s="51" t="str">
        <f t="shared" si="138"/>
        <v/>
      </c>
      <c r="T137" s="51" t="str">
        <f t="shared" si="138"/>
        <v/>
      </c>
      <c r="U137" s="52"/>
      <c r="V137" s="52" t="str">
        <f>IFERROR(__xludf.DUMMYFUNCTION("""COMPUTED_VALUE"""),"")</f>
        <v/>
      </c>
      <c r="W137" s="52" t="str">
        <f>IFERROR(__xludf.DUMMYFUNCTION("""COMPUTED_VALUE"""),"")</f>
        <v/>
      </c>
      <c r="X137" s="52" t="str">
        <f>IFERROR(__xludf.DUMMYFUNCTION("""COMPUTED_VALUE"""),"")</f>
        <v/>
      </c>
      <c r="Y137" s="52" t="str">
        <f>IFERROR(__xludf.DUMMYFUNCTION("""COMPUTED_VALUE"""),"")</f>
        <v/>
      </c>
      <c r="Z137" s="52" t="str">
        <f>IFERROR(__xludf.DUMMYFUNCTION("""COMPUTED_VALUE"""),"")</f>
        <v/>
      </c>
      <c r="AA137" s="52" t="str">
        <f>IFERROR(__xludf.DUMMYFUNCTION("""COMPUTED_VALUE"""),"")</f>
        <v/>
      </c>
      <c r="AB137" s="52" t="str">
        <f>IFERROR(__xludf.DUMMYFUNCTION("""COMPUTED_VALUE"""),"")</f>
        <v/>
      </c>
      <c r="AC137" s="52" t="str">
        <f>IFERROR(__xludf.DUMMYFUNCTION("""COMPUTED_VALUE"""),"")</f>
        <v/>
      </c>
      <c r="AD137" s="52" t="str">
        <f>IFERROR(__xludf.DUMMYFUNCTION("""COMPUTED_VALUE"""),"")</f>
        <v/>
      </c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</row>
    <row r="138">
      <c r="B138" s="49"/>
      <c r="C138" s="49" t="str">
        <f t="shared" si="2"/>
        <v/>
      </c>
      <c r="D138" s="50" t="str">
        <f t="shared" si="3"/>
        <v/>
      </c>
      <c r="E138" s="51" t="str">
        <f t="shared" ref="E138:T138" si="139">IFERROR(VLOOKUP($A138,INDIRECT("'" &amp; E$1 &amp; "'!$C:$G"), 5, FALSE),"")</f>
        <v/>
      </c>
      <c r="F138" s="51" t="str">
        <f t="shared" si="139"/>
        <v/>
      </c>
      <c r="G138" s="51" t="str">
        <f t="shared" si="139"/>
        <v/>
      </c>
      <c r="H138" s="51" t="str">
        <f t="shared" si="139"/>
        <v/>
      </c>
      <c r="I138" s="51" t="str">
        <f t="shared" si="139"/>
        <v/>
      </c>
      <c r="J138" s="51" t="str">
        <f t="shared" si="139"/>
        <v/>
      </c>
      <c r="K138" s="51" t="str">
        <f t="shared" si="139"/>
        <v/>
      </c>
      <c r="L138" s="51" t="str">
        <f t="shared" si="139"/>
        <v/>
      </c>
      <c r="M138" s="51" t="str">
        <f t="shared" si="139"/>
        <v/>
      </c>
      <c r="N138" s="51" t="str">
        <f t="shared" si="139"/>
        <v/>
      </c>
      <c r="O138" s="51" t="str">
        <f t="shared" si="139"/>
        <v/>
      </c>
      <c r="P138" s="51" t="str">
        <f t="shared" si="139"/>
        <v/>
      </c>
      <c r="Q138" s="51" t="str">
        <f t="shared" si="139"/>
        <v/>
      </c>
      <c r="R138" s="51" t="str">
        <f t="shared" si="139"/>
        <v/>
      </c>
      <c r="S138" s="51" t="str">
        <f t="shared" si="139"/>
        <v/>
      </c>
      <c r="T138" s="51" t="str">
        <f t="shared" si="139"/>
        <v/>
      </c>
      <c r="U138" s="52"/>
      <c r="V138" s="52" t="str">
        <f>IFERROR(__xludf.DUMMYFUNCTION("""COMPUTED_VALUE"""),"")</f>
        <v/>
      </c>
      <c r="W138" s="52" t="str">
        <f>IFERROR(__xludf.DUMMYFUNCTION("""COMPUTED_VALUE"""),"")</f>
        <v/>
      </c>
      <c r="X138" s="52" t="str">
        <f>IFERROR(__xludf.DUMMYFUNCTION("""COMPUTED_VALUE"""),"")</f>
        <v/>
      </c>
      <c r="Y138" s="52" t="str">
        <f>IFERROR(__xludf.DUMMYFUNCTION("""COMPUTED_VALUE"""),"")</f>
        <v/>
      </c>
      <c r="Z138" s="52" t="str">
        <f>IFERROR(__xludf.DUMMYFUNCTION("""COMPUTED_VALUE"""),"")</f>
        <v/>
      </c>
      <c r="AA138" s="52" t="str">
        <f>IFERROR(__xludf.DUMMYFUNCTION("""COMPUTED_VALUE"""),"")</f>
        <v/>
      </c>
      <c r="AB138" s="52" t="str">
        <f>IFERROR(__xludf.DUMMYFUNCTION("""COMPUTED_VALUE"""),"")</f>
        <v/>
      </c>
      <c r="AC138" s="52" t="str">
        <f>IFERROR(__xludf.DUMMYFUNCTION("""COMPUTED_VALUE"""),"")</f>
        <v/>
      </c>
      <c r="AD138" s="52" t="str">
        <f>IFERROR(__xludf.DUMMYFUNCTION("""COMPUTED_VALUE"""),"")</f>
        <v/>
      </c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</row>
    <row r="139">
      <c r="B139" s="49"/>
      <c r="C139" s="49" t="str">
        <f t="shared" si="2"/>
        <v/>
      </c>
      <c r="D139" s="50" t="str">
        <f t="shared" si="3"/>
        <v/>
      </c>
      <c r="E139" s="51" t="str">
        <f t="shared" ref="E139:T139" si="140">IFERROR(VLOOKUP($A139,INDIRECT("'" &amp; E$1 &amp; "'!$C:$G"), 5, FALSE),"")</f>
        <v/>
      </c>
      <c r="F139" s="51" t="str">
        <f t="shared" si="140"/>
        <v/>
      </c>
      <c r="G139" s="51" t="str">
        <f t="shared" si="140"/>
        <v/>
      </c>
      <c r="H139" s="51" t="str">
        <f t="shared" si="140"/>
        <v/>
      </c>
      <c r="I139" s="51" t="str">
        <f t="shared" si="140"/>
        <v/>
      </c>
      <c r="J139" s="51" t="str">
        <f t="shared" si="140"/>
        <v/>
      </c>
      <c r="K139" s="51" t="str">
        <f t="shared" si="140"/>
        <v/>
      </c>
      <c r="L139" s="51" t="str">
        <f t="shared" si="140"/>
        <v/>
      </c>
      <c r="M139" s="51" t="str">
        <f t="shared" si="140"/>
        <v/>
      </c>
      <c r="N139" s="51" t="str">
        <f t="shared" si="140"/>
        <v/>
      </c>
      <c r="O139" s="51" t="str">
        <f t="shared" si="140"/>
        <v/>
      </c>
      <c r="P139" s="51" t="str">
        <f t="shared" si="140"/>
        <v/>
      </c>
      <c r="Q139" s="51" t="str">
        <f t="shared" si="140"/>
        <v/>
      </c>
      <c r="R139" s="51" t="str">
        <f t="shared" si="140"/>
        <v/>
      </c>
      <c r="S139" s="51" t="str">
        <f t="shared" si="140"/>
        <v/>
      </c>
      <c r="T139" s="51" t="str">
        <f t="shared" si="140"/>
        <v/>
      </c>
      <c r="U139" s="52"/>
      <c r="V139" s="52" t="str">
        <f>IFERROR(__xludf.DUMMYFUNCTION("""COMPUTED_VALUE"""),"")</f>
        <v/>
      </c>
      <c r="W139" s="52" t="str">
        <f>IFERROR(__xludf.DUMMYFUNCTION("""COMPUTED_VALUE"""),"")</f>
        <v/>
      </c>
      <c r="X139" s="52" t="str">
        <f>IFERROR(__xludf.DUMMYFUNCTION("""COMPUTED_VALUE"""),"")</f>
        <v/>
      </c>
      <c r="Y139" s="52" t="str">
        <f>IFERROR(__xludf.DUMMYFUNCTION("""COMPUTED_VALUE"""),"")</f>
        <v/>
      </c>
      <c r="Z139" s="52" t="str">
        <f>IFERROR(__xludf.DUMMYFUNCTION("""COMPUTED_VALUE"""),"")</f>
        <v/>
      </c>
      <c r="AA139" s="52" t="str">
        <f>IFERROR(__xludf.DUMMYFUNCTION("""COMPUTED_VALUE"""),"")</f>
        <v/>
      </c>
      <c r="AB139" s="52" t="str">
        <f>IFERROR(__xludf.DUMMYFUNCTION("""COMPUTED_VALUE"""),"")</f>
        <v/>
      </c>
      <c r="AC139" s="52" t="str">
        <f>IFERROR(__xludf.DUMMYFUNCTION("""COMPUTED_VALUE"""),"")</f>
        <v/>
      </c>
      <c r="AD139" s="52" t="str">
        <f>IFERROR(__xludf.DUMMYFUNCTION("""COMPUTED_VALUE"""),"")</f>
        <v/>
      </c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</row>
    <row r="140">
      <c r="B140" s="49"/>
      <c r="C140" s="49" t="str">
        <f t="shared" si="2"/>
        <v/>
      </c>
      <c r="D140" s="50" t="str">
        <f t="shared" si="3"/>
        <v/>
      </c>
      <c r="E140" s="51" t="str">
        <f t="shared" ref="E140:T140" si="141">IFERROR(VLOOKUP($A140,INDIRECT("'" &amp; E$1 &amp; "'!$C:$G"), 5, FALSE),"")</f>
        <v/>
      </c>
      <c r="F140" s="51" t="str">
        <f t="shared" si="141"/>
        <v/>
      </c>
      <c r="G140" s="51" t="str">
        <f t="shared" si="141"/>
        <v/>
      </c>
      <c r="H140" s="51" t="str">
        <f t="shared" si="141"/>
        <v/>
      </c>
      <c r="I140" s="51" t="str">
        <f t="shared" si="141"/>
        <v/>
      </c>
      <c r="J140" s="51" t="str">
        <f t="shared" si="141"/>
        <v/>
      </c>
      <c r="K140" s="51" t="str">
        <f t="shared" si="141"/>
        <v/>
      </c>
      <c r="L140" s="51" t="str">
        <f t="shared" si="141"/>
        <v/>
      </c>
      <c r="M140" s="51" t="str">
        <f t="shared" si="141"/>
        <v/>
      </c>
      <c r="N140" s="51" t="str">
        <f t="shared" si="141"/>
        <v/>
      </c>
      <c r="O140" s="51" t="str">
        <f t="shared" si="141"/>
        <v/>
      </c>
      <c r="P140" s="51" t="str">
        <f t="shared" si="141"/>
        <v/>
      </c>
      <c r="Q140" s="51" t="str">
        <f t="shared" si="141"/>
        <v/>
      </c>
      <c r="R140" s="51" t="str">
        <f t="shared" si="141"/>
        <v/>
      </c>
      <c r="S140" s="51" t="str">
        <f t="shared" si="141"/>
        <v/>
      </c>
      <c r="T140" s="51" t="str">
        <f t="shared" si="141"/>
        <v/>
      </c>
      <c r="U140" s="52"/>
      <c r="V140" s="52" t="str">
        <f>IFERROR(__xludf.DUMMYFUNCTION("""COMPUTED_VALUE"""),"")</f>
        <v/>
      </c>
      <c r="W140" s="52" t="str">
        <f>IFERROR(__xludf.DUMMYFUNCTION("""COMPUTED_VALUE"""),"")</f>
        <v/>
      </c>
      <c r="X140" s="52" t="str">
        <f>IFERROR(__xludf.DUMMYFUNCTION("""COMPUTED_VALUE"""),"")</f>
        <v/>
      </c>
      <c r="Y140" s="52" t="str">
        <f>IFERROR(__xludf.DUMMYFUNCTION("""COMPUTED_VALUE"""),"")</f>
        <v/>
      </c>
      <c r="Z140" s="52" t="str">
        <f>IFERROR(__xludf.DUMMYFUNCTION("""COMPUTED_VALUE"""),"")</f>
        <v/>
      </c>
      <c r="AA140" s="52" t="str">
        <f>IFERROR(__xludf.DUMMYFUNCTION("""COMPUTED_VALUE"""),"")</f>
        <v/>
      </c>
      <c r="AB140" s="52" t="str">
        <f>IFERROR(__xludf.DUMMYFUNCTION("""COMPUTED_VALUE"""),"")</f>
        <v/>
      </c>
      <c r="AC140" s="52" t="str">
        <f>IFERROR(__xludf.DUMMYFUNCTION("""COMPUTED_VALUE"""),"")</f>
        <v/>
      </c>
      <c r="AD140" s="52" t="str">
        <f>IFERROR(__xludf.DUMMYFUNCTION("""COMPUTED_VALUE"""),"")</f>
        <v/>
      </c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</row>
    <row r="141">
      <c r="B141" s="49"/>
      <c r="C141" s="49" t="str">
        <f t="shared" si="2"/>
        <v/>
      </c>
      <c r="D141" s="50" t="str">
        <f t="shared" si="3"/>
        <v/>
      </c>
      <c r="E141" s="51" t="str">
        <f t="shared" ref="E141:T141" si="142">IFERROR(VLOOKUP($A141,INDIRECT("'" &amp; E$1 &amp; "'!$C:$G"), 5, FALSE),"")</f>
        <v/>
      </c>
      <c r="F141" s="51" t="str">
        <f t="shared" si="142"/>
        <v/>
      </c>
      <c r="G141" s="51" t="str">
        <f t="shared" si="142"/>
        <v/>
      </c>
      <c r="H141" s="51" t="str">
        <f t="shared" si="142"/>
        <v/>
      </c>
      <c r="I141" s="51" t="str">
        <f t="shared" si="142"/>
        <v/>
      </c>
      <c r="J141" s="51" t="str">
        <f t="shared" si="142"/>
        <v/>
      </c>
      <c r="K141" s="51" t="str">
        <f t="shared" si="142"/>
        <v/>
      </c>
      <c r="L141" s="51" t="str">
        <f t="shared" si="142"/>
        <v/>
      </c>
      <c r="M141" s="51" t="str">
        <f t="shared" si="142"/>
        <v/>
      </c>
      <c r="N141" s="51" t="str">
        <f t="shared" si="142"/>
        <v/>
      </c>
      <c r="O141" s="51" t="str">
        <f t="shared" si="142"/>
        <v/>
      </c>
      <c r="P141" s="51" t="str">
        <f t="shared" si="142"/>
        <v/>
      </c>
      <c r="Q141" s="51" t="str">
        <f t="shared" si="142"/>
        <v/>
      </c>
      <c r="R141" s="51" t="str">
        <f t="shared" si="142"/>
        <v/>
      </c>
      <c r="S141" s="51" t="str">
        <f t="shared" si="142"/>
        <v/>
      </c>
      <c r="T141" s="51" t="str">
        <f t="shared" si="142"/>
        <v/>
      </c>
      <c r="U141" s="52"/>
      <c r="V141" s="52" t="str">
        <f>IFERROR(__xludf.DUMMYFUNCTION("""COMPUTED_VALUE"""),"")</f>
        <v/>
      </c>
      <c r="W141" s="52" t="str">
        <f>IFERROR(__xludf.DUMMYFUNCTION("""COMPUTED_VALUE"""),"")</f>
        <v/>
      </c>
      <c r="X141" s="52" t="str">
        <f>IFERROR(__xludf.DUMMYFUNCTION("""COMPUTED_VALUE"""),"")</f>
        <v/>
      </c>
      <c r="Y141" s="52" t="str">
        <f>IFERROR(__xludf.DUMMYFUNCTION("""COMPUTED_VALUE"""),"")</f>
        <v/>
      </c>
      <c r="Z141" s="52" t="str">
        <f>IFERROR(__xludf.DUMMYFUNCTION("""COMPUTED_VALUE"""),"")</f>
        <v/>
      </c>
      <c r="AA141" s="52" t="str">
        <f>IFERROR(__xludf.DUMMYFUNCTION("""COMPUTED_VALUE"""),"")</f>
        <v/>
      </c>
      <c r="AB141" s="52" t="str">
        <f>IFERROR(__xludf.DUMMYFUNCTION("""COMPUTED_VALUE"""),"")</f>
        <v/>
      </c>
      <c r="AC141" s="52" t="str">
        <f>IFERROR(__xludf.DUMMYFUNCTION("""COMPUTED_VALUE"""),"")</f>
        <v/>
      </c>
      <c r="AD141" s="52" t="str">
        <f>IFERROR(__xludf.DUMMYFUNCTION("""COMPUTED_VALUE"""),"")</f>
        <v/>
      </c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</row>
    <row r="142">
      <c r="B142" s="49"/>
      <c r="C142" s="49" t="str">
        <f t="shared" si="2"/>
        <v/>
      </c>
      <c r="D142" s="50" t="str">
        <f t="shared" si="3"/>
        <v/>
      </c>
      <c r="E142" s="51" t="str">
        <f t="shared" ref="E142:T142" si="143">IFERROR(VLOOKUP($A142,INDIRECT("'" &amp; E$1 &amp; "'!$C:$G"), 5, FALSE),"")</f>
        <v/>
      </c>
      <c r="F142" s="51" t="str">
        <f t="shared" si="143"/>
        <v/>
      </c>
      <c r="G142" s="51" t="str">
        <f t="shared" si="143"/>
        <v/>
      </c>
      <c r="H142" s="51" t="str">
        <f t="shared" si="143"/>
        <v/>
      </c>
      <c r="I142" s="51" t="str">
        <f t="shared" si="143"/>
        <v/>
      </c>
      <c r="J142" s="51" t="str">
        <f t="shared" si="143"/>
        <v/>
      </c>
      <c r="K142" s="51" t="str">
        <f t="shared" si="143"/>
        <v/>
      </c>
      <c r="L142" s="51" t="str">
        <f t="shared" si="143"/>
        <v/>
      </c>
      <c r="M142" s="51" t="str">
        <f t="shared" si="143"/>
        <v/>
      </c>
      <c r="N142" s="51" t="str">
        <f t="shared" si="143"/>
        <v/>
      </c>
      <c r="O142" s="51" t="str">
        <f t="shared" si="143"/>
        <v/>
      </c>
      <c r="P142" s="51" t="str">
        <f t="shared" si="143"/>
        <v/>
      </c>
      <c r="Q142" s="51" t="str">
        <f t="shared" si="143"/>
        <v/>
      </c>
      <c r="R142" s="51" t="str">
        <f t="shared" si="143"/>
        <v/>
      </c>
      <c r="S142" s="51" t="str">
        <f t="shared" si="143"/>
        <v/>
      </c>
      <c r="T142" s="51" t="str">
        <f t="shared" si="143"/>
        <v/>
      </c>
      <c r="U142" s="52"/>
      <c r="V142" s="52" t="str">
        <f>IFERROR(__xludf.DUMMYFUNCTION("""COMPUTED_VALUE"""),"")</f>
        <v/>
      </c>
      <c r="W142" s="52" t="str">
        <f>IFERROR(__xludf.DUMMYFUNCTION("""COMPUTED_VALUE"""),"")</f>
        <v/>
      </c>
      <c r="X142" s="52" t="str">
        <f>IFERROR(__xludf.DUMMYFUNCTION("""COMPUTED_VALUE"""),"")</f>
        <v/>
      </c>
      <c r="Y142" s="52" t="str">
        <f>IFERROR(__xludf.DUMMYFUNCTION("""COMPUTED_VALUE"""),"")</f>
        <v/>
      </c>
      <c r="Z142" s="52" t="str">
        <f>IFERROR(__xludf.DUMMYFUNCTION("""COMPUTED_VALUE"""),"")</f>
        <v/>
      </c>
      <c r="AA142" s="52" t="str">
        <f>IFERROR(__xludf.DUMMYFUNCTION("""COMPUTED_VALUE"""),"")</f>
        <v/>
      </c>
      <c r="AB142" s="52" t="str">
        <f>IFERROR(__xludf.DUMMYFUNCTION("""COMPUTED_VALUE"""),"")</f>
        <v/>
      </c>
      <c r="AC142" s="52" t="str">
        <f>IFERROR(__xludf.DUMMYFUNCTION("""COMPUTED_VALUE"""),"")</f>
        <v/>
      </c>
      <c r="AD142" s="52" t="str">
        <f>IFERROR(__xludf.DUMMYFUNCTION("""COMPUTED_VALUE"""),"")</f>
        <v/>
      </c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</row>
    <row r="143">
      <c r="B143" s="49"/>
      <c r="C143" s="49" t="str">
        <f t="shared" si="2"/>
        <v/>
      </c>
      <c r="D143" s="50" t="str">
        <f t="shared" si="3"/>
        <v/>
      </c>
      <c r="E143" s="51" t="str">
        <f t="shared" ref="E143:T143" si="144">IFERROR(VLOOKUP($A143,INDIRECT("'" &amp; E$1 &amp; "'!$C:$G"), 5, FALSE),"")</f>
        <v/>
      </c>
      <c r="F143" s="51" t="str">
        <f t="shared" si="144"/>
        <v/>
      </c>
      <c r="G143" s="51" t="str">
        <f t="shared" si="144"/>
        <v/>
      </c>
      <c r="H143" s="51" t="str">
        <f t="shared" si="144"/>
        <v/>
      </c>
      <c r="I143" s="51" t="str">
        <f t="shared" si="144"/>
        <v/>
      </c>
      <c r="J143" s="51" t="str">
        <f t="shared" si="144"/>
        <v/>
      </c>
      <c r="K143" s="51" t="str">
        <f t="shared" si="144"/>
        <v/>
      </c>
      <c r="L143" s="51" t="str">
        <f t="shared" si="144"/>
        <v/>
      </c>
      <c r="M143" s="51" t="str">
        <f t="shared" si="144"/>
        <v/>
      </c>
      <c r="N143" s="51" t="str">
        <f t="shared" si="144"/>
        <v/>
      </c>
      <c r="O143" s="51" t="str">
        <f t="shared" si="144"/>
        <v/>
      </c>
      <c r="P143" s="51" t="str">
        <f t="shared" si="144"/>
        <v/>
      </c>
      <c r="Q143" s="51" t="str">
        <f t="shared" si="144"/>
        <v/>
      </c>
      <c r="R143" s="51" t="str">
        <f t="shared" si="144"/>
        <v/>
      </c>
      <c r="S143" s="51" t="str">
        <f t="shared" si="144"/>
        <v/>
      </c>
      <c r="T143" s="51" t="str">
        <f t="shared" si="144"/>
        <v/>
      </c>
      <c r="U143" s="52"/>
      <c r="V143" s="52" t="str">
        <f>IFERROR(__xludf.DUMMYFUNCTION("""COMPUTED_VALUE"""),"")</f>
        <v/>
      </c>
      <c r="W143" s="52" t="str">
        <f>IFERROR(__xludf.DUMMYFUNCTION("""COMPUTED_VALUE"""),"")</f>
        <v/>
      </c>
      <c r="X143" s="52" t="str">
        <f>IFERROR(__xludf.DUMMYFUNCTION("""COMPUTED_VALUE"""),"")</f>
        <v/>
      </c>
      <c r="Y143" s="52" t="str">
        <f>IFERROR(__xludf.DUMMYFUNCTION("""COMPUTED_VALUE"""),"")</f>
        <v/>
      </c>
      <c r="Z143" s="52" t="str">
        <f>IFERROR(__xludf.DUMMYFUNCTION("""COMPUTED_VALUE"""),"")</f>
        <v/>
      </c>
      <c r="AA143" s="52" t="str">
        <f>IFERROR(__xludf.DUMMYFUNCTION("""COMPUTED_VALUE"""),"")</f>
        <v/>
      </c>
      <c r="AB143" s="52" t="str">
        <f>IFERROR(__xludf.DUMMYFUNCTION("""COMPUTED_VALUE"""),"")</f>
        <v/>
      </c>
      <c r="AC143" s="52" t="str">
        <f>IFERROR(__xludf.DUMMYFUNCTION("""COMPUTED_VALUE"""),"")</f>
        <v/>
      </c>
      <c r="AD143" s="52" t="str">
        <f>IFERROR(__xludf.DUMMYFUNCTION("""COMPUTED_VALUE"""),"")</f>
        <v/>
      </c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</row>
    <row r="144">
      <c r="B144" s="49"/>
      <c r="C144" s="49" t="str">
        <f t="shared" si="2"/>
        <v/>
      </c>
      <c r="D144" s="50" t="str">
        <f t="shared" si="3"/>
        <v/>
      </c>
      <c r="E144" s="51" t="str">
        <f t="shared" ref="E144:T144" si="145">IFERROR(VLOOKUP($A144,INDIRECT("'" &amp; E$1 &amp; "'!$C:$G"), 5, FALSE),"")</f>
        <v/>
      </c>
      <c r="F144" s="51" t="str">
        <f t="shared" si="145"/>
        <v/>
      </c>
      <c r="G144" s="51" t="str">
        <f t="shared" si="145"/>
        <v/>
      </c>
      <c r="H144" s="51" t="str">
        <f t="shared" si="145"/>
        <v/>
      </c>
      <c r="I144" s="51" t="str">
        <f t="shared" si="145"/>
        <v/>
      </c>
      <c r="J144" s="51" t="str">
        <f t="shared" si="145"/>
        <v/>
      </c>
      <c r="K144" s="51" t="str">
        <f t="shared" si="145"/>
        <v/>
      </c>
      <c r="L144" s="51" t="str">
        <f t="shared" si="145"/>
        <v/>
      </c>
      <c r="M144" s="51" t="str">
        <f t="shared" si="145"/>
        <v/>
      </c>
      <c r="N144" s="51" t="str">
        <f t="shared" si="145"/>
        <v/>
      </c>
      <c r="O144" s="51" t="str">
        <f t="shared" si="145"/>
        <v/>
      </c>
      <c r="P144" s="51" t="str">
        <f t="shared" si="145"/>
        <v/>
      </c>
      <c r="Q144" s="51" t="str">
        <f t="shared" si="145"/>
        <v/>
      </c>
      <c r="R144" s="51" t="str">
        <f t="shared" si="145"/>
        <v/>
      </c>
      <c r="S144" s="51" t="str">
        <f t="shared" si="145"/>
        <v/>
      </c>
      <c r="T144" s="51" t="str">
        <f t="shared" si="145"/>
        <v/>
      </c>
      <c r="U144" s="52"/>
      <c r="V144" s="52" t="str">
        <f>IFERROR(__xludf.DUMMYFUNCTION("""COMPUTED_VALUE"""),"")</f>
        <v/>
      </c>
      <c r="W144" s="52" t="str">
        <f>IFERROR(__xludf.DUMMYFUNCTION("""COMPUTED_VALUE"""),"")</f>
        <v/>
      </c>
      <c r="X144" s="52" t="str">
        <f>IFERROR(__xludf.DUMMYFUNCTION("""COMPUTED_VALUE"""),"")</f>
        <v/>
      </c>
      <c r="Y144" s="52" t="str">
        <f>IFERROR(__xludf.DUMMYFUNCTION("""COMPUTED_VALUE"""),"")</f>
        <v/>
      </c>
      <c r="Z144" s="52" t="str">
        <f>IFERROR(__xludf.DUMMYFUNCTION("""COMPUTED_VALUE"""),"")</f>
        <v/>
      </c>
      <c r="AA144" s="52" t="str">
        <f>IFERROR(__xludf.DUMMYFUNCTION("""COMPUTED_VALUE"""),"")</f>
        <v/>
      </c>
      <c r="AB144" s="52" t="str">
        <f>IFERROR(__xludf.DUMMYFUNCTION("""COMPUTED_VALUE"""),"")</f>
        <v/>
      </c>
      <c r="AC144" s="52" t="str">
        <f>IFERROR(__xludf.DUMMYFUNCTION("""COMPUTED_VALUE"""),"")</f>
        <v/>
      </c>
      <c r="AD144" s="52" t="str">
        <f>IFERROR(__xludf.DUMMYFUNCTION("""COMPUTED_VALUE"""),"")</f>
        <v/>
      </c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</row>
    <row r="145">
      <c r="B145" s="49"/>
      <c r="C145" s="49" t="str">
        <f t="shared" si="2"/>
        <v/>
      </c>
      <c r="D145" s="50" t="str">
        <f t="shared" si="3"/>
        <v/>
      </c>
      <c r="E145" s="51" t="str">
        <f t="shared" ref="E145:T145" si="146">IFERROR(VLOOKUP($A145,INDIRECT("'" &amp; E$1 &amp; "'!$C:$G"), 5, FALSE),"")</f>
        <v/>
      </c>
      <c r="F145" s="51" t="str">
        <f t="shared" si="146"/>
        <v/>
      </c>
      <c r="G145" s="51" t="str">
        <f t="shared" si="146"/>
        <v/>
      </c>
      <c r="H145" s="51" t="str">
        <f t="shared" si="146"/>
        <v/>
      </c>
      <c r="I145" s="51" t="str">
        <f t="shared" si="146"/>
        <v/>
      </c>
      <c r="J145" s="51" t="str">
        <f t="shared" si="146"/>
        <v/>
      </c>
      <c r="K145" s="51" t="str">
        <f t="shared" si="146"/>
        <v/>
      </c>
      <c r="L145" s="51" t="str">
        <f t="shared" si="146"/>
        <v/>
      </c>
      <c r="M145" s="51" t="str">
        <f t="shared" si="146"/>
        <v/>
      </c>
      <c r="N145" s="51" t="str">
        <f t="shared" si="146"/>
        <v/>
      </c>
      <c r="O145" s="51" t="str">
        <f t="shared" si="146"/>
        <v/>
      </c>
      <c r="P145" s="51" t="str">
        <f t="shared" si="146"/>
        <v/>
      </c>
      <c r="Q145" s="51" t="str">
        <f t="shared" si="146"/>
        <v/>
      </c>
      <c r="R145" s="51" t="str">
        <f t="shared" si="146"/>
        <v/>
      </c>
      <c r="S145" s="51" t="str">
        <f t="shared" si="146"/>
        <v/>
      </c>
      <c r="T145" s="51" t="str">
        <f t="shared" si="146"/>
        <v/>
      </c>
      <c r="U145" s="52"/>
      <c r="V145" s="52" t="str">
        <f>IFERROR(__xludf.DUMMYFUNCTION("""COMPUTED_VALUE"""),"")</f>
        <v/>
      </c>
      <c r="W145" s="52" t="str">
        <f>IFERROR(__xludf.DUMMYFUNCTION("""COMPUTED_VALUE"""),"")</f>
        <v/>
      </c>
      <c r="X145" s="52" t="str">
        <f>IFERROR(__xludf.DUMMYFUNCTION("""COMPUTED_VALUE"""),"")</f>
        <v/>
      </c>
      <c r="Y145" s="52" t="str">
        <f>IFERROR(__xludf.DUMMYFUNCTION("""COMPUTED_VALUE"""),"")</f>
        <v/>
      </c>
      <c r="Z145" s="52" t="str">
        <f>IFERROR(__xludf.DUMMYFUNCTION("""COMPUTED_VALUE"""),"")</f>
        <v/>
      </c>
      <c r="AA145" s="52" t="str">
        <f>IFERROR(__xludf.DUMMYFUNCTION("""COMPUTED_VALUE"""),"")</f>
        <v/>
      </c>
      <c r="AB145" s="52" t="str">
        <f>IFERROR(__xludf.DUMMYFUNCTION("""COMPUTED_VALUE"""),"")</f>
        <v/>
      </c>
      <c r="AC145" s="52" t="str">
        <f>IFERROR(__xludf.DUMMYFUNCTION("""COMPUTED_VALUE"""),"")</f>
        <v/>
      </c>
      <c r="AD145" s="52" t="str">
        <f>IFERROR(__xludf.DUMMYFUNCTION("""COMPUTED_VALUE"""),"")</f>
        <v/>
      </c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</row>
    <row r="146">
      <c r="B146" s="49"/>
      <c r="C146" s="49" t="str">
        <f t="shared" si="2"/>
        <v/>
      </c>
      <c r="D146" s="50" t="str">
        <f t="shared" si="3"/>
        <v/>
      </c>
      <c r="E146" s="51" t="str">
        <f t="shared" ref="E146:T146" si="147">IFERROR(VLOOKUP($A146,INDIRECT("'" &amp; E$1 &amp; "'!$C:$G"), 5, FALSE),"")</f>
        <v/>
      </c>
      <c r="F146" s="51" t="str">
        <f t="shared" si="147"/>
        <v/>
      </c>
      <c r="G146" s="51" t="str">
        <f t="shared" si="147"/>
        <v/>
      </c>
      <c r="H146" s="51" t="str">
        <f t="shared" si="147"/>
        <v/>
      </c>
      <c r="I146" s="51" t="str">
        <f t="shared" si="147"/>
        <v/>
      </c>
      <c r="J146" s="51" t="str">
        <f t="shared" si="147"/>
        <v/>
      </c>
      <c r="K146" s="51" t="str">
        <f t="shared" si="147"/>
        <v/>
      </c>
      <c r="L146" s="51" t="str">
        <f t="shared" si="147"/>
        <v/>
      </c>
      <c r="M146" s="51" t="str">
        <f t="shared" si="147"/>
        <v/>
      </c>
      <c r="N146" s="51" t="str">
        <f t="shared" si="147"/>
        <v/>
      </c>
      <c r="O146" s="51" t="str">
        <f t="shared" si="147"/>
        <v/>
      </c>
      <c r="P146" s="51" t="str">
        <f t="shared" si="147"/>
        <v/>
      </c>
      <c r="Q146" s="51" t="str">
        <f t="shared" si="147"/>
        <v/>
      </c>
      <c r="R146" s="51" t="str">
        <f t="shared" si="147"/>
        <v/>
      </c>
      <c r="S146" s="51" t="str">
        <f t="shared" si="147"/>
        <v/>
      </c>
      <c r="T146" s="51" t="str">
        <f t="shared" si="147"/>
        <v/>
      </c>
      <c r="U146" s="52"/>
      <c r="V146" s="52" t="str">
        <f>IFERROR(__xludf.DUMMYFUNCTION("""COMPUTED_VALUE"""),"")</f>
        <v/>
      </c>
      <c r="W146" s="52" t="str">
        <f>IFERROR(__xludf.DUMMYFUNCTION("""COMPUTED_VALUE"""),"")</f>
        <v/>
      </c>
      <c r="X146" s="52" t="str">
        <f>IFERROR(__xludf.DUMMYFUNCTION("""COMPUTED_VALUE"""),"")</f>
        <v/>
      </c>
      <c r="Y146" s="52" t="str">
        <f>IFERROR(__xludf.DUMMYFUNCTION("""COMPUTED_VALUE"""),"")</f>
        <v/>
      </c>
      <c r="Z146" s="52" t="str">
        <f>IFERROR(__xludf.DUMMYFUNCTION("""COMPUTED_VALUE"""),"")</f>
        <v/>
      </c>
      <c r="AA146" s="52" t="str">
        <f>IFERROR(__xludf.DUMMYFUNCTION("""COMPUTED_VALUE"""),"")</f>
        <v/>
      </c>
      <c r="AB146" s="52" t="str">
        <f>IFERROR(__xludf.DUMMYFUNCTION("""COMPUTED_VALUE"""),"")</f>
        <v/>
      </c>
      <c r="AC146" s="52" t="str">
        <f>IFERROR(__xludf.DUMMYFUNCTION("""COMPUTED_VALUE"""),"")</f>
        <v/>
      </c>
      <c r="AD146" s="52" t="str">
        <f>IFERROR(__xludf.DUMMYFUNCTION("""COMPUTED_VALUE"""),"")</f>
        <v/>
      </c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</row>
    <row r="147">
      <c r="B147" s="49"/>
      <c r="C147" s="49" t="str">
        <f t="shared" si="2"/>
        <v/>
      </c>
      <c r="D147" s="50" t="str">
        <f t="shared" si="3"/>
        <v/>
      </c>
      <c r="E147" s="51" t="str">
        <f t="shared" ref="E147:T147" si="148">IFERROR(VLOOKUP($A147,INDIRECT("'" &amp; E$1 &amp; "'!$C:$G"), 5, FALSE),"")</f>
        <v/>
      </c>
      <c r="F147" s="51" t="str">
        <f t="shared" si="148"/>
        <v/>
      </c>
      <c r="G147" s="51" t="str">
        <f t="shared" si="148"/>
        <v/>
      </c>
      <c r="H147" s="51" t="str">
        <f t="shared" si="148"/>
        <v/>
      </c>
      <c r="I147" s="51" t="str">
        <f t="shared" si="148"/>
        <v/>
      </c>
      <c r="J147" s="51" t="str">
        <f t="shared" si="148"/>
        <v/>
      </c>
      <c r="K147" s="51" t="str">
        <f t="shared" si="148"/>
        <v/>
      </c>
      <c r="L147" s="51" t="str">
        <f t="shared" si="148"/>
        <v/>
      </c>
      <c r="M147" s="51" t="str">
        <f t="shared" si="148"/>
        <v/>
      </c>
      <c r="N147" s="51" t="str">
        <f t="shared" si="148"/>
        <v/>
      </c>
      <c r="O147" s="51" t="str">
        <f t="shared" si="148"/>
        <v/>
      </c>
      <c r="P147" s="51" t="str">
        <f t="shared" si="148"/>
        <v/>
      </c>
      <c r="Q147" s="51" t="str">
        <f t="shared" si="148"/>
        <v/>
      </c>
      <c r="R147" s="51" t="str">
        <f t="shared" si="148"/>
        <v/>
      </c>
      <c r="S147" s="51" t="str">
        <f t="shared" si="148"/>
        <v/>
      </c>
      <c r="T147" s="51" t="str">
        <f t="shared" si="148"/>
        <v/>
      </c>
      <c r="U147" s="52"/>
      <c r="V147" s="52" t="str">
        <f>IFERROR(__xludf.DUMMYFUNCTION("""COMPUTED_VALUE"""),"")</f>
        <v/>
      </c>
      <c r="W147" s="52" t="str">
        <f>IFERROR(__xludf.DUMMYFUNCTION("""COMPUTED_VALUE"""),"")</f>
        <v/>
      </c>
      <c r="X147" s="52" t="str">
        <f>IFERROR(__xludf.DUMMYFUNCTION("""COMPUTED_VALUE"""),"")</f>
        <v/>
      </c>
      <c r="Y147" s="52" t="str">
        <f>IFERROR(__xludf.DUMMYFUNCTION("""COMPUTED_VALUE"""),"")</f>
        <v/>
      </c>
      <c r="Z147" s="52" t="str">
        <f>IFERROR(__xludf.DUMMYFUNCTION("""COMPUTED_VALUE"""),"")</f>
        <v/>
      </c>
      <c r="AA147" s="52" t="str">
        <f>IFERROR(__xludf.DUMMYFUNCTION("""COMPUTED_VALUE"""),"")</f>
        <v/>
      </c>
      <c r="AB147" s="52" t="str">
        <f>IFERROR(__xludf.DUMMYFUNCTION("""COMPUTED_VALUE"""),"")</f>
        <v/>
      </c>
      <c r="AC147" s="52" t="str">
        <f>IFERROR(__xludf.DUMMYFUNCTION("""COMPUTED_VALUE"""),"")</f>
        <v/>
      </c>
      <c r="AD147" s="52" t="str">
        <f>IFERROR(__xludf.DUMMYFUNCTION("""COMPUTED_VALUE"""),"")</f>
        <v/>
      </c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</row>
    <row r="148">
      <c r="B148" s="49"/>
      <c r="C148" s="49" t="str">
        <f t="shared" si="2"/>
        <v/>
      </c>
      <c r="D148" s="50" t="str">
        <f t="shared" si="3"/>
        <v/>
      </c>
      <c r="E148" s="51" t="str">
        <f t="shared" ref="E148:T148" si="149">IFERROR(VLOOKUP($A148,INDIRECT("'" &amp; E$1 &amp; "'!$C:$G"), 5, FALSE),"")</f>
        <v/>
      </c>
      <c r="F148" s="51" t="str">
        <f t="shared" si="149"/>
        <v/>
      </c>
      <c r="G148" s="51" t="str">
        <f t="shared" si="149"/>
        <v/>
      </c>
      <c r="H148" s="51" t="str">
        <f t="shared" si="149"/>
        <v/>
      </c>
      <c r="I148" s="51" t="str">
        <f t="shared" si="149"/>
        <v/>
      </c>
      <c r="J148" s="51" t="str">
        <f t="shared" si="149"/>
        <v/>
      </c>
      <c r="K148" s="51" t="str">
        <f t="shared" si="149"/>
        <v/>
      </c>
      <c r="L148" s="51" t="str">
        <f t="shared" si="149"/>
        <v/>
      </c>
      <c r="M148" s="51" t="str">
        <f t="shared" si="149"/>
        <v/>
      </c>
      <c r="N148" s="51" t="str">
        <f t="shared" si="149"/>
        <v/>
      </c>
      <c r="O148" s="51" t="str">
        <f t="shared" si="149"/>
        <v/>
      </c>
      <c r="P148" s="51" t="str">
        <f t="shared" si="149"/>
        <v/>
      </c>
      <c r="Q148" s="51" t="str">
        <f t="shared" si="149"/>
        <v/>
      </c>
      <c r="R148" s="51" t="str">
        <f t="shared" si="149"/>
        <v/>
      </c>
      <c r="S148" s="51" t="str">
        <f t="shared" si="149"/>
        <v/>
      </c>
      <c r="T148" s="51" t="str">
        <f t="shared" si="149"/>
        <v/>
      </c>
      <c r="U148" s="52"/>
      <c r="V148" s="52" t="str">
        <f>IFERROR(__xludf.DUMMYFUNCTION("""COMPUTED_VALUE"""),"")</f>
        <v/>
      </c>
      <c r="W148" s="52" t="str">
        <f>IFERROR(__xludf.DUMMYFUNCTION("""COMPUTED_VALUE"""),"")</f>
        <v/>
      </c>
      <c r="X148" s="52" t="str">
        <f>IFERROR(__xludf.DUMMYFUNCTION("""COMPUTED_VALUE"""),"")</f>
        <v/>
      </c>
      <c r="Y148" s="52" t="str">
        <f>IFERROR(__xludf.DUMMYFUNCTION("""COMPUTED_VALUE"""),"")</f>
        <v/>
      </c>
      <c r="Z148" s="52" t="str">
        <f>IFERROR(__xludf.DUMMYFUNCTION("""COMPUTED_VALUE"""),"")</f>
        <v/>
      </c>
      <c r="AA148" s="52" t="str">
        <f>IFERROR(__xludf.DUMMYFUNCTION("""COMPUTED_VALUE"""),"")</f>
        <v/>
      </c>
      <c r="AB148" s="52" t="str">
        <f>IFERROR(__xludf.DUMMYFUNCTION("""COMPUTED_VALUE"""),"")</f>
        <v/>
      </c>
      <c r="AC148" s="52" t="str">
        <f>IFERROR(__xludf.DUMMYFUNCTION("""COMPUTED_VALUE"""),"")</f>
        <v/>
      </c>
      <c r="AD148" s="52" t="str">
        <f>IFERROR(__xludf.DUMMYFUNCTION("""COMPUTED_VALUE"""),"")</f>
        <v/>
      </c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</row>
    <row r="149">
      <c r="B149" s="49"/>
      <c r="C149" s="49" t="str">
        <f t="shared" si="2"/>
        <v/>
      </c>
      <c r="D149" s="50" t="str">
        <f t="shared" si="3"/>
        <v/>
      </c>
      <c r="E149" s="51" t="str">
        <f t="shared" ref="E149:T149" si="150">IFERROR(VLOOKUP($A149,INDIRECT("'" &amp; E$1 &amp; "'!$C:$G"), 5, FALSE),"")</f>
        <v/>
      </c>
      <c r="F149" s="51" t="str">
        <f t="shared" si="150"/>
        <v/>
      </c>
      <c r="G149" s="51" t="str">
        <f t="shared" si="150"/>
        <v/>
      </c>
      <c r="H149" s="51" t="str">
        <f t="shared" si="150"/>
        <v/>
      </c>
      <c r="I149" s="51" t="str">
        <f t="shared" si="150"/>
        <v/>
      </c>
      <c r="J149" s="51" t="str">
        <f t="shared" si="150"/>
        <v/>
      </c>
      <c r="K149" s="51" t="str">
        <f t="shared" si="150"/>
        <v/>
      </c>
      <c r="L149" s="51" t="str">
        <f t="shared" si="150"/>
        <v/>
      </c>
      <c r="M149" s="51" t="str">
        <f t="shared" si="150"/>
        <v/>
      </c>
      <c r="N149" s="51" t="str">
        <f t="shared" si="150"/>
        <v/>
      </c>
      <c r="O149" s="51" t="str">
        <f t="shared" si="150"/>
        <v/>
      </c>
      <c r="P149" s="51" t="str">
        <f t="shared" si="150"/>
        <v/>
      </c>
      <c r="Q149" s="51" t="str">
        <f t="shared" si="150"/>
        <v/>
      </c>
      <c r="R149" s="51" t="str">
        <f t="shared" si="150"/>
        <v/>
      </c>
      <c r="S149" s="51" t="str">
        <f t="shared" si="150"/>
        <v/>
      </c>
      <c r="T149" s="51" t="str">
        <f t="shared" si="150"/>
        <v/>
      </c>
      <c r="U149" s="52"/>
      <c r="V149" s="52" t="str">
        <f>IFERROR(__xludf.DUMMYFUNCTION("""COMPUTED_VALUE"""),"")</f>
        <v/>
      </c>
      <c r="W149" s="52" t="str">
        <f>IFERROR(__xludf.DUMMYFUNCTION("""COMPUTED_VALUE"""),"")</f>
        <v/>
      </c>
      <c r="X149" s="52" t="str">
        <f>IFERROR(__xludf.DUMMYFUNCTION("""COMPUTED_VALUE"""),"")</f>
        <v/>
      </c>
      <c r="Y149" s="52" t="str">
        <f>IFERROR(__xludf.DUMMYFUNCTION("""COMPUTED_VALUE"""),"")</f>
        <v/>
      </c>
      <c r="Z149" s="52" t="str">
        <f>IFERROR(__xludf.DUMMYFUNCTION("""COMPUTED_VALUE"""),"")</f>
        <v/>
      </c>
      <c r="AA149" s="52" t="str">
        <f>IFERROR(__xludf.DUMMYFUNCTION("""COMPUTED_VALUE"""),"")</f>
        <v/>
      </c>
      <c r="AB149" s="52" t="str">
        <f>IFERROR(__xludf.DUMMYFUNCTION("""COMPUTED_VALUE"""),"")</f>
        <v/>
      </c>
      <c r="AC149" s="52" t="str">
        <f>IFERROR(__xludf.DUMMYFUNCTION("""COMPUTED_VALUE"""),"")</f>
        <v/>
      </c>
      <c r="AD149" s="52" t="str">
        <f>IFERROR(__xludf.DUMMYFUNCTION("""COMPUTED_VALUE"""),"")</f>
        <v/>
      </c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</row>
    <row r="150">
      <c r="B150" s="49"/>
      <c r="C150" s="49" t="str">
        <f t="shared" si="2"/>
        <v/>
      </c>
      <c r="D150" s="50" t="str">
        <f t="shared" si="3"/>
        <v/>
      </c>
      <c r="E150" s="51" t="str">
        <f t="shared" ref="E150:T150" si="151">IFERROR(VLOOKUP($A150,INDIRECT("'" &amp; E$1 &amp; "'!$C:$G"), 5, FALSE),"")</f>
        <v/>
      </c>
      <c r="F150" s="51" t="str">
        <f t="shared" si="151"/>
        <v/>
      </c>
      <c r="G150" s="51" t="str">
        <f t="shared" si="151"/>
        <v/>
      </c>
      <c r="H150" s="51" t="str">
        <f t="shared" si="151"/>
        <v/>
      </c>
      <c r="I150" s="51" t="str">
        <f t="shared" si="151"/>
        <v/>
      </c>
      <c r="J150" s="51" t="str">
        <f t="shared" si="151"/>
        <v/>
      </c>
      <c r="K150" s="51" t="str">
        <f t="shared" si="151"/>
        <v/>
      </c>
      <c r="L150" s="51" t="str">
        <f t="shared" si="151"/>
        <v/>
      </c>
      <c r="M150" s="51" t="str">
        <f t="shared" si="151"/>
        <v/>
      </c>
      <c r="N150" s="51" t="str">
        <f t="shared" si="151"/>
        <v/>
      </c>
      <c r="O150" s="51" t="str">
        <f t="shared" si="151"/>
        <v/>
      </c>
      <c r="P150" s="51" t="str">
        <f t="shared" si="151"/>
        <v/>
      </c>
      <c r="Q150" s="51" t="str">
        <f t="shared" si="151"/>
        <v/>
      </c>
      <c r="R150" s="51" t="str">
        <f t="shared" si="151"/>
        <v/>
      </c>
      <c r="S150" s="51" t="str">
        <f t="shared" si="151"/>
        <v/>
      </c>
      <c r="T150" s="51" t="str">
        <f t="shared" si="151"/>
        <v/>
      </c>
      <c r="U150" s="52"/>
      <c r="V150" s="52" t="str">
        <f>IFERROR(__xludf.DUMMYFUNCTION("""COMPUTED_VALUE"""),"")</f>
        <v/>
      </c>
      <c r="W150" s="52" t="str">
        <f>IFERROR(__xludf.DUMMYFUNCTION("""COMPUTED_VALUE"""),"")</f>
        <v/>
      </c>
      <c r="X150" s="52" t="str">
        <f>IFERROR(__xludf.DUMMYFUNCTION("""COMPUTED_VALUE"""),"")</f>
        <v/>
      </c>
      <c r="Y150" s="52" t="str">
        <f>IFERROR(__xludf.DUMMYFUNCTION("""COMPUTED_VALUE"""),"")</f>
        <v/>
      </c>
      <c r="Z150" s="52" t="str">
        <f>IFERROR(__xludf.DUMMYFUNCTION("""COMPUTED_VALUE"""),"")</f>
        <v/>
      </c>
      <c r="AA150" s="52" t="str">
        <f>IFERROR(__xludf.DUMMYFUNCTION("""COMPUTED_VALUE"""),"")</f>
        <v/>
      </c>
      <c r="AB150" s="52" t="str">
        <f>IFERROR(__xludf.DUMMYFUNCTION("""COMPUTED_VALUE"""),"")</f>
        <v/>
      </c>
      <c r="AC150" s="52" t="str">
        <f>IFERROR(__xludf.DUMMYFUNCTION("""COMPUTED_VALUE"""),"")</f>
        <v/>
      </c>
      <c r="AD150" s="52" t="str">
        <f>IFERROR(__xludf.DUMMYFUNCTION("""COMPUTED_VALUE"""),"")</f>
        <v/>
      </c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</row>
    <row r="151">
      <c r="B151" s="49"/>
      <c r="C151" s="49" t="str">
        <f t="shared" si="2"/>
        <v/>
      </c>
      <c r="D151" s="50" t="str">
        <f t="shared" si="3"/>
        <v/>
      </c>
      <c r="E151" s="51" t="str">
        <f t="shared" ref="E151:T151" si="152">IFERROR(VLOOKUP($A151,INDIRECT("'" &amp; E$1 &amp; "'!$C:$G"), 5, FALSE),"")</f>
        <v/>
      </c>
      <c r="F151" s="51" t="str">
        <f t="shared" si="152"/>
        <v/>
      </c>
      <c r="G151" s="51" t="str">
        <f t="shared" si="152"/>
        <v/>
      </c>
      <c r="H151" s="51" t="str">
        <f t="shared" si="152"/>
        <v/>
      </c>
      <c r="I151" s="51" t="str">
        <f t="shared" si="152"/>
        <v/>
      </c>
      <c r="J151" s="51" t="str">
        <f t="shared" si="152"/>
        <v/>
      </c>
      <c r="K151" s="51" t="str">
        <f t="shared" si="152"/>
        <v/>
      </c>
      <c r="L151" s="51" t="str">
        <f t="shared" si="152"/>
        <v/>
      </c>
      <c r="M151" s="51" t="str">
        <f t="shared" si="152"/>
        <v/>
      </c>
      <c r="N151" s="51" t="str">
        <f t="shared" si="152"/>
        <v/>
      </c>
      <c r="O151" s="51" t="str">
        <f t="shared" si="152"/>
        <v/>
      </c>
      <c r="P151" s="51" t="str">
        <f t="shared" si="152"/>
        <v/>
      </c>
      <c r="Q151" s="51" t="str">
        <f t="shared" si="152"/>
        <v/>
      </c>
      <c r="R151" s="51" t="str">
        <f t="shared" si="152"/>
        <v/>
      </c>
      <c r="S151" s="51" t="str">
        <f t="shared" si="152"/>
        <v/>
      </c>
      <c r="T151" s="51" t="str">
        <f t="shared" si="152"/>
        <v/>
      </c>
      <c r="U151" s="52"/>
      <c r="V151" s="52" t="str">
        <f>IFERROR(__xludf.DUMMYFUNCTION("""COMPUTED_VALUE"""),"")</f>
        <v/>
      </c>
      <c r="W151" s="52" t="str">
        <f>IFERROR(__xludf.DUMMYFUNCTION("""COMPUTED_VALUE"""),"")</f>
        <v/>
      </c>
      <c r="X151" s="52" t="str">
        <f>IFERROR(__xludf.DUMMYFUNCTION("""COMPUTED_VALUE"""),"")</f>
        <v/>
      </c>
      <c r="Y151" s="52" t="str">
        <f>IFERROR(__xludf.DUMMYFUNCTION("""COMPUTED_VALUE"""),"")</f>
        <v/>
      </c>
      <c r="Z151" s="52" t="str">
        <f>IFERROR(__xludf.DUMMYFUNCTION("""COMPUTED_VALUE"""),"")</f>
        <v/>
      </c>
      <c r="AA151" s="52" t="str">
        <f>IFERROR(__xludf.DUMMYFUNCTION("""COMPUTED_VALUE"""),"")</f>
        <v/>
      </c>
      <c r="AB151" s="52" t="str">
        <f>IFERROR(__xludf.DUMMYFUNCTION("""COMPUTED_VALUE"""),"")</f>
        <v/>
      </c>
      <c r="AC151" s="52" t="str">
        <f>IFERROR(__xludf.DUMMYFUNCTION("""COMPUTED_VALUE"""),"")</f>
        <v/>
      </c>
      <c r="AD151" s="52" t="str">
        <f>IFERROR(__xludf.DUMMYFUNCTION("""COMPUTED_VALUE"""),"")</f>
        <v/>
      </c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</row>
    <row r="152">
      <c r="B152" s="49"/>
      <c r="C152" s="49" t="str">
        <f t="shared" si="2"/>
        <v/>
      </c>
      <c r="D152" s="50" t="str">
        <f t="shared" si="3"/>
        <v/>
      </c>
      <c r="E152" s="51" t="str">
        <f t="shared" ref="E152:T152" si="153">IFERROR(VLOOKUP($A152,INDIRECT("'" &amp; E$1 &amp; "'!$C:$G"), 5, FALSE),"")</f>
        <v/>
      </c>
      <c r="F152" s="51" t="str">
        <f t="shared" si="153"/>
        <v/>
      </c>
      <c r="G152" s="51" t="str">
        <f t="shared" si="153"/>
        <v/>
      </c>
      <c r="H152" s="51" t="str">
        <f t="shared" si="153"/>
        <v/>
      </c>
      <c r="I152" s="51" t="str">
        <f t="shared" si="153"/>
        <v/>
      </c>
      <c r="J152" s="51" t="str">
        <f t="shared" si="153"/>
        <v/>
      </c>
      <c r="K152" s="51" t="str">
        <f t="shared" si="153"/>
        <v/>
      </c>
      <c r="L152" s="51" t="str">
        <f t="shared" si="153"/>
        <v/>
      </c>
      <c r="M152" s="51" t="str">
        <f t="shared" si="153"/>
        <v/>
      </c>
      <c r="N152" s="51" t="str">
        <f t="shared" si="153"/>
        <v/>
      </c>
      <c r="O152" s="51" t="str">
        <f t="shared" si="153"/>
        <v/>
      </c>
      <c r="P152" s="51" t="str">
        <f t="shared" si="153"/>
        <v/>
      </c>
      <c r="Q152" s="51" t="str">
        <f t="shared" si="153"/>
        <v/>
      </c>
      <c r="R152" s="51" t="str">
        <f t="shared" si="153"/>
        <v/>
      </c>
      <c r="S152" s="51" t="str">
        <f t="shared" si="153"/>
        <v/>
      </c>
      <c r="T152" s="51" t="str">
        <f t="shared" si="153"/>
        <v/>
      </c>
      <c r="U152" s="52"/>
      <c r="V152" s="52" t="str">
        <f>IFERROR(__xludf.DUMMYFUNCTION("""COMPUTED_VALUE"""),"")</f>
        <v/>
      </c>
      <c r="W152" s="52" t="str">
        <f>IFERROR(__xludf.DUMMYFUNCTION("""COMPUTED_VALUE"""),"")</f>
        <v/>
      </c>
      <c r="X152" s="52" t="str">
        <f>IFERROR(__xludf.DUMMYFUNCTION("""COMPUTED_VALUE"""),"")</f>
        <v/>
      </c>
      <c r="Y152" s="52" t="str">
        <f>IFERROR(__xludf.DUMMYFUNCTION("""COMPUTED_VALUE"""),"")</f>
        <v/>
      </c>
      <c r="Z152" s="52" t="str">
        <f>IFERROR(__xludf.DUMMYFUNCTION("""COMPUTED_VALUE"""),"")</f>
        <v/>
      </c>
      <c r="AA152" s="52" t="str">
        <f>IFERROR(__xludf.DUMMYFUNCTION("""COMPUTED_VALUE"""),"")</f>
        <v/>
      </c>
      <c r="AB152" s="52" t="str">
        <f>IFERROR(__xludf.DUMMYFUNCTION("""COMPUTED_VALUE"""),"")</f>
        <v/>
      </c>
      <c r="AC152" s="52" t="str">
        <f>IFERROR(__xludf.DUMMYFUNCTION("""COMPUTED_VALUE"""),"")</f>
        <v/>
      </c>
      <c r="AD152" s="52" t="str">
        <f>IFERROR(__xludf.DUMMYFUNCTION("""COMPUTED_VALUE"""),"")</f>
        <v/>
      </c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</row>
    <row r="153">
      <c r="B153" s="49"/>
      <c r="C153" s="49" t="str">
        <f t="shared" si="2"/>
        <v/>
      </c>
      <c r="D153" s="50" t="str">
        <f t="shared" si="3"/>
        <v/>
      </c>
      <c r="E153" s="51" t="str">
        <f t="shared" ref="E153:T153" si="154">IFERROR(VLOOKUP($A153,INDIRECT("'" &amp; E$1 &amp; "'!$C:$G"), 5, FALSE),"")</f>
        <v/>
      </c>
      <c r="F153" s="51" t="str">
        <f t="shared" si="154"/>
        <v/>
      </c>
      <c r="G153" s="51" t="str">
        <f t="shared" si="154"/>
        <v/>
      </c>
      <c r="H153" s="51" t="str">
        <f t="shared" si="154"/>
        <v/>
      </c>
      <c r="I153" s="51" t="str">
        <f t="shared" si="154"/>
        <v/>
      </c>
      <c r="J153" s="51" t="str">
        <f t="shared" si="154"/>
        <v/>
      </c>
      <c r="K153" s="51" t="str">
        <f t="shared" si="154"/>
        <v/>
      </c>
      <c r="L153" s="51" t="str">
        <f t="shared" si="154"/>
        <v/>
      </c>
      <c r="M153" s="51" t="str">
        <f t="shared" si="154"/>
        <v/>
      </c>
      <c r="N153" s="51" t="str">
        <f t="shared" si="154"/>
        <v/>
      </c>
      <c r="O153" s="51" t="str">
        <f t="shared" si="154"/>
        <v/>
      </c>
      <c r="P153" s="51" t="str">
        <f t="shared" si="154"/>
        <v/>
      </c>
      <c r="Q153" s="51" t="str">
        <f t="shared" si="154"/>
        <v/>
      </c>
      <c r="R153" s="51" t="str">
        <f t="shared" si="154"/>
        <v/>
      </c>
      <c r="S153" s="51" t="str">
        <f t="shared" si="154"/>
        <v/>
      </c>
      <c r="T153" s="51" t="str">
        <f t="shared" si="154"/>
        <v/>
      </c>
      <c r="U153" s="52"/>
      <c r="V153" s="52" t="str">
        <f>IFERROR(__xludf.DUMMYFUNCTION("""COMPUTED_VALUE"""),"")</f>
        <v/>
      </c>
      <c r="W153" s="52" t="str">
        <f>IFERROR(__xludf.DUMMYFUNCTION("""COMPUTED_VALUE"""),"")</f>
        <v/>
      </c>
      <c r="X153" s="52" t="str">
        <f>IFERROR(__xludf.DUMMYFUNCTION("""COMPUTED_VALUE"""),"")</f>
        <v/>
      </c>
      <c r="Y153" s="52" t="str">
        <f>IFERROR(__xludf.DUMMYFUNCTION("""COMPUTED_VALUE"""),"")</f>
        <v/>
      </c>
      <c r="Z153" s="52" t="str">
        <f>IFERROR(__xludf.DUMMYFUNCTION("""COMPUTED_VALUE"""),"")</f>
        <v/>
      </c>
      <c r="AA153" s="52" t="str">
        <f>IFERROR(__xludf.DUMMYFUNCTION("""COMPUTED_VALUE"""),"")</f>
        <v/>
      </c>
      <c r="AB153" s="52" t="str">
        <f>IFERROR(__xludf.DUMMYFUNCTION("""COMPUTED_VALUE"""),"")</f>
        <v/>
      </c>
      <c r="AC153" s="52" t="str">
        <f>IFERROR(__xludf.DUMMYFUNCTION("""COMPUTED_VALUE"""),"")</f>
        <v/>
      </c>
      <c r="AD153" s="52" t="str">
        <f>IFERROR(__xludf.DUMMYFUNCTION("""COMPUTED_VALUE"""),"")</f>
        <v/>
      </c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</row>
    <row r="154">
      <c r="B154" s="49"/>
      <c r="C154" s="49" t="str">
        <f t="shared" si="2"/>
        <v/>
      </c>
      <c r="D154" s="50" t="str">
        <f t="shared" si="3"/>
        <v/>
      </c>
      <c r="E154" s="51" t="str">
        <f t="shared" ref="E154:T154" si="155">IFERROR(VLOOKUP($A154,INDIRECT("'" &amp; E$1 &amp; "'!$C:$G"), 5, FALSE),"")</f>
        <v/>
      </c>
      <c r="F154" s="51" t="str">
        <f t="shared" si="155"/>
        <v/>
      </c>
      <c r="G154" s="51" t="str">
        <f t="shared" si="155"/>
        <v/>
      </c>
      <c r="H154" s="51" t="str">
        <f t="shared" si="155"/>
        <v/>
      </c>
      <c r="I154" s="51" t="str">
        <f t="shared" si="155"/>
        <v/>
      </c>
      <c r="J154" s="51" t="str">
        <f t="shared" si="155"/>
        <v/>
      </c>
      <c r="K154" s="51" t="str">
        <f t="shared" si="155"/>
        <v/>
      </c>
      <c r="L154" s="51" t="str">
        <f t="shared" si="155"/>
        <v/>
      </c>
      <c r="M154" s="51" t="str">
        <f t="shared" si="155"/>
        <v/>
      </c>
      <c r="N154" s="51" t="str">
        <f t="shared" si="155"/>
        <v/>
      </c>
      <c r="O154" s="51" t="str">
        <f t="shared" si="155"/>
        <v/>
      </c>
      <c r="P154" s="51" t="str">
        <f t="shared" si="155"/>
        <v/>
      </c>
      <c r="Q154" s="51" t="str">
        <f t="shared" si="155"/>
        <v/>
      </c>
      <c r="R154" s="51" t="str">
        <f t="shared" si="155"/>
        <v/>
      </c>
      <c r="S154" s="51" t="str">
        <f t="shared" si="155"/>
        <v/>
      </c>
      <c r="T154" s="51" t="str">
        <f t="shared" si="155"/>
        <v/>
      </c>
      <c r="U154" s="52"/>
      <c r="V154" s="52" t="str">
        <f>IFERROR(__xludf.DUMMYFUNCTION("""COMPUTED_VALUE"""),"")</f>
        <v/>
      </c>
      <c r="W154" s="52" t="str">
        <f>IFERROR(__xludf.DUMMYFUNCTION("""COMPUTED_VALUE"""),"")</f>
        <v/>
      </c>
      <c r="X154" s="52" t="str">
        <f>IFERROR(__xludf.DUMMYFUNCTION("""COMPUTED_VALUE"""),"")</f>
        <v/>
      </c>
      <c r="Y154" s="52" t="str">
        <f>IFERROR(__xludf.DUMMYFUNCTION("""COMPUTED_VALUE"""),"")</f>
        <v/>
      </c>
      <c r="Z154" s="52" t="str">
        <f>IFERROR(__xludf.DUMMYFUNCTION("""COMPUTED_VALUE"""),"")</f>
        <v/>
      </c>
      <c r="AA154" s="52" t="str">
        <f>IFERROR(__xludf.DUMMYFUNCTION("""COMPUTED_VALUE"""),"")</f>
        <v/>
      </c>
      <c r="AB154" s="52" t="str">
        <f>IFERROR(__xludf.DUMMYFUNCTION("""COMPUTED_VALUE"""),"")</f>
        <v/>
      </c>
      <c r="AC154" s="52" t="str">
        <f>IFERROR(__xludf.DUMMYFUNCTION("""COMPUTED_VALUE"""),"")</f>
        <v/>
      </c>
      <c r="AD154" s="52" t="str">
        <f>IFERROR(__xludf.DUMMYFUNCTION("""COMPUTED_VALUE"""),"")</f>
        <v/>
      </c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</row>
    <row r="155">
      <c r="B155" s="49"/>
      <c r="C155" s="49" t="str">
        <f t="shared" si="2"/>
        <v/>
      </c>
      <c r="D155" s="50" t="str">
        <f t="shared" si="3"/>
        <v/>
      </c>
      <c r="E155" s="51" t="str">
        <f t="shared" ref="E155:T155" si="156">IFERROR(VLOOKUP($A155,INDIRECT("'" &amp; E$1 &amp; "'!$C:$G"), 5, FALSE),"")</f>
        <v/>
      </c>
      <c r="F155" s="51" t="str">
        <f t="shared" si="156"/>
        <v/>
      </c>
      <c r="G155" s="51" t="str">
        <f t="shared" si="156"/>
        <v/>
      </c>
      <c r="H155" s="51" t="str">
        <f t="shared" si="156"/>
        <v/>
      </c>
      <c r="I155" s="51" t="str">
        <f t="shared" si="156"/>
        <v/>
      </c>
      <c r="J155" s="51" t="str">
        <f t="shared" si="156"/>
        <v/>
      </c>
      <c r="K155" s="51" t="str">
        <f t="shared" si="156"/>
        <v/>
      </c>
      <c r="L155" s="51" t="str">
        <f t="shared" si="156"/>
        <v/>
      </c>
      <c r="M155" s="51" t="str">
        <f t="shared" si="156"/>
        <v/>
      </c>
      <c r="N155" s="51" t="str">
        <f t="shared" si="156"/>
        <v/>
      </c>
      <c r="O155" s="51" t="str">
        <f t="shared" si="156"/>
        <v/>
      </c>
      <c r="P155" s="51" t="str">
        <f t="shared" si="156"/>
        <v/>
      </c>
      <c r="Q155" s="51" t="str">
        <f t="shared" si="156"/>
        <v/>
      </c>
      <c r="R155" s="51" t="str">
        <f t="shared" si="156"/>
        <v/>
      </c>
      <c r="S155" s="51" t="str">
        <f t="shared" si="156"/>
        <v/>
      </c>
      <c r="T155" s="51" t="str">
        <f t="shared" si="156"/>
        <v/>
      </c>
      <c r="U155" s="52"/>
      <c r="V155" s="52" t="str">
        <f>IFERROR(__xludf.DUMMYFUNCTION("""COMPUTED_VALUE"""),"")</f>
        <v/>
      </c>
      <c r="W155" s="52" t="str">
        <f>IFERROR(__xludf.DUMMYFUNCTION("""COMPUTED_VALUE"""),"")</f>
        <v/>
      </c>
      <c r="X155" s="52" t="str">
        <f>IFERROR(__xludf.DUMMYFUNCTION("""COMPUTED_VALUE"""),"")</f>
        <v/>
      </c>
      <c r="Y155" s="52" t="str">
        <f>IFERROR(__xludf.DUMMYFUNCTION("""COMPUTED_VALUE"""),"")</f>
        <v/>
      </c>
      <c r="Z155" s="52" t="str">
        <f>IFERROR(__xludf.DUMMYFUNCTION("""COMPUTED_VALUE"""),"")</f>
        <v/>
      </c>
      <c r="AA155" s="52" t="str">
        <f>IFERROR(__xludf.DUMMYFUNCTION("""COMPUTED_VALUE"""),"")</f>
        <v/>
      </c>
      <c r="AB155" s="52" t="str">
        <f>IFERROR(__xludf.DUMMYFUNCTION("""COMPUTED_VALUE"""),"")</f>
        <v/>
      </c>
      <c r="AC155" s="52" t="str">
        <f>IFERROR(__xludf.DUMMYFUNCTION("""COMPUTED_VALUE"""),"")</f>
        <v/>
      </c>
      <c r="AD155" s="52" t="str">
        <f>IFERROR(__xludf.DUMMYFUNCTION("""COMPUTED_VALUE"""),"")</f>
        <v/>
      </c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</row>
    <row r="156">
      <c r="B156" s="49"/>
      <c r="C156" s="49" t="str">
        <f t="shared" si="2"/>
        <v/>
      </c>
      <c r="D156" s="50" t="str">
        <f t="shared" si="3"/>
        <v/>
      </c>
      <c r="E156" s="51" t="str">
        <f t="shared" ref="E156:T156" si="157">IFERROR(VLOOKUP($A156,INDIRECT("'" &amp; E$1 &amp; "'!$C:$G"), 5, FALSE),"")</f>
        <v/>
      </c>
      <c r="F156" s="51" t="str">
        <f t="shared" si="157"/>
        <v/>
      </c>
      <c r="G156" s="51" t="str">
        <f t="shared" si="157"/>
        <v/>
      </c>
      <c r="H156" s="51" t="str">
        <f t="shared" si="157"/>
        <v/>
      </c>
      <c r="I156" s="51" t="str">
        <f t="shared" si="157"/>
        <v/>
      </c>
      <c r="J156" s="51" t="str">
        <f t="shared" si="157"/>
        <v/>
      </c>
      <c r="K156" s="51" t="str">
        <f t="shared" si="157"/>
        <v/>
      </c>
      <c r="L156" s="51" t="str">
        <f t="shared" si="157"/>
        <v/>
      </c>
      <c r="M156" s="51" t="str">
        <f t="shared" si="157"/>
        <v/>
      </c>
      <c r="N156" s="51" t="str">
        <f t="shared" si="157"/>
        <v/>
      </c>
      <c r="O156" s="51" t="str">
        <f t="shared" si="157"/>
        <v/>
      </c>
      <c r="P156" s="51" t="str">
        <f t="shared" si="157"/>
        <v/>
      </c>
      <c r="Q156" s="51" t="str">
        <f t="shared" si="157"/>
        <v/>
      </c>
      <c r="R156" s="51" t="str">
        <f t="shared" si="157"/>
        <v/>
      </c>
      <c r="S156" s="51" t="str">
        <f t="shared" si="157"/>
        <v/>
      </c>
      <c r="T156" s="51" t="str">
        <f t="shared" si="157"/>
        <v/>
      </c>
      <c r="U156" s="52"/>
      <c r="V156" s="52" t="str">
        <f>IFERROR(__xludf.DUMMYFUNCTION("""COMPUTED_VALUE"""),"")</f>
        <v/>
      </c>
      <c r="W156" s="52" t="str">
        <f>IFERROR(__xludf.DUMMYFUNCTION("""COMPUTED_VALUE"""),"")</f>
        <v/>
      </c>
      <c r="X156" s="52" t="str">
        <f>IFERROR(__xludf.DUMMYFUNCTION("""COMPUTED_VALUE"""),"")</f>
        <v/>
      </c>
      <c r="Y156" s="52" t="str">
        <f>IFERROR(__xludf.DUMMYFUNCTION("""COMPUTED_VALUE"""),"")</f>
        <v/>
      </c>
      <c r="Z156" s="52" t="str">
        <f>IFERROR(__xludf.DUMMYFUNCTION("""COMPUTED_VALUE"""),"")</f>
        <v/>
      </c>
      <c r="AA156" s="52" t="str">
        <f>IFERROR(__xludf.DUMMYFUNCTION("""COMPUTED_VALUE"""),"")</f>
        <v/>
      </c>
      <c r="AB156" s="52" t="str">
        <f>IFERROR(__xludf.DUMMYFUNCTION("""COMPUTED_VALUE"""),"")</f>
        <v/>
      </c>
      <c r="AC156" s="52" t="str">
        <f>IFERROR(__xludf.DUMMYFUNCTION("""COMPUTED_VALUE"""),"")</f>
        <v/>
      </c>
      <c r="AD156" s="52" t="str">
        <f>IFERROR(__xludf.DUMMYFUNCTION("""COMPUTED_VALUE"""),"")</f>
        <v/>
      </c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</row>
    <row r="157">
      <c r="B157" s="49"/>
      <c r="C157" s="49" t="str">
        <f t="shared" si="2"/>
        <v/>
      </c>
      <c r="D157" s="50" t="str">
        <f t="shared" si="3"/>
        <v/>
      </c>
      <c r="E157" s="51" t="str">
        <f t="shared" ref="E157:T157" si="158">IFERROR(VLOOKUP($A157,INDIRECT("'" &amp; E$1 &amp; "'!$C:$G"), 5, FALSE),"")</f>
        <v/>
      </c>
      <c r="F157" s="51" t="str">
        <f t="shared" si="158"/>
        <v/>
      </c>
      <c r="G157" s="51" t="str">
        <f t="shared" si="158"/>
        <v/>
      </c>
      <c r="H157" s="51" t="str">
        <f t="shared" si="158"/>
        <v/>
      </c>
      <c r="I157" s="51" t="str">
        <f t="shared" si="158"/>
        <v/>
      </c>
      <c r="J157" s="51" t="str">
        <f t="shared" si="158"/>
        <v/>
      </c>
      <c r="K157" s="51" t="str">
        <f t="shared" si="158"/>
        <v/>
      </c>
      <c r="L157" s="51" t="str">
        <f t="shared" si="158"/>
        <v/>
      </c>
      <c r="M157" s="51" t="str">
        <f t="shared" si="158"/>
        <v/>
      </c>
      <c r="N157" s="51" t="str">
        <f t="shared" si="158"/>
        <v/>
      </c>
      <c r="O157" s="51" t="str">
        <f t="shared" si="158"/>
        <v/>
      </c>
      <c r="P157" s="51" t="str">
        <f t="shared" si="158"/>
        <v/>
      </c>
      <c r="Q157" s="51" t="str">
        <f t="shared" si="158"/>
        <v/>
      </c>
      <c r="R157" s="51" t="str">
        <f t="shared" si="158"/>
        <v/>
      </c>
      <c r="S157" s="51" t="str">
        <f t="shared" si="158"/>
        <v/>
      </c>
      <c r="T157" s="51" t="str">
        <f t="shared" si="158"/>
        <v/>
      </c>
      <c r="U157" s="52"/>
      <c r="V157" s="52" t="str">
        <f>IFERROR(__xludf.DUMMYFUNCTION("""COMPUTED_VALUE"""),"")</f>
        <v/>
      </c>
      <c r="W157" s="52" t="str">
        <f>IFERROR(__xludf.DUMMYFUNCTION("""COMPUTED_VALUE"""),"")</f>
        <v/>
      </c>
      <c r="X157" s="52" t="str">
        <f>IFERROR(__xludf.DUMMYFUNCTION("""COMPUTED_VALUE"""),"")</f>
        <v/>
      </c>
      <c r="Y157" s="52" t="str">
        <f>IFERROR(__xludf.DUMMYFUNCTION("""COMPUTED_VALUE"""),"")</f>
        <v/>
      </c>
      <c r="Z157" s="52" t="str">
        <f>IFERROR(__xludf.DUMMYFUNCTION("""COMPUTED_VALUE"""),"")</f>
        <v/>
      </c>
      <c r="AA157" s="52" t="str">
        <f>IFERROR(__xludf.DUMMYFUNCTION("""COMPUTED_VALUE"""),"")</f>
        <v/>
      </c>
      <c r="AB157" s="52" t="str">
        <f>IFERROR(__xludf.DUMMYFUNCTION("""COMPUTED_VALUE"""),"")</f>
        <v/>
      </c>
      <c r="AC157" s="52" t="str">
        <f>IFERROR(__xludf.DUMMYFUNCTION("""COMPUTED_VALUE"""),"")</f>
        <v/>
      </c>
      <c r="AD157" s="52" t="str">
        <f>IFERROR(__xludf.DUMMYFUNCTION("""COMPUTED_VALUE"""),"")</f>
        <v/>
      </c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</row>
    <row r="158">
      <c r="B158" s="49"/>
      <c r="C158" s="49" t="str">
        <f t="shared" si="2"/>
        <v/>
      </c>
      <c r="D158" s="50" t="str">
        <f t="shared" si="3"/>
        <v/>
      </c>
      <c r="E158" s="51" t="str">
        <f t="shared" ref="E158:T158" si="159">IFERROR(VLOOKUP($A158,INDIRECT("'" &amp; E$1 &amp; "'!$C:$G"), 5, FALSE),"")</f>
        <v/>
      </c>
      <c r="F158" s="51" t="str">
        <f t="shared" si="159"/>
        <v/>
      </c>
      <c r="G158" s="51" t="str">
        <f t="shared" si="159"/>
        <v/>
      </c>
      <c r="H158" s="51" t="str">
        <f t="shared" si="159"/>
        <v/>
      </c>
      <c r="I158" s="51" t="str">
        <f t="shared" si="159"/>
        <v/>
      </c>
      <c r="J158" s="51" t="str">
        <f t="shared" si="159"/>
        <v/>
      </c>
      <c r="K158" s="51" t="str">
        <f t="shared" si="159"/>
        <v/>
      </c>
      <c r="L158" s="51" t="str">
        <f t="shared" si="159"/>
        <v/>
      </c>
      <c r="M158" s="51" t="str">
        <f t="shared" si="159"/>
        <v/>
      </c>
      <c r="N158" s="51" t="str">
        <f t="shared" si="159"/>
        <v/>
      </c>
      <c r="O158" s="51" t="str">
        <f t="shared" si="159"/>
        <v/>
      </c>
      <c r="P158" s="51" t="str">
        <f t="shared" si="159"/>
        <v/>
      </c>
      <c r="Q158" s="51" t="str">
        <f t="shared" si="159"/>
        <v/>
      </c>
      <c r="R158" s="51" t="str">
        <f t="shared" si="159"/>
        <v/>
      </c>
      <c r="S158" s="51" t="str">
        <f t="shared" si="159"/>
        <v/>
      </c>
      <c r="T158" s="51" t="str">
        <f t="shared" si="159"/>
        <v/>
      </c>
      <c r="U158" s="52"/>
      <c r="V158" s="52" t="str">
        <f>IFERROR(__xludf.DUMMYFUNCTION("""COMPUTED_VALUE"""),"")</f>
        <v/>
      </c>
      <c r="W158" s="52" t="str">
        <f>IFERROR(__xludf.DUMMYFUNCTION("""COMPUTED_VALUE"""),"")</f>
        <v/>
      </c>
      <c r="X158" s="52" t="str">
        <f>IFERROR(__xludf.DUMMYFUNCTION("""COMPUTED_VALUE"""),"")</f>
        <v/>
      </c>
      <c r="Y158" s="52" t="str">
        <f>IFERROR(__xludf.DUMMYFUNCTION("""COMPUTED_VALUE"""),"")</f>
        <v/>
      </c>
      <c r="Z158" s="52" t="str">
        <f>IFERROR(__xludf.DUMMYFUNCTION("""COMPUTED_VALUE"""),"")</f>
        <v/>
      </c>
      <c r="AA158" s="52" t="str">
        <f>IFERROR(__xludf.DUMMYFUNCTION("""COMPUTED_VALUE"""),"")</f>
        <v/>
      </c>
      <c r="AB158" s="52" t="str">
        <f>IFERROR(__xludf.DUMMYFUNCTION("""COMPUTED_VALUE"""),"")</f>
        <v/>
      </c>
      <c r="AC158" s="52" t="str">
        <f>IFERROR(__xludf.DUMMYFUNCTION("""COMPUTED_VALUE"""),"")</f>
        <v/>
      </c>
      <c r="AD158" s="52" t="str">
        <f>IFERROR(__xludf.DUMMYFUNCTION("""COMPUTED_VALUE"""),"")</f>
        <v/>
      </c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</row>
    <row r="159">
      <c r="B159" s="49"/>
      <c r="C159" s="49" t="str">
        <f t="shared" si="2"/>
        <v/>
      </c>
      <c r="D159" s="50" t="str">
        <f t="shared" si="3"/>
        <v/>
      </c>
      <c r="E159" s="51" t="str">
        <f t="shared" ref="E159:T159" si="160">IFERROR(VLOOKUP($A159,INDIRECT("'" &amp; E$1 &amp; "'!$C:$G"), 5, FALSE),"")</f>
        <v/>
      </c>
      <c r="F159" s="51" t="str">
        <f t="shared" si="160"/>
        <v/>
      </c>
      <c r="G159" s="51" t="str">
        <f t="shared" si="160"/>
        <v/>
      </c>
      <c r="H159" s="51" t="str">
        <f t="shared" si="160"/>
        <v/>
      </c>
      <c r="I159" s="51" t="str">
        <f t="shared" si="160"/>
        <v/>
      </c>
      <c r="J159" s="51" t="str">
        <f t="shared" si="160"/>
        <v/>
      </c>
      <c r="K159" s="51" t="str">
        <f t="shared" si="160"/>
        <v/>
      </c>
      <c r="L159" s="51" t="str">
        <f t="shared" si="160"/>
        <v/>
      </c>
      <c r="M159" s="51" t="str">
        <f t="shared" si="160"/>
        <v/>
      </c>
      <c r="N159" s="51" t="str">
        <f t="shared" si="160"/>
        <v/>
      </c>
      <c r="O159" s="51" t="str">
        <f t="shared" si="160"/>
        <v/>
      </c>
      <c r="P159" s="51" t="str">
        <f t="shared" si="160"/>
        <v/>
      </c>
      <c r="Q159" s="51" t="str">
        <f t="shared" si="160"/>
        <v/>
      </c>
      <c r="R159" s="51" t="str">
        <f t="shared" si="160"/>
        <v/>
      </c>
      <c r="S159" s="51" t="str">
        <f t="shared" si="160"/>
        <v/>
      </c>
      <c r="T159" s="51" t="str">
        <f t="shared" si="160"/>
        <v/>
      </c>
      <c r="U159" s="52"/>
      <c r="V159" s="52" t="str">
        <f>IFERROR(__xludf.DUMMYFUNCTION("""COMPUTED_VALUE"""),"")</f>
        <v/>
      </c>
      <c r="W159" s="52" t="str">
        <f>IFERROR(__xludf.DUMMYFUNCTION("""COMPUTED_VALUE"""),"")</f>
        <v/>
      </c>
      <c r="X159" s="52" t="str">
        <f>IFERROR(__xludf.DUMMYFUNCTION("""COMPUTED_VALUE"""),"")</f>
        <v/>
      </c>
      <c r="Y159" s="52" t="str">
        <f>IFERROR(__xludf.DUMMYFUNCTION("""COMPUTED_VALUE"""),"")</f>
        <v/>
      </c>
      <c r="Z159" s="52" t="str">
        <f>IFERROR(__xludf.DUMMYFUNCTION("""COMPUTED_VALUE"""),"")</f>
        <v/>
      </c>
      <c r="AA159" s="52" t="str">
        <f>IFERROR(__xludf.DUMMYFUNCTION("""COMPUTED_VALUE"""),"")</f>
        <v/>
      </c>
      <c r="AB159" s="52" t="str">
        <f>IFERROR(__xludf.DUMMYFUNCTION("""COMPUTED_VALUE"""),"")</f>
        <v/>
      </c>
      <c r="AC159" s="52" t="str">
        <f>IFERROR(__xludf.DUMMYFUNCTION("""COMPUTED_VALUE"""),"")</f>
        <v/>
      </c>
      <c r="AD159" s="52" t="str">
        <f>IFERROR(__xludf.DUMMYFUNCTION("""COMPUTED_VALUE"""),"")</f>
        <v/>
      </c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</row>
    <row r="160">
      <c r="B160" s="49"/>
      <c r="C160" s="49" t="str">
        <f t="shared" si="2"/>
        <v/>
      </c>
      <c r="D160" s="50" t="str">
        <f t="shared" si="3"/>
        <v/>
      </c>
      <c r="E160" s="51" t="str">
        <f t="shared" ref="E160:T160" si="161">IFERROR(VLOOKUP($A160,INDIRECT("'" &amp; E$1 &amp; "'!$C:$G"), 5, FALSE),"")</f>
        <v/>
      </c>
      <c r="F160" s="51" t="str">
        <f t="shared" si="161"/>
        <v/>
      </c>
      <c r="G160" s="51" t="str">
        <f t="shared" si="161"/>
        <v/>
      </c>
      <c r="H160" s="51" t="str">
        <f t="shared" si="161"/>
        <v/>
      </c>
      <c r="I160" s="51" t="str">
        <f t="shared" si="161"/>
        <v/>
      </c>
      <c r="J160" s="51" t="str">
        <f t="shared" si="161"/>
        <v/>
      </c>
      <c r="K160" s="51" t="str">
        <f t="shared" si="161"/>
        <v/>
      </c>
      <c r="L160" s="51" t="str">
        <f t="shared" si="161"/>
        <v/>
      </c>
      <c r="M160" s="51" t="str">
        <f t="shared" si="161"/>
        <v/>
      </c>
      <c r="N160" s="51" t="str">
        <f t="shared" si="161"/>
        <v/>
      </c>
      <c r="O160" s="51" t="str">
        <f t="shared" si="161"/>
        <v/>
      </c>
      <c r="P160" s="51" t="str">
        <f t="shared" si="161"/>
        <v/>
      </c>
      <c r="Q160" s="51" t="str">
        <f t="shared" si="161"/>
        <v/>
      </c>
      <c r="R160" s="51" t="str">
        <f t="shared" si="161"/>
        <v/>
      </c>
      <c r="S160" s="51" t="str">
        <f t="shared" si="161"/>
        <v/>
      </c>
      <c r="T160" s="51" t="str">
        <f t="shared" si="161"/>
        <v/>
      </c>
      <c r="U160" s="52"/>
      <c r="V160" s="52" t="str">
        <f>IFERROR(__xludf.DUMMYFUNCTION("""COMPUTED_VALUE"""),"")</f>
        <v/>
      </c>
      <c r="W160" s="52" t="str">
        <f>IFERROR(__xludf.DUMMYFUNCTION("""COMPUTED_VALUE"""),"")</f>
        <v/>
      </c>
      <c r="X160" s="52" t="str">
        <f>IFERROR(__xludf.DUMMYFUNCTION("""COMPUTED_VALUE"""),"")</f>
        <v/>
      </c>
      <c r="Y160" s="52" t="str">
        <f>IFERROR(__xludf.DUMMYFUNCTION("""COMPUTED_VALUE"""),"")</f>
        <v/>
      </c>
      <c r="Z160" s="52" t="str">
        <f>IFERROR(__xludf.DUMMYFUNCTION("""COMPUTED_VALUE"""),"")</f>
        <v/>
      </c>
      <c r="AA160" s="52" t="str">
        <f>IFERROR(__xludf.DUMMYFUNCTION("""COMPUTED_VALUE"""),"")</f>
        <v/>
      </c>
      <c r="AB160" s="52" t="str">
        <f>IFERROR(__xludf.DUMMYFUNCTION("""COMPUTED_VALUE"""),"")</f>
        <v/>
      </c>
      <c r="AC160" s="52" t="str">
        <f>IFERROR(__xludf.DUMMYFUNCTION("""COMPUTED_VALUE"""),"")</f>
        <v/>
      </c>
      <c r="AD160" s="52" t="str">
        <f>IFERROR(__xludf.DUMMYFUNCTION("""COMPUTED_VALUE"""),"")</f>
        <v/>
      </c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</row>
    <row r="161">
      <c r="B161" s="49"/>
      <c r="C161" s="49" t="str">
        <f t="shared" si="2"/>
        <v/>
      </c>
      <c r="D161" s="50" t="str">
        <f t="shared" si="3"/>
        <v/>
      </c>
      <c r="E161" s="51" t="str">
        <f t="shared" ref="E161:T161" si="162">IFERROR(VLOOKUP($A161,INDIRECT("'" &amp; E$1 &amp; "'!$C:$G"), 5, FALSE),"")</f>
        <v/>
      </c>
      <c r="F161" s="51" t="str">
        <f t="shared" si="162"/>
        <v/>
      </c>
      <c r="G161" s="51" t="str">
        <f t="shared" si="162"/>
        <v/>
      </c>
      <c r="H161" s="51" t="str">
        <f t="shared" si="162"/>
        <v/>
      </c>
      <c r="I161" s="51" t="str">
        <f t="shared" si="162"/>
        <v/>
      </c>
      <c r="J161" s="51" t="str">
        <f t="shared" si="162"/>
        <v/>
      </c>
      <c r="K161" s="51" t="str">
        <f t="shared" si="162"/>
        <v/>
      </c>
      <c r="L161" s="51" t="str">
        <f t="shared" si="162"/>
        <v/>
      </c>
      <c r="M161" s="51" t="str">
        <f t="shared" si="162"/>
        <v/>
      </c>
      <c r="N161" s="51" t="str">
        <f t="shared" si="162"/>
        <v/>
      </c>
      <c r="O161" s="51" t="str">
        <f t="shared" si="162"/>
        <v/>
      </c>
      <c r="P161" s="51" t="str">
        <f t="shared" si="162"/>
        <v/>
      </c>
      <c r="Q161" s="51" t="str">
        <f t="shared" si="162"/>
        <v/>
      </c>
      <c r="R161" s="51" t="str">
        <f t="shared" si="162"/>
        <v/>
      </c>
      <c r="S161" s="51" t="str">
        <f t="shared" si="162"/>
        <v/>
      </c>
      <c r="T161" s="51" t="str">
        <f t="shared" si="162"/>
        <v/>
      </c>
      <c r="U161" s="52"/>
      <c r="V161" s="52" t="str">
        <f>IFERROR(__xludf.DUMMYFUNCTION("""COMPUTED_VALUE"""),"")</f>
        <v/>
      </c>
      <c r="W161" s="52" t="str">
        <f>IFERROR(__xludf.DUMMYFUNCTION("""COMPUTED_VALUE"""),"")</f>
        <v/>
      </c>
      <c r="X161" s="52" t="str">
        <f>IFERROR(__xludf.DUMMYFUNCTION("""COMPUTED_VALUE"""),"")</f>
        <v/>
      </c>
      <c r="Y161" s="52" t="str">
        <f>IFERROR(__xludf.DUMMYFUNCTION("""COMPUTED_VALUE"""),"")</f>
        <v/>
      </c>
      <c r="Z161" s="52" t="str">
        <f>IFERROR(__xludf.DUMMYFUNCTION("""COMPUTED_VALUE"""),"")</f>
        <v/>
      </c>
      <c r="AA161" s="52" t="str">
        <f>IFERROR(__xludf.DUMMYFUNCTION("""COMPUTED_VALUE"""),"")</f>
        <v/>
      </c>
      <c r="AB161" s="52" t="str">
        <f>IFERROR(__xludf.DUMMYFUNCTION("""COMPUTED_VALUE"""),"")</f>
        <v/>
      </c>
      <c r="AC161" s="52" t="str">
        <f>IFERROR(__xludf.DUMMYFUNCTION("""COMPUTED_VALUE"""),"")</f>
        <v/>
      </c>
      <c r="AD161" s="52" t="str">
        <f>IFERROR(__xludf.DUMMYFUNCTION("""COMPUTED_VALUE"""),"")</f>
        <v/>
      </c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</row>
    <row r="162">
      <c r="B162" s="49"/>
      <c r="C162" s="49" t="str">
        <f t="shared" si="2"/>
        <v/>
      </c>
      <c r="D162" s="50" t="str">
        <f t="shared" si="3"/>
        <v/>
      </c>
      <c r="E162" s="51" t="str">
        <f t="shared" ref="E162:T162" si="163">IFERROR(VLOOKUP($A162,INDIRECT("'" &amp; E$1 &amp; "'!$C:$G"), 5, FALSE),"")</f>
        <v/>
      </c>
      <c r="F162" s="51" t="str">
        <f t="shared" si="163"/>
        <v/>
      </c>
      <c r="G162" s="51" t="str">
        <f t="shared" si="163"/>
        <v/>
      </c>
      <c r="H162" s="51" t="str">
        <f t="shared" si="163"/>
        <v/>
      </c>
      <c r="I162" s="51" t="str">
        <f t="shared" si="163"/>
        <v/>
      </c>
      <c r="J162" s="51" t="str">
        <f t="shared" si="163"/>
        <v/>
      </c>
      <c r="K162" s="51" t="str">
        <f t="shared" si="163"/>
        <v/>
      </c>
      <c r="L162" s="51" t="str">
        <f t="shared" si="163"/>
        <v/>
      </c>
      <c r="M162" s="51" t="str">
        <f t="shared" si="163"/>
        <v/>
      </c>
      <c r="N162" s="51" t="str">
        <f t="shared" si="163"/>
        <v/>
      </c>
      <c r="O162" s="51" t="str">
        <f t="shared" si="163"/>
        <v/>
      </c>
      <c r="P162" s="51" t="str">
        <f t="shared" si="163"/>
        <v/>
      </c>
      <c r="Q162" s="51" t="str">
        <f t="shared" si="163"/>
        <v/>
      </c>
      <c r="R162" s="51" t="str">
        <f t="shared" si="163"/>
        <v/>
      </c>
      <c r="S162" s="51" t="str">
        <f t="shared" si="163"/>
        <v/>
      </c>
      <c r="T162" s="51" t="str">
        <f t="shared" si="163"/>
        <v/>
      </c>
      <c r="U162" s="52"/>
      <c r="V162" s="52" t="str">
        <f>IFERROR(__xludf.DUMMYFUNCTION("""COMPUTED_VALUE"""),"")</f>
        <v/>
      </c>
      <c r="W162" s="52" t="str">
        <f>IFERROR(__xludf.DUMMYFUNCTION("""COMPUTED_VALUE"""),"")</f>
        <v/>
      </c>
      <c r="X162" s="52" t="str">
        <f>IFERROR(__xludf.DUMMYFUNCTION("""COMPUTED_VALUE"""),"")</f>
        <v/>
      </c>
      <c r="Y162" s="52" t="str">
        <f>IFERROR(__xludf.DUMMYFUNCTION("""COMPUTED_VALUE"""),"")</f>
        <v/>
      </c>
      <c r="Z162" s="52" t="str">
        <f>IFERROR(__xludf.DUMMYFUNCTION("""COMPUTED_VALUE"""),"")</f>
        <v/>
      </c>
      <c r="AA162" s="52" t="str">
        <f>IFERROR(__xludf.DUMMYFUNCTION("""COMPUTED_VALUE"""),"")</f>
        <v/>
      </c>
      <c r="AB162" s="52" t="str">
        <f>IFERROR(__xludf.DUMMYFUNCTION("""COMPUTED_VALUE"""),"")</f>
        <v/>
      </c>
      <c r="AC162" s="52" t="str">
        <f>IFERROR(__xludf.DUMMYFUNCTION("""COMPUTED_VALUE"""),"")</f>
        <v/>
      </c>
      <c r="AD162" s="52" t="str">
        <f>IFERROR(__xludf.DUMMYFUNCTION("""COMPUTED_VALUE"""),"")</f>
        <v/>
      </c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</row>
    <row r="163">
      <c r="B163" s="49"/>
      <c r="C163" s="49" t="str">
        <f t="shared" si="2"/>
        <v/>
      </c>
      <c r="D163" s="50" t="str">
        <f t="shared" si="3"/>
        <v/>
      </c>
      <c r="E163" s="51" t="str">
        <f t="shared" ref="E163:T163" si="164">IFERROR(VLOOKUP($A163,INDIRECT("'" &amp; E$1 &amp; "'!$C:$G"), 5, FALSE),"")</f>
        <v/>
      </c>
      <c r="F163" s="51" t="str">
        <f t="shared" si="164"/>
        <v/>
      </c>
      <c r="G163" s="51" t="str">
        <f t="shared" si="164"/>
        <v/>
      </c>
      <c r="H163" s="51" t="str">
        <f t="shared" si="164"/>
        <v/>
      </c>
      <c r="I163" s="51" t="str">
        <f t="shared" si="164"/>
        <v/>
      </c>
      <c r="J163" s="51" t="str">
        <f t="shared" si="164"/>
        <v/>
      </c>
      <c r="K163" s="51" t="str">
        <f t="shared" si="164"/>
        <v/>
      </c>
      <c r="L163" s="51" t="str">
        <f t="shared" si="164"/>
        <v/>
      </c>
      <c r="M163" s="51" t="str">
        <f t="shared" si="164"/>
        <v/>
      </c>
      <c r="N163" s="51" t="str">
        <f t="shared" si="164"/>
        <v/>
      </c>
      <c r="O163" s="51" t="str">
        <f t="shared" si="164"/>
        <v/>
      </c>
      <c r="P163" s="51" t="str">
        <f t="shared" si="164"/>
        <v/>
      </c>
      <c r="Q163" s="51" t="str">
        <f t="shared" si="164"/>
        <v/>
      </c>
      <c r="R163" s="51" t="str">
        <f t="shared" si="164"/>
        <v/>
      </c>
      <c r="S163" s="51" t="str">
        <f t="shared" si="164"/>
        <v/>
      </c>
      <c r="T163" s="51" t="str">
        <f t="shared" si="164"/>
        <v/>
      </c>
      <c r="U163" s="52"/>
      <c r="V163" s="52" t="str">
        <f>IFERROR(__xludf.DUMMYFUNCTION("""COMPUTED_VALUE"""),"")</f>
        <v/>
      </c>
      <c r="W163" s="52" t="str">
        <f>IFERROR(__xludf.DUMMYFUNCTION("""COMPUTED_VALUE"""),"")</f>
        <v/>
      </c>
      <c r="X163" s="52" t="str">
        <f>IFERROR(__xludf.DUMMYFUNCTION("""COMPUTED_VALUE"""),"")</f>
        <v/>
      </c>
      <c r="Y163" s="52" t="str">
        <f>IFERROR(__xludf.DUMMYFUNCTION("""COMPUTED_VALUE"""),"")</f>
        <v/>
      </c>
      <c r="Z163" s="52" t="str">
        <f>IFERROR(__xludf.DUMMYFUNCTION("""COMPUTED_VALUE"""),"")</f>
        <v/>
      </c>
      <c r="AA163" s="52" t="str">
        <f>IFERROR(__xludf.DUMMYFUNCTION("""COMPUTED_VALUE"""),"")</f>
        <v/>
      </c>
      <c r="AB163" s="52" t="str">
        <f>IFERROR(__xludf.DUMMYFUNCTION("""COMPUTED_VALUE"""),"")</f>
        <v/>
      </c>
      <c r="AC163" s="52" t="str">
        <f>IFERROR(__xludf.DUMMYFUNCTION("""COMPUTED_VALUE"""),"")</f>
        <v/>
      </c>
      <c r="AD163" s="52" t="str">
        <f>IFERROR(__xludf.DUMMYFUNCTION("""COMPUTED_VALUE"""),"")</f>
        <v/>
      </c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</row>
    <row r="164">
      <c r="B164" s="49"/>
      <c r="C164" s="49" t="str">
        <f t="shared" si="2"/>
        <v/>
      </c>
      <c r="D164" s="50" t="str">
        <f t="shared" si="3"/>
        <v/>
      </c>
      <c r="E164" s="51" t="str">
        <f t="shared" ref="E164:T164" si="165">IFERROR(VLOOKUP($A164,INDIRECT("'" &amp; E$1 &amp; "'!$C:$G"), 5, FALSE),"")</f>
        <v/>
      </c>
      <c r="F164" s="51" t="str">
        <f t="shared" si="165"/>
        <v/>
      </c>
      <c r="G164" s="51" t="str">
        <f t="shared" si="165"/>
        <v/>
      </c>
      <c r="H164" s="51" t="str">
        <f t="shared" si="165"/>
        <v/>
      </c>
      <c r="I164" s="51" t="str">
        <f t="shared" si="165"/>
        <v/>
      </c>
      <c r="J164" s="51" t="str">
        <f t="shared" si="165"/>
        <v/>
      </c>
      <c r="K164" s="51" t="str">
        <f t="shared" si="165"/>
        <v/>
      </c>
      <c r="L164" s="51" t="str">
        <f t="shared" si="165"/>
        <v/>
      </c>
      <c r="M164" s="51" t="str">
        <f t="shared" si="165"/>
        <v/>
      </c>
      <c r="N164" s="51" t="str">
        <f t="shared" si="165"/>
        <v/>
      </c>
      <c r="O164" s="51" t="str">
        <f t="shared" si="165"/>
        <v/>
      </c>
      <c r="P164" s="51" t="str">
        <f t="shared" si="165"/>
        <v/>
      </c>
      <c r="Q164" s="51" t="str">
        <f t="shared" si="165"/>
        <v/>
      </c>
      <c r="R164" s="51" t="str">
        <f t="shared" si="165"/>
        <v/>
      </c>
      <c r="S164" s="51" t="str">
        <f t="shared" si="165"/>
        <v/>
      </c>
      <c r="T164" s="51" t="str">
        <f t="shared" si="165"/>
        <v/>
      </c>
      <c r="U164" s="52"/>
      <c r="V164" s="52" t="str">
        <f>IFERROR(__xludf.DUMMYFUNCTION("""COMPUTED_VALUE"""),"")</f>
        <v/>
      </c>
      <c r="W164" s="52" t="str">
        <f>IFERROR(__xludf.DUMMYFUNCTION("""COMPUTED_VALUE"""),"")</f>
        <v/>
      </c>
      <c r="X164" s="52" t="str">
        <f>IFERROR(__xludf.DUMMYFUNCTION("""COMPUTED_VALUE"""),"")</f>
        <v/>
      </c>
      <c r="Y164" s="52" t="str">
        <f>IFERROR(__xludf.DUMMYFUNCTION("""COMPUTED_VALUE"""),"")</f>
        <v/>
      </c>
      <c r="Z164" s="52" t="str">
        <f>IFERROR(__xludf.DUMMYFUNCTION("""COMPUTED_VALUE"""),"")</f>
        <v/>
      </c>
      <c r="AA164" s="52" t="str">
        <f>IFERROR(__xludf.DUMMYFUNCTION("""COMPUTED_VALUE"""),"")</f>
        <v/>
      </c>
      <c r="AB164" s="52" t="str">
        <f>IFERROR(__xludf.DUMMYFUNCTION("""COMPUTED_VALUE"""),"")</f>
        <v/>
      </c>
      <c r="AC164" s="52" t="str">
        <f>IFERROR(__xludf.DUMMYFUNCTION("""COMPUTED_VALUE"""),"")</f>
        <v/>
      </c>
      <c r="AD164" s="52" t="str">
        <f>IFERROR(__xludf.DUMMYFUNCTION("""COMPUTED_VALUE"""),"")</f>
        <v/>
      </c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</row>
    <row r="165">
      <c r="B165" s="49"/>
      <c r="C165" s="49" t="str">
        <f t="shared" si="2"/>
        <v/>
      </c>
      <c r="D165" s="50" t="str">
        <f t="shared" si="3"/>
        <v/>
      </c>
      <c r="E165" s="51" t="str">
        <f t="shared" ref="E165:T165" si="166">IFERROR(VLOOKUP($A165,INDIRECT("'" &amp; E$1 &amp; "'!$C:$G"), 5, FALSE),"")</f>
        <v/>
      </c>
      <c r="F165" s="51" t="str">
        <f t="shared" si="166"/>
        <v/>
      </c>
      <c r="G165" s="51" t="str">
        <f t="shared" si="166"/>
        <v/>
      </c>
      <c r="H165" s="51" t="str">
        <f t="shared" si="166"/>
        <v/>
      </c>
      <c r="I165" s="51" t="str">
        <f t="shared" si="166"/>
        <v/>
      </c>
      <c r="J165" s="51" t="str">
        <f t="shared" si="166"/>
        <v/>
      </c>
      <c r="K165" s="51" t="str">
        <f t="shared" si="166"/>
        <v/>
      </c>
      <c r="L165" s="51" t="str">
        <f t="shared" si="166"/>
        <v/>
      </c>
      <c r="M165" s="51" t="str">
        <f t="shared" si="166"/>
        <v/>
      </c>
      <c r="N165" s="51" t="str">
        <f t="shared" si="166"/>
        <v/>
      </c>
      <c r="O165" s="51" t="str">
        <f t="shared" si="166"/>
        <v/>
      </c>
      <c r="P165" s="51" t="str">
        <f t="shared" si="166"/>
        <v/>
      </c>
      <c r="Q165" s="51" t="str">
        <f t="shared" si="166"/>
        <v/>
      </c>
      <c r="R165" s="51" t="str">
        <f t="shared" si="166"/>
        <v/>
      </c>
      <c r="S165" s="51" t="str">
        <f t="shared" si="166"/>
        <v/>
      </c>
      <c r="T165" s="51" t="str">
        <f t="shared" si="166"/>
        <v/>
      </c>
      <c r="U165" s="52"/>
      <c r="V165" s="52" t="str">
        <f>IFERROR(__xludf.DUMMYFUNCTION("""COMPUTED_VALUE"""),"")</f>
        <v/>
      </c>
      <c r="W165" s="52" t="str">
        <f>IFERROR(__xludf.DUMMYFUNCTION("""COMPUTED_VALUE"""),"")</f>
        <v/>
      </c>
      <c r="X165" s="52" t="str">
        <f>IFERROR(__xludf.DUMMYFUNCTION("""COMPUTED_VALUE"""),"")</f>
        <v/>
      </c>
      <c r="Y165" s="52" t="str">
        <f>IFERROR(__xludf.DUMMYFUNCTION("""COMPUTED_VALUE"""),"")</f>
        <v/>
      </c>
      <c r="Z165" s="52" t="str">
        <f>IFERROR(__xludf.DUMMYFUNCTION("""COMPUTED_VALUE"""),"")</f>
        <v/>
      </c>
      <c r="AA165" s="52" t="str">
        <f>IFERROR(__xludf.DUMMYFUNCTION("""COMPUTED_VALUE"""),"")</f>
        <v/>
      </c>
      <c r="AB165" s="52" t="str">
        <f>IFERROR(__xludf.DUMMYFUNCTION("""COMPUTED_VALUE"""),"")</f>
        <v/>
      </c>
      <c r="AC165" s="52" t="str">
        <f>IFERROR(__xludf.DUMMYFUNCTION("""COMPUTED_VALUE"""),"")</f>
        <v/>
      </c>
      <c r="AD165" s="52" t="str">
        <f>IFERROR(__xludf.DUMMYFUNCTION("""COMPUTED_VALUE"""),"")</f>
        <v/>
      </c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</row>
    <row r="166">
      <c r="B166" s="49"/>
      <c r="C166" s="49" t="str">
        <f t="shared" si="2"/>
        <v/>
      </c>
      <c r="D166" s="50" t="str">
        <f t="shared" si="3"/>
        <v/>
      </c>
      <c r="E166" s="51" t="str">
        <f t="shared" ref="E166:T166" si="167">IFERROR(VLOOKUP($A166,INDIRECT("'" &amp; E$1 &amp; "'!$C:$G"), 5, FALSE),"")</f>
        <v/>
      </c>
      <c r="F166" s="51" t="str">
        <f t="shared" si="167"/>
        <v/>
      </c>
      <c r="G166" s="51" t="str">
        <f t="shared" si="167"/>
        <v/>
      </c>
      <c r="H166" s="51" t="str">
        <f t="shared" si="167"/>
        <v/>
      </c>
      <c r="I166" s="51" t="str">
        <f t="shared" si="167"/>
        <v/>
      </c>
      <c r="J166" s="51" t="str">
        <f t="shared" si="167"/>
        <v/>
      </c>
      <c r="K166" s="51" t="str">
        <f t="shared" si="167"/>
        <v/>
      </c>
      <c r="L166" s="51" t="str">
        <f t="shared" si="167"/>
        <v/>
      </c>
      <c r="M166" s="51" t="str">
        <f t="shared" si="167"/>
        <v/>
      </c>
      <c r="N166" s="51" t="str">
        <f t="shared" si="167"/>
        <v/>
      </c>
      <c r="O166" s="51" t="str">
        <f t="shared" si="167"/>
        <v/>
      </c>
      <c r="P166" s="51" t="str">
        <f t="shared" si="167"/>
        <v/>
      </c>
      <c r="Q166" s="51" t="str">
        <f t="shared" si="167"/>
        <v/>
      </c>
      <c r="R166" s="51" t="str">
        <f t="shared" si="167"/>
        <v/>
      </c>
      <c r="S166" s="51" t="str">
        <f t="shared" si="167"/>
        <v/>
      </c>
      <c r="T166" s="51" t="str">
        <f t="shared" si="167"/>
        <v/>
      </c>
      <c r="U166" s="52"/>
      <c r="V166" s="52" t="str">
        <f>IFERROR(__xludf.DUMMYFUNCTION("""COMPUTED_VALUE"""),"")</f>
        <v/>
      </c>
      <c r="W166" s="52" t="str">
        <f>IFERROR(__xludf.DUMMYFUNCTION("""COMPUTED_VALUE"""),"")</f>
        <v/>
      </c>
      <c r="X166" s="52" t="str">
        <f>IFERROR(__xludf.DUMMYFUNCTION("""COMPUTED_VALUE"""),"")</f>
        <v/>
      </c>
      <c r="Y166" s="52" t="str">
        <f>IFERROR(__xludf.DUMMYFUNCTION("""COMPUTED_VALUE"""),"")</f>
        <v/>
      </c>
      <c r="Z166" s="52" t="str">
        <f>IFERROR(__xludf.DUMMYFUNCTION("""COMPUTED_VALUE"""),"")</f>
        <v/>
      </c>
      <c r="AA166" s="52" t="str">
        <f>IFERROR(__xludf.DUMMYFUNCTION("""COMPUTED_VALUE"""),"")</f>
        <v/>
      </c>
      <c r="AB166" s="52" t="str">
        <f>IFERROR(__xludf.DUMMYFUNCTION("""COMPUTED_VALUE"""),"")</f>
        <v/>
      </c>
      <c r="AC166" s="52" t="str">
        <f>IFERROR(__xludf.DUMMYFUNCTION("""COMPUTED_VALUE"""),"")</f>
        <v/>
      </c>
      <c r="AD166" s="52" t="str">
        <f>IFERROR(__xludf.DUMMYFUNCTION("""COMPUTED_VALUE"""),"")</f>
        <v/>
      </c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</row>
    <row r="167">
      <c r="B167" s="49"/>
      <c r="C167" s="49" t="str">
        <f t="shared" si="2"/>
        <v/>
      </c>
      <c r="D167" s="50" t="str">
        <f t="shared" si="3"/>
        <v/>
      </c>
      <c r="E167" s="51" t="str">
        <f t="shared" ref="E167:T167" si="168">IFERROR(VLOOKUP($A167,INDIRECT("'" &amp; E$1 &amp; "'!$C:$G"), 5, FALSE),"")</f>
        <v/>
      </c>
      <c r="F167" s="51" t="str">
        <f t="shared" si="168"/>
        <v/>
      </c>
      <c r="G167" s="51" t="str">
        <f t="shared" si="168"/>
        <v/>
      </c>
      <c r="H167" s="51" t="str">
        <f t="shared" si="168"/>
        <v/>
      </c>
      <c r="I167" s="51" t="str">
        <f t="shared" si="168"/>
        <v/>
      </c>
      <c r="J167" s="51" t="str">
        <f t="shared" si="168"/>
        <v/>
      </c>
      <c r="K167" s="51" t="str">
        <f t="shared" si="168"/>
        <v/>
      </c>
      <c r="L167" s="51" t="str">
        <f t="shared" si="168"/>
        <v/>
      </c>
      <c r="M167" s="51" t="str">
        <f t="shared" si="168"/>
        <v/>
      </c>
      <c r="N167" s="51" t="str">
        <f t="shared" si="168"/>
        <v/>
      </c>
      <c r="O167" s="51" t="str">
        <f t="shared" si="168"/>
        <v/>
      </c>
      <c r="P167" s="51" t="str">
        <f t="shared" si="168"/>
        <v/>
      </c>
      <c r="Q167" s="51" t="str">
        <f t="shared" si="168"/>
        <v/>
      </c>
      <c r="R167" s="51" t="str">
        <f t="shared" si="168"/>
        <v/>
      </c>
      <c r="S167" s="51" t="str">
        <f t="shared" si="168"/>
        <v/>
      </c>
      <c r="T167" s="51" t="str">
        <f t="shared" si="168"/>
        <v/>
      </c>
      <c r="U167" s="52"/>
      <c r="V167" s="52" t="str">
        <f>IFERROR(__xludf.DUMMYFUNCTION("""COMPUTED_VALUE"""),"")</f>
        <v/>
      </c>
      <c r="W167" s="52" t="str">
        <f>IFERROR(__xludf.DUMMYFUNCTION("""COMPUTED_VALUE"""),"")</f>
        <v/>
      </c>
      <c r="X167" s="52" t="str">
        <f>IFERROR(__xludf.DUMMYFUNCTION("""COMPUTED_VALUE"""),"")</f>
        <v/>
      </c>
      <c r="Y167" s="52" t="str">
        <f>IFERROR(__xludf.DUMMYFUNCTION("""COMPUTED_VALUE"""),"")</f>
        <v/>
      </c>
      <c r="Z167" s="52" t="str">
        <f>IFERROR(__xludf.DUMMYFUNCTION("""COMPUTED_VALUE"""),"")</f>
        <v/>
      </c>
      <c r="AA167" s="52" t="str">
        <f>IFERROR(__xludf.DUMMYFUNCTION("""COMPUTED_VALUE"""),"")</f>
        <v/>
      </c>
      <c r="AB167" s="52" t="str">
        <f>IFERROR(__xludf.DUMMYFUNCTION("""COMPUTED_VALUE"""),"")</f>
        <v/>
      </c>
      <c r="AC167" s="52" t="str">
        <f>IFERROR(__xludf.DUMMYFUNCTION("""COMPUTED_VALUE"""),"")</f>
        <v/>
      </c>
      <c r="AD167" s="52" t="str">
        <f>IFERROR(__xludf.DUMMYFUNCTION("""COMPUTED_VALUE"""),"")</f>
        <v/>
      </c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</row>
    <row r="168">
      <c r="B168" s="49"/>
      <c r="C168" s="49" t="str">
        <f t="shared" si="2"/>
        <v/>
      </c>
      <c r="D168" s="50" t="str">
        <f t="shared" si="3"/>
        <v/>
      </c>
      <c r="E168" s="51" t="str">
        <f t="shared" ref="E168:T168" si="169">IFERROR(VLOOKUP($A168,INDIRECT("'" &amp; E$1 &amp; "'!$C:$G"), 5, FALSE),"")</f>
        <v/>
      </c>
      <c r="F168" s="51" t="str">
        <f t="shared" si="169"/>
        <v/>
      </c>
      <c r="G168" s="51" t="str">
        <f t="shared" si="169"/>
        <v/>
      </c>
      <c r="H168" s="51" t="str">
        <f t="shared" si="169"/>
        <v/>
      </c>
      <c r="I168" s="51" t="str">
        <f t="shared" si="169"/>
        <v/>
      </c>
      <c r="J168" s="51" t="str">
        <f t="shared" si="169"/>
        <v/>
      </c>
      <c r="K168" s="51" t="str">
        <f t="shared" si="169"/>
        <v/>
      </c>
      <c r="L168" s="51" t="str">
        <f t="shared" si="169"/>
        <v/>
      </c>
      <c r="M168" s="51" t="str">
        <f t="shared" si="169"/>
        <v/>
      </c>
      <c r="N168" s="51" t="str">
        <f t="shared" si="169"/>
        <v/>
      </c>
      <c r="O168" s="51" t="str">
        <f t="shared" si="169"/>
        <v/>
      </c>
      <c r="P168" s="51" t="str">
        <f t="shared" si="169"/>
        <v/>
      </c>
      <c r="Q168" s="51" t="str">
        <f t="shared" si="169"/>
        <v/>
      </c>
      <c r="R168" s="51" t="str">
        <f t="shared" si="169"/>
        <v/>
      </c>
      <c r="S168" s="51" t="str">
        <f t="shared" si="169"/>
        <v/>
      </c>
      <c r="T168" s="51" t="str">
        <f t="shared" si="169"/>
        <v/>
      </c>
      <c r="U168" s="52"/>
      <c r="V168" s="52" t="str">
        <f>IFERROR(__xludf.DUMMYFUNCTION("""COMPUTED_VALUE"""),"")</f>
        <v/>
      </c>
      <c r="W168" s="52" t="str">
        <f>IFERROR(__xludf.DUMMYFUNCTION("""COMPUTED_VALUE"""),"")</f>
        <v/>
      </c>
      <c r="X168" s="52" t="str">
        <f>IFERROR(__xludf.DUMMYFUNCTION("""COMPUTED_VALUE"""),"")</f>
        <v/>
      </c>
      <c r="Y168" s="52" t="str">
        <f>IFERROR(__xludf.DUMMYFUNCTION("""COMPUTED_VALUE"""),"")</f>
        <v/>
      </c>
      <c r="Z168" s="52" t="str">
        <f>IFERROR(__xludf.DUMMYFUNCTION("""COMPUTED_VALUE"""),"")</f>
        <v/>
      </c>
      <c r="AA168" s="52" t="str">
        <f>IFERROR(__xludf.DUMMYFUNCTION("""COMPUTED_VALUE"""),"")</f>
        <v/>
      </c>
      <c r="AB168" s="52" t="str">
        <f>IFERROR(__xludf.DUMMYFUNCTION("""COMPUTED_VALUE"""),"")</f>
        <v/>
      </c>
      <c r="AC168" s="52" t="str">
        <f>IFERROR(__xludf.DUMMYFUNCTION("""COMPUTED_VALUE"""),"")</f>
        <v/>
      </c>
      <c r="AD168" s="52" t="str">
        <f>IFERROR(__xludf.DUMMYFUNCTION("""COMPUTED_VALUE"""),"")</f>
        <v/>
      </c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</row>
    <row r="169">
      <c r="B169" s="49"/>
      <c r="C169" s="49" t="str">
        <f t="shared" si="2"/>
        <v/>
      </c>
      <c r="D169" s="50" t="str">
        <f t="shared" si="3"/>
        <v/>
      </c>
      <c r="E169" s="51" t="str">
        <f t="shared" ref="E169:T169" si="170">IFERROR(VLOOKUP($A169,INDIRECT("'" &amp; E$1 &amp; "'!$C:$G"), 5, FALSE),"")</f>
        <v/>
      </c>
      <c r="F169" s="51" t="str">
        <f t="shared" si="170"/>
        <v/>
      </c>
      <c r="G169" s="51" t="str">
        <f t="shared" si="170"/>
        <v/>
      </c>
      <c r="H169" s="51" t="str">
        <f t="shared" si="170"/>
        <v/>
      </c>
      <c r="I169" s="51" t="str">
        <f t="shared" si="170"/>
        <v/>
      </c>
      <c r="J169" s="51" t="str">
        <f t="shared" si="170"/>
        <v/>
      </c>
      <c r="K169" s="51" t="str">
        <f t="shared" si="170"/>
        <v/>
      </c>
      <c r="L169" s="51" t="str">
        <f t="shared" si="170"/>
        <v/>
      </c>
      <c r="M169" s="51" t="str">
        <f t="shared" si="170"/>
        <v/>
      </c>
      <c r="N169" s="51" t="str">
        <f t="shared" si="170"/>
        <v/>
      </c>
      <c r="O169" s="51" t="str">
        <f t="shared" si="170"/>
        <v/>
      </c>
      <c r="P169" s="51" t="str">
        <f t="shared" si="170"/>
        <v/>
      </c>
      <c r="Q169" s="51" t="str">
        <f t="shared" si="170"/>
        <v/>
      </c>
      <c r="R169" s="51" t="str">
        <f t="shared" si="170"/>
        <v/>
      </c>
      <c r="S169" s="51" t="str">
        <f t="shared" si="170"/>
        <v/>
      </c>
      <c r="T169" s="51" t="str">
        <f t="shared" si="170"/>
        <v/>
      </c>
      <c r="U169" s="52"/>
      <c r="V169" s="52" t="str">
        <f>IFERROR(__xludf.DUMMYFUNCTION("""COMPUTED_VALUE"""),"")</f>
        <v/>
      </c>
      <c r="W169" s="52" t="str">
        <f>IFERROR(__xludf.DUMMYFUNCTION("""COMPUTED_VALUE"""),"")</f>
        <v/>
      </c>
      <c r="X169" s="52" t="str">
        <f>IFERROR(__xludf.DUMMYFUNCTION("""COMPUTED_VALUE"""),"")</f>
        <v/>
      </c>
      <c r="Y169" s="52" t="str">
        <f>IFERROR(__xludf.DUMMYFUNCTION("""COMPUTED_VALUE"""),"")</f>
        <v/>
      </c>
      <c r="Z169" s="52" t="str">
        <f>IFERROR(__xludf.DUMMYFUNCTION("""COMPUTED_VALUE"""),"")</f>
        <v/>
      </c>
      <c r="AA169" s="52" t="str">
        <f>IFERROR(__xludf.DUMMYFUNCTION("""COMPUTED_VALUE"""),"")</f>
        <v/>
      </c>
      <c r="AB169" s="52" t="str">
        <f>IFERROR(__xludf.DUMMYFUNCTION("""COMPUTED_VALUE"""),"")</f>
        <v/>
      </c>
      <c r="AC169" s="52" t="str">
        <f>IFERROR(__xludf.DUMMYFUNCTION("""COMPUTED_VALUE"""),"")</f>
        <v/>
      </c>
      <c r="AD169" s="52" t="str">
        <f>IFERROR(__xludf.DUMMYFUNCTION("""COMPUTED_VALUE"""),"")</f>
        <v/>
      </c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</row>
    <row r="170">
      <c r="B170" s="49"/>
      <c r="C170" s="49" t="str">
        <f t="shared" si="2"/>
        <v/>
      </c>
      <c r="D170" s="50" t="str">
        <f t="shared" si="3"/>
        <v/>
      </c>
      <c r="E170" s="51" t="str">
        <f t="shared" ref="E170:T170" si="171">IFERROR(VLOOKUP($A170,INDIRECT("'" &amp; E$1 &amp; "'!$C:$G"), 5, FALSE),"")</f>
        <v/>
      </c>
      <c r="F170" s="51" t="str">
        <f t="shared" si="171"/>
        <v/>
      </c>
      <c r="G170" s="51" t="str">
        <f t="shared" si="171"/>
        <v/>
      </c>
      <c r="H170" s="51" t="str">
        <f t="shared" si="171"/>
        <v/>
      </c>
      <c r="I170" s="51" t="str">
        <f t="shared" si="171"/>
        <v/>
      </c>
      <c r="J170" s="51" t="str">
        <f t="shared" si="171"/>
        <v/>
      </c>
      <c r="K170" s="51" t="str">
        <f t="shared" si="171"/>
        <v/>
      </c>
      <c r="L170" s="51" t="str">
        <f t="shared" si="171"/>
        <v/>
      </c>
      <c r="M170" s="51" t="str">
        <f t="shared" si="171"/>
        <v/>
      </c>
      <c r="N170" s="51" t="str">
        <f t="shared" si="171"/>
        <v/>
      </c>
      <c r="O170" s="51" t="str">
        <f t="shared" si="171"/>
        <v/>
      </c>
      <c r="P170" s="51" t="str">
        <f t="shared" si="171"/>
        <v/>
      </c>
      <c r="Q170" s="51" t="str">
        <f t="shared" si="171"/>
        <v/>
      </c>
      <c r="R170" s="51" t="str">
        <f t="shared" si="171"/>
        <v/>
      </c>
      <c r="S170" s="51" t="str">
        <f t="shared" si="171"/>
        <v/>
      </c>
      <c r="T170" s="51" t="str">
        <f t="shared" si="171"/>
        <v/>
      </c>
      <c r="U170" s="52"/>
      <c r="V170" s="52" t="str">
        <f>IFERROR(__xludf.DUMMYFUNCTION("""COMPUTED_VALUE"""),"")</f>
        <v/>
      </c>
      <c r="W170" s="52" t="str">
        <f>IFERROR(__xludf.DUMMYFUNCTION("""COMPUTED_VALUE"""),"")</f>
        <v/>
      </c>
      <c r="X170" s="52" t="str">
        <f>IFERROR(__xludf.DUMMYFUNCTION("""COMPUTED_VALUE"""),"")</f>
        <v/>
      </c>
      <c r="Y170" s="52" t="str">
        <f>IFERROR(__xludf.DUMMYFUNCTION("""COMPUTED_VALUE"""),"")</f>
        <v/>
      </c>
      <c r="Z170" s="52" t="str">
        <f>IFERROR(__xludf.DUMMYFUNCTION("""COMPUTED_VALUE"""),"")</f>
        <v/>
      </c>
      <c r="AA170" s="52" t="str">
        <f>IFERROR(__xludf.DUMMYFUNCTION("""COMPUTED_VALUE"""),"")</f>
        <v/>
      </c>
      <c r="AB170" s="52" t="str">
        <f>IFERROR(__xludf.DUMMYFUNCTION("""COMPUTED_VALUE"""),"")</f>
        <v/>
      </c>
      <c r="AC170" s="52" t="str">
        <f>IFERROR(__xludf.DUMMYFUNCTION("""COMPUTED_VALUE"""),"")</f>
        <v/>
      </c>
      <c r="AD170" s="52" t="str">
        <f>IFERROR(__xludf.DUMMYFUNCTION("""COMPUTED_VALUE"""),"")</f>
        <v/>
      </c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</row>
    <row r="171">
      <c r="B171" s="49"/>
      <c r="C171" s="49" t="str">
        <f t="shared" si="2"/>
        <v/>
      </c>
      <c r="D171" s="50" t="str">
        <f t="shared" si="3"/>
        <v/>
      </c>
      <c r="E171" s="51" t="str">
        <f t="shared" ref="E171:T171" si="172">IFERROR(VLOOKUP($A171,INDIRECT("'" &amp; E$1 &amp; "'!$C:$G"), 5, FALSE),"")</f>
        <v/>
      </c>
      <c r="F171" s="51" t="str">
        <f t="shared" si="172"/>
        <v/>
      </c>
      <c r="G171" s="51" t="str">
        <f t="shared" si="172"/>
        <v/>
      </c>
      <c r="H171" s="51" t="str">
        <f t="shared" si="172"/>
        <v/>
      </c>
      <c r="I171" s="51" t="str">
        <f t="shared" si="172"/>
        <v/>
      </c>
      <c r="J171" s="51" t="str">
        <f t="shared" si="172"/>
        <v/>
      </c>
      <c r="K171" s="51" t="str">
        <f t="shared" si="172"/>
        <v/>
      </c>
      <c r="L171" s="51" t="str">
        <f t="shared" si="172"/>
        <v/>
      </c>
      <c r="M171" s="51" t="str">
        <f t="shared" si="172"/>
        <v/>
      </c>
      <c r="N171" s="51" t="str">
        <f t="shared" si="172"/>
        <v/>
      </c>
      <c r="O171" s="51" t="str">
        <f t="shared" si="172"/>
        <v/>
      </c>
      <c r="P171" s="51" t="str">
        <f t="shared" si="172"/>
        <v/>
      </c>
      <c r="Q171" s="51" t="str">
        <f t="shared" si="172"/>
        <v/>
      </c>
      <c r="R171" s="51" t="str">
        <f t="shared" si="172"/>
        <v/>
      </c>
      <c r="S171" s="51" t="str">
        <f t="shared" si="172"/>
        <v/>
      </c>
      <c r="T171" s="51" t="str">
        <f t="shared" si="172"/>
        <v/>
      </c>
      <c r="U171" s="52"/>
      <c r="V171" s="52" t="str">
        <f>IFERROR(__xludf.DUMMYFUNCTION("""COMPUTED_VALUE"""),"")</f>
        <v/>
      </c>
      <c r="W171" s="52" t="str">
        <f>IFERROR(__xludf.DUMMYFUNCTION("""COMPUTED_VALUE"""),"")</f>
        <v/>
      </c>
      <c r="X171" s="52" t="str">
        <f>IFERROR(__xludf.DUMMYFUNCTION("""COMPUTED_VALUE"""),"")</f>
        <v/>
      </c>
      <c r="Y171" s="52" t="str">
        <f>IFERROR(__xludf.DUMMYFUNCTION("""COMPUTED_VALUE"""),"")</f>
        <v/>
      </c>
      <c r="Z171" s="52" t="str">
        <f>IFERROR(__xludf.DUMMYFUNCTION("""COMPUTED_VALUE"""),"")</f>
        <v/>
      </c>
      <c r="AA171" s="52" t="str">
        <f>IFERROR(__xludf.DUMMYFUNCTION("""COMPUTED_VALUE"""),"")</f>
        <v/>
      </c>
      <c r="AB171" s="52" t="str">
        <f>IFERROR(__xludf.DUMMYFUNCTION("""COMPUTED_VALUE"""),"")</f>
        <v/>
      </c>
      <c r="AC171" s="52" t="str">
        <f>IFERROR(__xludf.DUMMYFUNCTION("""COMPUTED_VALUE"""),"")</f>
        <v/>
      </c>
      <c r="AD171" s="52" t="str">
        <f>IFERROR(__xludf.DUMMYFUNCTION("""COMPUTED_VALUE"""),"")</f>
        <v/>
      </c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</row>
    <row r="172">
      <c r="B172" s="49"/>
      <c r="C172" s="49" t="str">
        <f t="shared" si="2"/>
        <v/>
      </c>
      <c r="D172" s="50" t="str">
        <f t="shared" si="3"/>
        <v/>
      </c>
      <c r="E172" s="51" t="str">
        <f t="shared" ref="E172:T172" si="173">IFERROR(VLOOKUP($A172,INDIRECT("'" &amp; E$1 &amp; "'!$C:$G"), 5, FALSE),"")</f>
        <v/>
      </c>
      <c r="F172" s="51" t="str">
        <f t="shared" si="173"/>
        <v/>
      </c>
      <c r="G172" s="51" t="str">
        <f t="shared" si="173"/>
        <v/>
      </c>
      <c r="H172" s="51" t="str">
        <f t="shared" si="173"/>
        <v/>
      </c>
      <c r="I172" s="51" t="str">
        <f t="shared" si="173"/>
        <v/>
      </c>
      <c r="J172" s="51" t="str">
        <f t="shared" si="173"/>
        <v/>
      </c>
      <c r="K172" s="51" t="str">
        <f t="shared" si="173"/>
        <v/>
      </c>
      <c r="L172" s="51" t="str">
        <f t="shared" si="173"/>
        <v/>
      </c>
      <c r="M172" s="51" t="str">
        <f t="shared" si="173"/>
        <v/>
      </c>
      <c r="N172" s="51" t="str">
        <f t="shared" si="173"/>
        <v/>
      </c>
      <c r="O172" s="51" t="str">
        <f t="shared" si="173"/>
        <v/>
      </c>
      <c r="P172" s="51" t="str">
        <f t="shared" si="173"/>
        <v/>
      </c>
      <c r="Q172" s="51" t="str">
        <f t="shared" si="173"/>
        <v/>
      </c>
      <c r="R172" s="51" t="str">
        <f t="shared" si="173"/>
        <v/>
      </c>
      <c r="S172" s="51" t="str">
        <f t="shared" si="173"/>
        <v/>
      </c>
      <c r="T172" s="51" t="str">
        <f t="shared" si="173"/>
        <v/>
      </c>
      <c r="U172" s="52"/>
      <c r="V172" s="52" t="str">
        <f>IFERROR(__xludf.DUMMYFUNCTION("""COMPUTED_VALUE"""),"")</f>
        <v/>
      </c>
      <c r="W172" s="52" t="str">
        <f>IFERROR(__xludf.DUMMYFUNCTION("""COMPUTED_VALUE"""),"")</f>
        <v/>
      </c>
      <c r="X172" s="52" t="str">
        <f>IFERROR(__xludf.DUMMYFUNCTION("""COMPUTED_VALUE"""),"")</f>
        <v/>
      </c>
      <c r="Y172" s="52" t="str">
        <f>IFERROR(__xludf.DUMMYFUNCTION("""COMPUTED_VALUE"""),"")</f>
        <v/>
      </c>
      <c r="Z172" s="52" t="str">
        <f>IFERROR(__xludf.DUMMYFUNCTION("""COMPUTED_VALUE"""),"")</f>
        <v/>
      </c>
      <c r="AA172" s="52" t="str">
        <f>IFERROR(__xludf.DUMMYFUNCTION("""COMPUTED_VALUE"""),"")</f>
        <v/>
      </c>
      <c r="AB172" s="52" t="str">
        <f>IFERROR(__xludf.DUMMYFUNCTION("""COMPUTED_VALUE"""),"")</f>
        <v/>
      </c>
      <c r="AC172" s="52" t="str">
        <f>IFERROR(__xludf.DUMMYFUNCTION("""COMPUTED_VALUE"""),"")</f>
        <v/>
      </c>
      <c r="AD172" s="52" t="str">
        <f>IFERROR(__xludf.DUMMYFUNCTION("""COMPUTED_VALUE"""),"")</f>
        <v/>
      </c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</row>
    <row r="173">
      <c r="B173" s="49"/>
      <c r="C173" s="49" t="str">
        <f t="shared" si="2"/>
        <v/>
      </c>
      <c r="D173" s="50" t="str">
        <f t="shared" si="3"/>
        <v/>
      </c>
      <c r="E173" s="51" t="str">
        <f t="shared" ref="E173:T173" si="174">IFERROR(VLOOKUP($A173,INDIRECT("'" &amp; E$1 &amp; "'!$C:$G"), 5, FALSE),"")</f>
        <v/>
      </c>
      <c r="F173" s="51" t="str">
        <f t="shared" si="174"/>
        <v/>
      </c>
      <c r="G173" s="51" t="str">
        <f t="shared" si="174"/>
        <v/>
      </c>
      <c r="H173" s="51" t="str">
        <f t="shared" si="174"/>
        <v/>
      </c>
      <c r="I173" s="51" t="str">
        <f t="shared" si="174"/>
        <v/>
      </c>
      <c r="J173" s="51" t="str">
        <f t="shared" si="174"/>
        <v/>
      </c>
      <c r="K173" s="51" t="str">
        <f t="shared" si="174"/>
        <v/>
      </c>
      <c r="L173" s="51" t="str">
        <f t="shared" si="174"/>
        <v/>
      </c>
      <c r="M173" s="51" t="str">
        <f t="shared" si="174"/>
        <v/>
      </c>
      <c r="N173" s="51" t="str">
        <f t="shared" si="174"/>
        <v/>
      </c>
      <c r="O173" s="51" t="str">
        <f t="shared" si="174"/>
        <v/>
      </c>
      <c r="P173" s="51" t="str">
        <f t="shared" si="174"/>
        <v/>
      </c>
      <c r="Q173" s="51" t="str">
        <f t="shared" si="174"/>
        <v/>
      </c>
      <c r="R173" s="51" t="str">
        <f t="shared" si="174"/>
        <v/>
      </c>
      <c r="S173" s="51" t="str">
        <f t="shared" si="174"/>
        <v/>
      </c>
      <c r="T173" s="51" t="str">
        <f t="shared" si="174"/>
        <v/>
      </c>
      <c r="U173" s="52"/>
      <c r="V173" s="52" t="str">
        <f>IFERROR(__xludf.DUMMYFUNCTION("""COMPUTED_VALUE"""),"")</f>
        <v/>
      </c>
      <c r="W173" s="52" t="str">
        <f>IFERROR(__xludf.DUMMYFUNCTION("""COMPUTED_VALUE"""),"")</f>
        <v/>
      </c>
      <c r="X173" s="52" t="str">
        <f>IFERROR(__xludf.DUMMYFUNCTION("""COMPUTED_VALUE"""),"")</f>
        <v/>
      </c>
      <c r="Y173" s="52" t="str">
        <f>IFERROR(__xludf.DUMMYFUNCTION("""COMPUTED_VALUE"""),"")</f>
        <v/>
      </c>
      <c r="Z173" s="52" t="str">
        <f>IFERROR(__xludf.DUMMYFUNCTION("""COMPUTED_VALUE"""),"")</f>
        <v/>
      </c>
      <c r="AA173" s="52" t="str">
        <f>IFERROR(__xludf.DUMMYFUNCTION("""COMPUTED_VALUE"""),"")</f>
        <v/>
      </c>
      <c r="AB173" s="52" t="str">
        <f>IFERROR(__xludf.DUMMYFUNCTION("""COMPUTED_VALUE"""),"")</f>
        <v/>
      </c>
      <c r="AC173" s="52" t="str">
        <f>IFERROR(__xludf.DUMMYFUNCTION("""COMPUTED_VALUE"""),"")</f>
        <v/>
      </c>
      <c r="AD173" s="52" t="str">
        <f>IFERROR(__xludf.DUMMYFUNCTION("""COMPUTED_VALUE"""),"")</f>
        <v/>
      </c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</row>
    <row r="174">
      <c r="B174" s="49"/>
      <c r="C174" s="49" t="str">
        <f t="shared" si="2"/>
        <v/>
      </c>
      <c r="D174" s="50" t="str">
        <f t="shared" si="3"/>
        <v/>
      </c>
      <c r="E174" s="51" t="str">
        <f t="shared" ref="E174:T174" si="175">IFERROR(VLOOKUP($A174,INDIRECT("'" &amp; E$1 &amp; "'!$C:$G"), 5, FALSE),"")</f>
        <v/>
      </c>
      <c r="F174" s="51" t="str">
        <f t="shared" si="175"/>
        <v/>
      </c>
      <c r="G174" s="51" t="str">
        <f t="shared" si="175"/>
        <v/>
      </c>
      <c r="H174" s="51" t="str">
        <f t="shared" si="175"/>
        <v/>
      </c>
      <c r="I174" s="51" t="str">
        <f t="shared" si="175"/>
        <v/>
      </c>
      <c r="J174" s="51" t="str">
        <f t="shared" si="175"/>
        <v/>
      </c>
      <c r="K174" s="51" t="str">
        <f t="shared" si="175"/>
        <v/>
      </c>
      <c r="L174" s="51" t="str">
        <f t="shared" si="175"/>
        <v/>
      </c>
      <c r="M174" s="51" t="str">
        <f t="shared" si="175"/>
        <v/>
      </c>
      <c r="N174" s="51" t="str">
        <f t="shared" si="175"/>
        <v/>
      </c>
      <c r="O174" s="51" t="str">
        <f t="shared" si="175"/>
        <v/>
      </c>
      <c r="P174" s="51" t="str">
        <f t="shared" si="175"/>
        <v/>
      </c>
      <c r="Q174" s="51" t="str">
        <f t="shared" si="175"/>
        <v/>
      </c>
      <c r="R174" s="51" t="str">
        <f t="shared" si="175"/>
        <v/>
      </c>
      <c r="S174" s="51" t="str">
        <f t="shared" si="175"/>
        <v/>
      </c>
      <c r="T174" s="51" t="str">
        <f t="shared" si="175"/>
        <v/>
      </c>
      <c r="U174" s="52"/>
      <c r="V174" s="52" t="str">
        <f>IFERROR(__xludf.DUMMYFUNCTION("""COMPUTED_VALUE"""),"")</f>
        <v/>
      </c>
      <c r="W174" s="52" t="str">
        <f>IFERROR(__xludf.DUMMYFUNCTION("""COMPUTED_VALUE"""),"")</f>
        <v/>
      </c>
      <c r="X174" s="52" t="str">
        <f>IFERROR(__xludf.DUMMYFUNCTION("""COMPUTED_VALUE"""),"")</f>
        <v/>
      </c>
      <c r="Y174" s="52" t="str">
        <f>IFERROR(__xludf.DUMMYFUNCTION("""COMPUTED_VALUE"""),"")</f>
        <v/>
      </c>
      <c r="Z174" s="52" t="str">
        <f>IFERROR(__xludf.DUMMYFUNCTION("""COMPUTED_VALUE"""),"")</f>
        <v/>
      </c>
      <c r="AA174" s="52" t="str">
        <f>IFERROR(__xludf.DUMMYFUNCTION("""COMPUTED_VALUE"""),"")</f>
        <v/>
      </c>
      <c r="AB174" s="52" t="str">
        <f>IFERROR(__xludf.DUMMYFUNCTION("""COMPUTED_VALUE"""),"")</f>
        <v/>
      </c>
      <c r="AC174" s="52" t="str">
        <f>IFERROR(__xludf.DUMMYFUNCTION("""COMPUTED_VALUE"""),"")</f>
        <v/>
      </c>
      <c r="AD174" s="52" t="str">
        <f>IFERROR(__xludf.DUMMYFUNCTION("""COMPUTED_VALUE"""),"")</f>
        <v/>
      </c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</row>
    <row r="175">
      <c r="B175" s="49"/>
      <c r="C175" s="49" t="str">
        <f t="shared" si="2"/>
        <v/>
      </c>
      <c r="D175" s="50" t="str">
        <f t="shared" si="3"/>
        <v/>
      </c>
      <c r="E175" s="51" t="str">
        <f t="shared" ref="E175:T175" si="176">IFERROR(VLOOKUP($A175,INDIRECT("'" &amp; E$1 &amp; "'!$C:$G"), 5, FALSE),"")</f>
        <v/>
      </c>
      <c r="F175" s="51" t="str">
        <f t="shared" si="176"/>
        <v/>
      </c>
      <c r="G175" s="51" t="str">
        <f t="shared" si="176"/>
        <v/>
      </c>
      <c r="H175" s="51" t="str">
        <f t="shared" si="176"/>
        <v/>
      </c>
      <c r="I175" s="51" t="str">
        <f t="shared" si="176"/>
        <v/>
      </c>
      <c r="J175" s="51" t="str">
        <f t="shared" si="176"/>
        <v/>
      </c>
      <c r="K175" s="51" t="str">
        <f t="shared" si="176"/>
        <v/>
      </c>
      <c r="L175" s="51" t="str">
        <f t="shared" si="176"/>
        <v/>
      </c>
      <c r="M175" s="51" t="str">
        <f t="shared" si="176"/>
        <v/>
      </c>
      <c r="N175" s="51" t="str">
        <f t="shared" si="176"/>
        <v/>
      </c>
      <c r="O175" s="51" t="str">
        <f t="shared" si="176"/>
        <v/>
      </c>
      <c r="P175" s="51" t="str">
        <f t="shared" si="176"/>
        <v/>
      </c>
      <c r="Q175" s="51" t="str">
        <f t="shared" si="176"/>
        <v/>
      </c>
      <c r="R175" s="51" t="str">
        <f t="shared" si="176"/>
        <v/>
      </c>
      <c r="S175" s="51" t="str">
        <f t="shared" si="176"/>
        <v/>
      </c>
      <c r="T175" s="51" t="str">
        <f t="shared" si="176"/>
        <v/>
      </c>
      <c r="U175" s="52"/>
      <c r="V175" s="52" t="str">
        <f>IFERROR(__xludf.DUMMYFUNCTION("""COMPUTED_VALUE"""),"")</f>
        <v/>
      </c>
      <c r="W175" s="52" t="str">
        <f>IFERROR(__xludf.DUMMYFUNCTION("""COMPUTED_VALUE"""),"")</f>
        <v/>
      </c>
      <c r="X175" s="52" t="str">
        <f>IFERROR(__xludf.DUMMYFUNCTION("""COMPUTED_VALUE"""),"")</f>
        <v/>
      </c>
      <c r="Y175" s="52" t="str">
        <f>IFERROR(__xludf.DUMMYFUNCTION("""COMPUTED_VALUE"""),"")</f>
        <v/>
      </c>
      <c r="Z175" s="52" t="str">
        <f>IFERROR(__xludf.DUMMYFUNCTION("""COMPUTED_VALUE"""),"")</f>
        <v/>
      </c>
      <c r="AA175" s="52" t="str">
        <f>IFERROR(__xludf.DUMMYFUNCTION("""COMPUTED_VALUE"""),"")</f>
        <v/>
      </c>
      <c r="AB175" s="52" t="str">
        <f>IFERROR(__xludf.DUMMYFUNCTION("""COMPUTED_VALUE"""),"")</f>
        <v/>
      </c>
      <c r="AC175" s="52" t="str">
        <f>IFERROR(__xludf.DUMMYFUNCTION("""COMPUTED_VALUE"""),"")</f>
        <v/>
      </c>
      <c r="AD175" s="52" t="str">
        <f>IFERROR(__xludf.DUMMYFUNCTION("""COMPUTED_VALUE"""),"")</f>
        <v/>
      </c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</row>
    <row r="176">
      <c r="B176" s="49"/>
      <c r="C176" s="49" t="str">
        <f t="shared" si="2"/>
        <v/>
      </c>
      <c r="D176" s="50" t="str">
        <f t="shared" si="3"/>
        <v/>
      </c>
      <c r="E176" s="51" t="str">
        <f t="shared" ref="E176:T176" si="177">IFERROR(VLOOKUP($A176,INDIRECT("'" &amp; E$1 &amp; "'!$C:$G"), 5, FALSE),"")</f>
        <v/>
      </c>
      <c r="F176" s="51" t="str">
        <f t="shared" si="177"/>
        <v/>
      </c>
      <c r="G176" s="51" t="str">
        <f t="shared" si="177"/>
        <v/>
      </c>
      <c r="H176" s="51" t="str">
        <f t="shared" si="177"/>
        <v/>
      </c>
      <c r="I176" s="51" t="str">
        <f t="shared" si="177"/>
        <v/>
      </c>
      <c r="J176" s="51" t="str">
        <f t="shared" si="177"/>
        <v/>
      </c>
      <c r="K176" s="51" t="str">
        <f t="shared" si="177"/>
        <v/>
      </c>
      <c r="L176" s="51" t="str">
        <f t="shared" si="177"/>
        <v/>
      </c>
      <c r="M176" s="51" t="str">
        <f t="shared" si="177"/>
        <v/>
      </c>
      <c r="N176" s="51" t="str">
        <f t="shared" si="177"/>
        <v/>
      </c>
      <c r="O176" s="51" t="str">
        <f t="shared" si="177"/>
        <v/>
      </c>
      <c r="P176" s="51" t="str">
        <f t="shared" si="177"/>
        <v/>
      </c>
      <c r="Q176" s="51" t="str">
        <f t="shared" si="177"/>
        <v/>
      </c>
      <c r="R176" s="51" t="str">
        <f t="shared" si="177"/>
        <v/>
      </c>
      <c r="S176" s="51" t="str">
        <f t="shared" si="177"/>
        <v/>
      </c>
      <c r="T176" s="51" t="str">
        <f t="shared" si="177"/>
        <v/>
      </c>
      <c r="U176" s="52"/>
      <c r="V176" s="52" t="str">
        <f>IFERROR(__xludf.DUMMYFUNCTION("""COMPUTED_VALUE"""),"")</f>
        <v/>
      </c>
      <c r="W176" s="52" t="str">
        <f>IFERROR(__xludf.DUMMYFUNCTION("""COMPUTED_VALUE"""),"")</f>
        <v/>
      </c>
      <c r="X176" s="52" t="str">
        <f>IFERROR(__xludf.DUMMYFUNCTION("""COMPUTED_VALUE"""),"")</f>
        <v/>
      </c>
      <c r="Y176" s="52" t="str">
        <f>IFERROR(__xludf.DUMMYFUNCTION("""COMPUTED_VALUE"""),"")</f>
        <v/>
      </c>
      <c r="Z176" s="52" t="str">
        <f>IFERROR(__xludf.DUMMYFUNCTION("""COMPUTED_VALUE"""),"")</f>
        <v/>
      </c>
      <c r="AA176" s="52" t="str">
        <f>IFERROR(__xludf.DUMMYFUNCTION("""COMPUTED_VALUE"""),"")</f>
        <v/>
      </c>
      <c r="AB176" s="52" t="str">
        <f>IFERROR(__xludf.DUMMYFUNCTION("""COMPUTED_VALUE"""),"")</f>
        <v/>
      </c>
      <c r="AC176" s="52" t="str">
        <f>IFERROR(__xludf.DUMMYFUNCTION("""COMPUTED_VALUE"""),"")</f>
        <v/>
      </c>
      <c r="AD176" s="52" t="str">
        <f>IFERROR(__xludf.DUMMYFUNCTION("""COMPUTED_VALUE"""),"")</f>
        <v/>
      </c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</row>
    <row r="177">
      <c r="B177" s="49"/>
      <c r="C177" s="49" t="str">
        <f t="shared" si="2"/>
        <v/>
      </c>
      <c r="D177" s="50" t="str">
        <f t="shared" si="3"/>
        <v/>
      </c>
      <c r="E177" s="51" t="str">
        <f t="shared" ref="E177:T177" si="178">IFERROR(VLOOKUP($A177,INDIRECT("'" &amp; E$1 &amp; "'!$C:$G"), 5, FALSE),"")</f>
        <v/>
      </c>
      <c r="F177" s="51" t="str">
        <f t="shared" si="178"/>
        <v/>
      </c>
      <c r="G177" s="51" t="str">
        <f t="shared" si="178"/>
        <v/>
      </c>
      <c r="H177" s="51" t="str">
        <f t="shared" si="178"/>
        <v/>
      </c>
      <c r="I177" s="51" t="str">
        <f t="shared" si="178"/>
        <v/>
      </c>
      <c r="J177" s="51" t="str">
        <f t="shared" si="178"/>
        <v/>
      </c>
      <c r="K177" s="51" t="str">
        <f t="shared" si="178"/>
        <v/>
      </c>
      <c r="L177" s="51" t="str">
        <f t="shared" si="178"/>
        <v/>
      </c>
      <c r="M177" s="51" t="str">
        <f t="shared" si="178"/>
        <v/>
      </c>
      <c r="N177" s="51" t="str">
        <f t="shared" si="178"/>
        <v/>
      </c>
      <c r="O177" s="51" t="str">
        <f t="shared" si="178"/>
        <v/>
      </c>
      <c r="P177" s="51" t="str">
        <f t="shared" si="178"/>
        <v/>
      </c>
      <c r="Q177" s="51" t="str">
        <f t="shared" si="178"/>
        <v/>
      </c>
      <c r="R177" s="51" t="str">
        <f t="shared" si="178"/>
        <v/>
      </c>
      <c r="S177" s="51" t="str">
        <f t="shared" si="178"/>
        <v/>
      </c>
      <c r="T177" s="51" t="str">
        <f t="shared" si="178"/>
        <v/>
      </c>
      <c r="U177" s="52"/>
      <c r="V177" s="52" t="str">
        <f>IFERROR(__xludf.DUMMYFUNCTION("""COMPUTED_VALUE"""),"")</f>
        <v/>
      </c>
      <c r="W177" s="52" t="str">
        <f>IFERROR(__xludf.DUMMYFUNCTION("""COMPUTED_VALUE"""),"")</f>
        <v/>
      </c>
      <c r="X177" s="52" t="str">
        <f>IFERROR(__xludf.DUMMYFUNCTION("""COMPUTED_VALUE"""),"")</f>
        <v/>
      </c>
      <c r="Y177" s="52" t="str">
        <f>IFERROR(__xludf.DUMMYFUNCTION("""COMPUTED_VALUE"""),"")</f>
        <v/>
      </c>
      <c r="Z177" s="52" t="str">
        <f>IFERROR(__xludf.DUMMYFUNCTION("""COMPUTED_VALUE"""),"")</f>
        <v/>
      </c>
      <c r="AA177" s="52" t="str">
        <f>IFERROR(__xludf.DUMMYFUNCTION("""COMPUTED_VALUE"""),"")</f>
        <v/>
      </c>
      <c r="AB177" s="52" t="str">
        <f>IFERROR(__xludf.DUMMYFUNCTION("""COMPUTED_VALUE"""),"")</f>
        <v/>
      </c>
      <c r="AC177" s="52" t="str">
        <f>IFERROR(__xludf.DUMMYFUNCTION("""COMPUTED_VALUE"""),"")</f>
        <v/>
      </c>
      <c r="AD177" s="52" t="str">
        <f>IFERROR(__xludf.DUMMYFUNCTION("""COMPUTED_VALUE"""),"")</f>
        <v/>
      </c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</row>
    <row r="178">
      <c r="B178" s="49"/>
      <c r="C178" s="49" t="str">
        <f t="shared" si="2"/>
        <v/>
      </c>
      <c r="D178" s="50" t="str">
        <f t="shared" si="3"/>
        <v/>
      </c>
      <c r="E178" s="51" t="str">
        <f t="shared" ref="E178:T178" si="179">IFERROR(VLOOKUP($A178,INDIRECT("'" &amp; E$1 &amp; "'!$C:$G"), 5, FALSE),"")</f>
        <v/>
      </c>
      <c r="F178" s="51" t="str">
        <f t="shared" si="179"/>
        <v/>
      </c>
      <c r="G178" s="51" t="str">
        <f t="shared" si="179"/>
        <v/>
      </c>
      <c r="H178" s="51" t="str">
        <f t="shared" si="179"/>
        <v/>
      </c>
      <c r="I178" s="51" t="str">
        <f t="shared" si="179"/>
        <v/>
      </c>
      <c r="J178" s="51" t="str">
        <f t="shared" si="179"/>
        <v/>
      </c>
      <c r="K178" s="51" t="str">
        <f t="shared" si="179"/>
        <v/>
      </c>
      <c r="L178" s="51" t="str">
        <f t="shared" si="179"/>
        <v/>
      </c>
      <c r="M178" s="51" t="str">
        <f t="shared" si="179"/>
        <v/>
      </c>
      <c r="N178" s="51" t="str">
        <f t="shared" si="179"/>
        <v/>
      </c>
      <c r="O178" s="51" t="str">
        <f t="shared" si="179"/>
        <v/>
      </c>
      <c r="P178" s="51" t="str">
        <f t="shared" si="179"/>
        <v/>
      </c>
      <c r="Q178" s="51" t="str">
        <f t="shared" si="179"/>
        <v/>
      </c>
      <c r="R178" s="51" t="str">
        <f t="shared" si="179"/>
        <v/>
      </c>
      <c r="S178" s="51" t="str">
        <f t="shared" si="179"/>
        <v/>
      </c>
      <c r="T178" s="51" t="str">
        <f t="shared" si="179"/>
        <v/>
      </c>
      <c r="U178" s="52"/>
      <c r="V178" s="52" t="str">
        <f>IFERROR(__xludf.DUMMYFUNCTION("""COMPUTED_VALUE"""),"")</f>
        <v/>
      </c>
      <c r="W178" s="52" t="str">
        <f>IFERROR(__xludf.DUMMYFUNCTION("""COMPUTED_VALUE"""),"")</f>
        <v/>
      </c>
      <c r="X178" s="52" t="str">
        <f>IFERROR(__xludf.DUMMYFUNCTION("""COMPUTED_VALUE"""),"")</f>
        <v/>
      </c>
      <c r="Y178" s="52" t="str">
        <f>IFERROR(__xludf.DUMMYFUNCTION("""COMPUTED_VALUE"""),"")</f>
        <v/>
      </c>
      <c r="Z178" s="52" t="str">
        <f>IFERROR(__xludf.DUMMYFUNCTION("""COMPUTED_VALUE"""),"")</f>
        <v/>
      </c>
      <c r="AA178" s="52" t="str">
        <f>IFERROR(__xludf.DUMMYFUNCTION("""COMPUTED_VALUE"""),"")</f>
        <v/>
      </c>
      <c r="AB178" s="52" t="str">
        <f>IFERROR(__xludf.DUMMYFUNCTION("""COMPUTED_VALUE"""),"")</f>
        <v/>
      </c>
      <c r="AC178" s="52" t="str">
        <f>IFERROR(__xludf.DUMMYFUNCTION("""COMPUTED_VALUE"""),"")</f>
        <v/>
      </c>
      <c r="AD178" s="52" t="str">
        <f>IFERROR(__xludf.DUMMYFUNCTION("""COMPUTED_VALUE"""),"")</f>
        <v/>
      </c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</row>
    <row r="179">
      <c r="B179" s="49"/>
      <c r="C179" s="49" t="str">
        <f t="shared" si="2"/>
        <v/>
      </c>
      <c r="D179" s="50" t="str">
        <f t="shared" si="3"/>
        <v/>
      </c>
      <c r="E179" s="51" t="str">
        <f t="shared" ref="E179:T179" si="180">IFERROR(VLOOKUP($A179,INDIRECT("'" &amp; E$1 &amp; "'!$C:$G"), 5, FALSE),"")</f>
        <v/>
      </c>
      <c r="F179" s="51" t="str">
        <f t="shared" si="180"/>
        <v/>
      </c>
      <c r="G179" s="51" t="str">
        <f t="shared" si="180"/>
        <v/>
      </c>
      <c r="H179" s="51" t="str">
        <f t="shared" si="180"/>
        <v/>
      </c>
      <c r="I179" s="51" t="str">
        <f t="shared" si="180"/>
        <v/>
      </c>
      <c r="J179" s="51" t="str">
        <f t="shared" si="180"/>
        <v/>
      </c>
      <c r="K179" s="51" t="str">
        <f t="shared" si="180"/>
        <v/>
      </c>
      <c r="L179" s="51" t="str">
        <f t="shared" si="180"/>
        <v/>
      </c>
      <c r="M179" s="51" t="str">
        <f t="shared" si="180"/>
        <v/>
      </c>
      <c r="N179" s="51" t="str">
        <f t="shared" si="180"/>
        <v/>
      </c>
      <c r="O179" s="51" t="str">
        <f t="shared" si="180"/>
        <v/>
      </c>
      <c r="P179" s="51" t="str">
        <f t="shared" si="180"/>
        <v/>
      </c>
      <c r="Q179" s="51" t="str">
        <f t="shared" si="180"/>
        <v/>
      </c>
      <c r="R179" s="51" t="str">
        <f t="shared" si="180"/>
        <v/>
      </c>
      <c r="S179" s="51" t="str">
        <f t="shared" si="180"/>
        <v/>
      </c>
      <c r="T179" s="51" t="str">
        <f t="shared" si="180"/>
        <v/>
      </c>
      <c r="U179" s="52"/>
      <c r="V179" s="52" t="str">
        <f>IFERROR(__xludf.DUMMYFUNCTION("""COMPUTED_VALUE"""),"")</f>
        <v/>
      </c>
      <c r="W179" s="52" t="str">
        <f>IFERROR(__xludf.DUMMYFUNCTION("""COMPUTED_VALUE"""),"")</f>
        <v/>
      </c>
      <c r="X179" s="52" t="str">
        <f>IFERROR(__xludf.DUMMYFUNCTION("""COMPUTED_VALUE"""),"")</f>
        <v/>
      </c>
      <c r="Y179" s="52" t="str">
        <f>IFERROR(__xludf.DUMMYFUNCTION("""COMPUTED_VALUE"""),"")</f>
        <v/>
      </c>
      <c r="Z179" s="52" t="str">
        <f>IFERROR(__xludf.DUMMYFUNCTION("""COMPUTED_VALUE"""),"")</f>
        <v/>
      </c>
      <c r="AA179" s="52" t="str">
        <f>IFERROR(__xludf.DUMMYFUNCTION("""COMPUTED_VALUE"""),"")</f>
        <v/>
      </c>
      <c r="AB179" s="52" t="str">
        <f>IFERROR(__xludf.DUMMYFUNCTION("""COMPUTED_VALUE"""),"")</f>
        <v/>
      </c>
      <c r="AC179" s="52" t="str">
        <f>IFERROR(__xludf.DUMMYFUNCTION("""COMPUTED_VALUE"""),"")</f>
        <v/>
      </c>
      <c r="AD179" s="52" t="str">
        <f>IFERROR(__xludf.DUMMYFUNCTION("""COMPUTED_VALUE"""),"")</f>
        <v/>
      </c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</row>
    <row r="180">
      <c r="B180" s="49"/>
      <c r="C180" s="49" t="str">
        <f t="shared" si="2"/>
        <v/>
      </c>
      <c r="D180" s="50" t="str">
        <f t="shared" si="3"/>
        <v/>
      </c>
      <c r="E180" s="51" t="str">
        <f t="shared" ref="E180:T180" si="181">IFERROR(VLOOKUP($A180,INDIRECT("'" &amp; E$1 &amp; "'!$C:$G"), 5, FALSE),"")</f>
        <v/>
      </c>
      <c r="F180" s="51" t="str">
        <f t="shared" si="181"/>
        <v/>
      </c>
      <c r="G180" s="51" t="str">
        <f t="shared" si="181"/>
        <v/>
      </c>
      <c r="H180" s="51" t="str">
        <f t="shared" si="181"/>
        <v/>
      </c>
      <c r="I180" s="51" t="str">
        <f t="shared" si="181"/>
        <v/>
      </c>
      <c r="J180" s="51" t="str">
        <f t="shared" si="181"/>
        <v/>
      </c>
      <c r="K180" s="51" t="str">
        <f t="shared" si="181"/>
        <v/>
      </c>
      <c r="L180" s="51" t="str">
        <f t="shared" si="181"/>
        <v/>
      </c>
      <c r="M180" s="51" t="str">
        <f t="shared" si="181"/>
        <v/>
      </c>
      <c r="N180" s="51" t="str">
        <f t="shared" si="181"/>
        <v/>
      </c>
      <c r="O180" s="51" t="str">
        <f t="shared" si="181"/>
        <v/>
      </c>
      <c r="P180" s="51" t="str">
        <f t="shared" si="181"/>
        <v/>
      </c>
      <c r="Q180" s="51" t="str">
        <f t="shared" si="181"/>
        <v/>
      </c>
      <c r="R180" s="51" t="str">
        <f t="shared" si="181"/>
        <v/>
      </c>
      <c r="S180" s="51" t="str">
        <f t="shared" si="181"/>
        <v/>
      </c>
      <c r="T180" s="51" t="str">
        <f t="shared" si="181"/>
        <v/>
      </c>
      <c r="U180" s="52"/>
      <c r="V180" s="52" t="str">
        <f>IFERROR(__xludf.DUMMYFUNCTION("""COMPUTED_VALUE"""),"")</f>
        <v/>
      </c>
      <c r="W180" s="52" t="str">
        <f>IFERROR(__xludf.DUMMYFUNCTION("""COMPUTED_VALUE"""),"")</f>
        <v/>
      </c>
      <c r="X180" s="52" t="str">
        <f>IFERROR(__xludf.DUMMYFUNCTION("""COMPUTED_VALUE"""),"")</f>
        <v/>
      </c>
      <c r="Y180" s="52" t="str">
        <f>IFERROR(__xludf.DUMMYFUNCTION("""COMPUTED_VALUE"""),"")</f>
        <v/>
      </c>
      <c r="Z180" s="52" t="str">
        <f>IFERROR(__xludf.DUMMYFUNCTION("""COMPUTED_VALUE"""),"")</f>
        <v/>
      </c>
      <c r="AA180" s="52" t="str">
        <f>IFERROR(__xludf.DUMMYFUNCTION("""COMPUTED_VALUE"""),"")</f>
        <v/>
      </c>
      <c r="AB180" s="52" t="str">
        <f>IFERROR(__xludf.DUMMYFUNCTION("""COMPUTED_VALUE"""),"")</f>
        <v/>
      </c>
      <c r="AC180" s="52" t="str">
        <f>IFERROR(__xludf.DUMMYFUNCTION("""COMPUTED_VALUE"""),"")</f>
        <v/>
      </c>
      <c r="AD180" s="52" t="str">
        <f>IFERROR(__xludf.DUMMYFUNCTION("""COMPUTED_VALUE"""),"")</f>
        <v/>
      </c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</row>
    <row r="181">
      <c r="B181" s="49"/>
      <c r="C181" s="49" t="str">
        <f t="shared" si="2"/>
        <v/>
      </c>
      <c r="D181" s="50" t="str">
        <f t="shared" si="3"/>
        <v/>
      </c>
      <c r="E181" s="51" t="str">
        <f t="shared" ref="E181:T181" si="182">IFERROR(VLOOKUP($A181,INDIRECT("'" &amp; E$1 &amp; "'!$C:$G"), 5, FALSE),"")</f>
        <v/>
      </c>
      <c r="F181" s="51" t="str">
        <f t="shared" si="182"/>
        <v/>
      </c>
      <c r="G181" s="51" t="str">
        <f t="shared" si="182"/>
        <v/>
      </c>
      <c r="H181" s="51" t="str">
        <f t="shared" si="182"/>
        <v/>
      </c>
      <c r="I181" s="51" t="str">
        <f t="shared" si="182"/>
        <v/>
      </c>
      <c r="J181" s="51" t="str">
        <f t="shared" si="182"/>
        <v/>
      </c>
      <c r="K181" s="51" t="str">
        <f t="shared" si="182"/>
        <v/>
      </c>
      <c r="L181" s="51" t="str">
        <f t="shared" si="182"/>
        <v/>
      </c>
      <c r="M181" s="51" t="str">
        <f t="shared" si="182"/>
        <v/>
      </c>
      <c r="N181" s="51" t="str">
        <f t="shared" si="182"/>
        <v/>
      </c>
      <c r="O181" s="51" t="str">
        <f t="shared" si="182"/>
        <v/>
      </c>
      <c r="P181" s="51" t="str">
        <f t="shared" si="182"/>
        <v/>
      </c>
      <c r="Q181" s="51" t="str">
        <f t="shared" si="182"/>
        <v/>
      </c>
      <c r="R181" s="51" t="str">
        <f t="shared" si="182"/>
        <v/>
      </c>
      <c r="S181" s="51" t="str">
        <f t="shared" si="182"/>
        <v/>
      </c>
      <c r="T181" s="51" t="str">
        <f t="shared" si="182"/>
        <v/>
      </c>
      <c r="U181" s="52"/>
      <c r="V181" s="52" t="str">
        <f>IFERROR(__xludf.DUMMYFUNCTION("""COMPUTED_VALUE"""),"")</f>
        <v/>
      </c>
      <c r="W181" s="52" t="str">
        <f>IFERROR(__xludf.DUMMYFUNCTION("""COMPUTED_VALUE"""),"")</f>
        <v/>
      </c>
      <c r="X181" s="52" t="str">
        <f>IFERROR(__xludf.DUMMYFUNCTION("""COMPUTED_VALUE"""),"")</f>
        <v/>
      </c>
      <c r="Y181" s="52" t="str">
        <f>IFERROR(__xludf.DUMMYFUNCTION("""COMPUTED_VALUE"""),"")</f>
        <v/>
      </c>
      <c r="Z181" s="52" t="str">
        <f>IFERROR(__xludf.DUMMYFUNCTION("""COMPUTED_VALUE"""),"")</f>
        <v/>
      </c>
      <c r="AA181" s="52" t="str">
        <f>IFERROR(__xludf.DUMMYFUNCTION("""COMPUTED_VALUE"""),"")</f>
        <v/>
      </c>
      <c r="AB181" s="52" t="str">
        <f>IFERROR(__xludf.DUMMYFUNCTION("""COMPUTED_VALUE"""),"")</f>
        <v/>
      </c>
      <c r="AC181" s="52" t="str">
        <f>IFERROR(__xludf.DUMMYFUNCTION("""COMPUTED_VALUE"""),"")</f>
        <v/>
      </c>
      <c r="AD181" s="52" t="str">
        <f>IFERROR(__xludf.DUMMYFUNCTION("""COMPUTED_VALUE"""),"")</f>
        <v/>
      </c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</row>
    <row r="182">
      <c r="B182" s="49"/>
      <c r="C182" s="49" t="str">
        <f t="shared" si="2"/>
        <v/>
      </c>
      <c r="D182" s="50" t="str">
        <f t="shared" si="3"/>
        <v/>
      </c>
      <c r="E182" s="51" t="str">
        <f t="shared" ref="E182:T182" si="183">IFERROR(VLOOKUP($A182,INDIRECT("'" &amp; E$1 &amp; "'!$C:$G"), 5, FALSE),"")</f>
        <v/>
      </c>
      <c r="F182" s="51" t="str">
        <f t="shared" si="183"/>
        <v/>
      </c>
      <c r="G182" s="51" t="str">
        <f t="shared" si="183"/>
        <v/>
      </c>
      <c r="H182" s="51" t="str">
        <f t="shared" si="183"/>
        <v/>
      </c>
      <c r="I182" s="51" t="str">
        <f t="shared" si="183"/>
        <v/>
      </c>
      <c r="J182" s="51" t="str">
        <f t="shared" si="183"/>
        <v/>
      </c>
      <c r="K182" s="51" t="str">
        <f t="shared" si="183"/>
        <v/>
      </c>
      <c r="L182" s="51" t="str">
        <f t="shared" si="183"/>
        <v/>
      </c>
      <c r="M182" s="51" t="str">
        <f t="shared" si="183"/>
        <v/>
      </c>
      <c r="N182" s="51" t="str">
        <f t="shared" si="183"/>
        <v/>
      </c>
      <c r="O182" s="51" t="str">
        <f t="shared" si="183"/>
        <v/>
      </c>
      <c r="P182" s="51" t="str">
        <f t="shared" si="183"/>
        <v/>
      </c>
      <c r="Q182" s="51" t="str">
        <f t="shared" si="183"/>
        <v/>
      </c>
      <c r="R182" s="51" t="str">
        <f t="shared" si="183"/>
        <v/>
      </c>
      <c r="S182" s="51" t="str">
        <f t="shared" si="183"/>
        <v/>
      </c>
      <c r="T182" s="51" t="str">
        <f t="shared" si="183"/>
        <v/>
      </c>
      <c r="U182" s="52"/>
      <c r="V182" s="52" t="str">
        <f>IFERROR(__xludf.DUMMYFUNCTION("""COMPUTED_VALUE"""),"")</f>
        <v/>
      </c>
      <c r="W182" s="52" t="str">
        <f>IFERROR(__xludf.DUMMYFUNCTION("""COMPUTED_VALUE"""),"")</f>
        <v/>
      </c>
      <c r="X182" s="52" t="str">
        <f>IFERROR(__xludf.DUMMYFUNCTION("""COMPUTED_VALUE"""),"")</f>
        <v/>
      </c>
      <c r="Y182" s="52" t="str">
        <f>IFERROR(__xludf.DUMMYFUNCTION("""COMPUTED_VALUE"""),"")</f>
        <v/>
      </c>
      <c r="Z182" s="52" t="str">
        <f>IFERROR(__xludf.DUMMYFUNCTION("""COMPUTED_VALUE"""),"")</f>
        <v/>
      </c>
      <c r="AA182" s="52" t="str">
        <f>IFERROR(__xludf.DUMMYFUNCTION("""COMPUTED_VALUE"""),"")</f>
        <v/>
      </c>
      <c r="AB182" s="52" t="str">
        <f>IFERROR(__xludf.DUMMYFUNCTION("""COMPUTED_VALUE"""),"")</f>
        <v/>
      </c>
      <c r="AC182" s="52" t="str">
        <f>IFERROR(__xludf.DUMMYFUNCTION("""COMPUTED_VALUE"""),"")</f>
        <v/>
      </c>
      <c r="AD182" s="52" t="str">
        <f>IFERROR(__xludf.DUMMYFUNCTION("""COMPUTED_VALUE"""),"")</f>
        <v/>
      </c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</row>
    <row r="183">
      <c r="B183" s="49"/>
      <c r="C183" s="49" t="str">
        <f t="shared" si="2"/>
        <v/>
      </c>
      <c r="D183" s="50" t="str">
        <f t="shared" si="3"/>
        <v/>
      </c>
      <c r="E183" s="51" t="str">
        <f t="shared" ref="E183:T183" si="184">IFERROR(VLOOKUP($A183,INDIRECT("'" &amp; E$1 &amp; "'!$C:$G"), 5, FALSE),"")</f>
        <v/>
      </c>
      <c r="F183" s="51" t="str">
        <f t="shared" si="184"/>
        <v/>
      </c>
      <c r="G183" s="51" t="str">
        <f t="shared" si="184"/>
        <v/>
      </c>
      <c r="H183" s="51" t="str">
        <f t="shared" si="184"/>
        <v/>
      </c>
      <c r="I183" s="51" t="str">
        <f t="shared" si="184"/>
        <v/>
      </c>
      <c r="J183" s="51" t="str">
        <f t="shared" si="184"/>
        <v/>
      </c>
      <c r="K183" s="51" t="str">
        <f t="shared" si="184"/>
        <v/>
      </c>
      <c r="L183" s="51" t="str">
        <f t="shared" si="184"/>
        <v/>
      </c>
      <c r="M183" s="51" t="str">
        <f t="shared" si="184"/>
        <v/>
      </c>
      <c r="N183" s="51" t="str">
        <f t="shared" si="184"/>
        <v/>
      </c>
      <c r="O183" s="51" t="str">
        <f t="shared" si="184"/>
        <v/>
      </c>
      <c r="P183" s="51" t="str">
        <f t="shared" si="184"/>
        <v/>
      </c>
      <c r="Q183" s="51" t="str">
        <f t="shared" si="184"/>
        <v/>
      </c>
      <c r="R183" s="51" t="str">
        <f t="shared" si="184"/>
        <v/>
      </c>
      <c r="S183" s="51" t="str">
        <f t="shared" si="184"/>
        <v/>
      </c>
      <c r="T183" s="51" t="str">
        <f t="shared" si="184"/>
        <v/>
      </c>
      <c r="U183" s="52"/>
      <c r="V183" s="52" t="str">
        <f>IFERROR(__xludf.DUMMYFUNCTION("""COMPUTED_VALUE"""),"")</f>
        <v/>
      </c>
      <c r="W183" s="52" t="str">
        <f>IFERROR(__xludf.DUMMYFUNCTION("""COMPUTED_VALUE"""),"")</f>
        <v/>
      </c>
      <c r="X183" s="52" t="str">
        <f>IFERROR(__xludf.DUMMYFUNCTION("""COMPUTED_VALUE"""),"")</f>
        <v/>
      </c>
      <c r="Y183" s="52" t="str">
        <f>IFERROR(__xludf.DUMMYFUNCTION("""COMPUTED_VALUE"""),"")</f>
        <v/>
      </c>
      <c r="Z183" s="52" t="str">
        <f>IFERROR(__xludf.DUMMYFUNCTION("""COMPUTED_VALUE"""),"")</f>
        <v/>
      </c>
      <c r="AA183" s="52" t="str">
        <f>IFERROR(__xludf.DUMMYFUNCTION("""COMPUTED_VALUE"""),"")</f>
        <v/>
      </c>
      <c r="AB183" s="52" t="str">
        <f>IFERROR(__xludf.DUMMYFUNCTION("""COMPUTED_VALUE"""),"")</f>
        <v/>
      </c>
      <c r="AC183" s="52" t="str">
        <f>IFERROR(__xludf.DUMMYFUNCTION("""COMPUTED_VALUE"""),"")</f>
        <v/>
      </c>
      <c r="AD183" s="52" t="str">
        <f>IFERROR(__xludf.DUMMYFUNCTION("""COMPUTED_VALUE"""),"")</f>
        <v/>
      </c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</row>
    <row r="184">
      <c r="B184" s="49"/>
      <c r="C184" s="49" t="str">
        <f t="shared" si="2"/>
        <v/>
      </c>
      <c r="D184" s="50" t="str">
        <f t="shared" si="3"/>
        <v/>
      </c>
      <c r="E184" s="51" t="str">
        <f t="shared" ref="E184:T184" si="185">IFERROR(VLOOKUP($A184,INDIRECT("'" &amp; E$1 &amp; "'!$C:$G"), 5, FALSE),"")</f>
        <v/>
      </c>
      <c r="F184" s="51" t="str">
        <f t="shared" si="185"/>
        <v/>
      </c>
      <c r="G184" s="51" t="str">
        <f t="shared" si="185"/>
        <v/>
      </c>
      <c r="H184" s="51" t="str">
        <f t="shared" si="185"/>
        <v/>
      </c>
      <c r="I184" s="51" t="str">
        <f t="shared" si="185"/>
        <v/>
      </c>
      <c r="J184" s="51" t="str">
        <f t="shared" si="185"/>
        <v/>
      </c>
      <c r="K184" s="51" t="str">
        <f t="shared" si="185"/>
        <v/>
      </c>
      <c r="L184" s="51" t="str">
        <f t="shared" si="185"/>
        <v/>
      </c>
      <c r="M184" s="51" t="str">
        <f t="shared" si="185"/>
        <v/>
      </c>
      <c r="N184" s="51" t="str">
        <f t="shared" si="185"/>
        <v/>
      </c>
      <c r="O184" s="51" t="str">
        <f t="shared" si="185"/>
        <v/>
      </c>
      <c r="P184" s="51" t="str">
        <f t="shared" si="185"/>
        <v/>
      </c>
      <c r="Q184" s="51" t="str">
        <f t="shared" si="185"/>
        <v/>
      </c>
      <c r="R184" s="51" t="str">
        <f t="shared" si="185"/>
        <v/>
      </c>
      <c r="S184" s="51" t="str">
        <f t="shared" si="185"/>
        <v/>
      </c>
      <c r="T184" s="51" t="str">
        <f t="shared" si="185"/>
        <v/>
      </c>
      <c r="U184" s="52"/>
      <c r="V184" s="52" t="str">
        <f>IFERROR(__xludf.DUMMYFUNCTION("""COMPUTED_VALUE"""),"")</f>
        <v/>
      </c>
      <c r="W184" s="52" t="str">
        <f>IFERROR(__xludf.DUMMYFUNCTION("""COMPUTED_VALUE"""),"")</f>
        <v/>
      </c>
      <c r="X184" s="52" t="str">
        <f>IFERROR(__xludf.DUMMYFUNCTION("""COMPUTED_VALUE"""),"")</f>
        <v/>
      </c>
      <c r="Y184" s="52" t="str">
        <f>IFERROR(__xludf.DUMMYFUNCTION("""COMPUTED_VALUE"""),"")</f>
        <v/>
      </c>
      <c r="Z184" s="52" t="str">
        <f>IFERROR(__xludf.DUMMYFUNCTION("""COMPUTED_VALUE"""),"")</f>
        <v/>
      </c>
      <c r="AA184" s="52" t="str">
        <f>IFERROR(__xludf.DUMMYFUNCTION("""COMPUTED_VALUE"""),"")</f>
        <v/>
      </c>
      <c r="AB184" s="52" t="str">
        <f>IFERROR(__xludf.DUMMYFUNCTION("""COMPUTED_VALUE"""),"")</f>
        <v/>
      </c>
      <c r="AC184" s="52" t="str">
        <f>IFERROR(__xludf.DUMMYFUNCTION("""COMPUTED_VALUE"""),"")</f>
        <v/>
      </c>
      <c r="AD184" s="52" t="str">
        <f>IFERROR(__xludf.DUMMYFUNCTION("""COMPUTED_VALUE"""),"")</f>
        <v/>
      </c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</row>
    <row r="185">
      <c r="B185" s="49"/>
      <c r="C185" s="49" t="str">
        <f t="shared" si="2"/>
        <v/>
      </c>
      <c r="D185" s="50" t="str">
        <f t="shared" si="3"/>
        <v/>
      </c>
      <c r="E185" s="51" t="str">
        <f t="shared" ref="E185:T185" si="186">IFERROR(VLOOKUP($A185,INDIRECT("'" &amp; E$1 &amp; "'!$C:$G"), 5, FALSE),"")</f>
        <v/>
      </c>
      <c r="F185" s="51" t="str">
        <f t="shared" si="186"/>
        <v/>
      </c>
      <c r="G185" s="51" t="str">
        <f t="shared" si="186"/>
        <v/>
      </c>
      <c r="H185" s="51" t="str">
        <f t="shared" si="186"/>
        <v/>
      </c>
      <c r="I185" s="51" t="str">
        <f t="shared" si="186"/>
        <v/>
      </c>
      <c r="J185" s="51" t="str">
        <f t="shared" si="186"/>
        <v/>
      </c>
      <c r="K185" s="51" t="str">
        <f t="shared" si="186"/>
        <v/>
      </c>
      <c r="L185" s="51" t="str">
        <f t="shared" si="186"/>
        <v/>
      </c>
      <c r="M185" s="51" t="str">
        <f t="shared" si="186"/>
        <v/>
      </c>
      <c r="N185" s="51" t="str">
        <f t="shared" si="186"/>
        <v/>
      </c>
      <c r="O185" s="51" t="str">
        <f t="shared" si="186"/>
        <v/>
      </c>
      <c r="P185" s="51" t="str">
        <f t="shared" si="186"/>
        <v/>
      </c>
      <c r="Q185" s="51" t="str">
        <f t="shared" si="186"/>
        <v/>
      </c>
      <c r="R185" s="51" t="str">
        <f t="shared" si="186"/>
        <v/>
      </c>
      <c r="S185" s="51" t="str">
        <f t="shared" si="186"/>
        <v/>
      </c>
      <c r="T185" s="51" t="str">
        <f t="shared" si="186"/>
        <v/>
      </c>
      <c r="U185" s="52"/>
      <c r="V185" s="52" t="str">
        <f>IFERROR(__xludf.DUMMYFUNCTION("""COMPUTED_VALUE"""),"")</f>
        <v/>
      </c>
      <c r="W185" s="52" t="str">
        <f>IFERROR(__xludf.DUMMYFUNCTION("""COMPUTED_VALUE"""),"")</f>
        <v/>
      </c>
      <c r="X185" s="52" t="str">
        <f>IFERROR(__xludf.DUMMYFUNCTION("""COMPUTED_VALUE"""),"")</f>
        <v/>
      </c>
      <c r="Y185" s="52" t="str">
        <f>IFERROR(__xludf.DUMMYFUNCTION("""COMPUTED_VALUE"""),"")</f>
        <v/>
      </c>
      <c r="Z185" s="52" t="str">
        <f>IFERROR(__xludf.DUMMYFUNCTION("""COMPUTED_VALUE"""),"")</f>
        <v/>
      </c>
      <c r="AA185" s="52" t="str">
        <f>IFERROR(__xludf.DUMMYFUNCTION("""COMPUTED_VALUE"""),"")</f>
        <v/>
      </c>
      <c r="AB185" s="52" t="str">
        <f>IFERROR(__xludf.DUMMYFUNCTION("""COMPUTED_VALUE"""),"")</f>
        <v/>
      </c>
      <c r="AC185" s="52" t="str">
        <f>IFERROR(__xludf.DUMMYFUNCTION("""COMPUTED_VALUE"""),"")</f>
        <v/>
      </c>
      <c r="AD185" s="52" t="str">
        <f>IFERROR(__xludf.DUMMYFUNCTION("""COMPUTED_VALUE"""),"")</f>
        <v/>
      </c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</row>
    <row r="186">
      <c r="B186" s="49"/>
      <c r="C186" s="49" t="str">
        <f t="shared" si="2"/>
        <v/>
      </c>
      <c r="D186" s="50" t="str">
        <f t="shared" si="3"/>
        <v/>
      </c>
      <c r="E186" s="51" t="str">
        <f t="shared" ref="E186:T186" si="187">IFERROR(VLOOKUP($A186,INDIRECT("'" &amp; E$1 &amp; "'!$C:$G"), 5, FALSE),"")</f>
        <v/>
      </c>
      <c r="F186" s="51" t="str">
        <f t="shared" si="187"/>
        <v/>
      </c>
      <c r="G186" s="51" t="str">
        <f t="shared" si="187"/>
        <v/>
      </c>
      <c r="H186" s="51" t="str">
        <f t="shared" si="187"/>
        <v/>
      </c>
      <c r="I186" s="51" t="str">
        <f t="shared" si="187"/>
        <v/>
      </c>
      <c r="J186" s="51" t="str">
        <f t="shared" si="187"/>
        <v/>
      </c>
      <c r="K186" s="51" t="str">
        <f t="shared" si="187"/>
        <v/>
      </c>
      <c r="L186" s="51" t="str">
        <f t="shared" si="187"/>
        <v/>
      </c>
      <c r="M186" s="51" t="str">
        <f t="shared" si="187"/>
        <v/>
      </c>
      <c r="N186" s="51" t="str">
        <f t="shared" si="187"/>
        <v/>
      </c>
      <c r="O186" s="51" t="str">
        <f t="shared" si="187"/>
        <v/>
      </c>
      <c r="P186" s="51" t="str">
        <f t="shared" si="187"/>
        <v/>
      </c>
      <c r="Q186" s="51" t="str">
        <f t="shared" si="187"/>
        <v/>
      </c>
      <c r="R186" s="51" t="str">
        <f t="shared" si="187"/>
        <v/>
      </c>
      <c r="S186" s="51" t="str">
        <f t="shared" si="187"/>
        <v/>
      </c>
      <c r="T186" s="51" t="str">
        <f t="shared" si="187"/>
        <v/>
      </c>
      <c r="U186" s="52"/>
      <c r="V186" s="52" t="str">
        <f>IFERROR(__xludf.DUMMYFUNCTION("""COMPUTED_VALUE"""),"")</f>
        <v/>
      </c>
      <c r="W186" s="52" t="str">
        <f>IFERROR(__xludf.DUMMYFUNCTION("""COMPUTED_VALUE"""),"")</f>
        <v/>
      </c>
      <c r="X186" s="52" t="str">
        <f>IFERROR(__xludf.DUMMYFUNCTION("""COMPUTED_VALUE"""),"")</f>
        <v/>
      </c>
      <c r="Y186" s="52" t="str">
        <f>IFERROR(__xludf.DUMMYFUNCTION("""COMPUTED_VALUE"""),"")</f>
        <v/>
      </c>
      <c r="Z186" s="52" t="str">
        <f>IFERROR(__xludf.DUMMYFUNCTION("""COMPUTED_VALUE"""),"")</f>
        <v/>
      </c>
      <c r="AA186" s="52" t="str">
        <f>IFERROR(__xludf.DUMMYFUNCTION("""COMPUTED_VALUE"""),"")</f>
        <v/>
      </c>
      <c r="AB186" s="52" t="str">
        <f>IFERROR(__xludf.DUMMYFUNCTION("""COMPUTED_VALUE"""),"")</f>
        <v/>
      </c>
      <c r="AC186" s="52" t="str">
        <f>IFERROR(__xludf.DUMMYFUNCTION("""COMPUTED_VALUE"""),"")</f>
        <v/>
      </c>
      <c r="AD186" s="52" t="str">
        <f>IFERROR(__xludf.DUMMYFUNCTION("""COMPUTED_VALUE"""),"")</f>
        <v/>
      </c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</row>
    <row r="187">
      <c r="B187" s="49"/>
      <c r="C187" s="49" t="str">
        <f t="shared" si="2"/>
        <v/>
      </c>
      <c r="D187" s="50" t="str">
        <f t="shared" si="3"/>
        <v/>
      </c>
      <c r="E187" s="51" t="str">
        <f t="shared" ref="E187:T187" si="188">IFERROR(VLOOKUP($A187,INDIRECT("'" &amp; E$1 &amp; "'!$C:$G"), 5, FALSE),"")</f>
        <v/>
      </c>
      <c r="F187" s="51" t="str">
        <f t="shared" si="188"/>
        <v/>
      </c>
      <c r="G187" s="51" t="str">
        <f t="shared" si="188"/>
        <v/>
      </c>
      <c r="H187" s="51" t="str">
        <f t="shared" si="188"/>
        <v/>
      </c>
      <c r="I187" s="51" t="str">
        <f t="shared" si="188"/>
        <v/>
      </c>
      <c r="J187" s="51" t="str">
        <f t="shared" si="188"/>
        <v/>
      </c>
      <c r="K187" s="51" t="str">
        <f t="shared" si="188"/>
        <v/>
      </c>
      <c r="L187" s="51" t="str">
        <f t="shared" si="188"/>
        <v/>
      </c>
      <c r="M187" s="51" t="str">
        <f t="shared" si="188"/>
        <v/>
      </c>
      <c r="N187" s="51" t="str">
        <f t="shared" si="188"/>
        <v/>
      </c>
      <c r="O187" s="51" t="str">
        <f t="shared" si="188"/>
        <v/>
      </c>
      <c r="P187" s="51" t="str">
        <f t="shared" si="188"/>
        <v/>
      </c>
      <c r="Q187" s="51" t="str">
        <f t="shared" si="188"/>
        <v/>
      </c>
      <c r="R187" s="51" t="str">
        <f t="shared" si="188"/>
        <v/>
      </c>
      <c r="S187" s="51" t="str">
        <f t="shared" si="188"/>
        <v/>
      </c>
      <c r="T187" s="51" t="str">
        <f t="shared" si="188"/>
        <v/>
      </c>
      <c r="U187" s="52"/>
      <c r="V187" s="52" t="str">
        <f>IFERROR(__xludf.DUMMYFUNCTION("""COMPUTED_VALUE"""),"")</f>
        <v/>
      </c>
      <c r="W187" s="52" t="str">
        <f>IFERROR(__xludf.DUMMYFUNCTION("""COMPUTED_VALUE"""),"")</f>
        <v/>
      </c>
      <c r="X187" s="52" t="str">
        <f>IFERROR(__xludf.DUMMYFUNCTION("""COMPUTED_VALUE"""),"")</f>
        <v/>
      </c>
      <c r="Y187" s="52" t="str">
        <f>IFERROR(__xludf.DUMMYFUNCTION("""COMPUTED_VALUE"""),"")</f>
        <v/>
      </c>
      <c r="Z187" s="52" t="str">
        <f>IFERROR(__xludf.DUMMYFUNCTION("""COMPUTED_VALUE"""),"")</f>
        <v/>
      </c>
      <c r="AA187" s="52" t="str">
        <f>IFERROR(__xludf.DUMMYFUNCTION("""COMPUTED_VALUE"""),"")</f>
        <v/>
      </c>
      <c r="AB187" s="52" t="str">
        <f>IFERROR(__xludf.DUMMYFUNCTION("""COMPUTED_VALUE"""),"")</f>
        <v/>
      </c>
      <c r="AC187" s="52" t="str">
        <f>IFERROR(__xludf.DUMMYFUNCTION("""COMPUTED_VALUE"""),"")</f>
        <v/>
      </c>
      <c r="AD187" s="52" t="str">
        <f>IFERROR(__xludf.DUMMYFUNCTION("""COMPUTED_VALUE"""),"")</f>
        <v/>
      </c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</row>
    <row r="188">
      <c r="B188" s="49"/>
      <c r="C188" s="49" t="str">
        <f t="shared" si="2"/>
        <v/>
      </c>
      <c r="D188" s="50" t="str">
        <f t="shared" si="3"/>
        <v/>
      </c>
      <c r="E188" s="51" t="str">
        <f t="shared" ref="E188:T188" si="189">IFERROR(VLOOKUP($A188,INDIRECT("'" &amp; E$1 &amp; "'!$C:$G"), 5, FALSE),"")</f>
        <v/>
      </c>
      <c r="F188" s="51" t="str">
        <f t="shared" si="189"/>
        <v/>
      </c>
      <c r="G188" s="51" t="str">
        <f t="shared" si="189"/>
        <v/>
      </c>
      <c r="H188" s="51" t="str">
        <f t="shared" si="189"/>
        <v/>
      </c>
      <c r="I188" s="51" t="str">
        <f t="shared" si="189"/>
        <v/>
      </c>
      <c r="J188" s="51" t="str">
        <f t="shared" si="189"/>
        <v/>
      </c>
      <c r="K188" s="51" t="str">
        <f t="shared" si="189"/>
        <v/>
      </c>
      <c r="L188" s="51" t="str">
        <f t="shared" si="189"/>
        <v/>
      </c>
      <c r="M188" s="51" t="str">
        <f t="shared" si="189"/>
        <v/>
      </c>
      <c r="N188" s="51" t="str">
        <f t="shared" si="189"/>
        <v/>
      </c>
      <c r="O188" s="51" t="str">
        <f t="shared" si="189"/>
        <v/>
      </c>
      <c r="P188" s="51" t="str">
        <f t="shared" si="189"/>
        <v/>
      </c>
      <c r="Q188" s="51" t="str">
        <f t="shared" si="189"/>
        <v/>
      </c>
      <c r="R188" s="51" t="str">
        <f t="shared" si="189"/>
        <v/>
      </c>
      <c r="S188" s="51" t="str">
        <f t="shared" si="189"/>
        <v/>
      </c>
      <c r="T188" s="51" t="str">
        <f t="shared" si="189"/>
        <v/>
      </c>
      <c r="U188" s="52"/>
      <c r="V188" s="52" t="str">
        <f>IFERROR(__xludf.DUMMYFUNCTION("""COMPUTED_VALUE"""),"")</f>
        <v/>
      </c>
      <c r="W188" s="52" t="str">
        <f>IFERROR(__xludf.DUMMYFUNCTION("""COMPUTED_VALUE"""),"")</f>
        <v/>
      </c>
      <c r="X188" s="52" t="str">
        <f>IFERROR(__xludf.DUMMYFUNCTION("""COMPUTED_VALUE"""),"")</f>
        <v/>
      </c>
      <c r="Y188" s="52" t="str">
        <f>IFERROR(__xludf.DUMMYFUNCTION("""COMPUTED_VALUE"""),"")</f>
        <v/>
      </c>
      <c r="Z188" s="52" t="str">
        <f>IFERROR(__xludf.DUMMYFUNCTION("""COMPUTED_VALUE"""),"")</f>
        <v/>
      </c>
      <c r="AA188" s="52" t="str">
        <f>IFERROR(__xludf.DUMMYFUNCTION("""COMPUTED_VALUE"""),"")</f>
        <v/>
      </c>
      <c r="AB188" s="52" t="str">
        <f>IFERROR(__xludf.DUMMYFUNCTION("""COMPUTED_VALUE"""),"")</f>
        <v/>
      </c>
      <c r="AC188" s="52" t="str">
        <f>IFERROR(__xludf.DUMMYFUNCTION("""COMPUTED_VALUE"""),"")</f>
        <v/>
      </c>
      <c r="AD188" s="52" t="str">
        <f>IFERROR(__xludf.DUMMYFUNCTION("""COMPUTED_VALUE"""),"")</f>
        <v/>
      </c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</row>
    <row r="189">
      <c r="B189" s="49"/>
      <c r="C189" s="49" t="str">
        <f t="shared" si="2"/>
        <v/>
      </c>
      <c r="D189" s="50" t="str">
        <f t="shared" si="3"/>
        <v/>
      </c>
      <c r="E189" s="51" t="str">
        <f t="shared" ref="E189:T189" si="190">IFERROR(VLOOKUP($A189,INDIRECT("'" &amp; E$1 &amp; "'!$C:$G"), 5, FALSE),"")</f>
        <v/>
      </c>
      <c r="F189" s="51" t="str">
        <f t="shared" si="190"/>
        <v/>
      </c>
      <c r="G189" s="51" t="str">
        <f t="shared" si="190"/>
        <v/>
      </c>
      <c r="H189" s="51" t="str">
        <f t="shared" si="190"/>
        <v/>
      </c>
      <c r="I189" s="51" t="str">
        <f t="shared" si="190"/>
        <v/>
      </c>
      <c r="J189" s="51" t="str">
        <f t="shared" si="190"/>
        <v/>
      </c>
      <c r="K189" s="51" t="str">
        <f t="shared" si="190"/>
        <v/>
      </c>
      <c r="L189" s="51" t="str">
        <f t="shared" si="190"/>
        <v/>
      </c>
      <c r="M189" s="51" t="str">
        <f t="shared" si="190"/>
        <v/>
      </c>
      <c r="N189" s="51" t="str">
        <f t="shared" si="190"/>
        <v/>
      </c>
      <c r="O189" s="51" t="str">
        <f t="shared" si="190"/>
        <v/>
      </c>
      <c r="P189" s="51" t="str">
        <f t="shared" si="190"/>
        <v/>
      </c>
      <c r="Q189" s="51" t="str">
        <f t="shared" si="190"/>
        <v/>
      </c>
      <c r="R189" s="51" t="str">
        <f t="shared" si="190"/>
        <v/>
      </c>
      <c r="S189" s="51" t="str">
        <f t="shared" si="190"/>
        <v/>
      </c>
      <c r="T189" s="51" t="str">
        <f t="shared" si="190"/>
        <v/>
      </c>
      <c r="U189" s="52"/>
      <c r="V189" s="52" t="str">
        <f>IFERROR(__xludf.DUMMYFUNCTION("""COMPUTED_VALUE"""),"")</f>
        <v/>
      </c>
      <c r="W189" s="52" t="str">
        <f>IFERROR(__xludf.DUMMYFUNCTION("""COMPUTED_VALUE"""),"")</f>
        <v/>
      </c>
      <c r="X189" s="52" t="str">
        <f>IFERROR(__xludf.DUMMYFUNCTION("""COMPUTED_VALUE"""),"")</f>
        <v/>
      </c>
      <c r="Y189" s="52" t="str">
        <f>IFERROR(__xludf.DUMMYFUNCTION("""COMPUTED_VALUE"""),"")</f>
        <v/>
      </c>
      <c r="Z189" s="52" t="str">
        <f>IFERROR(__xludf.DUMMYFUNCTION("""COMPUTED_VALUE"""),"")</f>
        <v/>
      </c>
      <c r="AA189" s="52" t="str">
        <f>IFERROR(__xludf.DUMMYFUNCTION("""COMPUTED_VALUE"""),"")</f>
        <v/>
      </c>
      <c r="AB189" s="52" t="str">
        <f>IFERROR(__xludf.DUMMYFUNCTION("""COMPUTED_VALUE"""),"")</f>
        <v/>
      </c>
      <c r="AC189" s="52" t="str">
        <f>IFERROR(__xludf.DUMMYFUNCTION("""COMPUTED_VALUE"""),"")</f>
        <v/>
      </c>
      <c r="AD189" s="52" t="str">
        <f>IFERROR(__xludf.DUMMYFUNCTION("""COMPUTED_VALUE"""),"")</f>
        <v/>
      </c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</row>
    <row r="190">
      <c r="B190" s="49"/>
      <c r="C190" s="49" t="str">
        <f t="shared" si="2"/>
        <v/>
      </c>
      <c r="D190" s="50" t="str">
        <f t="shared" si="3"/>
        <v/>
      </c>
      <c r="E190" s="51" t="str">
        <f t="shared" ref="E190:T190" si="191">IFERROR(VLOOKUP($A190,INDIRECT("'" &amp; E$1 &amp; "'!$C:$G"), 5, FALSE),"")</f>
        <v/>
      </c>
      <c r="F190" s="51" t="str">
        <f t="shared" si="191"/>
        <v/>
      </c>
      <c r="G190" s="51" t="str">
        <f t="shared" si="191"/>
        <v/>
      </c>
      <c r="H190" s="51" t="str">
        <f t="shared" si="191"/>
        <v/>
      </c>
      <c r="I190" s="51" t="str">
        <f t="shared" si="191"/>
        <v/>
      </c>
      <c r="J190" s="51" t="str">
        <f t="shared" si="191"/>
        <v/>
      </c>
      <c r="K190" s="51" t="str">
        <f t="shared" si="191"/>
        <v/>
      </c>
      <c r="L190" s="51" t="str">
        <f t="shared" si="191"/>
        <v/>
      </c>
      <c r="M190" s="51" t="str">
        <f t="shared" si="191"/>
        <v/>
      </c>
      <c r="N190" s="51" t="str">
        <f t="shared" si="191"/>
        <v/>
      </c>
      <c r="O190" s="51" t="str">
        <f t="shared" si="191"/>
        <v/>
      </c>
      <c r="P190" s="51" t="str">
        <f t="shared" si="191"/>
        <v/>
      </c>
      <c r="Q190" s="51" t="str">
        <f t="shared" si="191"/>
        <v/>
      </c>
      <c r="R190" s="51" t="str">
        <f t="shared" si="191"/>
        <v/>
      </c>
      <c r="S190" s="51" t="str">
        <f t="shared" si="191"/>
        <v/>
      </c>
      <c r="T190" s="51" t="str">
        <f t="shared" si="191"/>
        <v/>
      </c>
      <c r="U190" s="52"/>
      <c r="V190" s="52" t="str">
        <f>IFERROR(__xludf.DUMMYFUNCTION("""COMPUTED_VALUE"""),"")</f>
        <v/>
      </c>
      <c r="W190" s="52" t="str">
        <f>IFERROR(__xludf.DUMMYFUNCTION("""COMPUTED_VALUE"""),"")</f>
        <v/>
      </c>
      <c r="X190" s="52" t="str">
        <f>IFERROR(__xludf.DUMMYFUNCTION("""COMPUTED_VALUE"""),"")</f>
        <v/>
      </c>
      <c r="Y190" s="52" t="str">
        <f>IFERROR(__xludf.DUMMYFUNCTION("""COMPUTED_VALUE"""),"")</f>
        <v/>
      </c>
      <c r="Z190" s="52" t="str">
        <f>IFERROR(__xludf.DUMMYFUNCTION("""COMPUTED_VALUE"""),"")</f>
        <v/>
      </c>
      <c r="AA190" s="52" t="str">
        <f>IFERROR(__xludf.DUMMYFUNCTION("""COMPUTED_VALUE"""),"")</f>
        <v/>
      </c>
      <c r="AB190" s="52" t="str">
        <f>IFERROR(__xludf.DUMMYFUNCTION("""COMPUTED_VALUE"""),"")</f>
        <v/>
      </c>
      <c r="AC190" s="52" t="str">
        <f>IFERROR(__xludf.DUMMYFUNCTION("""COMPUTED_VALUE"""),"")</f>
        <v/>
      </c>
      <c r="AD190" s="52" t="str">
        <f>IFERROR(__xludf.DUMMYFUNCTION("""COMPUTED_VALUE"""),"")</f>
        <v/>
      </c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</row>
    <row r="191">
      <c r="B191" s="49"/>
      <c r="C191" s="49" t="str">
        <f t="shared" si="2"/>
        <v/>
      </c>
      <c r="D191" s="50" t="str">
        <f t="shared" si="3"/>
        <v/>
      </c>
      <c r="E191" s="51" t="str">
        <f t="shared" ref="E191:T191" si="192">IFERROR(VLOOKUP($A191,INDIRECT("'" &amp; E$1 &amp; "'!$C:$G"), 5, FALSE),"")</f>
        <v/>
      </c>
      <c r="F191" s="51" t="str">
        <f t="shared" si="192"/>
        <v/>
      </c>
      <c r="G191" s="51" t="str">
        <f t="shared" si="192"/>
        <v/>
      </c>
      <c r="H191" s="51" t="str">
        <f t="shared" si="192"/>
        <v/>
      </c>
      <c r="I191" s="51" t="str">
        <f t="shared" si="192"/>
        <v/>
      </c>
      <c r="J191" s="51" t="str">
        <f t="shared" si="192"/>
        <v/>
      </c>
      <c r="K191" s="51" t="str">
        <f t="shared" si="192"/>
        <v/>
      </c>
      <c r="L191" s="51" t="str">
        <f t="shared" si="192"/>
        <v/>
      </c>
      <c r="M191" s="51" t="str">
        <f t="shared" si="192"/>
        <v/>
      </c>
      <c r="N191" s="51" t="str">
        <f t="shared" si="192"/>
        <v/>
      </c>
      <c r="O191" s="51" t="str">
        <f t="shared" si="192"/>
        <v/>
      </c>
      <c r="P191" s="51" t="str">
        <f t="shared" si="192"/>
        <v/>
      </c>
      <c r="Q191" s="51" t="str">
        <f t="shared" si="192"/>
        <v/>
      </c>
      <c r="R191" s="51" t="str">
        <f t="shared" si="192"/>
        <v/>
      </c>
      <c r="S191" s="51" t="str">
        <f t="shared" si="192"/>
        <v/>
      </c>
      <c r="T191" s="51" t="str">
        <f t="shared" si="192"/>
        <v/>
      </c>
      <c r="U191" s="52"/>
      <c r="V191" s="52" t="str">
        <f>IFERROR(__xludf.DUMMYFUNCTION("""COMPUTED_VALUE"""),"")</f>
        <v/>
      </c>
      <c r="W191" s="52" t="str">
        <f>IFERROR(__xludf.DUMMYFUNCTION("""COMPUTED_VALUE"""),"")</f>
        <v/>
      </c>
      <c r="X191" s="52" t="str">
        <f>IFERROR(__xludf.DUMMYFUNCTION("""COMPUTED_VALUE"""),"")</f>
        <v/>
      </c>
      <c r="Y191" s="52" t="str">
        <f>IFERROR(__xludf.DUMMYFUNCTION("""COMPUTED_VALUE"""),"")</f>
        <v/>
      </c>
      <c r="Z191" s="52" t="str">
        <f>IFERROR(__xludf.DUMMYFUNCTION("""COMPUTED_VALUE"""),"")</f>
        <v/>
      </c>
      <c r="AA191" s="52" t="str">
        <f>IFERROR(__xludf.DUMMYFUNCTION("""COMPUTED_VALUE"""),"")</f>
        <v/>
      </c>
      <c r="AB191" s="52" t="str">
        <f>IFERROR(__xludf.DUMMYFUNCTION("""COMPUTED_VALUE"""),"")</f>
        <v/>
      </c>
      <c r="AC191" s="52" t="str">
        <f>IFERROR(__xludf.DUMMYFUNCTION("""COMPUTED_VALUE"""),"")</f>
        <v/>
      </c>
      <c r="AD191" s="52" t="str">
        <f>IFERROR(__xludf.DUMMYFUNCTION("""COMPUTED_VALUE"""),"")</f>
        <v/>
      </c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</row>
    <row r="192">
      <c r="B192" s="49"/>
      <c r="C192" s="49" t="str">
        <f t="shared" si="2"/>
        <v/>
      </c>
      <c r="D192" s="50" t="str">
        <f t="shared" si="3"/>
        <v/>
      </c>
      <c r="E192" s="51" t="str">
        <f t="shared" ref="E192:T192" si="193">IFERROR(VLOOKUP($A192,INDIRECT("'" &amp; E$1 &amp; "'!$C:$G"), 5, FALSE),"")</f>
        <v/>
      </c>
      <c r="F192" s="51" t="str">
        <f t="shared" si="193"/>
        <v/>
      </c>
      <c r="G192" s="51" t="str">
        <f t="shared" si="193"/>
        <v/>
      </c>
      <c r="H192" s="51" t="str">
        <f t="shared" si="193"/>
        <v/>
      </c>
      <c r="I192" s="51" t="str">
        <f t="shared" si="193"/>
        <v/>
      </c>
      <c r="J192" s="51" t="str">
        <f t="shared" si="193"/>
        <v/>
      </c>
      <c r="K192" s="51" t="str">
        <f t="shared" si="193"/>
        <v/>
      </c>
      <c r="L192" s="51" t="str">
        <f t="shared" si="193"/>
        <v/>
      </c>
      <c r="M192" s="51" t="str">
        <f t="shared" si="193"/>
        <v/>
      </c>
      <c r="N192" s="51" t="str">
        <f t="shared" si="193"/>
        <v/>
      </c>
      <c r="O192" s="51" t="str">
        <f t="shared" si="193"/>
        <v/>
      </c>
      <c r="P192" s="51" t="str">
        <f t="shared" si="193"/>
        <v/>
      </c>
      <c r="Q192" s="51" t="str">
        <f t="shared" si="193"/>
        <v/>
      </c>
      <c r="R192" s="51" t="str">
        <f t="shared" si="193"/>
        <v/>
      </c>
      <c r="S192" s="51" t="str">
        <f t="shared" si="193"/>
        <v/>
      </c>
      <c r="T192" s="51" t="str">
        <f t="shared" si="193"/>
        <v/>
      </c>
      <c r="U192" s="52"/>
      <c r="V192" s="52" t="str">
        <f>IFERROR(__xludf.DUMMYFUNCTION("""COMPUTED_VALUE"""),"")</f>
        <v/>
      </c>
      <c r="W192" s="52" t="str">
        <f>IFERROR(__xludf.DUMMYFUNCTION("""COMPUTED_VALUE"""),"")</f>
        <v/>
      </c>
      <c r="X192" s="52" t="str">
        <f>IFERROR(__xludf.DUMMYFUNCTION("""COMPUTED_VALUE"""),"")</f>
        <v/>
      </c>
      <c r="Y192" s="52" t="str">
        <f>IFERROR(__xludf.DUMMYFUNCTION("""COMPUTED_VALUE"""),"")</f>
        <v/>
      </c>
      <c r="Z192" s="52" t="str">
        <f>IFERROR(__xludf.DUMMYFUNCTION("""COMPUTED_VALUE"""),"")</f>
        <v/>
      </c>
      <c r="AA192" s="52" t="str">
        <f>IFERROR(__xludf.DUMMYFUNCTION("""COMPUTED_VALUE"""),"")</f>
        <v/>
      </c>
      <c r="AB192" s="52" t="str">
        <f>IFERROR(__xludf.DUMMYFUNCTION("""COMPUTED_VALUE"""),"")</f>
        <v/>
      </c>
      <c r="AC192" s="52" t="str">
        <f>IFERROR(__xludf.DUMMYFUNCTION("""COMPUTED_VALUE"""),"")</f>
        <v/>
      </c>
      <c r="AD192" s="52" t="str">
        <f>IFERROR(__xludf.DUMMYFUNCTION("""COMPUTED_VALUE"""),"")</f>
        <v/>
      </c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</row>
    <row r="193">
      <c r="B193" s="49"/>
      <c r="C193" s="49" t="str">
        <f t="shared" si="2"/>
        <v/>
      </c>
      <c r="D193" s="50" t="str">
        <f t="shared" si="3"/>
        <v/>
      </c>
      <c r="E193" s="51" t="str">
        <f t="shared" ref="E193:T193" si="194">IFERROR(VLOOKUP($A193,INDIRECT("'" &amp; E$1 &amp; "'!$C:$G"), 5, FALSE),"")</f>
        <v/>
      </c>
      <c r="F193" s="51" t="str">
        <f t="shared" si="194"/>
        <v/>
      </c>
      <c r="G193" s="51" t="str">
        <f t="shared" si="194"/>
        <v/>
      </c>
      <c r="H193" s="51" t="str">
        <f t="shared" si="194"/>
        <v/>
      </c>
      <c r="I193" s="51" t="str">
        <f t="shared" si="194"/>
        <v/>
      </c>
      <c r="J193" s="51" t="str">
        <f t="shared" si="194"/>
        <v/>
      </c>
      <c r="K193" s="51" t="str">
        <f t="shared" si="194"/>
        <v/>
      </c>
      <c r="L193" s="51" t="str">
        <f t="shared" si="194"/>
        <v/>
      </c>
      <c r="M193" s="51" t="str">
        <f t="shared" si="194"/>
        <v/>
      </c>
      <c r="N193" s="51" t="str">
        <f t="shared" si="194"/>
        <v/>
      </c>
      <c r="O193" s="51" t="str">
        <f t="shared" si="194"/>
        <v/>
      </c>
      <c r="P193" s="51" t="str">
        <f t="shared" si="194"/>
        <v/>
      </c>
      <c r="Q193" s="51" t="str">
        <f t="shared" si="194"/>
        <v/>
      </c>
      <c r="R193" s="51" t="str">
        <f t="shared" si="194"/>
        <v/>
      </c>
      <c r="S193" s="51" t="str">
        <f t="shared" si="194"/>
        <v/>
      </c>
      <c r="T193" s="51" t="str">
        <f t="shared" si="194"/>
        <v/>
      </c>
      <c r="U193" s="52"/>
      <c r="V193" s="52" t="str">
        <f>IFERROR(__xludf.DUMMYFUNCTION("""COMPUTED_VALUE"""),"")</f>
        <v/>
      </c>
      <c r="W193" s="52" t="str">
        <f>IFERROR(__xludf.DUMMYFUNCTION("""COMPUTED_VALUE"""),"")</f>
        <v/>
      </c>
      <c r="X193" s="52" t="str">
        <f>IFERROR(__xludf.DUMMYFUNCTION("""COMPUTED_VALUE"""),"")</f>
        <v/>
      </c>
      <c r="Y193" s="52" t="str">
        <f>IFERROR(__xludf.DUMMYFUNCTION("""COMPUTED_VALUE"""),"")</f>
        <v/>
      </c>
      <c r="Z193" s="52" t="str">
        <f>IFERROR(__xludf.DUMMYFUNCTION("""COMPUTED_VALUE"""),"")</f>
        <v/>
      </c>
      <c r="AA193" s="52" t="str">
        <f>IFERROR(__xludf.DUMMYFUNCTION("""COMPUTED_VALUE"""),"")</f>
        <v/>
      </c>
      <c r="AB193" s="52" t="str">
        <f>IFERROR(__xludf.DUMMYFUNCTION("""COMPUTED_VALUE"""),"")</f>
        <v/>
      </c>
      <c r="AC193" s="52" t="str">
        <f>IFERROR(__xludf.DUMMYFUNCTION("""COMPUTED_VALUE"""),"")</f>
        <v/>
      </c>
      <c r="AD193" s="52" t="str">
        <f>IFERROR(__xludf.DUMMYFUNCTION("""COMPUTED_VALUE"""),"")</f>
        <v/>
      </c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</row>
    <row r="194">
      <c r="B194" s="49"/>
      <c r="C194" s="49" t="str">
        <f t="shared" si="2"/>
        <v/>
      </c>
      <c r="D194" s="50" t="str">
        <f t="shared" si="3"/>
        <v/>
      </c>
      <c r="E194" s="51" t="str">
        <f t="shared" ref="E194:T194" si="195">IFERROR(VLOOKUP($A194,INDIRECT("'" &amp; E$1 &amp; "'!$C:$G"), 5, FALSE),"")</f>
        <v/>
      </c>
      <c r="F194" s="51" t="str">
        <f t="shared" si="195"/>
        <v/>
      </c>
      <c r="G194" s="51" t="str">
        <f t="shared" si="195"/>
        <v/>
      </c>
      <c r="H194" s="51" t="str">
        <f t="shared" si="195"/>
        <v/>
      </c>
      <c r="I194" s="51" t="str">
        <f t="shared" si="195"/>
        <v/>
      </c>
      <c r="J194" s="51" t="str">
        <f t="shared" si="195"/>
        <v/>
      </c>
      <c r="K194" s="51" t="str">
        <f t="shared" si="195"/>
        <v/>
      </c>
      <c r="L194" s="51" t="str">
        <f t="shared" si="195"/>
        <v/>
      </c>
      <c r="M194" s="51" t="str">
        <f t="shared" si="195"/>
        <v/>
      </c>
      <c r="N194" s="51" t="str">
        <f t="shared" si="195"/>
        <v/>
      </c>
      <c r="O194" s="51" t="str">
        <f t="shared" si="195"/>
        <v/>
      </c>
      <c r="P194" s="51" t="str">
        <f t="shared" si="195"/>
        <v/>
      </c>
      <c r="Q194" s="51" t="str">
        <f t="shared" si="195"/>
        <v/>
      </c>
      <c r="R194" s="51" t="str">
        <f t="shared" si="195"/>
        <v/>
      </c>
      <c r="S194" s="51" t="str">
        <f t="shared" si="195"/>
        <v/>
      </c>
      <c r="T194" s="51" t="str">
        <f t="shared" si="195"/>
        <v/>
      </c>
      <c r="U194" s="52"/>
      <c r="V194" s="52" t="str">
        <f>IFERROR(__xludf.DUMMYFUNCTION("""COMPUTED_VALUE"""),"")</f>
        <v/>
      </c>
      <c r="W194" s="52" t="str">
        <f>IFERROR(__xludf.DUMMYFUNCTION("""COMPUTED_VALUE"""),"")</f>
        <v/>
      </c>
      <c r="X194" s="52" t="str">
        <f>IFERROR(__xludf.DUMMYFUNCTION("""COMPUTED_VALUE"""),"")</f>
        <v/>
      </c>
      <c r="Y194" s="52" t="str">
        <f>IFERROR(__xludf.DUMMYFUNCTION("""COMPUTED_VALUE"""),"")</f>
        <v/>
      </c>
      <c r="Z194" s="52" t="str">
        <f>IFERROR(__xludf.DUMMYFUNCTION("""COMPUTED_VALUE"""),"")</f>
        <v/>
      </c>
      <c r="AA194" s="52" t="str">
        <f>IFERROR(__xludf.DUMMYFUNCTION("""COMPUTED_VALUE"""),"")</f>
        <v/>
      </c>
      <c r="AB194" s="52" t="str">
        <f>IFERROR(__xludf.DUMMYFUNCTION("""COMPUTED_VALUE"""),"")</f>
        <v/>
      </c>
      <c r="AC194" s="52" t="str">
        <f>IFERROR(__xludf.DUMMYFUNCTION("""COMPUTED_VALUE"""),"")</f>
        <v/>
      </c>
      <c r="AD194" s="52" t="str">
        <f>IFERROR(__xludf.DUMMYFUNCTION("""COMPUTED_VALUE"""),"")</f>
        <v/>
      </c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</row>
    <row r="195">
      <c r="B195" s="49"/>
      <c r="C195" s="49" t="str">
        <f t="shared" si="2"/>
        <v/>
      </c>
      <c r="D195" s="50" t="str">
        <f t="shared" si="3"/>
        <v/>
      </c>
      <c r="E195" s="51" t="str">
        <f t="shared" ref="E195:T195" si="196">IFERROR(VLOOKUP($A195,INDIRECT("'" &amp; E$1 &amp; "'!$C:$G"), 5, FALSE),"")</f>
        <v/>
      </c>
      <c r="F195" s="51" t="str">
        <f t="shared" si="196"/>
        <v/>
      </c>
      <c r="G195" s="51" t="str">
        <f t="shared" si="196"/>
        <v/>
      </c>
      <c r="H195" s="51" t="str">
        <f t="shared" si="196"/>
        <v/>
      </c>
      <c r="I195" s="51" t="str">
        <f t="shared" si="196"/>
        <v/>
      </c>
      <c r="J195" s="51" t="str">
        <f t="shared" si="196"/>
        <v/>
      </c>
      <c r="K195" s="51" t="str">
        <f t="shared" si="196"/>
        <v/>
      </c>
      <c r="L195" s="51" t="str">
        <f t="shared" si="196"/>
        <v/>
      </c>
      <c r="M195" s="51" t="str">
        <f t="shared" si="196"/>
        <v/>
      </c>
      <c r="N195" s="51" t="str">
        <f t="shared" si="196"/>
        <v/>
      </c>
      <c r="O195" s="51" t="str">
        <f t="shared" si="196"/>
        <v/>
      </c>
      <c r="P195" s="51" t="str">
        <f t="shared" si="196"/>
        <v/>
      </c>
      <c r="Q195" s="51" t="str">
        <f t="shared" si="196"/>
        <v/>
      </c>
      <c r="R195" s="51" t="str">
        <f t="shared" si="196"/>
        <v/>
      </c>
      <c r="S195" s="51" t="str">
        <f t="shared" si="196"/>
        <v/>
      </c>
      <c r="T195" s="51" t="str">
        <f t="shared" si="196"/>
        <v/>
      </c>
      <c r="U195" s="52"/>
      <c r="V195" s="52" t="str">
        <f>IFERROR(__xludf.DUMMYFUNCTION("""COMPUTED_VALUE"""),"")</f>
        <v/>
      </c>
      <c r="W195" s="52" t="str">
        <f>IFERROR(__xludf.DUMMYFUNCTION("""COMPUTED_VALUE"""),"")</f>
        <v/>
      </c>
      <c r="X195" s="52" t="str">
        <f>IFERROR(__xludf.DUMMYFUNCTION("""COMPUTED_VALUE"""),"")</f>
        <v/>
      </c>
      <c r="Y195" s="52" t="str">
        <f>IFERROR(__xludf.DUMMYFUNCTION("""COMPUTED_VALUE"""),"")</f>
        <v/>
      </c>
      <c r="Z195" s="52" t="str">
        <f>IFERROR(__xludf.DUMMYFUNCTION("""COMPUTED_VALUE"""),"")</f>
        <v/>
      </c>
      <c r="AA195" s="52" t="str">
        <f>IFERROR(__xludf.DUMMYFUNCTION("""COMPUTED_VALUE"""),"")</f>
        <v/>
      </c>
      <c r="AB195" s="52" t="str">
        <f>IFERROR(__xludf.DUMMYFUNCTION("""COMPUTED_VALUE"""),"")</f>
        <v/>
      </c>
      <c r="AC195" s="52" t="str">
        <f>IFERROR(__xludf.DUMMYFUNCTION("""COMPUTED_VALUE"""),"")</f>
        <v/>
      </c>
      <c r="AD195" s="52" t="str">
        <f>IFERROR(__xludf.DUMMYFUNCTION("""COMPUTED_VALUE"""),"")</f>
        <v/>
      </c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</row>
    <row r="196">
      <c r="B196" s="49"/>
      <c r="C196" s="49" t="str">
        <f t="shared" si="2"/>
        <v/>
      </c>
      <c r="D196" s="50" t="str">
        <f t="shared" si="3"/>
        <v/>
      </c>
      <c r="E196" s="51" t="str">
        <f t="shared" ref="E196:T196" si="197">IFERROR(VLOOKUP($A196,INDIRECT("'" &amp; E$1 &amp; "'!$C:$G"), 5, FALSE),"")</f>
        <v/>
      </c>
      <c r="F196" s="51" t="str">
        <f t="shared" si="197"/>
        <v/>
      </c>
      <c r="G196" s="51" t="str">
        <f t="shared" si="197"/>
        <v/>
      </c>
      <c r="H196" s="51" t="str">
        <f t="shared" si="197"/>
        <v/>
      </c>
      <c r="I196" s="51" t="str">
        <f t="shared" si="197"/>
        <v/>
      </c>
      <c r="J196" s="51" t="str">
        <f t="shared" si="197"/>
        <v/>
      </c>
      <c r="K196" s="51" t="str">
        <f t="shared" si="197"/>
        <v/>
      </c>
      <c r="L196" s="51" t="str">
        <f t="shared" si="197"/>
        <v/>
      </c>
      <c r="M196" s="51" t="str">
        <f t="shared" si="197"/>
        <v/>
      </c>
      <c r="N196" s="51" t="str">
        <f t="shared" si="197"/>
        <v/>
      </c>
      <c r="O196" s="51" t="str">
        <f t="shared" si="197"/>
        <v/>
      </c>
      <c r="P196" s="51" t="str">
        <f t="shared" si="197"/>
        <v/>
      </c>
      <c r="Q196" s="51" t="str">
        <f t="shared" si="197"/>
        <v/>
      </c>
      <c r="R196" s="51" t="str">
        <f t="shared" si="197"/>
        <v/>
      </c>
      <c r="S196" s="51" t="str">
        <f t="shared" si="197"/>
        <v/>
      </c>
      <c r="T196" s="51" t="str">
        <f t="shared" si="197"/>
        <v/>
      </c>
      <c r="U196" s="52"/>
      <c r="V196" s="52" t="str">
        <f>IFERROR(__xludf.DUMMYFUNCTION("""COMPUTED_VALUE"""),"")</f>
        <v/>
      </c>
      <c r="W196" s="52" t="str">
        <f>IFERROR(__xludf.DUMMYFUNCTION("""COMPUTED_VALUE"""),"")</f>
        <v/>
      </c>
      <c r="X196" s="52" t="str">
        <f>IFERROR(__xludf.DUMMYFUNCTION("""COMPUTED_VALUE"""),"")</f>
        <v/>
      </c>
      <c r="Y196" s="52" t="str">
        <f>IFERROR(__xludf.DUMMYFUNCTION("""COMPUTED_VALUE"""),"")</f>
        <v/>
      </c>
      <c r="Z196" s="52" t="str">
        <f>IFERROR(__xludf.DUMMYFUNCTION("""COMPUTED_VALUE"""),"")</f>
        <v/>
      </c>
      <c r="AA196" s="52" t="str">
        <f>IFERROR(__xludf.DUMMYFUNCTION("""COMPUTED_VALUE"""),"")</f>
        <v/>
      </c>
      <c r="AB196" s="52" t="str">
        <f>IFERROR(__xludf.DUMMYFUNCTION("""COMPUTED_VALUE"""),"")</f>
        <v/>
      </c>
      <c r="AC196" s="52" t="str">
        <f>IFERROR(__xludf.DUMMYFUNCTION("""COMPUTED_VALUE"""),"")</f>
        <v/>
      </c>
      <c r="AD196" s="52" t="str">
        <f>IFERROR(__xludf.DUMMYFUNCTION("""COMPUTED_VALUE"""),"")</f>
        <v/>
      </c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</row>
    <row r="197">
      <c r="B197" s="49"/>
      <c r="C197" s="49" t="str">
        <f t="shared" si="2"/>
        <v/>
      </c>
      <c r="D197" s="50" t="str">
        <f t="shared" si="3"/>
        <v/>
      </c>
      <c r="E197" s="51" t="str">
        <f t="shared" ref="E197:T197" si="198">IFERROR(VLOOKUP($A197,INDIRECT("'" &amp; E$1 &amp; "'!$C:$G"), 5, FALSE),"")</f>
        <v/>
      </c>
      <c r="F197" s="51" t="str">
        <f t="shared" si="198"/>
        <v/>
      </c>
      <c r="G197" s="51" t="str">
        <f t="shared" si="198"/>
        <v/>
      </c>
      <c r="H197" s="51" t="str">
        <f t="shared" si="198"/>
        <v/>
      </c>
      <c r="I197" s="51" t="str">
        <f t="shared" si="198"/>
        <v/>
      </c>
      <c r="J197" s="51" t="str">
        <f t="shared" si="198"/>
        <v/>
      </c>
      <c r="K197" s="51" t="str">
        <f t="shared" si="198"/>
        <v/>
      </c>
      <c r="L197" s="51" t="str">
        <f t="shared" si="198"/>
        <v/>
      </c>
      <c r="M197" s="51" t="str">
        <f t="shared" si="198"/>
        <v/>
      </c>
      <c r="N197" s="51" t="str">
        <f t="shared" si="198"/>
        <v/>
      </c>
      <c r="O197" s="51" t="str">
        <f t="shared" si="198"/>
        <v/>
      </c>
      <c r="P197" s="51" t="str">
        <f t="shared" si="198"/>
        <v/>
      </c>
      <c r="Q197" s="51" t="str">
        <f t="shared" si="198"/>
        <v/>
      </c>
      <c r="R197" s="51" t="str">
        <f t="shared" si="198"/>
        <v/>
      </c>
      <c r="S197" s="51" t="str">
        <f t="shared" si="198"/>
        <v/>
      </c>
      <c r="T197" s="51" t="str">
        <f t="shared" si="198"/>
        <v/>
      </c>
      <c r="U197" s="52"/>
      <c r="V197" s="52" t="str">
        <f>IFERROR(__xludf.DUMMYFUNCTION("""COMPUTED_VALUE"""),"")</f>
        <v/>
      </c>
      <c r="W197" s="52" t="str">
        <f>IFERROR(__xludf.DUMMYFUNCTION("""COMPUTED_VALUE"""),"")</f>
        <v/>
      </c>
      <c r="X197" s="52" t="str">
        <f>IFERROR(__xludf.DUMMYFUNCTION("""COMPUTED_VALUE"""),"")</f>
        <v/>
      </c>
      <c r="Y197" s="52" t="str">
        <f>IFERROR(__xludf.DUMMYFUNCTION("""COMPUTED_VALUE"""),"")</f>
        <v/>
      </c>
      <c r="Z197" s="52" t="str">
        <f>IFERROR(__xludf.DUMMYFUNCTION("""COMPUTED_VALUE"""),"")</f>
        <v/>
      </c>
      <c r="AA197" s="52" t="str">
        <f>IFERROR(__xludf.DUMMYFUNCTION("""COMPUTED_VALUE"""),"")</f>
        <v/>
      </c>
      <c r="AB197" s="52" t="str">
        <f>IFERROR(__xludf.DUMMYFUNCTION("""COMPUTED_VALUE"""),"")</f>
        <v/>
      </c>
      <c r="AC197" s="52" t="str">
        <f>IFERROR(__xludf.DUMMYFUNCTION("""COMPUTED_VALUE"""),"")</f>
        <v/>
      </c>
      <c r="AD197" s="52" t="str">
        <f>IFERROR(__xludf.DUMMYFUNCTION("""COMPUTED_VALUE"""),"")</f>
        <v/>
      </c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</row>
    <row r="198">
      <c r="B198" s="49"/>
      <c r="C198" s="49" t="str">
        <f t="shared" si="2"/>
        <v/>
      </c>
      <c r="D198" s="50" t="str">
        <f t="shared" si="3"/>
        <v/>
      </c>
      <c r="E198" s="51" t="str">
        <f t="shared" ref="E198:T198" si="199">IFERROR(VLOOKUP($A198,INDIRECT("'" &amp; E$1 &amp; "'!$C:$G"), 5, FALSE),"")</f>
        <v/>
      </c>
      <c r="F198" s="51" t="str">
        <f t="shared" si="199"/>
        <v/>
      </c>
      <c r="G198" s="51" t="str">
        <f t="shared" si="199"/>
        <v/>
      </c>
      <c r="H198" s="51" t="str">
        <f t="shared" si="199"/>
        <v/>
      </c>
      <c r="I198" s="51" t="str">
        <f t="shared" si="199"/>
        <v/>
      </c>
      <c r="J198" s="51" t="str">
        <f t="shared" si="199"/>
        <v/>
      </c>
      <c r="K198" s="51" t="str">
        <f t="shared" si="199"/>
        <v/>
      </c>
      <c r="L198" s="51" t="str">
        <f t="shared" si="199"/>
        <v/>
      </c>
      <c r="M198" s="51" t="str">
        <f t="shared" si="199"/>
        <v/>
      </c>
      <c r="N198" s="51" t="str">
        <f t="shared" si="199"/>
        <v/>
      </c>
      <c r="O198" s="51" t="str">
        <f t="shared" si="199"/>
        <v/>
      </c>
      <c r="P198" s="51" t="str">
        <f t="shared" si="199"/>
        <v/>
      </c>
      <c r="Q198" s="51" t="str">
        <f t="shared" si="199"/>
        <v/>
      </c>
      <c r="R198" s="51" t="str">
        <f t="shared" si="199"/>
        <v/>
      </c>
      <c r="S198" s="51" t="str">
        <f t="shared" si="199"/>
        <v/>
      </c>
      <c r="T198" s="51" t="str">
        <f t="shared" si="199"/>
        <v/>
      </c>
      <c r="U198" s="52"/>
      <c r="V198" s="52" t="str">
        <f>IFERROR(__xludf.DUMMYFUNCTION("""COMPUTED_VALUE"""),"")</f>
        <v/>
      </c>
      <c r="W198" s="52" t="str">
        <f>IFERROR(__xludf.DUMMYFUNCTION("""COMPUTED_VALUE"""),"")</f>
        <v/>
      </c>
      <c r="X198" s="52" t="str">
        <f>IFERROR(__xludf.DUMMYFUNCTION("""COMPUTED_VALUE"""),"")</f>
        <v/>
      </c>
      <c r="Y198" s="52" t="str">
        <f>IFERROR(__xludf.DUMMYFUNCTION("""COMPUTED_VALUE"""),"")</f>
        <v/>
      </c>
      <c r="Z198" s="52" t="str">
        <f>IFERROR(__xludf.DUMMYFUNCTION("""COMPUTED_VALUE"""),"")</f>
        <v/>
      </c>
      <c r="AA198" s="52" t="str">
        <f>IFERROR(__xludf.DUMMYFUNCTION("""COMPUTED_VALUE"""),"")</f>
        <v/>
      </c>
      <c r="AB198" s="52" t="str">
        <f>IFERROR(__xludf.DUMMYFUNCTION("""COMPUTED_VALUE"""),"")</f>
        <v/>
      </c>
      <c r="AC198" s="52" t="str">
        <f>IFERROR(__xludf.DUMMYFUNCTION("""COMPUTED_VALUE"""),"")</f>
        <v/>
      </c>
      <c r="AD198" s="52" t="str">
        <f>IFERROR(__xludf.DUMMYFUNCTION("""COMPUTED_VALUE"""),"")</f>
        <v/>
      </c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</row>
    <row r="199">
      <c r="B199" s="49"/>
      <c r="C199" s="49" t="str">
        <f t="shared" si="2"/>
        <v/>
      </c>
      <c r="D199" s="50" t="str">
        <f t="shared" si="3"/>
        <v/>
      </c>
      <c r="E199" s="51" t="str">
        <f t="shared" ref="E199:T199" si="200">IFERROR(VLOOKUP($A199,INDIRECT("'" &amp; E$1 &amp; "'!$C:$G"), 5, FALSE),"")</f>
        <v/>
      </c>
      <c r="F199" s="51" t="str">
        <f t="shared" si="200"/>
        <v/>
      </c>
      <c r="G199" s="51" t="str">
        <f t="shared" si="200"/>
        <v/>
      </c>
      <c r="H199" s="51" t="str">
        <f t="shared" si="200"/>
        <v/>
      </c>
      <c r="I199" s="51" t="str">
        <f t="shared" si="200"/>
        <v/>
      </c>
      <c r="J199" s="51" t="str">
        <f t="shared" si="200"/>
        <v/>
      </c>
      <c r="K199" s="51" t="str">
        <f t="shared" si="200"/>
        <v/>
      </c>
      <c r="L199" s="51" t="str">
        <f t="shared" si="200"/>
        <v/>
      </c>
      <c r="M199" s="51" t="str">
        <f t="shared" si="200"/>
        <v/>
      </c>
      <c r="N199" s="51" t="str">
        <f t="shared" si="200"/>
        <v/>
      </c>
      <c r="O199" s="51" t="str">
        <f t="shared" si="200"/>
        <v/>
      </c>
      <c r="P199" s="51" t="str">
        <f t="shared" si="200"/>
        <v/>
      </c>
      <c r="Q199" s="51" t="str">
        <f t="shared" si="200"/>
        <v/>
      </c>
      <c r="R199" s="51" t="str">
        <f t="shared" si="200"/>
        <v/>
      </c>
      <c r="S199" s="51" t="str">
        <f t="shared" si="200"/>
        <v/>
      </c>
      <c r="T199" s="51" t="str">
        <f t="shared" si="200"/>
        <v/>
      </c>
      <c r="U199" s="52"/>
      <c r="V199" s="52" t="str">
        <f>IFERROR(__xludf.DUMMYFUNCTION("""COMPUTED_VALUE"""),"")</f>
        <v/>
      </c>
      <c r="W199" s="52" t="str">
        <f>IFERROR(__xludf.DUMMYFUNCTION("""COMPUTED_VALUE"""),"")</f>
        <v/>
      </c>
      <c r="X199" s="52" t="str">
        <f>IFERROR(__xludf.DUMMYFUNCTION("""COMPUTED_VALUE"""),"")</f>
        <v/>
      </c>
      <c r="Y199" s="52" t="str">
        <f>IFERROR(__xludf.DUMMYFUNCTION("""COMPUTED_VALUE"""),"")</f>
        <v/>
      </c>
      <c r="Z199" s="52" t="str">
        <f>IFERROR(__xludf.DUMMYFUNCTION("""COMPUTED_VALUE"""),"")</f>
        <v/>
      </c>
      <c r="AA199" s="52" t="str">
        <f>IFERROR(__xludf.DUMMYFUNCTION("""COMPUTED_VALUE"""),"")</f>
        <v/>
      </c>
      <c r="AB199" s="52" t="str">
        <f>IFERROR(__xludf.DUMMYFUNCTION("""COMPUTED_VALUE"""),"")</f>
        <v/>
      </c>
      <c r="AC199" s="52" t="str">
        <f>IFERROR(__xludf.DUMMYFUNCTION("""COMPUTED_VALUE"""),"")</f>
        <v/>
      </c>
      <c r="AD199" s="52" t="str">
        <f>IFERROR(__xludf.DUMMYFUNCTION("""COMPUTED_VALUE"""),"")</f>
        <v/>
      </c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</row>
    <row r="200">
      <c r="B200" s="49"/>
      <c r="C200" s="49" t="str">
        <f t="shared" si="2"/>
        <v/>
      </c>
      <c r="D200" s="50" t="str">
        <f t="shared" si="3"/>
        <v/>
      </c>
      <c r="E200" s="51" t="str">
        <f t="shared" ref="E200:T200" si="201">IFERROR(VLOOKUP($A200,INDIRECT("'" &amp; E$1 &amp; "'!$C:$G"), 5, FALSE),"")</f>
        <v/>
      </c>
      <c r="F200" s="51" t="str">
        <f t="shared" si="201"/>
        <v/>
      </c>
      <c r="G200" s="51" t="str">
        <f t="shared" si="201"/>
        <v/>
      </c>
      <c r="H200" s="51" t="str">
        <f t="shared" si="201"/>
        <v/>
      </c>
      <c r="I200" s="51" t="str">
        <f t="shared" si="201"/>
        <v/>
      </c>
      <c r="J200" s="51" t="str">
        <f t="shared" si="201"/>
        <v/>
      </c>
      <c r="K200" s="51" t="str">
        <f t="shared" si="201"/>
        <v/>
      </c>
      <c r="L200" s="51" t="str">
        <f t="shared" si="201"/>
        <v/>
      </c>
      <c r="M200" s="51" t="str">
        <f t="shared" si="201"/>
        <v/>
      </c>
      <c r="N200" s="51" t="str">
        <f t="shared" si="201"/>
        <v/>
      </c>
      <c r="O200" s="51" t="str">
        <f t="shared" si="201"/>
        <v/>
      </c>
      <c r="P200" s="51" t="str">
        <f t="shared" si="201"/>
        <v/>
      </c>
      <c r="Q200" s="51" t="str">
        <f t="shared" si="201"/>
        <v/>
      </c>
      <c r="R200" s="51" t="str">
        <f t="shared" si="201"/>
        <v/>
      </c>
      <c r="S200" s="51" t="str">
        <f t="shared" si="201"/>
        <v/>
      </c>
      <c r="T200" s="51" t="str">
        <f t="shared" si="201"/>
        <v/>
      </c>
      <c r="U200" s="52"/>
      <c r="V200" s="52" t="str">
        <f>IFERROR(__xludf.DUMMYFUNCTION("""COMPUTED_VALUE"""),"")</f>
        <v/>
      </c>
      <c r="W200" s="52" t="str">
        <f>IFERROR(__xludf.DUMMYFUNCTION("""COMPUTED_VALUE"""),"")</f>
        <v/>
      </c>
      <c r="X200" s="52" t="str">
        <f>IFERROR(__xludf.DUMMYFUNCTION("""COMPUTED_VALUE"""),"")</f>
        <v/>
      </c>
      <c r="Y200" s="52" t="str">
        <f>IFERROR(__xludf.DUMMYFUNCTION("""COMPUTED_VALUE"""),"")</f>
        <v/>
      </c>
      <c r="Z200" s="52" t="str">
        <f>IFERROR(__xludf.DUMMYFUNCTION("""COMPUTED_VALUE"""),"")</f>
        <v/>
      </c>
      <c r="AA200" s="52" t="str">
        <f>IFERROR(__xludf.DUMMYFUNCTION("""COMPUTED_VALUE"""),"")</f>
        <v/>
      </c>
      <c r="AB200" s="52" t="str">
        <f>IFERROR(__xludf.DUMMYFUNCTION("""COMPUTED_VALUE"""),"")</f>
        <v/>
      </c>
      <c r="AC200" s="52" t="str">
        <f>IFERROR(__xludf.DUMMYFUNCTION("""COMPUTED_VALUE"""),"")</f>
        <v/>
      </c>
      <c r="AD200" s="52" t="str">
        <f>IFERROR(__xludf.DUMMYFUNCTION("""COMPUTED_VALUE"""),"")</f>
        <v/>
      </c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</row>
    <row r="201">
      <c r="B201" s="49"/>
      <c r="C201" s="49" t="str">
        <f t="shared" si="2"/>
        <v/>
      </c>
      <c r="D201" s="50" t="str">
        <f t="shared" si="3"/>
        <v/>
      </c>
      <c r="E201" s="51" t="str">
        <f t="shared" ref="E201:T201" si="202">IFERROR(VLOOKUP($A201,INDIRECT("'" &amp; E$1 &amp; "'!$C:$G"), 5, FALSE),"")</f>
        <v/>
      </c>
      <c r="F201" s="51" t="str">
        <f t="shared" si="202"/>
        <v/>
      </c>
      <c r="G201" s="51" t="str">
        <f t="shared" si="202"/>
        <v/>
      </c>
      <c r="H201" s="51" t="str">
        <f t="shared" si="202"/>
        <v/>
      </c>
      <c r="I201" s="51" t="str">
        <f t="shared" si="202"/>
        <v/>
      </c>
      <c r="J201" s="51" t="str">
        <f t="shared" si="202"/>
        <v/>
      </c>
      <c r="K201" s="51" t="str">
        <f t="shared" si="202"/>
        <v/>
      </c>
      <c r="L201" s="51" t="str">
        <f t="shared" si="202"/>
        <v/>
      </c>
      <c r="M201" s="51" t="str">
        <f t="shared" si="202"/>
        <v/>
      </c>
      <c r="N201" s="51" t="str">
        <f t="shared" si="202"/>
        <v/>
      </c>
      <c r="O201" s="51" t="str">
        <f t="shared" si="202"/>
        <v/>
      </c>
      <c r="P201" s="51" t="str">
        <f t="shared" si="202"/>
        <v/>
      </c>
      <c r="Q201" s="51" t="str">
        <f t="shared" si="202"/>
        <v/>
      </c>
      <c r="R201" s="51" t="str">
        <f t="shared" si="202"/>
        <v/>
      </c>
      <c r="S201" s="51" t="str">
        <f t="shared" si="202"/>
        <v/>
      </c>
      <c r="T201" s="51" t="str">
        <f t="shared" si="202"/>
        <v/>
      </c>
      <c r="U201" s="52"/>
      <c r="V201" s="52" t="str">
        <f>IFERROR(__xludf.DUMMYFUNCTION("""COMPUTED_VALUE"""),"")</f>
        <v/>
      </c>
      <c r="W201" s="52" t="str">
        <f>IFERROR(__xludf.DUMMYFUNCTION("""COMPUTED_VALUE"""),"")</f>
        <v/>
      </c>
      <c r="X201" s="52" t="str">
        <f>IFERROR(__xludf.DUMMYFUNCTION("""COMPUTED_VALUE"""),"")</f>
        <v/>
      </c>
      <c r="Y201" s="52" t="str">
        <f>IFERROR(__xludf.DUMMYFUNCTION("""COMPUTED_VALUE"""),"")</f>
        <v/>
      </c>
      <c r="Z201" s="52" t="str">
        <f>IFERROR(__xludf.DUMMYFUNCTION("""COMPUTED_VALUE"""),"")</f>
        <v/>
      </c>
      <c r="AA201" s="52" t="str">
        <f>IFERROR(__xludf.DUMMYFUNCTION("""COMPUTED_VALUE"""),"")</f>
        <v/>
      </c>
      <c r="AB201" s="52" t="str">
        <f>IFERROR(__xludf.DUMMYFUNCTION("""COMPUTED_VALUE"""),"")</f>
        <v/>
      </c>
      <c r="AC201" s="52" t="str">
        <f>IFERROR(__xludf.DUMMYFUNCTION("""COMPUTED_VALUE"""),"")</f>
        <v/>
      </c>
      <c r="AD201" s="52" t="str">
        <f>IFERROR(__xludf.DUMMYFUNCTION("""COMPUTED_VALUE"""),"")</f>
        <v/>
      </c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</row>
    <row r="202">
      <c r="B202" s="49"/>
      <c r="C202" s="49" t="str">
        <f t="shared" si="2"/>
        <v/>
      </c>
      <c r="D202" s="50" t="str">
        <f t="shared" si="3"/>
        <v/>
      </c>
      <c r="E202" s="51" t="str">
        <f t="shared" ref="E202:T202" si="203">IFERROR(VLOOKUP($A202,INDIRECT("'" &amp; E$1 &amp; "'!$C:$G"), 5, FALSE),"")</f>
        <v/>
      </c>
      <c r="F202" s="51" t="str">
        <f t="shared" si="203"/>
        <v/>
      </c>
      <c r="G202" s="51" t="str">
        <f t="shared" si="203"/>
        <v/>
      </c>
      <c r="H202" s="51" t="str">
        <f t="shared" si="203"/>
        <v/>
      </c>
      <c r="I202" s="51" t="str">
        <f t="shared" si="203"/>
        <v/>
      </c>
      <c r="J202" s="51" t="str">
        <f t="shared" si="203"/>
        <v/>
      </c>
      <c r="K202" s="51" t="str">
        <f t="shared" si="203"/>
        <v/>
      </c>
      <c r="L202" s="51" t="str">
        <f t="shared" si="203"/>
        <v/>
      </c>
      <c r="M202" s="51" t="str">
        <f t="shared" si="203"/>
        <v/>
      </c>
      <c r="N202" s="51" t="str">
        <f t="shared" si="203"/>
        <v/>
      </c>
      <c r="O202" s="51" t="str">
        <f t="shared" si="203"/>
        <v/>
      </c>
      <c r="P202" s="51" t="str">
        <f t="shared" si="203"/>
        <v/>
      </c>
      <c r="Q202" s="51" t="str">
        <f t="shared" si="203"/>
        <v/>
      </c>
      <c r="R202" s="51" t="str">
        <f t="shared" si="203"/>
        <v/>
      </c>
      <c r="S202" s="51" t="str">
        <f t="shared" si="203"/>
        <v/>
      </c>
      <c r="T202" s="51" t="str">
        <f t="shared" si="203"/>
        <v/>
      </c>
      <c r="U202" s="52"/>
      <c r="V202" s="52" t="str">
        <f>IFERROR(__xludf.DUMMYFUNCTION("""COMPUTED_VALUE"""),"")</f>
        <v/>
      </c>
      <c r="W202" s="52" t="str">
        <f>IFERROR(__xludf.DUMMYFUNCTION("""COMPUTED_VALUE"""),"")</f>
        <v/>
      </c>
      <c r="X202" s="52" t="str">
        <f>IFERROR(__xludf.DUMMYFUNCTION("""COMPUTED_VALUE"""),"")</f>
        <v/>
      </c>
      <c r="Y202" s="52" t="str">
        <f>IFERROR(__xludf.DUMMYFUNCTION("""COMPUTED_VALUE"""),"")</f>
        <v/>
      </c>
      <c r="Z202" s="52" t="str">
        <f>IFERROR(__xludf.DUMMYFUNCTION("""COMPUTED_VALUE"""),"")</f>
        <v/>
      </c>
      <c r="AA202" s="52" t="str">
        <f>IFERROR(__xludf.DUMMYFUNCTION("""COMPUTED_VALUE"""),"")</f>
        <v/>
      </c>
      <c r="AB202" s="52" t="str">
        <f>IFERROR(__xludf.DUMMYFUNCTION("""COMPUTED_VALUE"""),"")</f>
        <v/>
      </c>
      <c r="AC202" s="52" t="str">
        <f>IFERROR(__xludf.DUMMYFUNCTION("""COMPUTED_VALUE"""),"")</f>
        <v/>
      </c>
      <c r="AD202" s="52" t="str">
        <f>IFERROR(__xludf.DUMMYFUNCTION("""COMPUTED_VALUE"""),"")</f>
        <v/>
      </c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</row>
    <row r="203">
      <c r="B203" s="49"/>
      <c r="C203" s="49" t="str">
        <f t="shared" si="2"/>
        <v/>
      </c>
      <c r="D203" s="50" t="str">
        <f t="shared" si="3"/>
        <v/>
      </c>
      <c r="E203" s="51" t="str">
        <f t="shared" ref="E203:T203" si="204">IFERROR(VLOOKUP($A203,INDIRECT("'" &amp; E$1 &amp; "'!$C:$G"), 5, FALSE),"")</f>
        <v/>
      </c>
      <c r="F203" s="51" t="str">
        <f t="shared" si="204"/>
        <v/>
      </c>
      <c r="G203" s="51" t="str">
        <f t="shared" si="204"/>
        <v/>
      </c>
      <c r="H203" s="51" t="str">
        <f t="shared" si="204"/>
        <v/>
      </c>
      <c r="I203" s="51" t="str">
        <f t="shared" si="204"/>
        <v/>
      </c>
      <c r="J203" s="51" t="str">
        <f t="shared" si="204"/>
        <v/>
      </c>
      <c r="K203" s="51" t="str">
        <f t="shared" si="204"/>
        <v/>
      </c>
      <c r="L203" s="51" t="str">
        <f t="shared" si="204"/>
        <v/>
      </c>
      <c r="M203" s="51" t="str">
        <f t="shared" si="204"/>
        <v/>
      </c>
      <c r="N203" s="51" t="str">
        <f t="shared" si="204"/>
        <v/>
      </c>
      <c r="O203" s="51" t="str">
        <f t="shared" si="204"/>
        <v/>
      </c>
      <c r="P203" s="51" t="str">
        <f t="shared" si="204"/>
        <v/>
      </c>
      <c r="Q203" s="51" t="str">
        <f t="shared" si="204"/>
        <v/>
      </c>
      <c r="R203" s="51" t="str">
        <f t="shared" si="204"/>
        <v/>
      </c>
      <c r="S203" s="51" t="str">
        <f t="shared" si="204"/>
        <v/>
      </c>
      <c r="T203" s="51" t="str">
        <f t="shared" si="204"/>
        <v/>
      </c>
      <c r="U203" s="52"/>
      <c r="V203" s="52" t="str">
        <f>IFERROR(__xludf.DUMMYFUNCTION("""COMPUTED_VALUE"""),"")</f>
        <v/>
      </c>
      <c r="W203" s="52" t="str">
        <f>IFERROR(__xludf.DUMMYFUNCTION("""COMPUTED_VALUE"""),"")</f>
        <v/>
      </c>
      <c r="X203" s="52" t="str">
        <f>IFERROR(__xludf.DUMMYFUNCTION("""COMPUTED_VALUE"""),"")</f>
        <v/>
      </c>
      <c r="Y203" s="52" t="str">
        <f>IFERROR(__xludf.DUMMYFUNCTION("""COMPUTED_VALUE"""),"")</f>
        <v/>
      </c>
      <c r="Z203" s="52" t="str">
        <f>IFERROR(__xludf.DUMMYFUNCTION("""COMPUTED_VALUE"""),"")</f>
        <v/>
      </c>
      <c r="AA203" s="52" t="str">
        <f>IFERROR(__xludf.DUMMYFUNCTION("""COMPUTED_VALUE"""),"")</f>
        <v/>
      </c>
      <c r="AB203" s="52" t="str">
        <f>IFERROR(__xludf.DUMMYFUNCTION("""COMPUTED_VALUE"""),"")</f>
        <v/>
      </c>
      <c r="AC203" s="52" t="str">
        <f>IFERROR(__xludf.DUMMYFUNCTION("""COMPUTED_VALUE"""),"")</f>
        <v/>
      </c>
      <c r="AD203" s="52" t="str">
        <f>IFERROR(__xludf.DUMMYFUNCTION("""COMPUTED_VALUE"""),"")</f>
        <v/>
      </c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</row>
    <row r="204">
      <c r="B204" s="49"/>
      <c r="C204" s="49" t="str">
        <f t="shared" si="2"/>
        <v/>
      </c>
      <c r="D204" s="50" t="str">
        <f t="shared" si="3"/>
        <v/>
      </c>
      <c r="E204" s="51" t="str">
        <f t="shared" ref="E204:T204" si="205">IFERROR(VLOOKUP($A204,INDIRECT("'" &amp; E$1 &amp; "'!$C:$G"), 5, FALSE),"")</f>
        <v/>
      </c>
      <c r="F204" s="51" t="str">
        <f t="shared" si="205"/>
        <v/>
      </c>
      <c r="G204" s="51" t="str">
        <f t="shared" si="205"/>
        <v/>
      </c>
      <c r="H204" s="51" t="str">
        <f t="shared" si="205"/>
        <v/>
      </c>
      <c r="I204" s="51" t="str">
        <f t="shared" si="205"/>
        <v/>
      </c>
      <c r="J204" s="51" t="str">
        <f t="shared" si="205"/>
        <v/>
      </c>
      <c r="K204" s="51" t="str">
        <f t="shared" si="205"/>
        <v/>
      </c>
      <c r="L204" s="51" t="str">
        <f t="shared" si="205"/>
        <v/>
      </c>
      <c r="M204" s="51" t="str">
        <f t="shared" si="205"/>
        <v/>
      </c>
      <c r="N204" s="51" t="str">
        <f t="shared" si="205"/>
        <v/>
      </c>
      <c r="O204" s="51" t="str">
        <f t="shared" si="205"/>
        <v/>
      </c>
      <c r="P204" s="51" t="str">
        <f t="shared" si="205"/>
        <v/>
      </c>
      <c r="Q204" s="51" t="str">
        <f t="shared" si="205"/>
        <v/>
      </c>
      <c r="R204" s="51" t="str">
        <f t="shared" si="205"/>
        <v/>
      </c>
      <c r="S204" s="51" t="str">
        <f t="shared" si="205"/>
        <v/>
      </c>
      <c r="T204" s="51" t="str">
        <f t="shared" si="205"/>
        <v/>
      </c>
      <c r="U204" s="52"/>
      <c r="V204" s="52" t="str">
        <f>IFERROR(__xludf.DUMMYFUNCTION("""COMPUTED_VALUE"""),"")</f>
        <v/>
      </c>
      <c r="W204" s="52" t="str">
        <f>IFERROR(__xludf.DUMMYFUNCTION("""COMPUTED_VALUE"""),"")</f>
        <v/>
      </c>
      <c r="X204" s="52" t="str">
        <f>IFERROR(__xludf.DUMMYFUNCTION("""COMPUTED_VALUE"""),"")</f>
        <v/>
      </c>
      <c r="Y204" s="52" t="str">
        <f>IFERROR(__xludf.DUMMYFUNCTION("""COMPUTED_VALUE"""),"")</f>
        <v/>
      </c>
      <c r="Z204" s="52" t="str">
        <f>IFERROR(__xludf.DUMMYFUNCTION("""COMPUTED_VALUE"""),"")</f>
        <v/>
      </c>
      <c r="AA204" s="52" t="str">
        <f>IFERROR(__xludf.DUMMYFUNCTION("""COMPUTED_VALUE"""),"")</f>
        <v/>
      </c>
      <c r="AB204" s="52" t="str">
        <f>IFERROR(__xludf.DUMMYFUNCTION("""COMPUTED_VALUE"""),"")</f>
        <v/>
      </c>
      <c r="AC204" s="52" t="str">
        <f>IFERROR(__xludf.DUMMYFUNCTION("""COMPUTED_VALUE"""),"")</f>
        <v/>
      </c>
      <c r="AD204" s="52" t="str">
        <f>IFERROR(__xludf.DUMMYFUNCTION("""COMPUTED_VALUE"""),"")</f>
        <v/>
      </c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</row>
    <row r="205">
      <c r="B205" s="49"/>
      <c r="C205" s="49" t="str">
        <f t="shared" si="2"/>
        <v/>
      </c>
      <c r="D205" s="50" t="str">
        <f t="shared" si="3"/>
        <v/>
      </c>
      <c r="E205" s="51" t="str">
        <f t="shared" ref="E205:T205" si="206">IFERROR(VLOOKUP($A205,INDIRECT("'" &amp; E$1 &amp; "'!$C:$G"), 5, FALSE),"")</f>
        <v/>
      </c>
      <c r="F205" s="51" t="str">
        <f t="shared" si="206"/>
        <v/>
      </c>
      <c r="G205" s="51" t="str">
        <f t="shared" si="206"/>
        <v/>
      </c>
      <c r="H205" s="51" t="str">
        <f t="shared" si="206"/>
        <v/>
      </c>
      <c r="I205" s="51" t="str">
        <f t="shared" si="206"/>
        <v/>
      </c>
      <c r="J205" s="51" t="str">
        <f t="shared" si="206"/>
        <v/>
      </c>
      <c r="K205" s="51" t="str">
        <f t="shared" si="206"/>
        <v/>
      </c>
      <c r="L205" s="51" t="str">
        <f t="shared" si="206"/>
        <v/>
      </c>
      <c r="M205" s="51" t="str">
        <f t="shared" si="206"/>
        <v/>
      </c>
      <c r="N205" s="51" t="str">
        <f t="shared" si="206"/>
        <v/>
      </c>
      <c r="O205" s="51" t="str">
        <f t="shared" si="206"/>
        <v/>
      </c>
      <c r="P205" s="51" t="str">
        <f t="shared" si="206"/>
        <v/>
      </c>
      <c r="Q205" s="51" t="str">
        <f t="shared" si="206"/>
        <v/>
      </c>
      <c r="R205" s="51" t="str">
        <f t="shared" si="206"/>
        <v/>
      </c>
      <c r="S205" s="51" t="str">
        <f t="shared" si="206"/>
        <v/>
      </c>
      <c r="T205" s="51" t="str">
        <f t="shared" si="206"/>
        <v/>
      </c>
      <c r="U205" s="52"/>
      <c r="V205" s="52" t="str">
        <f>IFERROR(__xludf.DUMMYFUNCTION("""COMPUTED_VALUE"""),"")</f>
        <v/>
      </c>
      <c r="W205" s="52" t="str">
        <f>IFERROR(__xludf.DUMMYFUNCTION("""COMPUTED_VALUE"""),"")</f>
        <v/>
      </c>
      <c r="X205" s="52" t="str">
        <f>IFERROR(__xludf.DUMMYFUNCTION("""COMPUTED_VALUE"""),"")</f>
        <v/>
      </c>
      <c r="Y205" s="52" t="str">
        <f>IFERROR(__xludf.DUMMYFUNCTION("""COMPUTED_VALUE"""),"")</f>
        <v/>
      </c>
      <c r="Z205" s="52" t="str">
        <f>IFERROR(__xludf.DUMMYFUNCTION("""COMPUTED_VALUE"""),"")</f>
        <v/>
      </c>
      <c r="AA205" s="52" t="str">
        <f>IFERROR(__xludf.DUMMYFUNCTION("""COMPUTED_VALUE"""),"")</f>
        <v/>
      </c>
      <c r="AB205" s="52" t="str">
        <f>IFERROR(__xludf.DUMMYFUNCTION("""COMPUTED_VALUE"""),"")</f>
        <v/>
      </c>
      <c r="AC205" s="52" t="str">
        <f>IFERROR(__xludf.DUMMYFUNCTION("""COMPUTED_VALUE"""),"")</f>
        <v/>
      </c>
      <c r="AD205" s="52" t="str">
        <f>IFERROR(__xludf.DUMMYFUNCTION("""COMPUTED_VALUE"""),"")</f>
        <v/>
      </c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</row>
    <row r="206">
      <c r="B206" s="49"/>
      <c r="C206" s="49" t="str">
        <f t="shared" si="2"/>
        <v/>
      </c>
      <c r="D206" s="50" t="str">
        <f t="shared" si="3"/>
        <v/>
      </c>
      <c r="E206" s="51" t="str">
        <f t="shared" ref="E206:T206" si="207">IFERROR(VLOOKUP($A206,INDIRECT("'" &amp; E$1 &amp; "'!$C:$G"), 5, FALSE),"")</f>
        <v/>
      </c>
      <c r="F206" s="51" t="str">
        <f t="shared" si="207"/>
        <v/>
      </c>
      <c r="G206" s="51" t="str">
        <f t="shared" si="207"/>
        <v/>
      </c>
      <c r="H206" s="51" t="str">
        <f t="shared" si="207"/>
        <v/>
      </c>
      <c r="I206" s="51" t="str">
        <f t="shared" si="207"/>
        <v/>
      </c>
      <c r="J206" s="51" t="str">
        <f t="shared" si="207"/>
        <v/>
      </c>
      <c r="K206" s="51" t="str">
        <f t="shared" si="207"/>
        <v/>
      </c>
      <c r="L206" s="51" t="str">
        <f t="shared" si="207"/>
        <v/>
      </c>
      <c r="M206" s="51" t="str">
        <f t="shared" si="207"/>
        <v/>
      </c>
      <c r="N206" s="51" t="str">
        <f t="shared" si="207"/>
        <v/>
      </c>
      <c r="O206" s="51" t="str">
        <f t="shared" si="207"/>
        <v/>
      </c>
      <c r="P206" s="51" t="str">
        <f t="shared" si="207"/>
        <v/>
      </c>
      <c r="Q206" s="51" t="str">
        <f t="shared" si="207"/>
        <v/>
      </c>
      <c r="R206" s="51" t="str">
        <f t="shared" si="207"/>
        <v/>
      </c>
      <c r="S206" s="51" t="str">
        <f t="shared" si="207"/>
        <v/>
      </c>
      <c r="T206" s="51" t="str">
        <f t="shared" si="207"/>
        <v/>
      </c>
      <c r="U206" s="52"/>
      <c r="V206" s="52" t="str">
        <f>IFERROR(__xludf.DUMMYFUNCTION("""COMPUTED_VALUE"""),"")</f>
        <v/>
      </c>
      <c r="W206" s="52" t="str">
        <f>IFERROR(__xludf.DUMMYFUNCTION("""COMPUTED_VALUE"""),"")</f>
        <v/>
      </c>
      <c r="X206" s="52" t="str">
        <f>IFERROR(__xludf.DUMMYFUNCTION("""COMPUTED_VALUE"""),"")</f>
        <v/>
      </c>
      <c r="Y206" s="52" t="str">
        <f>IFERROR(__xludf.DUMMYFUNCTION("""COMPUTED_VALUE"""),"")</f>
        <v/>
      </c>
      <c r="Z206" s="52" t="str">
        <f>IFERROR(__xludf.DUMMYFUNCTION("""COMPUTED_VALUE"""),"")</f>
        <v/>
      </c>
      <c r="AA206" s="52" t="str">
        <f>IFERROR(__xludf.DUMMYFUNCTION("""COMPUTED_VALUE"""),"")</f>
        <v/>
      </c>
      <c r="AB206" s="52" t="str">
        <f>IFERROR(__xludf.DUMMYFUNCTION("""COMPUTED_VALUE"""),"")</f>
        <v/>
      </c>
      <c r="AC206" s="52" t="str">
        <f>IFERROR(__xludf.DUMMYFUNCTION("""COMPUTED_VALUE"""),"")</f>
        <v/>
      </c>
      <c r="AD206" s="52" t="str">
        <f>IFERROR(__xludf.DUMMYFUNCTION("""COMPUTED_VALUE"""),"")</f>
        <v/>
      </c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</row>
    <row r="207">
      <c r="B207" s="49"/>
      <c r="C207" s="49" t="str">
        <f t="shared" si="2"/>
        <v/>
      </c>
      <c r="D207" s="50" t="str">
        <f t="shared" si="3"/>
        <v/>
      </c>
      <c r="E207" s="51" t="str">
        <f t="shared" ref="E207:T207" si="208">IFERROR(VLOOKUP($A207,INDIRECT("'" &amp; E$1 &amp; "'!$C:$G"), 5, FALSE),"")</f>
        <v/>
      </c>
      <c r="F207" s="51" t="str">
        <f t="shared" si="208"/>
        <v/>
      </c>
      <c r="G207" s="51" t="str">
        <f t="shared" si="208"/>
        <v/>
      </c>
      <c r="H207" s="51" t="str">
        <f t="shared" si="208"/>
        <v/>
      </c>
      <c r="I207" s="51" t="str">
        <f t="shared" si="208"/>
        <v/>
      </c>
      <c r="J207" s="51" t="str">
        <f t="shared" si="208"/>
        <v/>
      </c>
      <c r="K207" s="51" t="str">
        <f t="shared" si="208"/>
        <v/>
      </c>
      <c r="L207" s="51" t="str">
        <f t="shared" si="208"/>
        <v/>
      </c>
      <c r="M207" s="51" t="str">
        <f t="shared" si="208"/>
        <v/>
      </c>
      <c r="N207" s="51" t="str">
        <f t="shared" si="208"/>
        <v/>
      </c>
      <c r="O207" s="51" t="str">
        <f t="shared" si="208"/>
        <v/>
      </c>
      <c r="P207" s="51" t="str">
        <f t="shared" si="208"/>
        <v/>
      </c>
      <c r="Q207" s="51" t="str">
        <f t="shared" si="208"/>
        <v/>
      </c>
      <c r="R207" s="51" t="str">
        <f t="shared" si="208"/>
        <v/>
      </c>
      <c r="S207" s="51" t="str">
        <f t="shared" si="208"/>
        <v/>
      </c>
      <c r="T207" s="51" t="str">
        <f t="shared" si="208"/>
        <v/>
      </c>
      <c r="U207" s="52"/>
      <c r="V207" s="52" t="str">
        <f>IFERROR(__xludf.DUMMYFUNCTION("""COMPUTED_VALUE"""),"")</f>
        <v/>
      </c>
      <c r="W207" s="52" t="str">
        <f>IFERROR(__xludf.DUMMYFUNCTION("""COMPUTED_VALUE"""),"")</f>
        <v/>
      </c>
      <c r="X207" s="52" t="str">
        <f>IFERROR(__xludf.DUMMYFUNCTION("""COMPUTED_VALUE"""),"")</f>
        <v/>
      </c>
      <c r="Y207" s="52" t="str">
        <f>IFERROR(__xludf.DUMMYFUNCTION("""COMPUTED_VALUE"""),"")</f>
        <v/>
      </c>
      <c r="Z207" s="52" t="str">
        <f>IFERROR(__xludf.DUMMYFUNCTION("""COMPUTED_VALUE"""),"")</f>
        <v/>
      </c>
      <c r="AA207" s="52" t="str">
        <f>IFERROR(__xludf.DUMMYFUNCTION("""COMPUTED_VALUE"""),"")</f>
        <v/>
      </c>
      <c r="AB207" s="52" t="str">
        <f>IFERROR(__xludf.DUMMYFUNCTION("""COMPUTED_VALUE"""),"")</f>
        <v/>
      </c>
      <c r="AC207" s="52" t="str">
        <f>IFERROR(__xludf.DUMMYFUNCTION("""COMPUTED_VALUE"""),"")</f>
        <v/>
      </c>
      <c r="AD207" s="52" t="str">
        <f>IFERROR(__xludf.DUMMYFUNCTION("""COMPUTED_VALUE"""),"")</f>
        <v/>
      </c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</row>
    <row r="208">
      <c r="B208" s="49"/>
      <c r="C208" s="49" t="str">
        <f t="shared" si="2"/>
        <v/>
      </c>
      <c r="D208" s="50" t="str">
        <f t="shared" si="3"/>
        <v/>
      </c>
      <c r="E208" s="51" t="str">
        <f t="shared" ref="E208:T208" si="209">IFERROR(VLOOKUP($A208,INDIRECT("'" &amp; E$1 &amp; "'!$C:$G"), 5, FALSE),"")</f>
        <v/>
      </c>
      <c r="F208" s="51" t="str">
        <f t="shared" si="209"/>
        <v/>
      </c>
      <c r="G208" s="51" t="str">
        <f t="shared" si="209"/>
        <v/>
      </c>
      <c r="H208" s="51" t="str">
        <f t="shared" si="209"/>
        <v/>
      </c>
      <c r="I208" s="51" t="str">
        <f t="shared" si="209"/>
        <v/>
      </c>
      <c r="J208" s="51" t="str">
        <f t="shared" si="209"/>
        <v/>
      </c>
      <c r="K208" s="51" t="str">
        <f t="shared" si="209"/>
        <v/>
      </c>
      <c r="L208" s="51" t="str">
        <f t="shared" si="209"/>
        <v/>
      </c>
      <c r="M208" s="51" t="str">
        <f t="shared" si="209"/>
        <v/>
      </c>
      <c r="N208" s="51" t="str">
        <f t="shared" si="209"/>
        <v/>
      </c>
      <c r="O208" s="51" t="str">
        <f t="shared" si="209"/>
        <v/>
      </c>
      <c r="P208" s="51" t="str">
        <f t="shared" si="209"/>
        <v/>
      </c>
      <c r="Q208" s="51" t="str">
        <f t="shared" si="209"/>
        <v/>
      </c>
      <c r="R208" s="51" t="str">
        <f t="shared" si="209"/>
        <v/>
      </c>
      <c r="S208" s="51" t="str">
        <f t="shared" si="209"/>
        <v/>
      </c>
      <c r="T208" s="51" t="str">
        <f t="shared" si="209"/>
        <v/>
      </c>
      <c r="U208" s="52"/>
      <c r="V208" s="52" t="str">
        <f>IFERROR(__xludf.DUMMYFUNCTION("""COMPUTED_VALUE"""),"")</f>
        <v/>
      </c>
      <c r="W208" s="52" t="str">
        <f>IFERROR(__xludf.DUMMYFUNCTION("""COMPUTED_VALUE"""),"")</f>
        <v/>
      </c>
      <c r="X208" s="52" t="str">
        <f>IFERROR(__xludf.DUMMYFUNCTION("""COMPUTED_VALUE"""),"")</f>
        <v/>
      </c>
      <c r="Y208" s="52" t="str">
        <f>IFERROR(__xludf.DUMMYFUNCTION("""COMPUTED_VALUE"""),"")</f>
        <v/>
      </c>
      <c r="Z208" s="52" t="str">
        <f>IFERROR(__xludf.DUMMYFUNCTION("""COMPUTED_VALUE"""),"")</f>
        <v/>
      </c>
      <c r="AA208" s="52" t="str">
        <f>IFERROR(__xludf.DUMMYFUNCTION("""COMPUTED_VALUE"""),"")</f>
        <v/>
      </c>
      <c r="AB208" s="52" t="str">
        <f>IFERROR(__xludf.DUMMYFUNCTION("""COMPUTED_VALUE"""),"")</f>
        <v/>
      </c>
      <c r="AC208" s="52" t="str">
        <f>IFERROR(__xludf.DUMMYFUNCTION("""COMPUTED_VALUE"""),"")</f>
        <v/>
      </c>
      <c r="AD208" s="52" t="str">
        <f>IFERROR(__xludf.DUMMYFUNCTION("""COMPUTED_VALUE"""),"")</f>
        <v/>
      </c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</row>
    <row r="209">
      <c r="B209" s="49"/>
      <c r="C209" s="49" t="str">
        <f t="shared" si="2"/>
        <v/>
      </c>
      <c r="D209" s="50" t="str">
        <f t="shared" si="3"/>
        <v/>
      </c>
      <c r="E209" s="51" t="str">
        <f t="shared" ref="E209:T209" si="210">IFERROR(VLOOKUP($A209,INDIRECT("'" &amp; E$1 &amp; "'!$C:$G"), 5, FALSE),"")</f>
        <v/>
      </c>
      <c r="F209" s="51" t="str">
        <f t="shared" si="210"/>
        <v/>
      </c>
      <c r="G209" s="51" t="str">
        <f t="shared" si="210"/>
        <v/>
      </c>
      <c r="H209" s="51" t="str">
        <f t="shared" si="210"/>
        <v/>
      </c>
      <c r="I209" s="51" t="str">
        <f t="shared" si="210"/>
        <v/>
      </c>
      <c r="J209" s="51" t="str">
        <f t="shared" si="210"/>
        <v/>
      </c>
      <c r="K209" s="51" t="str">
        <f t="shared" si="210"/>
        <v/>
      </c>
      <c r="L209" s="51" t="str">
        <f t="shared" si="210"/>
        <v/>
      </c>
      <c r="M209" s="51" t="str">
        <f t="shared" si="210"/>
        <v/>
      </c>
      <c r="N209" s="51" t="str">
        <f t="shared" si="210"/>
        <v/>
      </c>
      <c r="O209" s="51" t="str">
        <f t="shared" si="210"/>
        <v/>
      </c>
      <c r="P209" s="51" t="str">
        <f t="shared" si="210"/>
        <v/>
      </c>
      <c r="Q209" s="51" t="str">
        <f t="shared" si="210"/>
        <v/>
      </c>
      <c r="R209" s="51" t="str">
        <f t="shared" si="210"/>
        <v/>
      </c>
      <c r="S209" s="51" t="str">
        <f t="shared" si="210"/>
        <v/>
      </c>
      <c r="T209" s="51" t="str">
        <f t="shared" si="210"/>
        <v/>
      </c>
      <c r="U209" s="52"/>
      <c r="V209" s="52" t="str">
        <f>IFERROR(__xludf.DUMMYFUNCTION("""COMPUTED_VALUE"""),"")</f>
        <v/>
      </c>
      <c r="W209" s="52" t="str">
        <f>IFERROR(__xludf.DUMMYFUNCTION("""COMPUTED_VALUE"""),"")</f>
        <v/>
      </c>
      <c r="X209" s="52" t="str">
        <f>IFERROR(__xludf.DUMMYFUNCTION("""COMPUTED_VALUE"""),"")</f>
        <v/>
      </c>
      <c r="Y209" s="52" t="str">
        <f>IFERROR(__xludf.DUMMYFUNCTION("""COMPUTED_VALUE"""),"")</f>
        <v/>
      </c>
      <c r="Z209" s="52" t="str">
        <f>IFERROR(__xludf.DUMMYFUNCTION("""COMPUTED_VALUE"""),"")</f>
        <v/>
      </c>
      <c r="AA209" s="52" t="str">
        <f>IFERROR(__xludf.DUMMYFUNCTION("""COMPUTED_VALUE"""),"")</f>
        <v/>
      </c>
      <c r="AB209" s="52" t="str">
        <f>IFERROR(__xludf.DUMMYFUNCTION("""COMPUTED_VALUE"""),"")</f>
        <v/>
      </c>
      <c r="AC209" s="52" t="str">
        <f>IFERROR(__xludf.DUMMYFUNCTION("""COMPUTED_VALUE"""),"")</f>
        <v/>
      </c>
      <c r="AD209" s="52" t="str">
        <f>IFERROR(__xludf.DUMMYFUNCTION("""COMPUTED_VALUE"""),"")</f>
        <v/>
      </c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</row>
    <row r="210">
      <c r="B210" s="49"/>
      <c r="C210" s="49" t="str">
        <f t="shared" si="2"/>
        <v/>
      </c>
      <c r="D210" s="50" t="str">
        <f t="shared" si="3"/>
        <v/>
      </c>
      <c r="E210" s="51" t="str">
        <f t="shared" ref="E210:T210" si="211">IFERROR(VLOOKUP($A210,INDIRECT("'" &amp; E$1 &amp; "'!$C:$G"), 5, FALSE),"")</f>
        <v/>
      </c>
      <c r="F210" s="51" t="str">
        <f t="shared" si="211"/>
        <v/>
      </c>
      <c r="G210" s="51" t="str">
        <f t="shared" si="211"/>
        <v/>
      </c>
      <c r="H210" s="51" t="str">
        <f t="shared" si="211"/>
        <v/>
      </c>
      <c r="I210" s="51" t="str">
        <f t="shared" si="211"/>
        <v/>
      </c>
      <c r="J210" s="51" t="str">
        <f t="shared" si="211"/>
        <v/>
      </c>
      <c r="K210" s="51" t="str">
        <f t="shared" si="211"/>
        <v/>
      </c>
      <c r="L210" s="51" t="str">
        <f t="shared" si="211"/>
        <v/>
      </c>
      <c r="M210" s="51" t="str">
        <f t="shared" si="211"/>
        <v/>
      </c>
      <c r="N210" s="51" t="str">
        <f t="shared" si="211"/>
        <v/>
      </c>
      <c r="O210" s="51" t="str">
        <f t="shared" si="211"/>
        <v/>
      </c>
      <c r="P210" s="51" t="str">
        <f t="shared" si="211"/>
        <v/>
      </c>
      <c r="Q210" s="51" t="str">
        <f t="shared" si="211"/>
        <v/>
      </c>
      <c r="R210" s="51" t="str">
        <f t="shared" si="211"/>
        <v/>
      </c>
      <c r="S210" s="51" t="str">
        <f t="shared" si="211"/>
        <v/>
      </c>
      <c r="T210" s="51" t="str">
        <f t="shared" si="211"/>
        <v/>
      </c>
      <c r="U210" s="52"/>
      <c r="V210" s="52" t="str">
        <f>IFERROR(__xludf.DUMMYFUNCTION("""COMPUTED_VALUE"""),"")</f>
        <v/>
      </c>
      <c r="W210" s="52" t="str">
        <f>IFERROR(__xludf.DUMMYFUNCTION("""COMPUTED_VALUE"""),"")</f>
        <v/>
      </c>
      <c r="X210" s="52" t="str">
        <f>IFERROR(__xludf.DUMMYFUNCTION("""COMPUTED_VALUE"""),"")</f>
        <v/>
      </c>
      <c r="Y210" s="52" t="str">
        <f>IFERROR(__xludf.DUMMYFUNCTION("""COMPUTED_VALUE"""),"")</f>
        <v/>
      </c>
      <c r="Z210" s="52" t="str">
        <f>IFERROR(__xludf.DUMMYFUNCTION("""COMPUTED_VALUE"""),"")</f>
        <v/>
      </c>
      <c r="AA210" s="52" t="str">
        <f>IFERROR(__xludf.DUMMYFUNCTION("""COMPUTED_VALUE"""),"")</f>
        <v/>
      </c>
      <c r="AB210" s="52" t="str">
        <f>IFERROR(__xludf.DUMMYFUNCTION("""COMPUTED_VALUE"""),"")</f>
        <v/>
      </c>
      <c r="AC210" s="52" t="str">
        <f>IFERROR(__xludf.DUMMYFUNCTION("""COMPUTED_VALUE"""),"")</f>
        <v/>
      </c>
      <c r="AD210" s="52" t="str">
        <f>IFERROR(__xludf.DUMMYFUNCTION("""COMPUTED_VALUE"""),"")</f>
        <v/>
      </c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</row>
    <row r="211">
      <c r="B211" s="49"/>
      <c r="C211" s="49" t="str">
        <f t="shared" si="2"/>
        <v/>
      </c>
      <c r="D211" s="50" t="str">
        <f t="shared" si="3"/>
        <v/>
      </c>
      <c r="E211" s="51" t="str">
        <f t="shared" ref="E211:T211" si="212">IFERROR(VLOOKUP($A211,INDIRECT("'" &amp; E$1 &amp; "'!$C:$G"), 5, FALSE),"")</f>
        <v/>
      </c>
      <c r="F211" s="51" t="str">
        <f t="shared" si="212"/>
        <v/>
      </c>
      <c r="G211" s="51" t="str">
        <f t="shared" si="212"/>
        <v/>
      </c>
      <c r="H211" s="51" t="str">
        <f t="shared" si="212"/>
        <v/>
      </c>
      <c r="I211" s="51" t="str">
        <f t="shared" si="212"/>
        <v/>
      </c>
      <c r="J211" s="51" t="str">
        <f t="shared" si="212"/>
        <v/>
      </c>
      <c r="K211" s="51" t="str">
        <f t="shared" si="212"/>
        <v/>
      </c>
      <c r="L211" s="51" t="str">
        <f t="shared" si="212"/>
        <v/>
      </c>
      <c r="M211" s="51" t="str">
        <f t="shared" si="212"/>
        <v/>
      </c>
      <c r="N211" s="51" t="str">
        <f t="shared" si="212"/>
        <v/>
      </c>
      <c r="O211" s="51" t="str">
        <f t="shared" si="212"/>
        <v/>
      </c>
      <c r="P211" s="51" t="str">
        <f t="shared" si="212"/>
        <v/>
      </c>
      <c r="Q211" s="51" t="str">
        <f t="shared" si="212"/>
        <v/>
      </c>
      <c r="R211" s="51" t="str">
        <f t="shared" si="212"/>
        <v/>
      </c>
      <c r="S211" s="51" t="str">
        <f t="shared" si="212"/>
        <v/>
      </c>
      <c r="T211" s="51" t="str">
        <f t="shared" si="212"/>
        <v/>
      </c>
      <c r="U211" s="52"/>
      <c r="V211" s="52" t="str">
        <f>IFERROR(__xludf.DUMMYFUNCTION("""COMPUTED_VALUE"""),"")</f>
        <v/>
      </c>
      <c r="W211" s="52" t="str">
        <f>IFERROR(__xludf.DUMMYFUNCTION("""COMPUTED_VALUE"""),"")</f>
        <v/>
      </c>
      <c r="X211" s="52" t="str">
        <f>IFERROR(__xludf.DUMMYFUNCTION("""COMPUTED_VALUE"""),"")</f>
        <v/>
      </c>
      <c r="Y211" s="52" t="str">
        <f>IFERROR(__xludf.DUMMYFUNCTION("""COMPUTED_VALUE"""),"")</f>
        <v/>
      </c>
      <c r="Z211" s="52" t="str">
        <f>IFERROR(__xludf.DUMMYFUNCTION("""COMPUTED_VALUE"""),"")</f>
        <v/>
      </c>
      <c r="AA211" s="52" t="str">
        <f>IFERROR(__xludf.DUMMYFUNCTION("""COMPUTED_VALUE"""),"")</f>
        <v/>
      </c>
      <c r="AB211" s="52" t="str">
        <f>IFERROR(__xludf.DUMMYFUNCTION("""COMPUTED_VALUE"""),"")</f>
        <v/>
      </c>
      <c r="AC211" s="52" t="str">
        <f>IFERROR(__xludf.DUMMYFUNCTION("""COMPUTED_VALUE"""),"")</f>
        <v/>
      </c>
      <c r="AD211" s="52" t="str">
        <f>IFERROR(__xludf.DUMMYFUNCTION("""COMPUTED_VALUE"""),"")</f>
        <v/>
      </c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</row>
    <row r="212">
      <c r="B212" s="49"/>
      <c r="C212" s="49" t="str">
        <f t="shared" si="2"/>
        <v/>
      </c>
      <c r="D212" s="50" t="str">
        <f t="shared" si="3"/>
        <v/>
      </c>
      <c r="E212" s="51" t="str">
        <f t="shared" ref="E212:T212" si="213">IFERROR(VLOOKUP($A212,INDIRECT("'" &amp; E$1 &amp; "'!$C:$G"), 5, FALSE),"")</f>
        <v/>
      </c>
      <c r="F212" s="51" t="str">
        <f t="shared" si="213"/>
        <v/>
      </c>
      <c r="G212" s="51" t="str">
        <f t="shared" si="213"/>
        <v/>
      </c>
      <c r="H212" s="51" t="str">
        <f t="shared" si="213"/>
        <v/>
      </c>
      <c r="I212" s="51" t="str">
        <f t="shared" si="213"/>
        <v/>
      </c>
      <c r="J212" s="51" t="str">
        <f t="shared" si="213"/>
        <v/>
      </c>
      <c r="K212" s="51" t="str">
        <f t="shared" si="213"/>
        <v/>
      </c>
      <c r="L212" s="51" t="str">
        <f t="shared" si="213"/>
        <v/>
      </c>
      <c r="M212" s="51" t="str">
        <f t="shared" si="213"/>
        <v/>
      </c>
      <c r="N212" s="51" t="str">
        <f t="shared" si="213"/>
        <v/>
      </c>
      <c r="O212" s="51" t="str">
        <f t="shared" si="213"/>
        <v/>
      </c>
      <c r="P212" s="51" t="str">
        <f t="shared" si="213"/>
        <v/>
      </c>
      <c r="Q212" s="51" t="str">
        <f t="shared" si="213"/>
        <v/>
      </c>
      <c r="R212" s="51" t="str">
        <f t="shared" si="213"/>
        <v/>
      </c>
      <c r="S212" s="51" t="str">
        <f t="shared" si="213"/>
        <v/>
      </c>
      <c r="T212" s="51" t="str">
        <f t="shared" si="213"/>
        <v/>
      </c>
      <c r="U212" s="52"/>
      <c r="V212" s="52" t="str">
        <f>IFERROR(__xludf.DUMMYFUNCTION("""COMPUTED_VALUE"""),"")</f>
        <v/>
      </c>
      <c r="W212" s="52" t="str">
        <f>IFERROR(__xludf.DUMMYFUNCTION("""COMPUTED_VALUE"""),"")</f>
        <v/>
      </c>
      <c r="X212" s="52" t="str">
        <f>IFERROR(__xludf.DUMMYFUNCTION("""COMPUTED_VALUE"""),"")</f>
        <v/>
      </c>
      <c r="Y212" s="52" t="str">
        <f>IFERROR(__xludf.DUMMYFUNCTION("""COMPUTED_VALUE"""),"")</f>
        <v/>
      </c>
      <c r="Z212" s="52" t="str">
        <f>IFERROR(__xludf.DUMMYFUNCTION("""COMPUTED_VALUE"""),"")</f>
        <v/>
      </c>
      <c r="AA212" s="52" t="str">
        <f>IFERROR(__xludf.DUMMYFUNCTION("""COMPUTED_VALUE"""),"")</f>
        <v/>
      </c>
      <c r="AB212" s="52" t="str">
        <f>IFERROR(__xludf.DUMMYFUNCTION("""COMPUTED_VALUE"""),"")</f>
        <v/>
      </c>
      <c r="AC212" s="52" t="str">
        <f>IFERROR(__xludf.DUMMYFUNCTION("""COMPUTED_VALUE"""),"")</f>
        <v/>
      </c>
      <c r="AD212" s="52" t="str">
        <f>IFERROR(__xludf.DUMMYFUNCTION("""COMPUTED_VALUE"""),"")</f>
        <v/>
      </c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</row>
    <row r="213">
      <c r="B213" s="49"/>
      <c r="C213" s="49" t="str">
        <f t="shared" si="2"/>
        <v/>
      </c>
      <c r="D213" s="50" t="str">
        <f t="shared" si="3"/>
        <v/>
      </c>
      <c r="E213" s="51" t="str">
        <f t="shared" ref="E213:T213" si="214">IFERROR(VLOOKUP($A213,INDIRECT("'" &amp; E$1 &amp; "'!$C:$G"), 5, FALSE),"")</f>
        <v/>
      </c>
      <c r="F213" s="51" t="str">
        <f t="shared" si="214"/>
        <v/>
      </c>
      <c r="G213" s="51" t="str">
        <f t="shared" si="214"/>
        <v/>
      </c>
      <c r="H213" s="51" t="str">
        <f t="shared" si="214"/>
        <v/>
      </c>
      <c r="I213" s="51" t="str">
        <f t="shared" si="214"/>
        <v/>
      </c>
      <c r="J213" s="51" t="str">
        <f t="shared" si="214"/>
        <v/>
      </c>
      <c r="K213" s="51" t="str">
        <f t="shared" si="214"/>
        <v/>
      </c>
      <c r="L213" s="51" t="str">
        <f t="shared" si="214"/>
        <v/>
      </c>
      <c r="M213" s="51" t="str">
        <f t="shared" si="214"/>
        <v/>
      </c>
      <c r="N213" s="51" t="str">
        <f t="shared" si="214"/>
        <v/>
      </c>
      <c r="O213" s="51" t="str">
        <f t="shared" si="214"/>
        <v/>
      </c>
      <c r="P213" s="51" t="str">
        <f t="shared" si="214"/>
        <v/>
      </c>
      <c r="Q213" s="51" t="str">
        <f t="shared" si="214"/>
        <v/>
      </c>
      <c r="R213" s="51" t="str">
        <f t="shared" si="214"/>
        <v/>
      </c>
      <c r="S213" s="51" t="str">
        <f t="shared" si="214"/>
        <v/>
      </c>
      <c r="T213" s="51" t="str">
        <f t="shared" si="214"/>
        <v/>
      </c>
      <c r="U213" s="52"/>
      <c r="V213" s="52" t="str">
        <f>IFERROR(__xludf.DUMMYFUNCTION("""COMPUTED_VALUE"""),"")</f>
        <v/>
      </c>
      <c r="W213" s="52" t="str">
        <f>IFERROR(__xludf.DUMMYFUNCTION("""COMPUTED_VALUE"""),"")</f>
        <v/>
      </c>
      <c r="X213" s="52" t="str">
        <f>IFERROR(__xludf.DUMMYFUNCTION("""COMPUTED_VALUE"""),"")</f>
        <v/>
      </c>
      <c r="Y213" s="52" t="str">
        <f>IFERROR(__xludf.DUMMYFUNCTION("""COMPUTED_VALUE"""),"")</f>
        <v/>
      </c>
      <c r="Z213" s="52" t="str">
        <f>IFERROR(__xludf.DUMMYFUNCTION("""COMPUTED_VALUE"""),"")</f>
        <v/>
      </c>
      <c r="AA213" s="52" t="str">
        <f>IFERROR(__xludf.DUMMYFUNCTION("""COMPUTED_VALUE"""),"")</f>
        <v/>
      </c>
      <c r="AB213" s="52" t="str">
        <f>IFERROR(__xludf.DUMMYFUNCTION("""COMPUTED_VALUE"""),"")</f>
        <v/>
      </c>
      <c r="AC213" s="52" t="str">
        <f>IFERROR(__xludf.DUMMYFUNCTION("""COMPUTED_VALUE"""),"")</f>
        <v/>
      </c>
      <c r="AD213" s="52" t="str">
        <f>IFERROR(__xludf.DUMMYFUNCTION("""COMPUTED_VALUE"""),"")</f>
        <v/>
      </c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</row>
    <row r="214">
      <c r="B214" s="49"/>
      <c r="C214" s="49" t="str">
        <f t="shared" si="2"/>
        <v/>
      </c>
      <c r="D214" s="50" t="str">
        <f t="shared" si="3"/>
        <v/>
      </c>
      <c r="E214" s="51" t="str">
        <f t="shared" ref="E214:T214" si="215">IFERROR(VLOOKUP($A214,INDIRECT("'" &amp; E$1 &amp; "'!$C:$G"), 5, FALSE),"")</f>
        <v/>
      </c>
      <c r="F214" s="51" t="str">
        <f t="shared" si="215"/>
        <v/>
      </c>
      <c r="G214" s="51" t="str">
        <f t="shared" si="215"/>
        <v/>
      </c>
      <c r="H214" s="51" t="str">
        <f t="shared" si="215"/>
        <v/>
      </c>
      <c r="I214" s="51" t="str">
        <f t="shared" si="215"/>
        <v/>
      </c>
      <c r="J214" s="51" t="str">
        <f t="shared" si="215"/>
        <v/>
      </c>
      <c r="K214" s="51" t="str">
        <f t="shared" si="215"/>
        <v/>
      </c>
      <c r="L214" s="51" t="str">
        <f t="shared" si="215"/>
        <v/>
      </c>
      <c r="M214" s="51" t="str">
        <f t="shared" si="215"/>
        <v/>
      </c>
      <c r="N214" s="51" t="str">
        <f t="shared" si="215"/>
        <v/>
      </c>
      <c r="O214" s="51" t="str">
        <f t="shared" si="215"/>
        <v/>
      </c>
      <c r="P214" s="51" t="str">
        <f t="shared" si="215"/>
        <v/>
      </c>
      <c r="Q214" s="51" t="str">
        <f t="shared" si="215"/>
        <v/>
      </c>
      <c r="R214" s="51" t="str">
        <f t="shared" si="215"/>
        <v/>
      </c>
      <c r="S214" s="51" t="str">
        <f t="shared" si="215"/>
        <v/>
      </c>
      <c r="T214" s="51" t="str">
        <f t="shared" si="215"/>
        <v/>
      </c>
      <c r="U214" s="52"/>
      <c r="V214" s="52" t="str">
        <f>IFERROR(__xludf.DUMMYFUNCTION("""COMPUTED_VALUE"""),"")</f>
        <v/>
      </c>
      <c r="W214" s="52" t="str">
        <f>IFERROR(__xludf.DUMMYFUNCTION("""COMPUTED_VALUE"""),"")</f>
        <v/>
      </c>
      <c r="X214" s="52" t="str">
        <f>IFERROR(__xludf.DUMMYFUNCTION("""COMPUTED_VALUE"""),"")</f>
        <v/>
      </c>
      <c r="Y214" s="52" t="str">
        <f>IFERROR(__xludf.DUMMYFUNCTION("""COMPUTED_VALUE"""),"")</f>
        <v/>
      </c>
      <c r="Z214" s="52" t="str">
        <f>IFERROR(__xludf.DUMMYFUNCTION("""COMPUTED_VALUE"""),"")</f>
        <v/>
      </c>
      <c r="AA214" s="52" t="str">
        <f>IFERROR(__xludf.DUMMYFUNCTION("""COMPUTED_VALUE"""),"")</f>
        <v/>
      </c>
      <c r="AB214" s="52" t="str">
        <f>IFERROR(__xludf.DUMMYFUNCTION("""COMPUTED_VALUE"""),"")</f>
        <v/>
      </c>
      <c r="AC214" s="52" t="str">
        <f>IFERROR(__xludf.DUMMYFUNCTION("""COMPUTED_VALUE"""),"")</f>
        <v/>
      </c>
      <c r="AD214" s="52" t="str">
        <f>IFERROR(__xludf.DUMMYFUNCTION("""COMPUTED_VALUE"""),"")</f>
        <v/>
      </c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</row>
    <row r="215">
      <c r="B215" s="49"/>
      <c r="C215" s="49" t="str">
        <f t="shared" si="2"/>
        <v/>
      </c>
      <c r="D215" s="50" t="str">
        <f t="shared" si="3"/>
        <v/>
      </c>
      <c r="E215" s="51" t="str">
        <f t="shared" ref="E215:T215" si="216">IFERROR(VLOOKUP($A215,INDIRECT("'" &amp; E$1 &amp; "'!$C:$G"), 5, FALSE),"")</f>
        <v/>
      </c>
      <c r="F215" s="51" t="str">
        <f t="shared" si="216"/>
        <v/>
      </c>
      <c r="G215" s="51" t="str">
        <f t="shared" si="216"/>
        <v/>
      </c>
      <c r="H215" s="51" t="str">
        <f t="shared" si="216"/>
        <v/>
      </c>
      <c r="I215" s="51" t="str">
        <f t="shared" si="216"/>
        <v/>
      </c>
      <c r="J215" s="51" t="str">
        <f t="shared" si="216"/>
        <v/>
      </c>
      <c r="K215" s="51" t="str">
        <f t="shared" si="216"/>
        <v/>
      </c>
      <c r="L215" s="51" t="str">
        <f t="shared" si="216"/>
        <v/>
      </c>
      <c r="M215" s="51" t="str">
        <f t="shared" si="216"/>
        <v/>
      </c>
      <c r="N215" s="51" t="str">
        <f t="shared" si="216"/>
        <v/>
      </c>
      <c r="O215" s="51" t="str">
        <f t="shared" si="216"/>
        <v/>
      </c>
      <c r="P215" s="51" t="str">
        <f t="shared" si="216"/>
        <v/>
      </c>
      <c r="Q215" s="51" t="str">
        <f t="shared" si="216"/>
        <v/>
      </c>
      <c r="R215" s="51" t="str">
        <f t="shared" si="216"/>
        <v/>
      </c>
      <c r="S215" s="51" t="str">
        <f t="shared" si="216"/>
        <v/>
      </c>
      <c r="T215" s="51" t="str">
        <f t="shared" si="216"/>
        <v/>
      </c>
      <c r="U215" s="52"/>
      <c r="V215" s="52" t="str">
        <f>IFERROR(__xludf.DUMMYFUNCTION("""COMPUTED_VALUE"""),"")</f>
        <v/>
      </c>
      <c r="W215" s="52" t="str">
        <f>IFERROR(__xludf.DUMMYFUNCTION("""COMPUTED_VALUE"""),"")</f>
        <v/>
      </c>
      <c r="X215" s="52" t="str">
        <f>IFERROR(__xludf.DUMMYFUNCTION("""COMPUTED_VALUE"""),"")</f>
        <v/>
      </c>
      <c r="Y215" s="52" t="str">
        <f>IFERROR(__xludf.DUMMYFUNCTION("""COMPUTED_VALUE"""),"")</f>
        <v/>
      </c>
      <c r="Z215" s="52" t="str">
        <f>IFERROR(__xludf.DUMMYFUNCTION("""COMPUTED_VALUE"""),"")</f>
        <v/>
      </c>
      <c r="AA215" s="52" t="str">
        <f>IFERROR(__xludf.DUMMYFUNCTION("""COMPUTED_VALUE"""),"")</f>
        <v/>
      </c>
      <c r="AB215" s="52" t="str">
        <f>IFERROR(__xludf.DUMMYFUNCTION("""COMPUTED_VALUE"""),"")</f>
        <v/>
      </c>
      <c r="AC215" s="52" t="str">
        <f>IFERROR(__xludf.DUMMYFUNCTION("""COMPUTED_VALUE"""),"")</f>
        <v/>
      </c>
      <c r="AD215" s="52" t="str">
        <f>IFERROR(__xludf.DUMMYFUNCTION("""COMPUTED_VALUE"""),"")</f>
        <v/>
      </c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</row>
    <row r="216">
      <c r="B216" s="49"/>
      <c r="C216" s="49" t="str">
        <f t="shared" si="2"/>
        <v/>
      </c>
      <c r="D216" s="50" t="str">
        <f t="shared" si="3"/>
        <v/>
      </c>
      <c r="E216" s="51" t="str">
        <f t="shared" ref="E216:T216" si="217">IFERROR(VLOOKUP($A216,INDIRECT("'" &amp; E$1 &amp; "'!$C:$G"), 5, FALSE),"")</f>
        <v/>
      </c>
      <c r="F216" s="51" t="str">
        <f t="shared" si="217"/>
        <v/>
      </c>
      <c r="G216" s="51" t="str">
        <f t="shared" si="217"/>
        <v/>
      </c>
      <c r="H216" s="51" t="str">
        <f t="shared" si="217"/>
        <v/>
      </c>
      <c r="I216" s="51" t="str">
        <f t="shared" si="217"/>
        <v/>
      </c>
      <c r="J216" s="51" t="str">
        <f t="shared" si="217"/>
        <v/>
      </c>
      <c r="K216" s="51" t="str">
        <f t="shared" si="217"/>
        <v/>
      </c>
      <c r="L216" s="51" t="str">
        <f t="shared" si="217"/>
        <v/>
      </c>
      <c r="M216" s="51" t="str">
        <f t="shared" si="217"/>
        <v/>
      </c>
      <c r="N216" s="51" t="str">
        <f t="shared" si="217"/>
        <v/>
      </c>
      <c r="O216" s="51" t="str">
        <f t="shared" si="217"/>
        <v/>
      </c>
      <c r="P216" s="51" t="str">
        <f t="shared" si="217"/>
        <v/>
      </c>
      <c r="Q216" s="51" t="str">
        <f t="shared" si="217"/>
        <v/>
      </c>
      <c r="R216" s="51" t="str">
        <f t="shared" si="217"/>
        <v/>
      </c>
      <c r="S216" s="51" t="str">
        <f t="shared" si="217"/>
        <v/>
      </c>
      <c r="T216" s="51" t="str">
        <f t="shared" si="217"/>
        <v/>
      </c>
      <c r="U216" s="52"/>
      <c r="V216" s="52" t="str">
        <f>IFERROR(__xludf.DUMMYFUNCTION("""COMPUTED_VALUE"""),"")</f>
        <v/>
      </c>
      <c r="W216" s="52" t="str">
        <f>IFERROR(__xludf.DUMMYFUNCTION("""COMPUTED_VALUE"""),"")</f>
        <v/>
      </c>
      <c r="X216" s="52" t="str">
        <f>IFERROR(__xludf.DUMMYFUNCTION("""COMPUTED_VALUE"""),"")</f>
        <v/>
      </c>
      <c r="Y216" s="52" t="str">
        <f>IFERROR(__xludf.DUMMYFUNCTION("""COMPUTED_VALUE"""),"")</f>
        <v/>
      </c>
      <c r="Z216" s="52" t="str">
        <f>IFERROR(__xludf.DUMMYFUNCTION("""COMPUTED_VALUE"""),"")</f>
        <v/>
      </c>
      <c r="AA216" s="52" t="str">
        <f>IFERROR(__xludf.DUMMYFUNCTION("""COMPUTED_VALUE"""),"")</f>
        <v/>
      </c>
      <c r="AB216" s="52" t="str">
        <f>IFERROR(__xludf.DUMMYFUNCTION("""COMPUTED_VALUE"""),"")</f>
        <v/>
      </c>
      <c r="AC216" s="52" t="str">
        <f>IFERROR(__xludf.DUMMYFUNCTION("""COMPUTED_VALUE"""),"")</f>
        <v/>
      </c>
      <c r="AD216" s="52" t="str">
        <f>IFERROR(__xludf.DUMMYFUNCTION("""COMPUTED_VALUE"""),"")</f>
        <v/>
      </c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</row>
    <row r="217">
      <c r="B217" s="49"/>
      <c r="C217" s="49" t="str">
        <f t="shared" si="2"/>
        <v/>
      </c>
      <c r="D217" s="50" t="str">
        <f t="shared" si="3"/>
        <v/>
      </c>
      <c r="E217" s="51" t="str">
        <f t="shared" ref="E217:T217" si="218">IFERROR(VLOOKUP($A217,INDIRECT("'" &amp; E$1 &amp; "'!$C:$G"), 5, FALSE),"")</f>
        <v/>
      </c>
      <c r="F217" s="51" t="str">
        <f t="shared" si="218"/>
        <v/>
      </c>
      <c r="G217" s="51" t="str">
        <f t="shared" si="218"/>
        <v/>
      </c>
      <c r="H217" s="51" t="str">
        <f t="shared" si="218"/>
        <v/>
      </c>
      <c r="I217" s="51" t="str">
        <f t="shared" si="218"/>
        <v/>
      </c>
      <c r="J217" s="51" t="str">
        <f t="shared" si="218"/>
        <v/>
      </c>
      <c r="K217" s="51" t="str">
        <f t="shared" si="218"/>
        <v/>
      </c>
      <c r="L217" s="51" t="str">
        <f t="shared" si="218"/>
        <v/>
      </c>
      <c r="M217" s="51" t="str">
        <f t="shared" si="218"/>
        <v/>
      </c>
      <c r="N217" s="51" t="str">
        <f t="shared" si="218"/>
        <v/>
      </c>
      <c r="O217" s="51" t="str">
        <f t="shared" si="218"/>
        <v/>
      </c>
      <c r="P217" s="51" t="str">
        <f t="shared" si="218"/>
        <v/>
      </c>
      <c r="Q217" s="51" t="str">
        <f t="shared" si="218"/>
        <v/>
      </c>
      <c r="R217" s="51" t="str">
        <f t="shared" si="218"/>
        <v/>
      </c>
      <c r="S217" s="51" t="str">
        <f t="shared" si="218"/>
        <v/>
      </c>
      <c r="T217" s="51" t="str">
        <f t="shared" si="218"/>
        <v/>
      </c>
      <c r="U217" s="52"/>
      <c r="V217" s="52" t="str">
        <f>IFERROR(__xludf.DUMMYFUNCTION("""COMPUTED_VALUE"""),"")</f>
        <v/>
      </c>
      <c r="W217" s="52" t="str">
        <f>IFERROR(__xludf.DUMMYFUNCTION("""COMPUTED_VALUE"""),"")</f>
        <v/>
      </c>
      <c r="X217" s="52" t="str">
        <f>IFERROR(__xludf.DUMMYFUNCTION("""COMPUTED_VALUE"""),"")</f>
        <v/>
      </c>
      <c r="Y217" s="52" t="str">
        <f>IFERROR(__xludf.DUMMYFUNCTION("""COMPUTED_VALUE"""),"")</f>
        <v/>
      </c>
      <c r="Z217" s="52" t="str">
        <f>IFERROR(__xludf.DUMMYFUNCTION("""COMPUTED_VALUE"""),"")</f>
        <v/>
      </c>
      <c r="AA217" s="52" t="str">
        <f>IFERROR(__xludf.DUMMYFUNCTION("""COMPUTED_VALUE"""),"")</f>
        <v/>
      </c>
      <c r="AB217" s="52" t="str">
        <f>IFERROR(__xludf.DUMMYFUNCTION("""COMPUTED_VALUE"""),"")</f>
        <v/>
      </c>
      <c r="AC217" s="52" t="str">
        <f>IFERROR(__xludf.DUMMYFUNCTION("""COMPUTED_VALUE"""),"")</f>
        <v/>
      </c>
      <c r="AD217" s="52" t="str">
        <f>IFERROR(__xludf.DUMMYFUNCTION("""COMPUTED_VALUE"""),"")</f>
        <v/>
      </c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</row>
    <row r="218">
      <c r="B218" s="49"/>
      <c r="C218" s="49" t="str">
        <f t="shared" si="2"/>
        <v/>
      </c>
      <c r="D218" s="50" t="str">
        <f t="shared" si="3"/>
        <v/>
      </c>
      <c r="E218" s="51" t="str">
        <f t="shared" ref="E218:T218" si="219">IFERROR(VLOOKUP($A218,INDIRECT("'" &amp; E$1 &amp; "'!$C:$G"), 5, FALSE),"")</f>
        <v/>
      </c>
      <c r="F218" s="51" t="str">
        <f t="shared" si="219"/>
        <v/>
      </c>
      <c r="G218" s="51" t="str">
        <f t="shared" si="219"/>
        <v/>
      </c>
      <c r="H218" s="51" t="str">
        <f t="shared" si="219"/>
        <v/>
      </c>
      <c r="I218" s="51" t="str">
        <f t="shared" si="219"/>
        <v/>
      </c>
      <c r="J218" s="51" t="str">
        <f t="shared" si="219"/>
        <v/>
      </c>
      <c r="K218" s="51" t="str">
        <f t="shared" si="219"/>
        <v/>
      </c>
      <c r="L218" s="51" t="str">
        <f t="shared" si="219"/>
        <v/>
      </c>
      <c r="M218" s="51" t="str">
        <f t="shared" si="219"/>
        <v/>
      </c>
      <c r="N218" s="51" t="str">
        <f t="shared" si="219"/>
        <v/>
      </c>
      <c r="O218" s="51" t="str">
        <f t="shared" si="219"/>
        <v/>
      </c>
      <c r="P218" s="51" t="str">
        <f t="shared" si="219"/>
        <v/>
      </c>
      <c r="Q218" s="51" t="str">
        <f t="shared" si="219"/>
        <v/>
      </c>
      <c r="R218" s="51" t="str">
        <f t="shared" si="219"/>
        <v/>
      </c>
      <c r="S218" s="51" t="str">
        <f t="shared" si="219"/>
        <v/>
      </c>
      <c r="T218" s="51" t="str">
        <f t="shared" si="219"/>
        <v/>
      </c>
      <c r="U218" s="52"/>
      <c r="V218" s="52" t="str">
        <f>IFERROR(__xludf.DUMMYFUNCTION("""COMPUTED_VALUE"""),"")</f>
        <v/>
      </c>
      <c r="W218" s="52" t="str">
        <f>IFERROR(__xludf.DUMMYFUNCTION("""COMPUTED_VALUE"""),"")</f>
        <v/>
      </c>
      <c r="X218" s="52" t="str">
        <f>IFERROR(__xludf.DUMMYFUNCTION("""COMPUTED_VALUE"""),"")</f>
        <v/>
      </c>
      <c r="Y218" s="52" t="str">
        <f>IFERROR(__xludf.DUMMYFUNCTION("""COMPUTED_VALUE"""),"")</f>
        <v/>
      </c>
      <c r="Z218" s="52" t="str">
        <f>IFERROR(__xludf.DUMMYFUNCTION("""COMPUTED_VALUE"""),"")</f>
        <v/>
      </c>
      <c r="AA218" s="52" t="str">
        <f>IFERROR(__xludf.DUMMYFUNCTION("""COMPUTED_VALUE"""),"")</f>
        <v/>
      </c>
      <c r="AB218" s="52" t="str">
        <f>IFERROR(__xludf.DUMMYFUNCTION("""COMPUTED_VALUE"""),"")</f>
        <v/>
      </c>
      <c r="AC218" s="52" t="str">
        <f>IFERROR(__xludf.DUMMYFUNCTION("""COMPUTED_VALUE"""),"")</f>
        <v/>
      </c>
      <c r="AD218" s="52" t="str">
        <f>IFERROR(__xludf.DUMMYFUNCTION("""COMPUTED_VALUE"""),"")</f>
        <v/>
      </c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</row>
    <row r="219">
      <c r="B219" s="49"/>
      <c r="C219" s="49" t="str">
        <f t="shared" si="2"/>
        <v/>
      </c>
      <c r="D219" s="50" t="str">
        <f t="shared" si="3"/>
        <v/>
      </c>
      <c r="E219" s="51" t="str">
        <f t="shared" ref="E219:T219" si="220">IFERROR(VLOOKUP($A219,INDIRECT("'" &amp; E$1 &amp; "'!$C:$G"), 5, FALSE),"")</f>
        <v/>
      </c>
      <c r="F219" s="51" t="str">
        <f t="shared" si="220"/>
        <v/>
      </c>
      <c r="G219" s="51" t="str">
        <f t="shared" si="220"/>
        <v/>
      </c>
      <c r="H219" s="51" t="str">
        <f t="shared" si="220"/>
        <v/>
      </c>
      <c r="I219" s="51" t="str">
        <f t="shared" si="220"/>
        <v/>
      </c>
      <c r="J219" s="51" t="str">
        <f t="shared" si="220"/>
        <v/>
      </c>
      <c r="K219" s="51" t="str">
        <f t="shared" si="220"/>
        <v/>
      </c>
      <c r="L219" s="51" t="str">
        <f t="shared" si="220"/>
        <v/>
      </c>
      <c r="M219" s="51" t="str">
        <f t="shared" si="220"/>
        <v/>
      </c>
      <c r="N219" s="51" t="str">
        <f t="shared" si="220"/>
        <v/>
      </c>
      <c r="O219" s="51" t="str">
        <f t="shared" si="220"/>
        <v/>
      </c>
      <c r="P219" s="51" t="str">
        <f t="shared" si="220"/>
        <v/>
      </c>
      <c r="Q219" s="51" t="str">
        <f t="shared" si="220"/>
        <v/>
      </c>
      <c r="R219" s="51" t="str">
        <f t="shared" si="220"/>
        <v/>
      </c>
      <c r="S219" s="51" t="str">
        <f t="shared" si="220"/>
        <v/>
      </c>
      <c r="T219" s="51" t="str">
        <f t="shared" si="220"/>
        <v/>
      </c>
      <c r="U219" s="52"/>
      <c r="V219" s="52" t="str">
        <f>IFERROR(__xludf.DUMMYFUNCTION("""COMPUTED_VALUE"""),"")</f>
        <v/>
      </c>
      <c r="W219" s="52" t="str">
        <f>IFERROR(__xludf.DUMMYFUNCTION("""COMPUTED_VALUE"""),"")</f>
        <v/>
      </c>
      <c r="X219" s="52" t="str">
        <f>IFERROR(__xludf.DUMMYFUNCTION("""COMPUTED_VALUE"""),"")</f>
        <v/>
      </c>
      <c r="Y219" s="52" t="str">
        <f>IFERROR(__xludf.DUMMYFUNCTION("""COMPUTED_VALUE"""),"")</f>
        <v/>
      </c>
      <c r="Z219" s="52" t="str">
        <f>IFERROR(__xludf.DUMMYFUNCTION("""COMPUTED_VALUE"""),"")</f>
        <v/>
      </c>
      <c r="AA219" s="52" t="str">
        <f>IFERROR(__xludf.DUMMYFUNCTION("""COMPUTED_VALUE"""),"")</f>
        <v/>
      </c>
      <c r="AB219" s="52" t="str">
        <f>IFERROR(__xludf.DUMMYFUNCTION("""COMPUTED_VALUE"""),"")</f>
        <v/>
      </c>
      <c r="AC219" s="52" t="str">
        <f>IFERROR(__xludf.DUMMYFUNCTION("""COMPUTED_VALUE"""),"")</f>
        <v/>
      </c>
      <c r="AD219" s="52" t="str">
        <f>IFERROR(__xludf.DUMMYFUNCTION("""COMPUTED_VALUE"""),"")</f>
        <v/>
      </c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</row>
    <row r="220">
      <c r="B220" s="49"/>
      <c r="C220" s="49" t="str">
        <f t="shared" si="2"/>
        <v/>
      </c>
      <c r="D220" s="50" t="str">
        <f t="shared" si="3"/>
        <v/>
      </c>
      <c r="E220" s="51" t="str">
        <f t="shared" ref="E220:T220" si="221">IFERROR(VLOOKUP($A220,INDIRECT("'" &amp; E$1 &amp; "'!$C:$G"), 5, FALSE),"")</f>
        <v/>
      </c>
      <c r="F220" s="51" t="str">
        <f t="shared" si="221"/>
        <v/>
      </c>
      <c r="G220" s="51" t="str">
        <f t="shared" si="221"/>
        <v/>
      </c>
      <c r="H220" s="51" t="str">
        <f t="shared" si="221"/>
        <v/>
      </c>
      <c r="I220" s="51" t="str">
        <f t="shared" si="221"/>
        <v/>
      </c>
      <c r="J220" s="51" t="str">
        <f t="shared" si="221"/>
        <v/>
      </c>
      <c r="K220" s="51" t="str">
        <f t="shared" si="221"/>
        <v/>
      </c>
      <c r="L220" s="51" t="str">
        <f t="shared" si="221"/>
        <v/>
      </c>
      <c r="M220" s="51" t="str">
        <f t="shared" si="221"/>
        <v/>
      </c>
      <c r="N220" s="51" t="str">
        <f t="shared" si="221"/>
        <v/>
      </c>
      <c r="O220" s="51" t="str">
        <f t="shared" si="221"/>
        <v/>
      </c>
      <c r="P220" s="51" t="str">
        <f t="shared" si="221"/>
        <v/>
      </c>
      <c r="Q220" s="51" t="str">
        <f t="shared" si="221"/>
        <v/>
      </c>
      <c r="R220" s="51" t="str">
        <f t="shared" si="221"/>
        <v/>
      </c>
      <c r="S220" s="51" t="str">
        <f t="shared" si="221"/>
        <v/>
      </c>
      <c r="T220" s="51" t="str">
        <f t="shared" si="221"/>
        <v/>
      </c>
      <c r="U220" s="52"/>
      <c r="V220" s="52" t="str">
        <f>IFERROR(__xludf.DUMMYFUNCTION("""COMPUTED_VALUE"""),"")</f>
        <v/>
      </c>
      <c r="W220" s="52" t="str">
        <f>IFERROR(__xludf.DUMMYFUNCTION("""COMPUTED_VALUE"""),"")</f>
        <v/>
      </c>
      <c r="X220" s="52" t="str">
        <f>IFERROR(__xludf.DUMMYFUNCTION("""COMPUTED_VALUE"""),"")</f>
        <v/>
      </c>
      <c r="Y220" s="52" t="str">
        <f>IFERROR(__xludf.DUMMYFUNCTION("""COMPUTED_VALUE"""),"")</f>
        <v/>
      </c>
      <c r="Z220" s="52" t="str">
        <f>IFERROR(__xludf.DUMMYFUNCTION("""COMPUTED_VALUE"""),"")</f>
        <v/>
      </c>
      <c r="AA220" s="52" t="str">
        <f>IFERROR(__xludf.DUMMYFUNCTION("""COMPUTED_VALUE"""),"")</f>
        <v/>
      </c>
      <c r="AB220" s="52" t="str">
        <f>IFERROR(__xludf.DUMMYFUNCTION("""COMPUTED_VALUE"""),"")</f>
        <v/>
      </c>
      <c r="AC220" s="52" t="str">
        <f>IFERROR(__xludf.DUMMYFUNCTION("""COMPUTED_VALUE"""),"")</f>
        <v/>
      </c>
      <c r="AD220" s="52" t="str">
        <f>IFERROR(__xludf.DUMMYFUNCTION("""COMPUTED_VALUE"""),"")</f>
        <v/>
      </c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</row>
    <row r="221">
      <c r="B221" s="49"/>
      <c r="C221" s="49" t="str">
        <f t="shared" si="2"/>
        <v/>
      </c>
      <c r="D221" s="50" t="str">
        <f t="shared" si="3"/>
        <v/>
      </c>
      <c r="E221" s="51" t="str">
        <f t="shared" ref="E221:T221" si="222">IFERROR(VLOOKUP($A221,INDIRECT("'" &amp; E$1 &amp; "'!$C:$G"), 5, FALSE),"")</f>
        <v/>
      </c>
      <c r="F221" s="51" t="str">
        <f t="shared" si="222"/>
        <v/>
      </c>
      <c r="G221" s="51" t="str">
        <f t="shared" si="222"/>
        <v/>
      </c>
      <c r="H221" s="51" t="str">
        <f t="shared" si="222"/>
        <v/>
      </c>
      <c r="I221" s="51" t="str">
        <f t="shared" si="222"/>
        <v/>
      </c>
      <c r="J221" s="51" t="str">
        <f t="shared" si="222"/>
        <v/>
      </c>
      <c r="K221" s="51" t="str">
        <f t="shared" si="222"/>
        <v/>
      </c>
      <c r="L221" s="51" t="str">
        <f t="shared" si="222"/>
        <v/>
      </c>
      <c r="M221" s="51" t="str">
        <f t="shared" si="222"/>
        <v/>
      </c>
      <c r="N221" s="51" t="str">
        <f t="shared" si="222"/>
        <v/>
      </c>
      <c r="O221" s="51" t="str">
        <f t="shared" si="222"/>
        <v/>
      </c>
      <c r="P221" s="51" t="str">
        <f t="shared" si="222"/>
        <v/>
      </c>
      <c r="Q221" s="51" t="str">
        <f t="shared" si="222"/>
        <v/>
      </c>
      <c r="R221" s="51" t="str">
        <f t="shared" si="222"/>
        <v/>
      </c>
      <c r="S221" s="51" t="str">
        <f t="shared" si="222"/>
        <v/>
      </c>
      <c r="T221" s="51" t="str">
        <f t="shared" si="222"/>
        <v/>
      </c>
      <c r="U221" s="52"/>
      <c r="V221" s="52" t="str">
        <f>IFERROR(__xludf.DUMMYFUNCTION("""COMPUTED_VALUE"""),"")</f>
        <v/>
      </c>
      <c r="W221" s="52" t="str">
        <f>IFERROR(__xludf.DUMMYFUNCTION("""COMPUTED_VALUE"""),"")</f>
        <v/>
      </c>
      <c r="X221" s="52" t="str">
        <f>IFERROR(__xludf.DUMMYFUNCTION("""COMPUTED_VALUE"""),"")</f>
        <v/>
      </c>
      <c r="Y221" s="52" t="str">
        <f>IFERROR(__xludf.DUMMYFUNCTION("""COMPUTED_VALUE"""),"")</f>
        <v/>
      </c>
      <c r="Z221" s="52" t="str">
        <f>IFERROR(__xludf.DUMMYFUNCTION("""COMPUTED_VALUE"""),"")</f>
        <v/>
      </c>
      <c r="AA221" s="52" t="str">
        <f>IFERROR(__xludf.DUMMYFUNCTION("""COMPUTED_VALUE"""),"")</f>
        <v/>
      </c>
      <c r="AB221" s="52" t="str">
        <f>IFERROR(__xludf.DUMMYFUNCTION("""COMPUTED_VALUE"""),"")</f>
        <v/>
      </c>
      <c r="AC221" s="52" t="str">
        <f>IFERROR(__xludf.DUMMYFUNCTION("""COMPUTED_VALUE"""),"")</f>
        <v/>
      </c>
      <c r="AD221" s="52" t="str">
        <f>IFERROR(__xludf.DUMMYFUNCTION("""COMPUTED_VALUE"""),"")</f>
        <v/>
      </c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</row>
    <row r="222">
      <c r="B222" s="49"/>
      <c r="C222" s="49" t="str">
        <f t="shared" si="2"/>
        <v/>
      </c>
      <c r="D222" s="50" t="str">
        <f t="shared" si="3"/>
        <v/>
      </c>
      <c r="E222" s="51" t="str">
        <f t="shared" ref="E222:T222" si="223">IFERROR(VLOOKUP($A222,INDIRECT("'" &amp; E$1 &amp; "'!$C:$G"), 5, FALSE),"")</f>
        <v/>
      </c>
      <c r="F222" s="51" t="str">
        <f t="shared" si="223"/>
        <v/>
      </c>
      <c r="G222" s="51" t="str">
        <f t="shared" si="223"/>
        <v/>
      </c>
      <c r="H222" s="51" t="str">
        <f t="shared" si="223"/>
        <v/>
      </c>
      <c r="I222" s="51" t="str">
        <f t="shared" si="223"/>
        <v/>
      </c>
      <c r="J222" s="51" t="str">
        <f t="shared" si="223"/>
        <v/>
      </c>
      <c r="K222" s="51" t="str">
        <f t="shared" si="223"/>
        <v/>
      </c>
      <c r="L222" s="51" t="str">
        <f t="shared" si="223"/>
        <v/>
      </c>
      <c r="M222" s="51" t="str">
        <f t="shared" si="223"/>
        <v/>
      </c>
      <c r="N222" s="51" t="str">
        <f t="shared" si="223"/>
        <v/>
      </c>
      <c r="O222" s="51" t="str">
        <f t="shared" si="223"/>
        <v/>
      </c>
      <c r="P222" s="51" t="str">
        <f t="shared" si="223"/>
        <v/>
      </c>
      <c r="Q222" s="51" t="str">
        <f t="shared" si="223"/>
        <v/>
      </c>
      <c r="R222" s="51" t="str">
        <f t="shared" si="223"/>
        <v/>
      </c>
      <c r="S222" s="51" t="str">
        <f t="shared" si="223"/>
        <v/>
      </c>
      <c r="T222" s="51" t="str">
        <f t="shared" si="223"/>
        <v/>
      </c>
      <c r="U222" s="52"/>
      <c r="V222" s="52" t="str">
        <f>IFERROR(__xludf.DUMMYFUNCTION("""COMPUTED_VALUE"""),"")</f>
        <v/>
      </c>
      <c r="W222" s="52" t="str">
        <f>IFERROR(__xludf.DUMMYFUNCTION("""COMPUTED_VALUE"""),"")</f>
        <v/>
      </c>
      <c r="X222" s="52" t="str">
        <f>IFERROR(__xludf.DUMMYFUNCTION("""COMPUTED_VALUE"""),"")</f>
        <v/>
      </c>
      <c r="Y222" s="52" t="str">
        <f>IFERROR(__xludf.DUMMYFUNCTION("""COMPUTED_VALUE"""),"")</f>
        <v/>
      </c>
      <c r="Z222" s="52" t="str">
        <f>IFERROR(__xludf.DUMMYFUNCTION("""COMPUTED_VALUE"""),"")</f>
        <v/>
      </c>
      <c r="AA222" s="52" t="str">
        <f>IFERROR(__xludf.DUMMYFUNCTION("""COMPUTED_VALUE"""),"")</f>
        <v/>
      </c>
      <c r="AB222" s="52" t="str">
        <f>IFERROR(__xludf.DUMMYFUNCTION("""COMPUTED_VALUE"""),"")</f>
        <v/>
      </c>
      <c r="AC222" s="52" t="str">
        <f>IFERROR(__xludf.DUMMYFUNCTION("""COMPUTED_VALUE"""),"")</f>
        <v/>
      </c>
      <c r="AD222" s="52" t="str">
        <f>IFERROR(__xludf.DUMMYFUNCTION("""COMPUTED_VALUE"""),"")</f>
        <v/>
      </c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</row>
    <row r="223">
      <c r="B223" s="49"/>
      <c r="C223" s="49" t="str">
        <f t="shared" si="2"/>
        <v/>
      </c>
      <c r="D223" s="50" t="str">
        <f t="shared" si="3"/>
        <v/>
      </c>
      <c r="E223" s="51" t="str">
        <f t="shared" ref="E223:T223" si="224">IFERROR(VLOOKUP($A223,INDIRECT("'" &amp; E$1 &amp; "'!$C:$G"), 5, FALSE),"")</f>
        <v/>
      </c>
      <c r="F223" s="51" t="str">
        <f t="shared" si="224"/>
        <v/>
      </c>
      <c r="G223" s="51" t="str">
        <f t="shared" si="224"/>
        <v/>
      </c>
      <c r="H223" s="51" t="str">
        <f t="shared" si="224"/>
        <v/>
      </c>
      <c r="I223" s="51" t="str">
        <f t="shared" si="224"/>
        <v/>
      </c>
      <c r="J223" s="51" t="str">
        <f t="shared" si="224"/>
        <v/>
      </c>
      <c r="K223" s="51" t="str">
        <f t="shared" si="224"/>
        <v/>
      </c>
      <c r="L223" s="51" t="str">
        <f t="shared" si="224"/>
        <v/>
      </c>
      <c r="M223" s="51" t="str">
        <f t="shared" si="224"/>
        <v/>
      </c>
      <c r="N223" s="51" t="str">
        <f t="shared" si="224"/>
        <v/>
      </c>
      <c r="O223" s="51" t="str">
        <f t="shared" si="224"/>
        <v/>
      </c>
      <c r="P223" s="51" t="str">
        <f t="shared" si="224"/>
        <v/>
      </c>
      <c r="Q223" s="51" t="str">
        <f t="shared" si="224"/>
        <v/>
      </c>
      <c r="R223" s="51" t="str">
        <f t="shared" si="224"/>
        <v/>
      </c>
      <c r="S223" s="51" t="str">
        <f t="shared" si="224"/>
        <v/>
      </c>
      <c r="T223" s="51" t="str">
        <f t="shared" si="224"/>
        <v/>
      </c>
      <c r="U223" s="52"/>
      <c r="V223" s="52" t="str">
        <f>IFERROR(__xludf.DUMMYFUNCTION("""COMPUTED_VALUE"""),"")</f>
        <v/>
      </c>
      <c r="W223" s="52" t="str">
        <f>IFERROR(__xludf.DUMMYFUNCTION("""COMPUTED_VALUE"""),"")</f>
        <v/>
      </c>
      <c r="X223" s="52" t="str">
        <f>IFERROR(__xludf.DUMMYFUNCTION("""COMPUTED_VALUE"""),"")</f>
        <v/>
      </c>
      <c r="Y223" s="52" t="str">
        <f>IFERROR(__xludf.DUMMYFUNCTION("""COMPUTED_VALUE"""),"")</f>
        <v/>
      </c>
      <c r="Z223" s="52" t="str">
        <f>IFERROR(__xludf.DUMMYFUNCTION("""COMPUTED_VALUE"""),"")</f>
        <v/>
      </c>
      <c r="AA223" s="52" t="str">
        <f>IFERROR(__xludf.DUMMYFUNCTION("""COMPUTED_VALUE"""),"")</f>
        <v/>
      </c>
      <c r="AB223" s="52" t="str">
        <f>IFERROR(__xludf.DUMMYFUNCTION("""COMPUTED_VALUE"""),"")</f>
        <v/>
      </c>
      <c r="AC223" s="52" t="str">
        <f>IFERROR(__xludf.DUMMYFUNCTION("""COMPUTED_VALUE"""),"")</f>
        <v/>
      </c>
      <c r="AD223" s="52" t="str">
        <f>IFERROR(__xludf.DUMMYFUNCTION("""COMPUTED_VALUE"""),"")</f>
        <v/>
      </c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</row>
    <row r="224">
      <c r="B224" s="49"/>
      <c r="C224" s="49" t="str">
        <f t="shared" si="2"/>
        <v/>
      </c>
      <c r="D224" s="50" t="str">
        <f t="shared" si="3"/>
        <v/>
      </c>
      <c r="E224" s="51" t="str">
        <f t="shared" ref="E224:T224" si="225">IFERROR(VLOOKUP($A224,INDIRECT("'" &amp; E$1 &amp; "'!$C:$G"), 5, FALSE),"")</f>
        <v/>
      </c>
      <c r="F224" s="51" t="str">
        <f t="shared" si="225"/>
        <v/>
      </c>
      <c r="G224" s="51" t="str">
        <f t="shared" si="225"/>
        <v/>
      </c>
      <c r="H224" s="51" t="str">
        <f t="shared" si="225"/>
        <v/>
      </c>
      <c r="I224" s="51" t="str">
        <f t="shared" si="225"/>
        <v/>
      </c>
      <c r="J224" s="51" t="str">
        <f t="shared" si="225"/>
        <v/>
      </c>
      <c r="K224" s="51" t="str">
        <f t="shared" si="225"/>
        <v/>
      </c>
      <c r="L224" s="51" t="str">
        <f t="shared" si="225"/>
        <v/>
      </c>
      <c r="M224" s="51" t="str">
        <f t="shared" si="225"/>
        <v/>
      </c>
      <c r="N224" s="51" t="str">
        <f t="shared" si="225"/>
        <v/>
      </c>
      <c r="O224" s="51" t="str">
        <f t="shared" si="225"/>
        <v/>
      </c>
      <c r="P224" s="51" t="str">
        <f t="shared" si="225"/>
        <v/>
      </c>
      <c r="Q224" s="51" t="str">
        <f t="shared" si="225"/>
        <v/>
      </c>
      <c r="R224" s="51" t="str">
        <f t="shared" si="225"/>
        <v/>
      </c>
      <c r="S224" s="51" t="str">
        <f t="shared" si="225"/>
        <v/>
      </c>
      <c r="T224" s="51" t="str">
        <f t="shared" si="225"/>
        <v/>
      </c>
      <c r="U224" s="52"/>
      <c r="V224" s="52" t="str">
        <f>IFERROR(__xludf.DUMMYFUNCTION("""COMPUTED_VALUE"""),"")</f>
        <v/>
      </c>
      <c r="W224" s="52" t="str">
        <f>IFERROR(__xludf.DUMMYFUNCTION("""COMPUTED_VALUE"""),"")</f>
        <v/>
      </c>
      <c r="X224" s="52" t="str">
        <f>IFERROR(__xludf.DUMMYFUNCTION("""COMPUTED_VALUE"""),"")</f>
        <v/>
      </c>
      <c r="Y224" s="52" t="str">
        <f>IFERROR(__xludf.DUMMYFUNCTION("""COMPUTED_VALUE"""),"")</f>
        <v/>
      </c>
      <c r="Z224" s="52" t="str">
        <f>IFERROR(__xludf.DUMMYFUNCTION("""COMPUTED_VALUE"""),"")</f>
        <v/>
      </c>
      <c r="AA224" s="52" t="str">
        <f>IFERROR(__xludf.DUMMYFUNCTION("""COMPUTED_VALUE"""),"")</f>
        <v/>
      </c>
      <c r="AB224" s="52" t="str">
        <f>IFERROR(__xludf.DUMMYFUNCTION("""COMPUTED_VALUE"""),"")</f>
        <v/>
      </c>
      <c r="AC224" s="52" t="str">
        <f>IFERROR(__xludf.DUMMYFUNCTION("""COMPUTED_VALUE"""),"")</f>
        <v/>
      </c>
      <c r="AD224" s="52" t="str">
        <f>IFERROR(__xludf.DUMMYFUNCTION("""COMPUTED_VALUE"""),"")</f>
        <v/>
      </c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</row>
    <row r="225">
      <c r="B225" s="49"/>
      <c r="C225" s="49" t="str">
        <f t="shared" si="2"/>
        <v/>
      </c>
      <c r="D225" s="50" t="str">
        <f t="shared" si="3"/>
        <v/>
      </c>
      <c r="E225" s="51" t="str">
        <f t="shared" ref="E225:T225" si="226">IFERROR(VLOOKUP($A225,INDIRECT("'" &amp; E$1 &amp; "'!$C:$G"), 5, FALSE),"")</f>
        <v/>
      </c>
      <c r="F225" s="51" t="str">
        <f t="shared" si="226"/>
        <v/>
      </c>
      <c r="G225" s="51" t="str">
        <f t="shared" si="226"/>
        <v/>
      </c>
      <c r="H225" s="51" t="str">
        <f t="shared" si="226"/>
        <v/>
      </c>
      <c r="I225" s="51" t="str">
        <f t="shared" si="226"/>
        <v/>
      </c>
      <c r="J225" s="51" t="str">
        <f t="shared" si="226"/>
        <v/>
      </c>
      <c r="K225" s="51" t="str">
        <f t="shared" si="226"/>
        <v/>
      </c>
      <c r="L225" s="51" t="str">
        <f t="shared" si="226"/>
        <v/>
      </c>
      <c r="M225" s="51" t="str">
        <f t="shared" si="226"/>
        <v/>
      </c>
      <c r="N225" s="51" t="str">
        <f t="shared" si="226"/>
        <v/>
      </c>
      <c r="O225" s="51" t="str">
        <f t="shared" si="226"/>
        <v/>
      </c>
      <c r="P225" s="51" t="str">
        <f t="shared" si="226"/>
        <v/>
      </c>
      <c r="Q225" s="51" t="str">
        <f t="shared" si="226"/>
        <v/>
      </c>
      <c r="R225" s="51" t="str">
        <f t="shared" si="226"/>
        <v/>
      </c>
      <c r="S225" s="51" t="str">
        <f t="shared" si="226"/>
        <v/>
      </c>
      <c r="T225" s="51" t="str">
        <f t="shared" si="226"/>
        <v/>
      </c>
      <c r="U225" s="52"/>
      <c r="V225" s="52" t="str">
        <f>IFERROR(__xludf.DUMMYFUNCTION("""COMPUTED_VALUE"""),"")</f>
        <v/>
      </c>
      <c r="W225" s="52" t="str">
        <f>IFERROR(__xludf.DUMMYFUNCTION("""COMPUTED_VALUE"""),"")</f>
        <v/>
      </c>
      <c r="X225" s="52" t="str">
        <f>IFERROR(__xludf.DUMMYFUNCTION("""COMPUTED_VALUE"""),"")</f>
        <v/>
      </c>
      <c r="Y225" s="52" t="str">
        <f>IFERROR(__xludf.DUMMYFUNCTION("""COMPUTED_VALUE"""),"")</f>
        <v/>
      </c>
      <c r="Z225" s="52" t="str">
        <f>IFERROR(__xludf.DUMMYFUNCTION("""COMPUTED_VALUE"""),"")</f>
        <v/>
      </c>
      <c r="AA225" s="52" t="str">
        <f>IFERROR(__xludf.DUMMYFUNCTION("""COMPUTED_VALUE"""),"")</f>
        <v/>
      </c>
      <c r="AB225" s="52" t="str">
        <f>IFERROR(__xludf.DUMMYFUNCTION("""COMPUTED_VALUE"""),"")</f>
        <v/>
      </c>
      <c r="AC225" s="52" t="str">
        <f>IFERROR(__xludf.DUMMYFUNCTION("""COMPUTED_VALUE"""),"")</f>
        <v/>
      </c>
      <c r="AD225" s="52" t="str">
        <f>IFERROR(__xludf.DUMMYFUNCTION("""COMPUTED_VALUE"""),"")</f>
        <v/>
      </c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</row>
    <row r="226">
      <c r="B226" s="49"/>
      <c r="C226" s="49" t="str">
        <f t="shared" si="2"/>
        <v/>
      </c>
      <c r="D226" s="50" t="str">
        <f t="shared" si="3"/>
        <v/>
      </c>
      <c r="E226" s="51" t="str">
        <f t="shared" ref="E226:T226" si="227">IFERROR(VLOOKUP($A226,INDIRECT("'" &amp; E$1 &amp; "'!$C:$G"), 5, FALSE),"")</f>
        <v/>
      </c>
      <c r="F226" s="51" t="str">
        <f t="shared" si="227"/>
        <v/>
      </c>
      <c r="G226" s="51" t="str">
        <f t="shared" si="227"/>
        <v/>
      </c>
      <c r="H226" s="51" t="str">
        <f t="shared" si="227"/>
        <v/>
      </c>
      <c r="I226" s="51" t="str">
        <f t="shared" si="227"/>
        <v/>
      </c>
      <c r="J226" s="51" t="str">
        <f t="shared" si="227"/>
        <v/>
      </c>
      <c r="K226" s="51" t="str">
        <f t="shared" si="227"/>
        <v/>
      </c>
      <c r="L226" s="51" t="str">
        <f t="shared" si="227"/>
        <v/>
      </c>
      <c r="M226" s="51" t="str">
        <f t="shared" si="227"/>
        <v/>
      </c>
      <c r="N226" s="51" t="str">
        <f t="shared" si="227"/>
        <v/>
      </c>
      <c r="O226" s="51" t="str">
        <f t="shared" si="227"/>
        <v/>
      </c>
      <c r="P226" s="51" t="str">
        <f t="shared" si="227"/>
        <v/>
      </c>
      <c r="Q226" s="51" t="str">
        <f t="shared" si="227"/>
        <v/>
      </c>
      <c r="R226" s="51" t="str">
        <f t="shared" si="227"/>
        <v/>
      </c>
      <c r="S226" s="51" t="str">
        <f t="shared" si="227"/>
        <v/>
      </c>
      <c r="T226" s="51" t="str">
        <f t="shared" si="227"/>
        <v/>
      </c>
      <c r="U226" s="52"/>
      <c r="V226" s="52" t="str">
        <f>IFERROR(__xludf.DUMMYFUNCTION("""COMPUTED_VALUE"""),"")</f>
        <v/>
      </c>
      <c r="W226" s="52" t="str">
        <f>IFERROR(__xludf.DUMMYFUNCTION("""COMPUTED_VALUE"""),"")</f>
        <v/>
      </c>
      <c r="X226" s="52" t="str">
        <f>IFERROR(__xludf.DUMMYFUNCTION("""COMPUTED_VALUE"""),"")</f>
        <v/>
      </c>
      <c r="Y226" s="52" t="str">
        <f>IFERROR(__xludf.DUMMYFUNCTION("""COMPUTED_VALUE"""),"")</f>
        <v/>
      </c>
      <c r="Z226" s="52" t="str">
        <f>IFERROR(__xludf.DUMMYFUNCTION("""COMPUTED_VALUE"""),"")</f>
        <v/>
      </c>
      <c r="AA226" s="52" t="str">
        <f>IFERROR(__xludf.DUMMYFUNCTION("""COMPUTED_VALUE"""),"")</f>
        <v/>
      </c>
      <c r="AB226" s="52" t="str">
        <f>IFERROR(__xludf.DUMMYFUNCTION("""COMPUTED_VALUE"""),"")</f>
        <v/>
      </c>
      <c r="AC226" s="52" t="str">
        <f>IFERROR(__xludf.DUMMYFUNCTION("""COMPUTED_VALUE"""),"")</f>
        <v/>
      </c>
      <c r="AD226" s="52" t="str">
        <f>IFERROR(__xludf.DUMMYFUNCTION("""COMPUTED_VALUE"""),"")</f>
        <v/>
      </c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</row>
    <row r="227">
      <c r="B227" s="49"/>
      <c r="C227" s="49" t="str">
        <f t="shared" si="2"/>
        <v/>
      </c>
      <c r="D227" s="50" t="str">
        <f t="shared" si="3"/>
        <v/>
      </c>
      <c r="E227" s="51" t="str">
        <f t="shared" ref="E227:T227" si="228">IFERROR(VLOOKUP($A227,INDIRECT("'" &amp; E$1 &amp; "'!$C:$G"), 5, FALSE),"")</f>
        <v/>
      </c>
      <c r="F227" s="51" t="str">
        <f t="shared" si="228"/>
        <v/>
      </c>
      <c r="G227" s="51" t="str">
        <f t="shared" si="228"/>
        <v/>
      </c>
      <c r="H227" s="51" t="str">
        <f t="shared" si="228"/>
        <v/>
      </c>
      <c r="I227" s="51" t="str">
        <f t="shared" si="228"/>
        <v/>
      </c>
      <c r="J227" s="51" t="str">
        <f t="shared" si="228"/>
        <v/>
      </c>
      <c r="K227" s="51" t="str">
        <f t="shared" si="228"/>
        <v/>
      </c>
      <c r="L227" s="51" t="str">
        <f t="shared" si="228"/>
        <v/>
      </c>
      <c r="M227" s="51" t="str">
        <f t="shared" si="228"/>
        <v/>
      </c>
      <c r="N227" s="51" t="str">
        <f t="shared" si="228"/>
        <v/>
      </c>
      <c r="O227" s="51" t="str">
        <f t="shared" si="228"/>
        <v/>
      </c>
      <c r="P227" s="51" t="str">
        <f t="shared" si="228"/>
        <v/>
      </c>
      <c r="Q227" s="51" t="str">
        <f t="shared" si="228"/>
        <v/>
      </c>
      <c r="R227" s="51" t="str">
        <f t="shared" si="228"/>
        <v/>
      </c>
      <c r="S227" s="51" t="str">
        <f t="shared" si="228"/>
        <v/>
      </c>
      <c r="T227" s="51" t="str">
        <f t="shared" si="228"/>
        <v/>
      </c>
      <c r="U227" s="52"/>
      <c r="V227" s="52" t="str">
        <f>IFERROR(__xludf.DUMMYFUNCTION("""COMPUTED_VALUE"""),"")</f>
        <v/>
      </c>
      <c r="W227" s="52" t="str">
        <f>IFERROR(__xludf.DUMMYFUNCTION("""COMPUTED_VALUE"""),"")</f>
        <v/>
      </c>
      <c r="X227" s="52" t="str">
        <f>IFERROR(__xludf.DUMMYFUNCTION("""COMPUTED_VALUE"""),"")</f>
        <v/>
      </c>
      <c r="Y227" s="52" t="str">
        <f>IFERROR(__xludf.DUMMYFUNCTION("""COMPUTED_VALUE"""),"")</f>
        <v/>
      </c>
      <c r="Z227" s="52" t="str">
        <f>IFERROR(__xludf.DUMMYFUNCTION("""COMPUTED_VALUE"""),"")</f>
        <v/>
      </c>
      <c r="AA227" s="52" t="str">
        <f>IFERROR(__xludf.DUMMYFUNCTION("""COMPUTED_VALUE"""),"")</f>
        <v/>
      </c>
      <c r="AB227" s="52" t="str">
        <f>IFERROR(__xludf.DUMMYFUNCTION("""COMPUTED_VALUE"""),"")</f>
        <v/>
      </c>
      <c r="AC227" s="52" t="str">
        <f>IFERROR(__xludf.DUMMYFUNCTION("""COMPUTED_VALUE"""),"")</f>
        <v/>
      </c>
      <c r="AD227" s="52" t="str">
        <f>IFERROR(__xludf.DUMMYFUNCTION("""COMPUTED_VALUE"""),"")</f>
        <v/>
      </c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</row>
    <row r="228">
      <c r="B228" s="49"/>
      <c r="C228" s="49" t="str">
        <f t="shared" si="2"/>
        <v/>
      </c>
      <c r="D228" s="50" t="str">
        <f t="shared" si="3"/>
        <v/>
      </c>
      <c r="E228" s="51" t="str">
        <f t="shared" ref="E228:T228" si="229">IFERROR(VLOOKUP($A228,INDIRECT("'" &amp; E$1 &amp; "'!$C:$G"), 5, FALSE),"")</f>
        <v/>
      </c>
      <c r="F228" s="51" t="str">
        <f t="shared" si="229"/>
        <v/>
      </c>
      <c r="G228" s="51" t="str">
        <f t="shared" si="229"/>
        <v/>
      </c>
      <c r="H228" s="51" t="str">
        <f t="shared" si="229"/>
        <v/>
      </c>
      <c r="I228" s="51" t="str">
        <f t="shared" si="229"/>
        <v/>
      </c>
      <c r="J228" s="51" t="str">
        <f t="shared" si="229"/>
        <v/>
      </c>
      <c r="K228" s="51" t="str">
        <f t="shared" si="229"/>
        <v/>
      </c>
      <c r="L228" s="51" t="str">
        <f t="shared" si="229"/>
        <v/>
      </c>
      <c r="M228" s="51" t="str">
        <f t="shared" si="229"/>
        <v/>
      </c>
      <c r="N228" s="51" t="str">
        <f t="shared" si="229"/>
        <v/>
      </c>
      <c r="O228" s="51" t="str">
        <f t="shared" si="229"/>
        <v/>
      </c>
      <c r="P228" s="51" t="str">
        <f t="shared" si="229"/>
        <v/>
      </c>
      <c r="Q228" s="51" t="str">
        <f t="shared" si="229"/>
        <v/>
      </c>
      <c r="R228" s="51" t="str">
        <f t="shared" si="229"/>
        <v/>
      </c>
      <c r="S228" s="51" t="str">
        <f t="shared" si="229"/>
        <v/>
      </c>
      <c r="T228" s="51" t="str">
        <f t="shared" si="229"/>
        <v/>
      </c>
      <c r="U228" s="52"/>
      <c r="V228" s="52" t="str">
        <f>IFERROR(__xludf.DUMMYFUNCTION("""COMPUTED_VALUE"""),"")</f>
        <v/>
      </c>
      <c r="W228" s="52" t="str">
        <f>IFERROR(__xludf.DUMMYFUNCTION("""COMPUTED_VALUE"""),"")</f>
        <v/>
      </c>
      <c r="X228" s="52" t="str">
        <f>IFERROR(__xludf.DUMMYFUNCTION("""COMPUTED_VALUE"""),"")</f>
        <v/>
      </c>
      <c r="Y228" s="52" t="str">
        <f>IFERROR(__xludf.DUMMYFUNCTION("""COMPUTED_VALUE"""),"")</f>
        <v/>
      </c>
      <c r="Z228" s="52" t="str">
        <f>IFERROR(__xludf.DUMMYFUNCTION("""COMPUTED_VALUE"""),"")</f>
        <v/>
      </c>
      <c r="AA228" s="52" t="str">
        <f>IFERROR(__xludf.DUMMYFUNCTION("""COMPUTED_VALUE"""),"")</f>
        <v/>
      </c>
      <c r="AB228" s="52" t="str">
        <f>IFERROR(__xludf.DUMMYFUNCTION("""COMPUTED_VALUE"""),"")</f>
        <v/>
      </c>
      <c r="AC228" s="52" t="str">
        <f>IFERROR(__xludf.DUMMYFUNCTION("""COMPUTED_VALUE"""),"")</f>
        <v/>
      </c>
      <c r="AD228" s="52" t="str">
        <f>IFERROR(__xludf.DUMMYFUNCTION("""COMPUTED_VALUE"""),"")</f>
        <v/>
      </c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</row>
    <row r="229">
      <c r="B229" s="49"/>
      <c r="C229" s="49" t="str">
        <f t="shared" si="2"/>
        <v/>
      </c>
      <c r="D229" s="50" t="str">
        <f t="shared" si="3"/>
        <v/>
      </c>
      <c r="E229" s="51" t="str">
        <f t="shared" ref="E229:T229" si="230">IFERROR(VLOOKUP($A229,INDIRECT("'" &amp; E$1 &amp; "'!$C:$G"), 5, FALSE),"")</f>
        <v/>
      </c>
      <c r="F229" s="51" t="str">
        <f t="shared" si="230"/>
        <v/>
      </c>
      <c r="G229" s="51" t="str">
        <f t="shared" si="230"/>
        <v/>
      </c>
      <c r="H229" s="51" t="str">
        <f t="shared" si="230"/>
        <v/>
      </c>
      <c r="I229" s="51" t="str">
        <f t="shared" si="230"/>
        <v/>
      </c>
      <c r="J229" s="51" t="str">
        <f t="shared" si="230"/>
        <v/>
      </c>
      <c r="K229" s="51" t="str">
        <f t="shared" si="230"/>
        <v/>
      </c>
      <c r="L229" s="51" t="str">
        <f t="shared" si="230"/>
        <v/>
      </c>
      <c r="M229" s="51" t="str">
        <f t="shared" si="230"/>
        <v/>
      </c>
      <c r="N229" s="51" t="str">
        <f t="shared" si="230"/>
        <v/>
      </c>
      <c r="O229" s="51" t="str">
        <f t="shared" si="230"/>
        <v/>
      </c>
      <c r="P229" s="51" t="str">
        <f t="shared" si="230"/>
        <v/>
      </c>
      <c r="Q229" s="51" t="str">
        <f t="shared" si="230"/>
        <v/>
      </c>
      <c r="R229" s="51" t="str">
        <f t="shared" si="230"/>
        <v/>
      </c>
      <c r="S229" s="51" t="str">
        <f t="shared" si="230"/>
        <v/>
      </c>
      <c r="T229" s="51" t="str">
        <f t="shared" si="230"/>
        <v/>
      </c>
      <c r="U229" s="52"/>
      <c r="V229" s="52" t="str">
        <f>IFERROR(__xludf.DUMMYFUNCTION("""COMPUTED_VALUE"""),"")</f>
        <v/>
      </c>
      <c r="W229" s="52" t="str">
        <f>IFERROR(__xludf.DUMMYFUNCTION("""COMPUTED_VALUE"""),"")</f>
        <v/>
      </c>
      <c r="X229" s="52" t="str">
        <f>IFERROR(__xludf.DUMMYFUNCTION("""COMPUTED_VALUE"""),"")</f>
        <v/>
      </c>
      <c r="Y229" s="52" t="str">
        <f>IFERROR(__xludf.DUMMYFUNCTION("""COMPUTED_VALUE"""),"")</f>
        <v/>
      </c>
      <c r="Z229" s="52" t="str">
        <f>IFERROR(__xludf.DUMMYFUNCTION("""COMPUTED_VALUE"""),"")</f>
        <v/>
      </c>
      <c r="AA229" s="52" t="str">
        <f>IFERROR(__xludf.DUMMYFUNCTION("""COMPUTED_VALUE"""),"")</f>
        <v/>
      </c>
      <c r="AB229" s="52" t="str">
        <f>IFERROR(__xludf.DUMMYFUNCTION("""COMPUTED_VALUE"""),"")</f>
        <v/>
      </c>
      <c r="AC229" s="52" t="str">
        <f>IFERROR(__xludf.DUMMYFUNCTION("""COMPUTED_VALUE"""),"")</f>
        <v/>
      </c>
      <c r="AD229" s="52" t="str">
        <f>IFERROR(__xludf.DUMMYFUNCTION("""COMPUTED_VALUE"""),"")</f>
        <v/>
      </c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</row>
    <row r="230">
      <c r="B230" s="49"/>
      <c r="C230" s="49" t="str">
        <f t="shared" si="2"/>
        <v/>
      </c>
      <c r="D230" s="50" t="str">
        <f t="shared" si="3"/>
        <v/>
      </c>
      <c r="E230" s="51" t="str">
        <f t="shared" ref="E230:T230" si="231">IFERROR(VLOOKUP($A230,INDIRECT("'" &amp; E$1 &amp; "'!$C:$G"), 5, FALSE),"")</f>
        <v/>
      </c>
      <c r="F230" s="51" t="str">
        <f t="shared" si="231"/>
        <v/>
      </c>
      <c r="G230" s="51" t="str">
        <f t="shared" si="231"/>
        <v/>
      </c>
      <c r="H230" s="51" t="str">
        <f t="shared" si="231"/>
        <v/>
      </c>
      <c r="I230" s="51" t="str">
        <f t="shared" si="231"/>
        <v/>
      </c>
      <c r="J230" s="51" t="str">
        <f t="shared" si="231"/>
        <v/>
      </c>
      <c r="K230" s="51" t="str">
        <f t="shared" si="231"/>
        <v/>
      </c>
      <c r="L230" s="51" t="str">
        <f t="shared" si="231"/>
        <v/>
      </c>
      <c r="M230" s="51" t="str">
        <f t="shared" si="231"/>
        <v/>
      </c>
      <c r="N230" s="51" t="str">
        <f t="shared" si="231"/>
        <v/>
      </c>
      <c r="O230" s="51" t="str">
        <f t="shared" si="231"/>
        <v/>
      </c>
      <c r="P230" s="51" t="str">
        <f t="shared" si="231"/>
        <v/>
      </c>
      <c r="Q230" s="51" t="str">
        <f t="shared" si="231"/>
        <v/>
      </c>
      <c r="R230" s="51" t="str">
        <f t="shared" si="231"/>
        <v/>
      </c>
      <c r="S230" s="51" t="str">
        <f t="shared" si="231"/>
        <v/>
      </c>
      <c r="T230" s="51" t="str">
        <f t="shared" si="231"/>
        <v/>
      </c>
      <c r="U230" s="52"/>
      <c r="V230" s="52" t="str">
        <f>IFERROR(__xludf.DUMMYFUNCTION("""COMPUTED_VALUE"""),"")</f>
        <v/>
      </c>
      <c r="W230" s="52" t="str">
        <f>IFERROR(__xludf.DUMMYFUNCTION("""COMPUTED_VALUE"""),"")</f>
        <v/>
      </c>
      <c r="X230" s="52" t="str">
        <f>IFERROR(__xludf.DUMMYFUNCTION("""COMPUTED_VALUE"""),"")</f>
        <v/>
      </c>
      <c r="Y230" s="52" t="str">
        <f>IFERROR(__xludf.DUMMYFUNCTION("""COMPUTED_VALUE"""),"")</f>
        <v/>
      </c>
      <c r="Z230" s="52" t="str">
        <f>IFERROR(__xludf.DUMMYFUNCTION("""COMPUTED_VALUE"""),"")</f>
        <v/>
      </c>
      <c r="AA230" s="52" t="str">
        <f>IFERROR(__xludf.DUMMYFUNCTION("""COMPUTED_VALUE"""),"")</f>
        <v/>
      </c>
      <c r="AB230" s="52" t="str">
        <f>IFERROR(__xludf.DUMMYFUNCTION("""COMPUTED_VALUE"""),"")</f>
        <v/>
      </c>
      <c r="AC230" s="52" t="str">
        <f>IFERROR(__xludf.DUMMYFUNCTION("""COMPUTED_VALUE"""),"")</f>
        <v/>
      </c>
      <c r="AD230" s="52" t="str">
        <f>IFERROR(__xludf.DUMMYFUNCTION("""COMPUTED_VALUE"""),"")</f>
        <v/>
      </c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</row>
    <row r="231">
      <c r="B231" s="49"/>
      <c r="C231" s="49" t="str">
        <f t="shared" si="2"/>
        <v/>
      </c>
      <c r="D231" s="50" t="str">
        <f t="shared" si="3"/>
        <v/>
      </c>
      <c r="E231" s="51" t="str">
        <f t="shared" ref="E231:T231" si="232">IFERROR(VLOOKUP($A231,INDIRECT("'" &amp; E$1 &amp; "'!$C:$G"), 5, FALSE),"")</f>
        <v/>
      </c>
      <c r="F231" s="51" t="str">
        <f t="shared" si="232"/>
        <v/>
      </c>
      <c r="G231" s="51" t="str">
        <f t="shared" si="232"/>
        <v/>
      </c>
      <c r="H231" s="51" t="str">
        <f t="shared" si="232"/>
        <v/>
      </c>
      <c r="I231" s="51" t="str">
        <f t="shared" si="232"/>
        <v/>
      </c>
      <c r="J231" s="51" t="str">
        <f t="shared" si="232"/>
        <v/>
      </c>
      <c r="K231" s="51" t="str">
        <f t="shared" si="232"/>
        <v/>
      </c>
      <c r="L231" s="51" t="str">
        <f t="shared" si="232"/>
        <v/>
      </c>
      <c r="M231" s="51" t="str">
        <f t="shared" si="232"/>
        <v/>
      </c>
      <c r="N231" s="51" t="str">
        <f t="shared" si="232"/>
        <v/>
      </c>
      <c r="O231" s="51" t="str">
        <f t="shared" si="232"/>
        <v/>
      </c>
      <c r="P231" s="51" t="str">
        <f t="shared" si="232"/>
        <v/>
      </c>
      <c r="Q231" s="51" t="str">
        <f t="shared" si="232"/>
        <v/>
      </c>
      <c r="R231" s="51" t="str">
        <f t="shared" si="232"/>
        <v/>
      </c>
      <c r="S231" s="51" t="str">
        <f t="shared" si="232"/>
        <v/>
      </c>
      <c r="T231" s="51" t="str">
        <f t="shared" si="232"/>
        <v/>
      </c>
      <c r="U231" s="52"/>
      <c r="V231" s="52" t="str">
        <f>IFERROR(__xludf.DUMMYFUNCTION("""COMPUTED_VALUE"""),"")</f>
        <v/>
      </c>
      <c r="W231" s="52" t="str">
        <f>IFERROR(__xludf.DUMMYFUNCTION("""COMPUTED_VALUE"""),"")</f>
        <v/>
      </c>
      <c r="X231" s="52" t="str">
        <f>IFERROR(__xludf.DUMMYFUNCTION("""COMPUTED_VALUE"""),"")</f>
        <v/>
      </c>
      <c r="Y231" s="52" t="str">
        <f>IFERROR(__xludf.DUMMYFUNCTION("""COMPUTED_VALUE"""),"")</f>
        <v/>
      </c>
      <c r="Z231" s="52" t="str">
        <f>IFERROR(__xludf.DUMMYFUNCTION("""COMPUTED_VALUE"""),"")</f>
        <v/>
      </c>
      <c r="AA231" s="52" t="str">
        <f>IFERROR(__xludf.DUMMYFUNCTION("""COMPUTED_VALUE"""),"")</f>
        <v/>
      </c>
      <c r="AB231" s="52" t="str">
        <f>IFERROR(__xludf.DUMMYFUNCTION("""COMPUTED_VALUE"""),"")</f>
        <v/>
      </c>
      <c r="AC231" s="52" t="str">
        <f>IFERROR(__xludf.DUMMYFUNCTION("""COMPUTED_VALUE"""),"")</f>
        <v/>
      </c>
      <c r="AD231" s="52" t="str">
        <f>IFERROR(__xludf.DUMMYFUNCTION("""COMPUTED_VALUE"""),"")</f>
        <v/>
      </c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</row>
    <row r="232">
      <c r="B232" s="49"/>
      <c r="C232" s="49" t="str">
        <f t="shared" si="2"/>
        <v/>
      </c>
      <c r="D232" s="50" t="str">
        <f t="shared" si="3"/>
        <v/>
      </c>
      <c r="E232" s="51" t="str">
        <f t="shared" ref="E232:T232" si="233">IFERROR(VLOOKUP($A232,INDIRECT("'" &amp; E$1 &amp; "'!$C:$G"), 5, FALSE),"")</f>
        <v/>
      </c>
      <c r="F232" s="51" t="str">
        <f t="shared" si="233"/>
        <v/>
      </c>
      <c r="G232" s="51" t="str">
        <f t="shared" si="233"/>
        <v/>
      </c>
      <c r="H232" s="51" t="str">
        <f t="shared" si="233"/>
        <v/>
      </c>
      <c r="I232" s="51" t="str">
        <f t="shared" si="233"/>
        <v/>
      </c>
      <c r="J232" s="51" t="str">
        <f t="shared" si="233"/>
        <v/>
      </c>
      <c r="K232" s="51" t="str">
        <f t="shared" si="233"/>
        <v/>
      </c>
      <c r="L232" s="51" t="str">
        <f t="shared" si="233"/>
        <v/>
      </c>
      <c r="M232" s="51" t="str">
        <f t="shared" si="233"/>
        <v/>
      </c>
      <c r="N232" s="51" t="str">
        <f t="shared" si="233"/>
        <v/>
      </c>
      <c r="O232" s="51" t="str">
        <f t="shared" si="233"/>
        <v/>
      </c>
      <c r="P232" s="51" t="str">
        <f t="shared" si="233"/>
        <v/>
      </c>
      <c r="Q232" s="51" t="str">
        <f t="shared" si="233"/>
        <v/>
      </c>
      <c r="R232" s="51" t="str">
        <f t="shared" si="233"/>
        <v/>
      </c>
      <c r="S232" s="51" t="str">
        <f t="shared" si="233"/>
        <v/>
      </c>
      <c r="T232" s="51" t="str">
        <f t="shared" si="233"/>
        <v/>
      </c>
      <c r="U232" s="52"/>
      <c r="V232" s="52" t="str">
        <f>IFERROR(__xludf.DUMMYFUNCTION("""COMPUTED_VALUE"""),"")</f>
        <v/>
      </c>
      <c r="W232" s="52" t="str">
        <f>IFERROR(__xludf.DUMMYFUNCTION("""COMPUTED_VALUE"""),"")</f>
        <v/>
      </c>
      <c r="X232" s="52" t="str">
        <f>IFERROR(__xludf.DUMMYFUNCTION("""COMPUTED_VALUE"""),"")</f>
        <v/>
      </c>
      <c r="Y232" s="52" t="str">
        <f>IFERROR(__xludf.DUMMYFUNCTION("""COMPUTED_VALUE"""),"")</f>
        <v/>
      </c>
      <c r="Z232" s="52" t="str">
        <f>IFERROR(__xludf.DUMMYFUNCTION("""COMPUTED_VALUE"""),"")</f>
        <v/>
      </c>
      <c r="AA232" s="52" t="str">
        <f>IFERROR(__xludf.DUMMYFUNCTION("""COMPUTED_VALUE"""),"")</f>
        <v/>
      </c>
      <c r="AB232" s="52" t="str">
        <f>IFERROR(__xludf.DUMMYFUNCTION("""COMPUTED_VALUE"""),"")</f>
        <v/>
      </c>
      <c r="AC232" s="52" t="str">
        <f>IFERROR(__xludf.DUMMYFUNCTION("""COMPUTED_VALUE"""),"")</f>
        <v/>
      </c>
      <c r="AD232" s="52" t="str">
        <f>IFERROR(__xludf.DUMMYFUNCTION("""COMPUTED_VALUE"""),"")</f>
        <v/>
      </c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</row>
    <row r="233">
      <c r="B233" s="49"/>
      <c r="C233" s="49" t="str">
        <f t="shared" si="2"/>
        <v/>
      </c>
      <c r="D233" s="50" t="str">
        <f t="shared" si="3"/>
        <v/>
      </c>
      <c r="E233" s="51" t="str">
        <f t="shared" ref="E233:T233" si="234">IFERROR(VLOOKUP($A233,INDIRECT("'" &amp; E$1 &amp; "'!$C:$G"), 5, FALSE),"")</f>
        <v/>
      </c>
      <c r="F233" s="51" t="str">
        <f t="shared" si="234"/>
        <v/>
      </c>
      <c r="G233" s="51" t="str">
        <f t="shared" si="234"/>
        <v/>
      </c>
      <c r="H233" s="51" t="str">
        <f t="shared" si="234"/>
        <v/>
      </c>
      <c r="I233" s="51" t="str">
        <f t="shared" si="234"/>
        <v/>
      </c>
      <c r="J233" s="51" t="str">
        <f t="shared" si="234"/>
        <v/>
      </c>
      <c r="K233" s="51" t="str">
        <f t="shared" si="234"/>
        <v/>
      </c>
      <c r="L233" s="51" t="str">
        <f t="shared" si="234"/>
        <v/>
      </c>
      <c r="M233" s="51" t="str">
        <f t="shared" si="234"/>
        <v/>
      </c>
      <c r="N233" s="51" t="str">
        <f t="shared" si="234"/>
        <v/>
      </c>
      <c r="O233" s="51" t="str">
        <f t="shared" si="234"/>
        <v/>
      </c>
      <c r="P233" s="51" t="str">
        <f t="shared" si="234"/>
        <v/>
      </c>
      <c r="Q233" s="51" t="str">
        <f t="shared" si="234"/>
        <v/>
      </c>
      <c r="R233" s="51" t="str">
        <f t="shared" si="234"/>
        <v/>
      </c>
      <c r="S233" s="51" t="str">
        <f t="shared" si="234"/>
        <v/>
      </c>
      <c r="T233" s="51" t="str">
        <f t="shared" si="234"/>
        <v/>
      </c>
      <c r="U233" s="52"/>
      <c r="V233" s="52" t="str">
        <f>IFERROR(__xludf.DUMMYFUNCTION("""COMPUTED_VALUE"""),"")</f>
        <v/>
      </c>
      <c r="W233" s="52" t="str">
        <f>IFERROR(__xludf.DUMMYFUNCTION("""COMPUTED_VALUE"""),"")</f>
        <v/>
      </c>
      <c r="X233" s="52" t="str">
        <f>IFERROR(__xludf.DUMMYFUNCTION("""COMPUTED_VALUE"""),"")</f>
        <v/>
      </c>
      <c r="Y233" s="52" t="str">
        <f>IFERROR(__xludf.DUMMYFUNCTION("""COMPUTED_VALUE"""),"")</f>
        <v/>
      </c>
      <c r="Z233" s="52" t="str">
        <f>IFERROR(__xludf.DUMMYFUNCTION("""COMPUTED_VALUE"""),"")</f>
        <v/>
      </c>
      <c r="AA233" s="52" t="str">
        <f>IFERROR(__xludf.DUMMYFUNCTION("""COMPUTED_VALUE"""),"")</f>
        <v/>
      </c>
      <c r="AB233" s="52" t="str">
        <f>IFERROR(__xludf.DUMMYFUNCTION("""COMPUTED_VALUE"""),"")</f>
        <v/>
      </c>
      <c r="AC233" s="52" t="str">
        <f>IFERROR(__xludf.DUMMYFUNCTION("""COMPUTED_VALUE"""),"")</f>
        <v/>
      </c>
      <c r="AD233" s="52" t="str">
        <f>IFERROR(__xludf.DUMMYFUNCTION("""COMPUTED_VALUE"""),"")</f>
        <v/>
      </c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</row>
    <row r="234">
      <c r="B234" s="49"/>
      <c r="C234" s="49" t="str">
        <f t="shared" si="2"/>
        <v/>
      </c>
      <c r="D234" s="50" t="str">
        <f t="shared" si="3"/>
        <v/>
      </c>
      <c r="E234" s="51" t="str">
        <f t="shared" ref="E234:T234" si="235">IFERROR(VLOOKUP($A234,INDIRECT("'" &amp; E$1 &amp; "'!$C:$G"), 5, FALSE),"")</f>
        <v/>
      </c>
      <c r="F234" s="51" t="str">
        <f t="shared" si="235"/>
        <v/>
      </c>
      <c r="G234" s="51" t="str">
        <f t="shared" si="235"/>
        <v/>
      </c>
      <c r="H234" s="51" t="str">
        <f t="shared" si="235"/>
        <v/>
      </c>
      <c r="I234" s="51" t="str">
        <f t="shared" si="235"/>
        <v/>
      </c>
      <c r="J234" s="51" t="str">
        <f t="shared" si="235"/>
        <v/>
      </c>
      <c r="K234" s="51" t="str">
        <f t="shared" si="235"/>
        <v/>
      </c>
      <c r="L234" s="51" t="str">
        <f t="shared" si="235"/>
        <v/>
      </c>
      <c r="M234" s="51" t="str">
        <f t="shared" si="235"/>
        <v/>
      </c>
      <c r="N234" s="51" t="str">
        <f t="shared" si="235"/>
        <v/>
      </c>
      <c r="O234" s="51" t="str">
        <f t="shared" si="235"/>
        <v/>
      </c>
      <c r="P234" s="51" t="str">
        <f t="shared" si="235"/>
        <v/>
      </c>
      <c r="Q234" s="51" t="str">
        <f t="shared" si="235"/>
        <v/>
      </c>
      <c r="R234" s="51" t="str">
        <f t="shared" si="235"/>
        <v/>
      </c>
      <c r="S234" s="51" t="str">
        <f t="shared" si="235"/>
        <v/>
      </c>
      <c r="T234" s="51" t="str">
        <f t="shared" si="235"/>
        <v/>
      </c>
      <c r="U234" s="52"/>
      <c r="V234" s="52" t="str">
        <f>IFERROR(__xludf.DUMMYFUNCTION("""COMPUTED_VALUE"""),"")</f>
        <v/>
      </c>
      <c r="W234" s="52" t="str">
        <f>IFERROR(__xludf.DUMMYFUNCTION("""COMPUTED_VALUE"""),"")</f>
        <v/>
      </c>
      <c r="X234" s="52" t="str">
        <f>IFERROR(__xludf.DUMMYFUNCTION("""COMPUTED_VALUE"""),"")</f>
        <v/>
      </c>
      <c r="Y234" s="52" t="str">
        <f>IFERROR(__xludf.DUMMYFUNCTION("""COMPUTED_VALUE"""),"")</f>
        <v/>
      </c>
      <c r="Z234" s="52" t="str">
        <f>IFERROR(__xludf.DUMMYFUNCTION("""COMPUTED_VALUE"""),"")</f>
        <v/>
      </c>
      <c r="AA234" s="52" t="str">
        <f>IFERROR(__xludf.DUMMYFUNCTION("""COMPUTED_VALUE"""),"")</f>
        <v/>
      </c>
      <c r="AB234" s="52" t="str">
        <f>IFERROR(__xludf.DUMMYFUNCTION("""COMPUTED_VALUE"""),"")</f>
        <v/>
      </c>
      <c r="AC234" s="52" t="str">
        <f>IFERROR(__xludf.DUMMYFUNCTION("""COMPUTED_VALUE"""),"")</f>
        <v/>
      </c>
      <c r="AD234" s="52" t="str">
        <f>IFERROR(__xludf.DUMMYFUNCTION("""COMPUTED_VALUE"""),"")</f>
        <v/>
      </c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</row>
    <row r="235">
      <c r="B235" s="49"/>
      <c r="C235" s="49" t="str">
        <f t="shared" si="2"/>
        <v/>
      </c>
      <c r="D235" s="50" t="str">
        <f t="shared" si="3"/>
        <v/>
      </c>
      <c r="E235" s="51" t="str">
        <f t="shared" ref="E235:T235" si="236">IFERROR(VLOOKUP($A235,INDIRECT("'" &amp; E$1 &amp; "'!$C:$G"), 5, FALSE),"")</f>
        <v/>
      </c>
      <c r="F235" s="51" t="str">
        <f t="shared" si="236"/>
        <v/>
      </c>
      <c r="G235" s="51" t="str">
        <f t="shared" si="236"/>
        <v/>
      </c>
      <c r="H235" s="51" t="str">
        <f t="shared" si="236"/>
        <v/>
      </c>
      <c r="I235" s="51" t="str">
        <f t="shared" si="236"/>
        <v/>
      </c>
      <c r="J235" s="51" t="str">
        <f t="shared" si="236"/>
        <v/>
      </c>
      <c r="K235" s="51" t="str">
        <f t="shared" si="236"/>
        <v/>
      </c>
      <c r="L235" s="51" t="str">
        <f t="shared" si="236"/>
        <v/>
      </c>
      <c r="M235" s="51" t="str">
        <f t="shared" si="236"/>
        <v/>
      </c>
      <c r="N235" s="51" t="str">
        <f t="shared" si="236"/>
        <v/>
      </c>
      <c r="O235" s="51" t="str">
        <f t="shared" si="236"/>
        <v/>
      </c>
      <c r="P235" s="51" t="str">
        <f t="shared" si="236"/>
        <v/>
      </c>
      <c r="Q235" s="51" t="str">
        <f t="shared" si="236"/>
        <v/>
      </c>
      <c r="R235" s="51" t="str">
        <f t="shared" si="236"/>
        <v/>
      </c>
      <c r="S235" s="51" t="str">
        <f t="shared" si="236"/>
        <v/>
      </c>
      <c r="T235" s="51" t="str">
        <f t="shared" si="236"/>
        <v/>
      </c>
      <c r="U235" s="52"/>
      <c r="V235" s="52" t="str">
        <f>IFERROR(__xludf.DUMMYFUNCTION("""COMPUTED_VALUE"""),"")</f>
        <v/>
      </c>
      <c r="W235" s="52" t="str">
        <f>IFERROR(__xludf.DUMMYFUNCTION("""COMPUTED_VALUE"""),"")</f>
        <v/>
      </c>
      <c r="X235" s="52" t="str">
        <f>IFERROR(__xludf.DUMMYFUNCTION("""COMPUTED_VALUE"""),"")</f>
        <v/>
      </c>
      <c r="Y235" s="52" t="str">
        <f>IFERROR(__xludf.DUMMYFUNCTION("""COMPUTED_VALUE"""),"")</f>
        <v/>
      </c>
      <c r="Z235" s="52" t="str">
        <f>IFERROR(__xludf.DUMMYFUNCTION("""COMPUTED_VALUE"""),"")</f>
        <v/>
      </c>
      <c r="AA235" s="52" t="str">
        <f>IFERROR(__xludf.DUMMYFUNCTION("""COMPUTED_VALUE"""),"")</f>
        <v/>
      </c>
      <c r="AB235" s="52" t="str">
        <f>IFERROR(__xludf.DUMMYFUNCTION("""COMPUTED_VALUE"""),"")</f>
        <v/>
      </c>
      <c r="AC235" s="52" t="str">
        <f>IFERROR(__xludf.DUMMYFUNCTION("""COMPUTED_VALUE"""),"")</f>
        <v/>
      </c>
      <c r="AD235" s="52" t="str">
        <f>IFERROR(__xludf.DUMMYFUNCTION("""COMPUTED_VALUE"""),"")</f>
        <v/>
      </c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</row>
    <row r="236">
      <c r="B236" s="49"/>
      <c r="C236" s="49" t="str">
        <f t="shared" si="2"/>
        <v/>
      </c>
      <c r="D236" s="50" t="str">
        <f t="shared" si="3"/>
        <v/>
      </c>
      <c r="E236" s="51" t="str">
        <f t="shared" ref="E236:T236" si="237">IFERROR(VLOOKUP($A236,INDIRECT("'" &amp; E$1 &amp; "'!$C:$G"), 5, FALSE),"")</f>
        <v/>
      </c>
      <c r="F236" s="51" t="str">
        <f t="shared" si="237"/>
        <v/>
      </c>
      <c r="G236" s="51" t="str">
        <f t="shared" si="237"/>
        <v/>
      </c>
      <c r="H236" s="51" t="str">
        <f t="shared" si="237"/>
        <v/>
      </c>
      <c r="I236" s="51" t="str">
        <f t="shared" si="237"/>
        <v/>
      </c>
      <c r="J236" s="51" t="str">
        <f t="shared" si="237"/>
        <v/>
      </c>
      <c r="K236" s="51" t="str">
        <f t="shared" si="237"/>
        <v/>
      </c>
      <c r="L236" s="51" t="str">
        <f t="shared" si="237"/>
        <v/>
      </c>
      <c r="M236" s="51" t="str">
        <f t="shared" si="237"/>
        <v/>
      </c>
      <c r="N236" s="51" t="str">
        <f t="shared" si="237"/>
        <v/>
      </c>
      <c r="O236" s="51" t="str">
        <f t="shared" si="237"/>
        <v/>
      </c>
      <c r="P236" s="51" t="str">
        <f t="shared" si="237"/>
        <v/>
      </c>
      <c r="Q236" s="51" t="str">
        <f t="shared" si="237"/>
        <v/>
      </c>
      <c r="R236" s="51" t="str">
        <f t="shared" si="237"/>
        <v/>
      </c>
      <c r="S236" s="51" t="str">
        <f t="shared" si="237"/>
        <v/>
      </c>
      <c r="T236" s="51" t="str">
        <f t="shared" si="237"/>
        <v/>
      </c>
      <c r="U236" s="52"/>
      <c r="V236" s="52" t="str">
        <f>IFERROR(__xludf.DUMMYFUNCTION("""COMPUTED_VALUE"""),"")</f>
        <v/>
      </c>
      <c r="W236" s="52" t="str">
        <f>IFERROR(__xludf.DUMMYFUNCTION("""COMPUTED_VALUE"""),"")</f>
        <v/>
      </c>
      <c r="X236" s="52" t="str">
        <f>IFERROR(__xludf.DUMMYFUNCTION("""COMPUTED_VALUE"""),"")</f>
        <v/>
      </c>
      <c r="Y236" s="52" t="str">
        <f>IFERROR(__xludf.DUMMYFUNCTION("""COMPUTED_VALUE"""),"")</f>
        <v/>
      </c>
      <c r="Z236" s="52" t="str">
        <f>IFERROR(__xludf.DUMMYFUNCTION("""COMPUTED_VALUE"""),"")</f>
        <v/>
      </c>
      <c r="AA236" s="52" t="str">
        <f>IFERROR(__xludf.DUMMYFUNCTION("""COMPUTED_VALUE"""),"")</f>
        <v/>
      </c>
      <c r="AB236" s="52" t="str">
        <f>IFERROR(__xludf.DUMMYFUNCTION("""COMPUTED_VALUE"""),"")</f>
        <v/>
      </c>
      <c r="AC236" s="52" t="str">
        <f>IFERROR(__xludf.DUMMYFUNCTION("""COMPUTED_VALUE"""),"")</f>
        <v/>
      </c>
      <c r="AD236" s="52" t="str">
        <f>IFERROR(__xludf.DUMMYFUNCTION("""COMPUTED_VALUE"""),"")</f>
        <v/>
      </c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</row>
    <row r="237">
      <c r="B237" s="49"/>
      <c r="C237" s="49" t="str">
        <f t="shared" si="2"/>
        <v/>
      </c>
      <c r="D237" s="50" t="str">
        <f t="shared" si="3"/>
        <v/>
      </c>
      <c r="E237" s="51" t="str">
        <f t="shared" ref="E237:T237" si="238">IFERROR(VLOOKUP($A237,INDIRECT("'" &amp; E$1 &amp; "'!$C:$G"), 5, FALSE),"")</f>
        <v/>
      </c>
      <c r="F237" s="51" t="str">
        <f t="shared" si="238"/>
        <v/>
      </c>
      <c r="G237" s="51" t="str">
        <f t="shared" si="238"/>
        <v/>
      </c>
      <c r="H237" s="51" t="str">
        <f t="shared" si="238"/>
        <v/>
      </c>
      <c r="I237" s="51" t="str">
        <f t="shared" si="238"/>
        <v/>
      </c>
      <c r="J237" s="51" t="str">
        <f t="shared" si="238"/>
        <v/>
      </c>
      <c r="K237" s="51" t="str">
        <f t="shared" si="238"/>
        <v/>
      </c>
      <c r="L237" s="51" t="str">
        <f t="shared" si="238"/>
        <v/>
      </c>
      <c r="M237" s="51" t="str">
        <f t="shared" si="238"/>
        <v/>
      </c>
      <c r="N237" s="51" t="str">
        <f t="shared" si="238"/>
        <v/>
      </c>
      <c r="O237" s="51" t="str">
        <f t="shared" si="238"/>
        <v/>
      </c>
      <c r="P237" s="51" t="str">
        <f t="shared" si="238"/>
        <v/>
      </c>
      <c r="Q237" s="51" t="str">
        <f t="shared" si="238"/>
        <v/>
      </c>
      <c r="R237" s="51" t="str">
        <f t="shared" si="238"/>
        <v/>
      </c>
      <c r="S237" s="51" t="str">
        <f t="shared" si="238"/>
        <v/>
      </c>
      <c r="T237" s="51" t="str">
        <f t="shared" si="238"/>
        <v/>
      </c>
      <c r="U237" s="52"/>
      <c r="V237" s="52" t="str">
        <f>IFERROR(__xludf.DUMMYFUNCTION("""COMPUTED_VALUE"""),"")</f>
        <v/>
      </c>
      <c r="W237" s="52" t="str">
        <f>IFERROR(__xludf.DUMMYFUNCTION("""COMPUTED_VALUE"""),"")</f>
        <v/>
      </c>
      <c r="X237" s="52" t="str">
        <f>IFERROR(__xludf.DUMMYFUNCTION("""COMPUTED_VALUE"""),"")</f>
        <v/>
      </c>
      <c r="Y237" s="52" t="str">
        <f>IFERROR(__xludf.DUMMYFUNCTION("""COMPUTED_VALUE"""),"")</f>
        <v/>
      </c>
      <c r="Z237" s="52" t="str">
        <f>IFERROR(__xludf.DUMMYFUNCTION("""COMPUTED_VALUE"""),"")</f>
        <v/>
      </c>
      <c r="AA237" s="52" t="str">
        <f>IFERROR(__xludf.DUMMYFUNCTION("""COMPUTED_VALUE"""),"")</f>
        <v/>
      </c>
      <c r="AB237" s="52" t="str">
        <f>IFERROR(__xludf.DUMMYFUNCTION("""COMPUTED_VALUE"""),"")</f>
        <v/>
      </c>
      <c r="AC237" s="52" t="str">
        <f>IFERROR(__xludf.DUMMYFUNCTION("""COMPUTED_VALUE"""),"")</f>
        <v/>
      </c>
      <c r="AD237" s="52" t="str">
        <f>IFERROR(__xludf.DUMMYFUNCTION("""COMPUTED_VALUE"""),"")</f>
        <v/>
      </c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</row>
    <row r="238">
      <c r="B238" s="49"/>
      <c r="C238" s="49" t="str">
        <f t="shared" si="2"/>
        <v/>
      </c>
      <c r="D238" s="50" t="str">
        <f t="shared" si="3"/>
        <v/>
      </c>
      <c r="E238" s="51" t="str">
        <f t="shared" ref="E238:T238" si="239">IFERROR(VLOOKUP($A238,INDIRECT("'" &amp; E$1 &amp; "'!$C:$G"), 5, FALSE),"")</f>
        <v/>
      </c>
      <c r="F238" s="51" t="str">
        <f t="shared" si="239"/>
        <v/>
      </c>
      <c r="G238" s="51" t="str">
        <f t="shared" si="239"/>
        <v/>
      </c>
      <c r="H238" s="51" t="str">
        <f t="shared" si="239"/>
        <v/>
      </c>
      <c r="I238" s="51" t="str">
        <f t="shared" si="239"/>
        <v/>
      </c>
      <c r="J238" s="51" t="str">
        <f t="shared" si="239"/>
        <v/>
      </c>
      <c r="K238" s="51" t="str">
        <f t="shared" si="239"/>
        <v/>
      </c>
      <c r="L238" s="51" t="str">
        <f t="shared" si="239"/>
        <v/>
      </c>
      <c r="M238" s="51" t="str">
        <f t="shared" si="239"/>
        <v/>
      </c>
      <c r="N238" s="51" t="str">
        <f t="shared" si="239"/>
        <v/>
      </c>
      <c r="O238" s="51" t="str">
        <f t="shared" si="239"/>
        <v/>
      </c>
      <c r="P238" s="51" t="str">
        <f t="shared" si="239"/>
        <v/>
      </c>
      <c r="Q238" s="51" t="str">
        <f t="shared" si="239"/>
        <v/>
      </c>
      <c r="R238" s="51" t="str">
        <f t="shared" si="239"/>
        <v/>
      </c>
      <c r="S238" s="51" t="str">
        <f t="shared" si="239"/>
        <v/>
      </c>
      <c r="T238" s="51" t="str">
        <f t="shared" si="239"/>
        <v/>
      </c>
      <c r="U238" s="52"/>
      <c r="V238" s="52" t="str">
        <f>IFERROR(__xludf.DUMMYFUNCTION("""COMPUTED_VALUE"""),"")</f>
        <v/>
      </c>
      <c r="W238" s="52" t="str">
        <f>IFERROR(__xludf.DUMMYFUNCTION("""COMPUTED_VALUE"""),"")</f>
        <v/>
      </c>
      <c r="X238" s="52" t="str">
        <f>IFERROR(__xludf.DUMMYFUNCTION("""COMPUTED_VALUE"""),"")</f>
        <v/>
      </c>
      <c r="Y238" s="52" t="str">
        <f>IFERROR(__xludf.DUMMYFUNCTION("""COMPUTED_VALUE"""),"")</f>
        <v/>
      </c>
      <c r="Z238" s="52" t="str">
        <f>IFERROR(__xludf.DUMMYFUNCTION("""COMPUTED_VALUE"""),"")</f>
        <v/>
      </c>
      <c r="AA238" s="52" t="str">
        <f>IFERROR(__xludf.DUMMYFUNCTION("""COMPUTED_VALUE"""),"")</f>
        <v/>
      </c>
      <c r="AB238" s="52" t="str">
        <f>IFERROR(__xludf.DUMMYFUNCTION("""COMPUTED_VALUE"""),"")</f>
        <v/>
      </c>
      <c r="AC238" s="52" t="str">
        <f>IFERROR(__xludf.DUMMYFUNCTION("""COMPUTED_VALUE"""),"")</f>
        <v/>
      </c>
      <c r="AD238" s="52" t="str">
        <f>IFERROR(__xludf.DUMMYFUNCTION("""COMPUTED_VALUE"""),"")</f>
        <v/>
      </c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</row>
    <row r="239">
      <c r="B239" s="49"/>
      <c r="C239" s="49" t="str">
        <f t="shared" si="2"/>
        <v/>
      </c>
      <c r="D239" s="50" t="str">
        <f t="shared" si="3"/>
        <v/>
      </c>
      <c r="E239" s="51" t="str">
        <f t="shared" ref="E239:T239" si="240">IFERROR(VLOOKUP($A239,INDIRECT("'" &amp; E$1 &amp; "'!$C:$G"), 5, FALSE),"")</f>
        <v/>
      </c>
      <c r="F239" s="51" t="str">
        <f t="shared" si="240"/>
        <v/>
      </c>
      <c r="G239" s="51" t="str">
        <f t="shared" si="240"/>
        <v/>
      </c>
      <c r="H239" s="51" t="str">
        <f t="shared" si="240"/>
        <v/>
      </c>
      <c r="I239" s="51" t="str">
        <f t="shared" si="240"/>
        <v/>
      </c>
      <c r="J239" s="51" t="str">
        <f t="shared" si="240"/>
        <v/>
      </c>
      <c r="K239" s="51" t="str">
        <f t="shared" si="240"/>
        <v/>
      </c>
      <c r="L239" s="51" t="str">
        <f t="shared" si="240"/>
        <v/>
      </c>
      <c r="M239" s="51" t="str">
        <f t="shared" si="240"/>
        <v/>
      </c>
      <c r="N239" s="51" t="str">
        <f t="shared" si="240"/>
        <v/>
      </c>
      <c r="O239" s="51" t="str">
        <f t="shared" si="240"/>
        <v/>
      </c>
      <c r="P239" s="51" t="str">
        <f t="shared" si="240"/>
        <v/>
      </c>
      <c r="Q239" s="51" t="str">
        <f t="shared" si="240"/>
        <v/>
      </c>
      <c r="R239" s="51" t="str">
        <f t="shared" si="240"/>
        <v/>
      </c>
      <c r="S239" s="51" t="str">
        <f t="shared" si="240"/>
        <v/>
      </c>
      <c r="T239" s="51" t="str">
        <f t="shared" si="240"/>
        <v/>
      </c>
      <c r="U239" s="52"/>
      <c r="V239" s="52" t="str">
        <f>IFERROR(__xludf.DUMMYFUNCTION("""COMPUTED_VALUE"""),"")</f>
        <v/>
      </c>
      <c r="W239" s="52" t="str">
        <f>IFERROR(__xludf.DUMMYFUNCTION("""COMPUTED_VALUE"""),"")</f>
        <v/>
      </c>
      <c r="X239" s="52" t="str">
        <f>IFERROR(__xludf.DUMMYFUNCTION("""COMPUTED_VALUE"""),"")</f>
        <v/>
      </c>
      <c r="Y239" s="52" t="str">
        <f>IFERROR(__xludf.DUMMYFUNCTION("""COMPUTED_VALUE"""),"")</f>
        <v/>
      </c>
      <c r="Z239" s="52" t="str">
        <f>IFERROR(__xludf.DUMMYFUNCTION("""COMPUTED_VALUE"""),"")</f>
        <v/>
      </c>
      <c r="AA239" s="52" t="str">
        <f>IFERROR(__xludf.DUMMYFUNCTION("""COMPUTED_VALUE"""),"")</f>
        <v/>
      </c>
      <c r="AB239" s="52" t="str">
        <f>IFERROR(__xludf.DUMMYFUNCTION("""COMPUTED_VALUE"""),"")</f>
        <v/>
      </c>
      <c r="AC239" s="52" t="str">
        <f>IFERROR(__xludf.DUMMYFUNCTION("""COMPUTED_VALUE"""),"")</f>
        <v/>
      </c>
      <c r="AD239" s="52" t="str">
        <f>IFERROR(__xludf.DUMMYFUNCTION("""COMPUTED_VALUE"""),"")</f>
        <v/>
      </c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</row>
    <row r="240">
      <c r="B240" s="49"/>
      <c r="C240" s="49" t="str">
        <f t="shared" si="2"/>
        <v/>
      </c>
      <c r="D240" s="50" t="str">
        <f t="shared" si="3"/>
        <v/>
      </c>
      <c r="E240" s="51" t="str">
        <f t="shared" ref="E240:T240" si="241">IFERROR(VLOOKUP($A240,INDIRECT("'" &amp; E$1 &amp; "'!$C:$G"), 5, FALSE),"")</f>
        <v/>
      </c>
      <c r="F240" s="51" t="str">
        <f t="shared" si="241"/>
        <v/>
      </c>
      <c r="G240" s="51" t="str">
        <f t="shared" si="241"/>
        <v/>
      </c>
      <c r="H240" s="51" t="str">
        <f t="shared" si="241"/>
        <v/>
      </c>
      <c r="I240" s="51" t="str">
        <f t="shared" si="241"/>
        <v/>
      </c>
      <c r="J240" s="51" t="str">
        <f t="shared" si="241"/>
        <v/>
      </c>
      <c r="K240" s="51" t="str">
        <f t="shared" si="241"/>
        <v/>
      </c>
      <c r="L240" s="51" t="str">
        <f t="shared" si="241"/>
        <v/>
      </c>
      <c r="M240" s="51" t="str">
        <f t="shared" si="241"/>
        <v/>
      </c>
      <c r="N240" s="51" t="str">
        <f t="shared" si="241"/>
        <v/>
      </c>
      <c r="O240" s="51" t="str">
        <f t="shared" si="241"/>
        <v/>
      </c>
      <c r="P240" s="51" t="str">
        <f t="shared" si="241"/>
        <v/>
      </c>
      <c r="Q240" s="51" t="str">
        <f t="shared" si="241"/>
        <v/>
      </c>
      <c r="R240" s="51" t="str">
        <f t="shared" si="241"/>
        <v/>
      </c>
      <c r="S240" s="51" t="str">
        <f t="shared" si="241"/>
        <v/>
      </c>
      <c r="T240" s="51" t="str">
        <f t="shared" si="241"/>
        <v/>
      </c>
      <c r="U240" s="52"/>
      <c r="V240" s="52" t="str">
        <f>IFERROR(__xludf.DUMMYFUNCTION("""COMPUTED_VALUE"""),"")</f>
        <v/>
      </c>
      <c r="W240" s="52" t="str">
        <f>IFERROR(__xludf.DUMMYFUNCTION("""COMPUTED_VALUE"""),"")</f>
        <v/>
      </c>
      <c r="X240" s="52" t="str">
        <f>IFERROR(__xludf.DUMMYFUNCTION("""COMPUTED_VALUE"""),"")</f>
        <v/>
      </c>
      <c r="Y240" s="52" t="str">
        <f>IFERROR(__xludf.DUMMYFUNCTION("""COMPUTED_VALUE"""),"")</f>
        <v/>
      </c>
      <c r="Z240" s="52" t="str">
        <f>IFERROR(__xludf.DUMMYFUNCTION("""COMPUTED_VALUE"""),"")</f>
        <v/>
      </c>
      <c r="AA240" s="52" t="str">
        <f>IFERROR(__xludf.DUMMYFUNCTION("""COMPUTED_VALUE"""),"")</f>
        <v/>
      </c>
      <c r="AB240" s="52" t="str">
        <f>IFERROR(__xludf.DUMMYFUNCTION("""COMPUTED_VALUE"""),"")</f>
        <v/>
      </c>
      <c r="AC240" s="52" t="str">
        <f>IFERROR(__xludf.DUMMYFUNCTION("""COMPUTED_VALUE"""),"")</f>
        <v/>
      </c>
      <c r="AD240" s="52" t="str">
        <f>IFERROR(__xludf.DUMMYFUNCTION("""COMPUTED_VALUE"""),"")</f>
        <v/>
      </c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</row>
    <row r="241">
      <c r="B241" s="49"/>
      <c r="C241" s="49" t="str">
        <f t="shared" si="2"/>
        <v/>
      </c>
      <c r="D241" s="50" t="str">
        <f t="shared" si="3"/>
        <v/>
      </c>
      <c r="E241" s="51" t="str">
        <f t="shared" ref="E241:T241" si="242">IFERROR(VLOOKUP($A241,INDIRECT("'" &amp; E$1 &amp; "'!$C:$G"), 5, FALSE),"")</f>
        <v/>
      </c>
      <c r="F241" s="51" t="str">
        <f t="shared" si="242"/>
        <v/>
      </c>
      <c r="G241" s="51" t="str">
        <f t="shared" si="242"/>
        <v/>
      </c>
      <c r="H241" s="51" t="str">
        <f t="shared" si="242"/>
        <v/>
      </c>
      <c r="I241" s="51" t="str">
        <f t="shared" si="242"/>
        <v/>
      </c>
      <c r="J241" s="51" t="str">
        <f t="shared" si="242"/>
        <v/>
      </c>
      <c r="K241" s="51" t="str">
        <f t="shared" si="242"/>
        <v/>
      </c>
      <c r="L241" s="51" t="str">
        <f t="shared" si="242"/>
        <v/>
      </c>
      <c r="M241" s="51" t="str">
        <f t="shared" si="242"/>
        <v/>
      </c>
      <c r="N241" s="51" t="str">
        <f t="shared" si="242"/>
        <v/>
      </c>
      <c r="O241" s="51" t="str">
        <f t="shared" si="242"/>
        <v/>
      </c>
      <c r="P241" s="51" t="str">
        <f t="shared" si="242"/>
        <v/>
      </c>
      <c r="Q241" s="51" t="str">
        <f t="shared" si="242"/>
        <v/>
      </c>
      <c r="R241" s="51" t="str">
        <f t="shared" si="242"/>
        <v/>
      </c>
      <c r="S241" s="51" t="str">
        <f t="shared" si="242"/>
        <v/>
      </c>
      <c r="T241" s="51" t="str">
        <f t="shared" si="242"/>
        <v/>
      </c>
      <c r="U241" s="52"/>
      <c r="V241" s="52" t="str">
        <f>IFERROR(__xludf.DUMMYFUNCTION("""COMPUTED_VALUE"""),"")</f>
        <v/>
      </c>
      <c r="W241" s="52" t="str">
        <f>IFERROR(__xludf.DUMMYFUNCTION("""COMPUTED_VALUE"""),"")</f>
        <v/>
      </c>
      <c r="X241" s="52" t="str">
        <f>IFERROR(__xludf.DUMMYFUNCTION("""COMPUTED_VALUE"""),"")</f>
        <v/>
      </c>
      <c r="Y241" s="52" t="str">
        <f>IFERROR(__xludf.DUMMYFUNCTION("""COMPUTED_VALUE"""),"")</f>
        <v/>
      </c>
      <c r="Z241" s="52" t="str">
        <f>IFERROR(__xludf.DUMMYFUNCTION("""COMPUTED_VALUE"""),"")</f>
        <v/>
      </c>
      <c r="AA241" s="52" t="str">
        <f>IFERROR(__xludf.DUMMYFUNCTION("""COMPUTED_VALUE"""),"")</f>
        <v/>
      </c>
      <c r="AB241" s="52" t="str">
        <f>IFERROR(__xludf.DUMMYFUNCTION("""COMPUTED_VALUE"""),"")</f>
        <v/>
      </c>
      <c r="AC241" s="52" t="str">
        <f>IFERROR(__xludf.DUMMYFUNCTION("""COMPUTED_VALUE"""),"")</f>
        <v/>
      </c>
      <c r="AD241" s="52" t="str">
        <f>IFERROR(__xludf.DUMMYFUNCTION("""COMPUTED_VALUE"""),"")</f>
        <v/>
      </c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</row>
    <row r="242">
      <c r="B242" s="49"/>
      <c r="C242" s="49" t="str">
        <f t="shared" si="2"/>
        <v/>
      </c>
      <c r="D242" s="50" t="str">
        <f t="shared" si="3"/>
        <v/>
      </c>
      <c r="E242" s="51" t="str">
        <f t="shared" ref="E242:T242" si="243">IFERROR(VLOOKUP($A242,INDIRECT("'" &amp; E$1 &amp; "'!$C:$G"), 5, FALSE),"")</f>
        <v/>
      </c>
      <c r="F242" s="51" t="str">
        <f t="shared" si="243"/>
        <v/>
      </c>
      <c r="G242" s="51" t="str">
        <f t="shared" si="243"/>
        <v/>
      </c>
      <c r="H242" s="51" t="str">
        <f t="shared" si="243"/>
        <v/>
      </c>
      <c r="I242" s="51" t="str">
        <f t="shared" si="243"/>
        <v/>
      </c>
      <c r="J242" s="51" t="str">
        <f t="shared" si="243"/>
        <v/>
      </c>
      <c r="K242" s="51" t="str">
        <f t="shared" si="243"/>
        <v/>
      </c>
      <c r="L242" s="51" t="str">
        <f t="shared" si="243"/>
        <v/>
      </c>
      <c r="M242" s="51" t="str">
        <f t="shared" si="243"/>
        <v/>
      </c>
      <c r="N242" s="51" t="str">
        <f t="shared" si="243"/>
        <v/>
      </c>
      <c r="O242" s="51" t="str">
        <f t="shared" si="243"/>
        <v/>
      </c>
      <c r="P242" s="51" t="str">
        <f t="shared" si="243"/>
        <v/>
      </c>
      <c r="Q242" s="51" t="str">
        <f t="shared" si="243"/>
        <v/>
      </c>
      <c r="R242" s="51" t="str">
        <f t="shared" si="243"/>
        <v/>
      </c>
      <c r="S242" s="51" t="str">
        <f t="shared" si="243"/>
        <v/>
      </c>
      <c r="T242" s="51" t="str">
        <f t="shared" si="243"/>
        <v/>
      </c>
      <c r="U242" s="52"/>
      <c r="V242" s="52" t="str">
        <f>IFERROR(__xludf.DUMMYFUNCTION("""COMPUTED_VALUE"""),"")</f>
        <v/>
      </c>
      <c r="W242" s="52" t="str">
        <f>IFERROR(__xludf.DUMMYFUNCTION("""COMPUTED_VALUE"""),"")</f>
        <v/>
      </c>
      <c r="X242" s="52" t="str">
        <f>IFERROR(__xludf.DUMMYFUNCTION("""COMPUTED_VALUE"""),"")</f>
        <v/>
      </c>
      <c r="Y242" s="52" t="str">
        <f>IFERROR(__xludf.DUMMYFUNCTION("""COMPUTED_VALUE"""),"")</f>
        <v/>
      </c>
      <c r="Z242" s="52" t="str">
        <f>IFERROR(__xludf.DUMMYFUNCTION("""COMPUTED_VALUE"""),"")</f>
        <v/>
      </c>
      <c r="AA242" s="52" t="str">
        <f>IFERROR(__xludf.DUMMYFUNCTION("""COMPUTED_VALUE"""),"")</f>
        <v/>
      </c>
      <c r="AB242" s="52" t="str">
        <f>IFERROR(__xludf.DUMMYFUNCTION("""COMPUTED_VALUE"""),"")</f>
        <v/>
      </c>
      <c r="AC242" s="52" t="str">
        <f>IFERROR(__xludf.DUMMYFUNCTION("""COMPUTED_VALUE"""),"")</f>
        <v/>
      </c>
      <c r="AD242" s="52" t="str">
        <f>IFERROR(__xludf.DUMMYFUNCTION("""COMPUTED_VALUE"""),"")</f>
        <v/>
      </c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</row>
    <row r="243">
      <c r="B243" s="49"/>
      <c r="C243" s="49" t="str">
        <f t="shared" si="2"/>
        <v/>
      </c>
      <c r="D243" s="50" t="str">
        <f t="shared" si="3"/>
        <v/>
      </c>
      <c r="E243" s="51" t="str">
        <f t="shared" ref="E243:T243" si="244">IFERROR(VLOOKUP($A243,INDIRECT("'" &amp; E$1 &amp; "'!$C:$G"), 5, FALSE),"")</f>
        <v/>
      </c>
      <c r="F243" s="51" t="str">
        <f t="shared" si="244"/>
        <v/>
      </c>
      <c r="G243" s="51" t="str">
        <f t="shared" si="244"/>
        <v/>
      </c>
      <c r="H243" s="51" t="str">
        <f t="shared" si="244"/>
        <v/>
      </c>
      <c r="I243" s="51" t="str">
        <f t="shared" si="244"/>
        <v/>
      </c>
      <c r="J243" s="51" t="str">
        <f t="shared" si="244"/>
        <v/>
      </c>
      <c r="K243" s="51" t="str">
        <f t="shared" si="244"/>
        <v/>
      </c>
      <c r="L243" s="51" t="str">
        <f t="shared" si="244"/>
        <v/>
      </c>
      <c r="M243" s="51" t="str">
        <f t="shared" si="244"/>
        <v/>
      </c>
      <c r="N243" s="51" t="str">
        <f t="shared" si="244"/>
        <v/>
      </c>
      <c r="O243" s="51" t="str">
        <f t="shared" si="244"/>
        <v/>
      </c>
      <c r="P243" s="51" t="str">
        <f t="shared" si="244"/>
        <v/>
      </c>
      <c r="Q243" s="51" t="str">
        <f t="shared" si="244"/>
        <v/>
      </c>
      <c r="R243" s="51" t="str">
        <f t="shared" si="244"/>
        <v/>
      </c>
      <c r="S243" s="51" t="str">
        <f t="shared" si="244"/>
        <v/>
      </c>
      <c r="T243" s="51" t="str">
        <f t="shared" si="244"/>
        <v/>
      </c>
      <c r="U243" s="52"/>
      <c r="V243" s="52" t="str">
        <f>IFERROR(__xludf.DUMMYFUNCTION("""COMPUTED_VALUE"""),"")</f>
        <v/>
      </c>
      <c r="W243" s="52" t="str">
        <f>IFERROR(__xludf.DUMMYFUNCTION("""COMPUTED_VALUE"""),"")</f>
        <v/>
      </c>
      <c r="X243" s="52" t="str">
        <f>IFERROR(__xludf.DUMMYFUNCTION("""COMPUTED_VALUE"""),"")</f>
        <v/>
      </c>
      <c r="Y243" s="52" t="str">
        <f>IFERROR(__xludf.DUMMYFUNCTION("""COMPUTED_VALUE"""),"")</f>
        <v/>
      </c>
      <c r="Z243" s="52" t="str">
        <f>IFERROR(__xludf.DUMMYFUNCTION("""COMPUTED_VALUE"""),"")</f>
        <v/>
      </c>
      <c r="AA243" s="52" t="str">
        <f>IFERROR(__xludf.DUMMYFUNCTION("""COMPUTED_VALUE"""),"")</f>
        <v/>
      </c>
      <c r="AB243" s="52" t="str">
        <f>IFERROR(__xludf.DUMMYFUNCTION("""COMPUTED_VALUE"""),"")</f>
        <v/>
      </c>
      <c r="AC243" s="52" t="str">
        <f>IFERROR(__xludf.DUMMYFUNCTION("""COMPUTED_VALUE"""),"")</f>
        <v/>
      </c>
      <c r="AD243" s="52" t="str">
        <f>IFERROR(__xludf.DUMMYFUNCTION("""COMPUTED_VALUE"""),"")</f>
        <v/>
      </c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</row>
    <row r="244">
      <c r="B244" s="49"/>
      <c r="C244" s="49" t="str">
        <f t="shared" si="2"/>
        <v/>
      </c>
      <c r="D244" s="50" t="str">
        <f t="shared" si="3"/>
        <v/>
      </c>
      <c r="E244" s="51" t="str">
        <f t="shared" ref="E244:T244" si="245">IFERROR(VLOOKUP($A244,INDIRECT("'" &amp; E$1 &amp; "'!$C:$G"), 5, FALSE),"")</f>
        <v/>
      </c>
      <c r="F244" s="51" t="str">
        <f t="shared" si="245"/>
        <v/>
      </c>
      <c r="G244" s="51" t="str">
        <f t="shared" si="245"/>
        <v/>
      </c>
      <c r="H244" s="51" t="str">
        <f t="shared" si="245"/>
        <v/>
      </c>
      <c r="I244" s="51" t="str">
        <f t="shared" si="245"/>
        <v/>
      </c>
      <c r="J244" s="51" t="str">
        <f t="shared" si="245"/>
        <v/>
      </c>
      <c r="K244" s="51" t="str">
        <f t="shared" si="245"/>
        <v/>
      </c>
      <c r="L244" s="51" t="str">
        <f t="shared" si="245"/>
        <v/>
      </c>
      <c r="M244" s="51" t="str">
        <f t="shared" si="245"/>
        <v/>
      </c>
      <c r="N244" s="51" t="str">
        <f t="shared" si="245"/>
        <v/>
      </c>
      <c r="O244" s="51" t="str">
        <f t="shared" si="245"/>
        <v/>
      </c>
      <c r="P244" s="51" t="str">
        <f t="shared" si="245"/>
        <v/>
      </c>
      <c r="Q244" s="51" t="str">
        <f t="shared" si="245"/>
        <v/>
      </c>
      <c r="R244" s="51" t="str">
        <f t="shared" si="245"/>
        <v/>
      </c>
      <c r="S244" s="51" t="str">
        <f t="shared" si="245"/>
        <v/>
      </c>
      <c r="T244" s="51" t="str">
        <f t="shared" si="245"/>
        <v/>
      </c>
      <c r="U244" s="52"/>
      <c r="V244" s="52" t="str">
        <f>IFERROR(__xludf.DUMMYFUNCTION("""COMPUTED_VALUE"""),"")</f>
        <v/>
      </c>
      <c r="W244" s="52" t="str">
        <f>IFERROR(__xludf.DUMMYFUNCTION("""COMPUTED_VALUE"""),"")</f>
        <v/>
      </c>
      <c r="X244" s="52" t="str">
        <f>IFERROR(__xludf.DUMMYFUNCTION("""COMPUTED_VALUE"""),"")</f>
        <v/>
      </c>
      <c r="Y244" s="52" t="str">
        <f>IFERROR(__xludf.DUMMYFUNCTION("""COMPUTED_VALUE"""),"")</f>
        <v/>
      </c>
      <c r="Z244" s="52" t="str">
        <f>IFERROR(__xludf.DUMMYFUNCTION("""COMPUTED_VALUE"""),"")</f>
        <v/>
      </c>
      <c r="AA244" s="52" t="str">
        <f>IFERROR(__xludf.DUMMYFUNCTION("""COMPUTED_VALUE"""),"")</f>
        <v/>
      </c>
      <c r="AB244" s="52" t="str">
        <f>IFERROR(__xludf.DUMMYFUNCTION("""COMPUTED_VALUE"""),"")</f>
        <v/>
      </c>
      <c r="AC244" s="52" t="str">
        <f>IFERROR(__xludf.DUMMYFUNCTION("""COMPUTED_VALUE"""),"")</f>
        <v/>
      </c>
      <c r="AD244" s="52" t="str">
        <f>IFERROR(__xludf.DUMMYFUNCTION("""COMPUTED_VALUE"""),"")</f>
        <v/>
      </c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</row>
    <row r="245">
      <c r="B245" s="49"/>
      <c r="C245" s="49" t="str">
        <f t="shared" si="2"/>
        <v/>
      </c>
      <c r="D245" s="50" t="str">
        <f t="shared" si="3"/>
        <v/>
      </c>
      <c r="E245" s="51" t="str">
        <f t="shared" ref="E245:T245" si="246">IFERROR(VLOOKUP($A245,INDIRECT("'" &amp; E$1 &amp; "'!$C:$G"), 5, FALSE),"")</f>
        <v/>
      </c>
      <c r="F245" s="51" t="str">
        <f t="shared" si="246"/>
        <v/>
      </c>
      <c r="G245" s="51" t="str">
        <f t="shared" si="246"/>
        <v/>
      </c>
      <c r="H245" s="51" t="str">
        <f t="shared" si="246"/>
        <v/>
      </c>
      <c r="I245" s="51" t="str">
        <f t="shared" si="246"/>
        <v/>
      </c>
      <c r="J245" s="51" t="str">
        <f t="shared" si="246"/>
        <v/>
      </c>
      <c r="K245" s="51" t="str">
        <f t="shared" si="246"/>
        <v/>
      </c>
      <c r="L245" s="51" t="str">
        <f t="shared" si="246"/>
        <v/>
      </c>
      <c r="M245" s="51" t="str">
        <f t="shared" si="246"/>
        <v/>
      </c>
      <c r="N245" s="51" t="str">
        <f t="shared" si="246"/>
        <v/>
      </c>
      <c r="O245" s="51" t="str">
        <f t="shared" si="246"/>
        <v/>
      </c>
      <c r="P245" s="51" t="str">
        <f t="shared" si="246"/>
        <v/>
      </c>
      <c r="Q245" s="51" t="str">
        <f t="shared" si="246"/>
        <v/>
      </c>
      <c r="R245" s="51" t="str">
        <f t="shared" si="246"/>
        <v/>
      </c>
      <c r="S245" s="51" t="str">
        <f t="shared" si="246"/>
        <v/>
      </c>
      <c r="T245" s="51" t="str">
        <f t="shared" si="246"/>
        <v/>
      </c>
      <c r="U245" s="52"/>
      <c r="V245" s="52" t="str">
        <f>IFERROR(__xludf.DUMMYFUNCTION("""COMPUTED_VALUE"""),"")</f>
        <v/>
      </c>
      <c r="W245" s="52" t="str">
        <f>IFERROR(__xludf.DUMMYFUNCTION("""COMPUTED_VALUE"""),"")</f>
        <v/>
      </c>
      <c r="X245" s="52" t="str">
        <f>IFERROR(__xludf.DUMMYFUNCTION("""COMPUTED_VALUE"""),"")</f>
        <v/>
      </c>
      <c r="Y245" s="52" t="str">
        <f>IFERROR(__xludf.DUMMYFUNCTION("""COMPUTED_VALUE"""),"")</f>
        <v/>
      </c>
      <c r="Z245" s="52" t="str">
        <f>IFERROR(__xludf.DUMMYFUNCTION("""COMPUTED_VALUE"""),"")</f>
        <v/>
      </c>
      <c r="AA245" s="52" t="str">
        <f>IFERROR(__xludf.DUMMYFUNCTION("""COMPUTED_VALUE"""),"")</f>
        <v/>
      </c>
      <c r="AB245" s="52" t="str">
        <f>IFERROR(__xludf.DUMMYFUNCTION("""COMPUTED_VALUE"""),"")</f>
        <v/>
      </c>
      <c r="AC245" s="52" t="str">
        <f>IFERROR(__xludf.DUMMYFUNCTION("""COMPUTED_VALUE"""),"")</f>
        <v/>
      </c>
      <c r="AD245" s="52" t="str">
        <f>IFERROR(__xludf.DUMMYFUNCTION("""COMPUTED_VALUE"""),"")</f>
        <v/>
      </c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</row>
    <row r="246">
      <c r="B246" s="49"/>
      <c r="C246" s="49" t="str">
        <f t="shared" si="2"/>
        <v/>
      </c>
      <c r="D246" s="50" t="str">
        <f t="shared" si="3"/>
        <v/>
      </c>
      <c r="E246" s="51" t="str">
        <f t="shared" ref="E246:T246" si="247">IFERROR(VLOOKUP($A246,INDIRECT("'" &amp; E$1 &amp; "'!$C:$G"), 5, FALSE),"")</f>
        <v/>
      </c>
      <c r="F246" s="51" t="str">
        <f t="shared" si="247"/>
        <v/>
      </c>
      <c r="G246" s="51" t="str">
        <f t="shared" si="247"/>
        <v/>
      </c>
      <c r="H246" s="51" t="str">
        <f t="shared" si="247"/>
        <v/>
      </c>
      <c r="I246" s="51" t="str">
        <f t="shared" si="247"/>
        <v/>
      </c>
      <c r="J246" s="51" t="str">
        <f t="shared" si="247"/>
        <v/>
      </c>
      <c r="K246" s="51" t="str">
        <f t="shared" si="247"/>
        <v/>
      </c>
      <c r="L246" s="51" t="str">
        <f t="shared" si="247"/>
        <v/>
      </c>
      <c r="M246" s="51" t="str">
        <f t="shared" si="247"/>
        <v/>
      </c>
      <c r="N246" s="51" t="str">
        <f t="shared" si="247"/>
        <v/>
      </c>
      <c r="O246" s="51" t="str">
        <f t="shared" si="247"/>
        <v/>
      </c>
      <c r="P246" s="51" t="str">
        <f t="shared" si="247"/>
        <v/>
      </c>
      <c r="Q246" s="51" t="str">
        <f t="shared" si="247"/>
        <v/>
      </c>
      <c r="R246" s="51" t="str">
        <f t="shared" si="247"/>
        <v/>
      </c>
      <c r="S246" s="51" t="str">
        <f t="shared" si="247"/>
        <v/>
      </c>
      <c r="T246" s="51" t="str">
        <f t="shared" si="247"/>
        <v/>
      </c>
      <c r="U246" s="52"/>
      <c r="V246" s="52" t="str">
        <f>IFERROR(__xludf.DUMMYFUNCTION("""COMPUTED_VALUE"""),"")</f>
        <v/>
      </c>
      <c r="W246" s="52" t="str">
        <f>IFERROR(__xludf.DUMMYFUNCTION("""COMPUTED_VALUE"""),"")</f>
        <v/>
      </c>
      <c r="X246" s="52" t="str">
        <f>IFERROR(__xludf.DUMMYFUNCTION("""COMPUTED_VALUE"""),"")</f>
        <v/>
      </c>
      <c r="Y246" s="52" t="str">
        <f>IFERROR(__xludf.DUMMYFUNCTION("""COMPUTED_VALUE"""),"")</f>
        <v/>
      </c>
      <c r="Z246" s="52" t="str">
        <f>IFERROR(__xludf.DUMMYFUNCTION("""COMPUTED_VALUE"""),"")</f>
        <v/>
      </c>
      <c r="AA246" s="52" t="str">
        <f>IFERROR(__xludf.DUMMYFUNCTION("""COMPUTED_VALUE"""),"")</f>
        <v/>
      </c>
      <c r="AB246" s="52" t="str">
        <f>IFERROR(__xludf.DUMMYFUNCTION("""COMPUTED_VALUE"""),"")</f>
        <v/>
      </c>
      <c r="AC246" s="52" t="str">
        <f>IFERROR(__xludf.DUMMYFUNCTION("""COMPUTED_VALUE"""),"")</f>
        <v/>
      </c>
      <c r="AD246" s="52" t="str">
        <f>IFERROR(__xludf.DUMMYFUNCTION("""COMPUTED_VALUE"""),"")</f>
        <v/>
      </c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</row>
    <row r="247">
      <c r="B247" s="49"/>
      <c r="C247" s="49" t="str">
        <f t="shared" si="2"/>
        <v/>
      </c>
      <c r="D247" s="50" t="str">
        <f t="shared" si="3"/>
        <v/>
      </c>
      <c r="E247" s="51" t="str">
        <f t="shared" ref="E247:T247" si="248">IFERROR(VLOOKUP($A247,INDIRECT("'" &amp; E$1 &amp; "'!$C:$G"), 5, FALSE),"")</f>
        <v/>
      </c>
      <c r="F247" s="51" t="str">
        <f t="shared" si="248"/>
        <v/>
      </c>
      <c r="G247" s="51" t="str">
        <f t="shared" si="248"/>
        <v/>
      </c>
      <c r="H247" s="51" t="str">
        <f t="shared" si="248"/>
        <v/>
      </c>
      <c r="I247" s="51" t="str">
        <f t="shared" si="248"/>
        <v/>
      </c>
      <c r="J247" s="51" t="str">
        <f t="shared" si="248"/>
        <v/>
      </c>
      <c r="K247" s="51" t="str">
        <f t="shared" si="248"/>
        <v/>
      </c>
      <c r="L247" s="51" t="str">
        <f t="shared" si="248"/>
        <v/>
      </c>
      <c r="M247" s="51" t="str">
        <f t="shared" si="248"/>
        <v/>
      </c>
      <c r="N247" s="51" t="str">
        <f t="shared" si="248"/>
        <v/>
      </c>
      <c r="O247" s="51" t="str">
        <f t="shared" si="248"/>
        <v/>
      </c>
      <c r="P247" s="51" t="str">
        <f t="shared" si="248"/>
        <v/>
      </c>
      <c r="Q247" s="51" t="str">
        <f t="shared" si="248"/>
        <v/>
      </c>
      <c r="R247" s="51" t="str">
        <f t="shared" si="248"/>
        <v/>
      </c>
      <c r="S247" s="51" t="str">
        <f t="shared" si="248"/>
        <v/>
      </c>
      <c r="T247" s="51" t="str">
        <f t="shared" si="248"/>
        <v/>
      </c>
      <c r="U247" s="52"/>
      <c r="V247" s="52" t="str">
        <f>IFERROR(__xludf.DUMMYFUNCTION("""COMPUTED_VALUE"""),"")</f>
        <v/>
      </c>
      <c r="W247" s="52" t="str">
        <f>IFERROR(__xludf.DUMMYFUNCTION("""COMPUTED_VALUE"""),"")</f>
        <v/>
      </c>
      <c r="X247" s="52" t="str">
        <f>IFERROR(__xludf.DUMMYFUNCTION("""COMPUTED_VALUE"""),"")</f>
        <v/>
      </c>
      <c r="Y247" s="52" t="str">
        <f>IFERROR(__xludf.DUMMYFUNCTION("""COMPUTED_VALUE"""),"")</f>
        <v/>
      </c>
      <c r="Z247" s="52" t="str">
        <f>IFERROR(__xludf.DUMMYFUNCTION("""COMPUTED_VALUE"""),"")</f>
        <v/>
      </c>
      <c r="AA247" s="52" t="str">
        <f>IFERROR(__xludf.DUMMYFUNCTION("""COMPUTED_VALUE"""),"")</f>
        <v/>
      </c>
      <c r="AB247" s="52" t="str">
        <f>IFERROR(__xludf.DUMMYFUNCTION("""COMPUTED_VALUE"""),"")</f>
        <v/>
      </c>
      <c r="AC247" s="52" t="str">
        <f>IFERROR(__xludf.DUMMYFUNCTION("""COMPUTED_VALUE"""),"")</f>
        <v/>
      </c>
      <c r="AD247" s="52" t="str">
        <f>IFERROR(__xludf.DUMMYFUNCTION("""COMPUTED_VALUE"""),"")</f>
        <v/>
      </c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</row>
    <row r="248">
      <c r="B248" s="49"/>
      <c r="C248" s="49" t="str">
        <f t="shared" si="2"/>
        <v/>
      </c>
      <c r="D248" s="50" t="str">
        <f t="shared" si="3"/>
        <v/>
      </c>
      <c r="E248" s="51" t="str">
        <f t="shared" ref="E248:T248" si="249">IFERROR(VLOOKUP($A248,INDIRECT("'" &amp; E$1 &amp; "'!$C:$G"), 5, FALSE),"")</f>
        <v/>
      </c>
      <c r="F248" s="51" t="str">
        <f t="shared" si="249"/>
        <v/>
      </c>
      <c r="G248" s="51" t="str">
        <f t="shared" si="249"/>
        <v/>
      </c>
      <c r="H248" s="51" t="str">
        <f t="shared" si="249"/>
        <v/>
      </c>
      <c r="I248" s="51" t="str">
        <f t="shared" si="249"/>
        <v/>
      </c>
      <c r="J248" s="51" t="str">
        <f t="shared" si="249"/>
        <v/>
      </c>
      <c r="K248" s="51" t="str">
        <f t="shared" si="249"/>
        <v/>
      </c>
      <c r="L248" s="51" t="str">
        <f t="shared" si="249"/>
        <v/>
      </c>
      <c r="M248" s="51" t="str">
        <f t="shared" si="249"/>
        <v/>
      </c>
      <c r="N248" s="51" t="str">
        <f t="shared" si="249"/>
        <v/>
      </c>
      <c r="O248" s="51" t="str">
        <f t="shared" si="249"/>
        <v/>
      </c>
      <c r="P248" s="51" t="str">
        <f t="shared" si="249"/>
        <v/>
      </c>
      <c r="Q248" s="51" t="str">
        <f t="shared" si="249"/>
        <v/>
      </c>
      <c r="R248" s="51" t="str">
        <f t="shared" si="249"/>
        <v/>
      </c>
      <c r="S248" s="51" t="str">
        <f t="shared" si="249"/>
        <v/>
      </c>
      <c r="T248" s="51" t="str">
        <f t="shared" si="249"/>
        <v/>
      </c>
      <c r="U248" s="52"/>
      <c r="V248" s="52" t="str">
        <f>IFERROR(__xludf.DUMMYFUNCTION("""COMPUTED_VALUE"""),"")</f>
        <v/>
      </c>
      <c r="W248" s="52" t="str">
        <f>IFERROR(__xludf.DUMMYFUNCTION("""COMPUTED_VALUE"""),"")</f>
        <v/>
      </c>
      <c r="X248" s="52" t="str">
        <f>IFERROR(__xludf.DUMMYFUNCTION("""COMPUTED_VALUE"""),"")</f>
        <v/>
      </c>
      <c r="Y248" s="52" t="str">
        <f>IFERROR(__xludf.DUMMYFUNCTION("""COMPUTED_VALUE"""),"")</f>
        <v/>
      </c>
      <c r="Z248" s="52" t="str">
        <f>IFERROR(__xludf.DUMMYFUNCTION("""COMPUTED_VALUE"""),"")</f>
        <v/>
      </c>
      <c r="AA248" s="52" t="str">
        <f>IFERROR(__xludf.DUMMYFUNCTION("""COMPUTED_VALUE"""),"")</f>
        <v/>
      </c>
      <c r="AB248" s="52" t="str">
        <f>IFERROR(__xludf.DUMMYFUNCTION("""COMPUTED_VALUE"""),"")</f>
        <v/>
      </c>
      <c r="AC248" s="52" t="str">
        <f>IFERROR(__xludf.DUMMYFUNCTION("""COMPUTED_VALUE"""),"")</f>
        <v/>
      </c>
      <c r="AD248" s="52" t="str">
        <f>IFERROR(__xludf.DUMMYFUNCTION("""COMPUTED_VALUE"""),"")</f>
        <v/>
      </c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</row>
    <row r="249">
      <c r="B249" s="49"/>
      <c r="C249" s="49" t="str">
        <f t="shared" si="2"/>
        <v/>
      </c>
      <c r="D249" s="50" t="str">
        <f t="shared" si="3"/>
        <v/>
      </c>
      <c r="E249" s="51" t="str">
        <f t="shared" ref="E249:T249" si="250">IFERROR(VLOOKUP($A249,INDIRECT("'" &amp; E$1 &amp; "'!$C:$G"), 5, FALSE),"")</f>
        <v/>
      </c>
      <c r="F249" s="51" t="str">
        <f t="shared" si="250"/>
        <v/>
      </c>
      <c r="G249" s="51" t="str">
        <f t="shared" si="250"/>
        <v/>
      </c>
      <c r="H249" s="51" t="str">
        <f t="shared" si="250"/>
        <v/>
      </c>
      <c r="I249" s="51" t="str">
        <f t="shared" si="250"/>
        <v/>
      </c>
      <c r="J249" s="51" t="str">
        <f t="shared" si="250"/>
        <v/>
      </c>
      <c r="K249" s="51" t="str">
        <f t="shared" si="250"/>
        <v/>
      </c>
      <c r="L249" s="51" t="str">
        <f t="shared" si="250"/>
        <v/>
      </c>
      <c r="M249" s="51" t="str">
        <f t="shared" si="250"/>
        <v/>
      </c>
      <c r="N249" s="51" t="str">
        <f t="shared" si="250"/>
        <v/>
      </c>
      <c r="O249" s="51" t="str">
        <f t="shared" si="250"/>
        <v/>
      </c>
      <c r="P249" s="51" t="str">
        <f t="shared" si="250"/>
        <v/>
      </c>
      <c r="Q249" s="51" t="str">
        <f t="shared" si="250"/>
        <v/>
      </c>
      <c r="R249" s="51" t="str">
        <f t="shared" si="250"/>
        <v/>
      </c>
      <c r="S249" s="51" t="str">
        <f t="shared" si="250"/>
        <v/>
      </c>
      <c r="T249" s="51" t="str">
        <f t="shared" si="250"/>
        <v/>
      </c>
      <c r="U249" s="52"/>
      <c r="V249" s="52" t="str">
        <f>IFERROR(__xludf.DUMMYFUNCTION("""COMPUTED_VALUE"""),"")</f>
        <v/>
      </c>
      <c r="W249" s="52" t="str">
        <f>IFERROR(__xludf.DUMMYFUNCTION("""COMPUTED_VALUE"""),"")</f>
        <v/>
      </c>
      <c r="X249" s="52" t="str">
        <f>IFERROR(__xludf.DUMMYFUNCTION("""COMPUTED_VALUE"""),"")</f>
        <v/>
      </c>
      <c r="Y249" s="52" t="str">
        <f>IFERROR(__xludf.DUMMYFUNCTION("""COMPUTED_VALUE"""),"")</f>
        <v/>
      </c>
      <c r="Z249" s="52" t="str">
        <f>IFERROR(__xludf.DUMMYFUNCTION("""COMPUTED_VALUE"""),"")</f>
        <v/>
      </c>
      <c r="AA249" s="52" t="str">
        <f>IFERROR(__xludf.DUMMYFUNCTION("""COMPUTED_VALUE"""),"")</f>
        <v/>
      </c>
      <c r="AB249" s="52" t="str">
        <f>IFERROR(__xludf.DUMMYFUNCTION("""COMPUTED_VALUE"""),"")</f>
        <v/>
      </c>
      <c r="AC249" s="52" t="str">
        <f>IFERROR(__xludf.DUMMYFUNCTION("""COMPUTED_VALUE"""),"")</f>
        <v/>
      </c>
      <c r="AD249" s="52" t="str">
        <f>IFERROR(__xludf.DUMMYFUNCTION("""COMPUTED_VALUE"""),"")</f>
        <v/>
      </c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</row>
    <row r="250">
      <c r="B250" s="49"/>
      <c r="C250" s="49" t="str">
        <f t="shared" si="2"/>
        <v/>
      </c>
      <c r="D250" s="50" t="str">
        <f t="shared" si="3"/>
        <v/>
      </c>
      <c r="E250" s="51" t="str">
        <f t="shared" ref="E250:T250" si="251">IFERROR(VLOOKUP($A250,INDIRECT("'" &amp; E$1 &amp; "'!$C:$G"), 5, FALSE),"")</f>
        <v/>
      </c>
      <c r="F250" s="51" t="str">
        <f t="shared" si="251"/>
        <v/>
      </c>
      <c r="G250" s="51" t="str">
        <f t="shared" si="251"/>
        <v/>
      </c>
      <c r="H250" s="51" t="str">
        <f t="shared" si="251"/>
        <v/>
      </c>
      <c r="I250" s="51" t="str">
        <f t="shared" si="251"/>
        <v/>
      </c>
      <c r="J250" s="51" t="str">
        <f t="shared" si="251"/>
        <v/>
      </c>
      <c r="K250" s="51" t="str">
        <f t="shared" si="251"/>
        <v/>
      </c>
      <c r="L250" s="51" t="str">
        <f t="shared" si="251"/>
        <v/>
      </c>
      <c r="M250" s="51" t="str">
        <f t="shared" si="251"/>
        <v/>
      </c>
      <c r="N250" s="51" t="str">
        <f t="shared" si="251"/>
        <v/>
      </c>
      <c r="O250" s="51" t="str">
        <f t="shared" si="251"/>
        <v/>
      </c>
      <c r="P250" s="51" t="str">
        <f t="shared" si="251"/>
        <v/>
      </c>
      <c r="Q250" s="51" t="str">
        <f t="shared" si="251"/>
        <v/>
      </c>
      <c r="R250" s="51" t="str">
        <f t="shared" si="251"/>
        <v/>
      </c>
      <c r="S250" s="51" t="str">
        <f t="shared" si="251"/>
        <v/>
      </c>
      <c r="T250" s="51" t="str">
        <f t="shared" si="251"/>
        <v/>
      </c>
      <c r="U250" s="52"/>
      <c r="V250" s="52" t="str">
        <f>IFERROR(__xludf.DUMMYFUNCTION("""COMPUTED_VALUE"""),"")</f>
        <v/>
      </c>
      <c r="W250" s="52" t="str">
        <f>IFERROR(__xludf.DUMMYFUNCTION("""COMPUTED_VALUE"""),"")</f>
        <v/>
      </c>
      <c r="X250" s="52" t="str">
        <f>IFERROR(__xludf.DUMMYFUNCTION("""COMPUTED_VALUE"""),"")</f>
        <v/>
      </c>
      <c r="Y250" s="52" t="str">
        <f>IFERROR(__xludf.DUMMYFUNCTION("""COMPUTED_VALUE"""),"")</f>
        <v/>
      </c>
      <c r="Z250" s="52" t="str">
        <f>IFERROR(__xludf.DUMMYFUNCTION("""COMPUTED_VALUE"""),"")</f>
        <v/>
      </c>
      <c r="AA250" s="52" t="str">
        <f>IFERROR(__xludf.DUMMYFUNCTION("""COMPUTED_VALUE"""),"")</f>
        <v/>
      </c>
      <c r="AB250" s="52" t="str">
        <f>IFERROR(__xludf.DUMMYFUNCTION("""COMPUTED_VALUE"""),"")</f>
        <v/>
      </c>
      <c r="AC250" s="52" t="str">
        <f>IFERROR(__xludf.DUMMYFUNCTION("""COMPUTED_VALUE"""),"")</f>
        <v/>
      </c>
      <c r="AD250" s="52" t="str">
        <f>IFERROR(__xludf.DUMMYFUNCTION("""COMPUTED_VALUE"""),"")</f>
        <v/>
      </c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</row>
    <row r="251">
      <c r="B251" s="49"/>
      <c r="C251" s="49" t="str">
        <f t="shared" si="2"/>
        <v/>
      </c>
      <c r="D251" s="50" t="str">
        <f t="shared" si="3"/>
        <v/>
      </c>
      <c r="E251" s="51" t="str">
        <f t="shared" ref="E251:T251" si="252">IFERROR(VLOOKUP($A251,INDIRECT("'" &amp; E$1 &amp; "'!$C:$G"), 5, FALSE),"")</f>
        <v/>
      </c>
      <c r="F251" s="51" t="str">
        <f t="shared" si="252"/>
        <v/>
      </c>
      <c r="G251" s="51" t="str">
        <f t="shared" si="252"/>
        <v/>
      </c>
      <c r="H251" s="51" t="str">
        <f t="shared" si="252"/>
        <v/>
      </c>
      <c r="I251" s="51" t="str">
        <f t="shared" si="252"/>
        <v/>
      </c>
      <c r="J251" s="51" t="str">
        <f t="shared" si="252"/>
        <v/>
      </c>
      <c r="K251" s="51" t="str">
        <f t="shared" si="252"/>
        <v/>
      </c>
      <c r="L251" s="51" t="str">
        <f t="shared" si="252"/>
        <v/>
      </c>
      <c r="M251" s="51" t="str">
        <f t="shared" si="252"/>
        <v/>
      </c>
      <c r="N251" s="51" t="str">
        <f t="shared" si="252"/>
        <v/>
      </c>
      <c r="O251" s="51" t="str">
        <f t="shared" si="252"/>
        <v/>
      </c>
      <c r="P251" s="51" t="str">
        <f t="shared" si="252"/>
        <v/>
      </c>
      <c r="Q251" s="51" t="str">
        <f t="shared" si="252"/>
        <v/>
      </c>
      <c r="R251" s="51" t="str">
        <f t="shared" si="252"/>
        <v/>
      </c>
      <c r="S251" s="51" t="str">
        <f t="shared" si="252"/>
        <v/>
      </c>
      <c r="T251" s="51" t="str">
        <f t="shared" si="252"/>
        <v/>
      </c>
      <c r="U251" s="52"/>
      <c r="V251" s="52" t="str">
        <f>IFERROR(__xludf.DUMMYFUNCTION("""COMPUTED_VALUE"""),"")</f>
        <v/>
      </c>
      <c r="W251" s="52" t="str">
        <f>IFERROR(__xludf.DUMMYFUNCTION("""COMPUTED_VALUE"""),"")</f>
        <v/>
      </c>
      <c r="X251" s="52" t="str">
        <f>IFERROR(__xludf.DUMMYFUNCTION("""COMPUTED_VALUE"""),"")</f>
        <v/>
      </c>
      <c r="Y251" s="52" t="str">
        <f>IFERROR(__xludf.DUMMYFUNCTION("""COMPUTED_VALUE"""),"")</f>
        <v/>
      </c>
      <c r="Z251" s="52" t="str">
        <f>IFERROR(__xludf.DUMMYFUNCTION("""COMPUTED_VALUE"""),"")</f>
        <v/>
      </c>
      <c r="AA251" s="52" t="str">
        <f>IFERROR(__xludf.DUMMYFUNCTION("""COMPUTED_VALUE"""),"")</f>
        <v/>
      </c>
      <c r="AB251" s="52" t="str">
        <f>IFERROR(__xludf.DUMMYFUNCTION("""COMPUTED_VALUE"""),"")</f>
        <v/>
      </c>
      <c r="AC251" s="52" t="str">
        <f>IFERROR(__xludf.DUMMYFUNCTION("""COMPUTED_VALUE"""),"")</f>
        <v/>
      </c>
      <c r="AD251" s="52" t="str">
        <f>IFERROR(__xludf.DUMMYFUNCTION("""COMPUTED_VALUE"""),"")</f>
        <v/>
      </c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</row>
    <row r="252">
      <c r="B252" s="49"/>
      <c r="C252" s="49" t="str">
        <f t="shared" si="2"/>
        <v/>
      </c>
      <c r="D252" s="50" t="str">
        <f t="shared" si="3"/>
        <v/>
      </c>
      <c r="E252" s="51" t="str">
        <f t="shared" ref="E252:T252" si="253">IFERROR(VLOOKUP($A252,INDIRECT("'" &amp; E$1 &amp; "'!$C:$G"), 5, FALSE),"")</f>
        <v/>
      </c>
      <c r="F252" s="51" t="str">
        <f t="shared" si="253"/>
        <v/>
      </c>
      <c r="G252" s="51" t="str">
        <f t="shared" si="253"/>
        <v/>
      </c>
      <c r="H252" s="51" t="str">
        <f t="shared" si="253"/>
        <v/>
      </c>
      <c r="I252" s="51" t="str">
        <f t="shared" si="253"/>
        <v/>
      </c>
      <c r="J252" s="51" t="str">
        <f t="shared" si="253"/>
        <v/>
      </c>
      <c r="K252" s="51" t="str">
        <f t="shared" si="253"/>
        <v/>
      </c>
      <c r="L252" s="51" t="str">
        <f t="shared" si="253"/>
        <v/>
      </c>
      <c r="M252" s="51" t="str">
        <f t="shared" si="253"/>
        <v/>
      </c>
      <c r="N252" s="51" t="str">
        <f t="shared" si="253"/>
        <v/>
      </c>
      <c r="O252" s="51" t="str">
        <f t="shared" si="253"/>
        <v/>
      </c>
      <c r="P252" s="51" t="str">
        <f t="shared" si="253"/>
        <v/>
      </c>
      <c r="Q252" s="51" t="str">
        <f t="shared" si="253"/>
        <v/>
      </c>
      <c r="R252" s="51" t="str">
        <f t="shared" si="253"/>
        <v/>
      </c>
      <c r="S252" s="51" t="str">
        <f t="shared" si="253"/>
        <v/>
      </c>
      <c r="T252" s="51" t="str">
        <f t="shared" si="253"/>
        <v/>
      </c>
      <c r="U252" s="52"/>
      <c r="V252" s="52" t="str">
        <f>IFERROR(__xludf.DUMMYFUNCTION("""COMPUTED_VALUE"""),"")</f>
        <v/>
      </c>
      <c r="W252" s="52" t="str">
        <f>IFERROR(__xludf.DUMMYFUNCTION("""COMPUTED_VALUE"""),"")</f>
        <v/>
      </c>
      <c r="X252" s="52" t="str">
        <f>IFERROR(__xludf.DUMMYFUNCTION("""COMPUTED_VALUE"""),"")</f>
        <v/>
      </c>
      <c r="Y252" s="52" t="str">
        <f>IFERROR(__xludf.DUMMYFUNCTION("""COMPUTED_VALUE"""),"")</f>
        <v/>
      </c>
      <c r="Z252" s="52" t="str">
        <f>IFERROR(__xludf.DUMMYFUNCTION("""COMPUTED_VALUE"""),"")</f>
        <v/>
      </c>
      <c r="AA252" s="52" t="str">
        <f>IFERROR(__xludf.DUMMYFUNCTION("""COMPUTED_VALUE"""),"")</f>
        <v/>
      </c>
      <c r="AB252" s="52" t="str">
        <f>IFERROR(__xludf.DUMMYFUNCTION("""COMPUTED_VALUE"""),"")</f>
        <v/>
      </c>
      <c r="AC252" s="52" t="str">
        <f>IFERROR(__xludf.DUMMYFUNCTION("""COMPUTED_VALUE"""),"")</f>
        <v/>
      </c>
      <c r="AD252" s="52" t="str">
        <f>IFERROR(__xludf.DUMMYFUNCTION("""COMPUTED_VALUE"""),"")</f>
        <v/>
      </c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</row>
    <row r="253">
      <c r="B253" s="49"/>
      <c r="C253" s="49" t="str">
        <f t="shared" si="2"/>
        <v/>
      </c>
      <c r="D253" s="50" t="str">
        <f t="shared" si="3"/>
        <v/>
      </c>
      <c r="E253" s="51" t="str">
        <f t="shared" ref="E253:T253" si="254">IFERROR(VLOOKUP($A253,INDIRECT("'" &amp; E$1 &amp; "'!$C:$G"), 5, FALSE),"")</f>
        <v/>
      </c>
      <c r="F253" s="51" t="str">
        <f t="shared" si="254"/>
        <v/>
      </c>
      <c r="G253" s="51" t="str">
        <f t="shared" si="254"/>
        <v/>
      </c>
      <c r="H253" s="51" t="str">
        <f t="shared" si="254"/>
        <v/>
      </c>
      <c r="I253" s="51" t="str">
        <f t="shared" si="254"/>
        <v/>
      </c>
      <c r="J253" s="51" t="str">
        <f t="shared" si="254"/>
        <v/>
      </c>
      <c r="K253" s="51" t="str">
        <f t="shared" si="254"/>
        <v/>
      </c>
      <c r="L253" s="51" t="str">
        <f t="shared" si="254"/>
        <v/>
      </c>
      <c r="M253" s="51" t="str">
        <f t="shared" si="254"/>
        <v/>
      </c>
      <c r="N253" s="51" t="str">
        <f t="shared" si="254"/>
        <v/>
      </c>
      <c r="O253" s="51" t="str">
        <f t="shared" si="254"/>
        <v/>
      </c>
      <c r="P253" s="51" t="str">
        <f t="shared" si="254"/>
        <v/>
      </c>
      <c r="Q253" s="51" t="str">
        <f t="shared" si="254"/>
        <v/>
      </c>
      <c r="R253" s="51" t="str">
        <f t="shared" si="254"/>
        <v/>
      </c>
      <c r="S253" s="51" t="str">
        <f t="shared" si="254"/>
        <v/>
      </c>
      <c r="T253" s="51" t="str">
        <f t="shared" si="254"/>
        <v/>
      </c>
      <c r="U253" s="52"/>
      <c r="V253" s="52" t="str">
        <f>IFERROR(__xludf.DUMMYFUNCTION("""COMPUTED_VALUE"""),"")</f>
        <v/>
      </c>
      <c r="W253" s="52" t="str">
        <f>IFERROR(__xludf.DUMMYFUNCTION("""COMPUTED_VALUE"""),"")</f>
        <v/>
      </c>
      <c r="X253" s="52" t="str">
        <f>IFERROR(__xludf.DUMMYFUNCTION("""COMPUTED_VALUE"""),"")</f>
        <v/>
      </c>
      <c r="Y253" s="52" t="str">
        <f>IFERROR(__xludf.DUMMYFUNCTION("""COMPUTED_VALUE"""),"")</f>
        <v/>
      </c>
      <c r="Z253" s="52" t="str">
        <f>IFERROR(__xludf.DUMMYFUNCTION("""COMPUTED_VALUE"""),"")</f>
        <v/>
      </c>
      <c r="AA253" s="52" t="str">
        <f>IFERROR(__xludf.DUMMYFUNCTION("""COMPUTED_VALUE"""),"")</f>
        <v/>
      </c>
      <c r="AB253" s="52" t="str">
        <f>IFERROR(__xludf.DUMMYFUNCTION("""COMPUTED_VALUE"""),"")</f>
        <v/>
      </c>
      <c r="AC253" s="52" t="str">
        <f>IFERROR(__xludf.DUMMYFUNCTION("""COMPUTED_VALUE"""),"")</f>
        <v/>
      </c>
      <c r="AD253" s="52" t="str">
        <f>IFERROR(__xludf.DUMMYFUNCTION("""COMPUTED_VALUE"""),"")</f>
        <v/>
      </c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</row>
    <row r="254">
      <c r="B254" s="49"/>
      <c r="C254" s="49" t="str">
        <f t="shared" si="2"/>
        <v/>
      </c>
      <c r="D254" s="50" t="str">
        <f t="shared" si="3"/>
        <v/>
      </c>
      <c r="E254" s="51" t="str">
        <f t="shared" ref="E254:T254" si="255">IFERROR(VLOOKUP($A254,INDIRECT("'" &amp; E$1 &amp; "'!$C:$G"), 5, FALSE),"")</f>
        <v/>
      </c>
      <c r="F254" s="51" t="str">
        <f t="shared" si="255"/>
        <v/>
      </c>
      <c r="G254" s="51" t="str">
        <f t="shared" si="255"/>
        <v/>
      </c>
      <c r="H254" s="51" t="str">
        <f t="shared" si="255"/>
        <v/>
      </c>
      <c r="I254" s="51" t="str">
        <f t="shared" si="255"/>
        <v/>
      </c>
      <c r="J254" s="51" t="str">
        <f t="shared" si="255"/>
        <v/>
      </c>
      <c r="K254" s="51" t="str">
        <f t="shared" si="255"/>
        <v/>
      </c>
      <c r="L254" s="51" t="str">
        <f t="shared" si="255"/>
        <v/>
      </c>
      <c r="M254" s="51" t="str">
        <f t="shared" si="255"/>
        <v/>
      </c>
      <c r="N254" s="51" t="str">
        <f t="shared" si="255"/>
        <v/>
      </c>
      <c r="O254" s="51" t="str">
        <f t="shared" si="255"/>
        <v/>
      </c>
      <c r="P254" s="51" t="str">
        <f t="shared" si="255"/>
        <v/>
      </c>
      <c r="Q254" s="51" t="str">
        <f t="shared" si="255"/>
        <v/>
      </c>
      <c r="R254" s="51" t="str">
        <f t="shared" si="255"/>
        <v/>
      </c>
      <c r="S254" s="51" t="str">
        <f t="shared" si="255"/>
        <v/>
      </c>
      <c r="T254" s="51" t="str">
        <f t="shared" si="255"/>
        <v/>
      </c>
      <c r="U254" s="52"/>
      <c r="V254" s="52" t="str">
        <f>IFERROR(__xludf.DUMMYFUNCTION("""COMPUTED_VALUE"""),"")</f>
        <v/>
      </c>
      <c r="W254" s="52" t="str">
        <f>IFERROR(__xludf.DUMMYFUNCTION("""COMPUTED_VALUE"""),"")</f>
        <v/>
      </c>
      <c r="X254" s="52" t="str">
        <f>IFERROR(__xludf.DUMMYFUNCTION("""COMPUTED_VALUE"""),"")</f>
        <v/>
      </c>
      <c r="Y254" s="52" t="str">
        <f>IFERROR(__xludf.DUMMYFUNCTION("""COMPUTED_VALUE"""),"")</f>
        <v/>
      </c>
      <c r="Z254" s="52" t="str">
        <f>IFERROR(__xludf.DUMMYFUNCTION("""COMPUTED_VALUE"""),"")</f>
        <v/>
      </c>
      <c r="AA254" s="52" t="str">
        <f>IFERROR(__xludf.DUMMYFUNCTION("""COMPUTED_VALUE"""),"")</f>
        <v/>
      </c>
      <c r="AB254" s="52" t="str">
        <f>IFERROR(__xludf.DUMMYFUNCTION("""COMPUTED_VALUE"""),"")</f>
        <v/>
      </c>
      <c r="AC254" s="52" t="str">
        <f>IFERROR(__xludf.DUMMYFUNCTION("""COMPUTED_VALUE"""),"")</f>
        <v/>
      </c>
      <c r="AD254" s="52" t="str">
        <f>IFERROR(__xludf.DUMMYFUNCTION("""COMPUTED_VALUE"""),"")</f>
        <v/>
      </c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</row>
    <row r="255">
      <c r="B255" s="49"/>
      <c r="C255" s="49" t="str">
        <f t="shared" si="2"/>
        <v/>
      </c>
      <c r="D255" s="50" t="str">
        <f t="shared" si="3"/>
        <v/>
      </c>
      <c r="E255" s="51" t="str">
        <f t="shared" ref="E255:T255" si="256">IFERROR(VLOOKUP($A255,INDIRECT("'" &amp; E$1 &amp; "'!$C:$G"), 5, FALSE),"")</f>
        <v/>
      </c>
      <c r="F255" s="51" t="str">
        <f t="shared" si="256"/>
        <v/>
      </c>
      <c r="G255" s="51" t="str">
        <f t="shared" si="256"/>
        <v/>
      </c>
      <c r="H255" s="51" t="str">
        <f t="shared" si="256"/>
        <v/>
      </c>
      <c r="I255" s="51" t="str">
        <f t="shared" si="256"/>
        <v/>
      </c>
      <c r="J255" s="51" t="str">
        <f t="shared" si="256"/>
        <v/>
      </c>
      <c r="K255" s="51" t="str">
        <f t="shared" si="256"/>
        <v/>
      </c>
      <c r="L255" s="51" t="str">
        <f t="shared" si="256"/>
        <v/>
      </c>
      <c r="M255" s="51" t="str">
        <f t="shared" si="256"/>
        <v/>
      </c>
      <c r="N255" s="51" t="str">
        <f t="shared" si="256"/>
        <v/>
      </c>
      <c r="O255" s="51" t="str">
        <f t="shared" si="256"/>
        <v/>
      </c>
      <c r="P255" s="51" t="str">
        <f t="shared" si="256"/>
        <v/>
      </c>
      <c r="Q255" s="51" t="str">
        <f t="shared" si="256"/>
        <v/>
      </c>
      <c r="R255" s="51" t="str">
        <f t="shared" si="256"/>
        <v/>
      </c>
      <c r="S255" s="51" t="str">
        <f t="shared" si="256"/>
        <v/>
      </c>
      <c r="T255" s="51" t="str">
        <f t="shared" si="256"/>
        <v/>
      </c>
      <c r="U255" s="52"/>
      <c r="V255" s="52" t="str">
        <f>IFERROR(__xludf.DUMMYFUNCTION("""COMPUTED_VALUE"""),"")</f>
        <v/>
      </c>
      <c r="W255" s="52" t="str">
        <f>IFERROR(__xludf.DUMMYFUNCTION("""COMPUTED_VALUE"""),"")</f>
        <v/>
      </c>
      <c r="X255" s="52" t="str">
        <f>IFERROR(__xludf.DUMMYFUNCTION("""COMPUTED_VALUE"""),"")</f>
        <v/>
      </c>
      <c r="Y255" s="52" t="str">
        <f>IFERROR(__xludf.DUMMYFUNCTION("""COMPUTED_VALUE"""),"")</f>
        <v/>
      </c>
      <c r="Z255" s="52" t="str">
        <f>IFERROR(__xludf.DUMMYFUNCTION("""COMPUTED_VALUE"""),"")</f>
        <v/>
      </c>
      <c r="AA255" s="52" t="str">
        <f>IFERROR(__xludf.DUMMYFUNCTION("""COMPUTED_VALUE"""),"")</f>
        <v/>
      </c>
      <c r="AB255" s="52" t="str">
        <f>IFERROR(__xludf.DUMMYFUNCTION("""COMPUTED_VALUE"""),"")</f>
        <v/>
      </c>
      <c r="AC255" s="52" t="str">
        <f>IFERROR(__xludf.DUMMYFUNCTION("""COMPUTED_VALUE"""),"")</f>
        <v/>
      </c>
      <c r="AD255" s="52" t="str">
        <f>IFERROR(__xludf.DUMMYFUNCTION("""COMPUTED_VALUE"""),"")</f>
        <v/>
      </c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</row>
    <row r="256">
      <c r="B256" s="49"/>
      <c r="C256" s="49" t="str">
        <f t="shared" si="2"/>
        <v/>
      </c>
      <c r="D256" s="50" t="str">
        <f t="shared" si="3"/>
        <v/>
      </c>
      <c r="E256" s="51" t="str">
        <f t="shared" ref="E256:T256" si="257">IFERROR(VLOOKUP($A256,INDIRECT("'" &amp; E$1 &amp; "'!$C:$G"), 5, FALSE),"")</f>
        <v/>
      </c>
      <c r="F256" s="51" t="str">
        <f t="shared" si="257"/>
        <v/>
      </c>
      <c r="G256" s="51" t="str">
        <f t="shared" si="257"/>
        <v/>
      </c>
      <c r="H256" s="51" t="str">
        <f t="shared" si="257"/>
        <v/>
      </c>
      <c r="I256" s="51" t="str">
        <f t="shared" si="257"/>
        <v/>
      </c>
      <c r="J256" s="51" t="str">
        <f t="shared" si="257"/>
        <v/>
      </c>
      <c r="K256" s="51" t="str">
        <f t="shared" si="257"/>
        <v/>
      </c>
      <c r="L256" s="51" t="str">
        <f t="shared" si="257"/>
        <v/>
      </c>
      <c r="M256" s="51" t="str">
        <f t="shared" si="257"/>
        <v/>
      </c>
      <c r="N256" s="51" t="str">
        <f t="shared" si="257"/>
        <v/>
      </c>
      <c r="O256" s="51" t="str">
        <f t="shared" si="257"/>
        <v/>
      </c>
      <c r="P256" s="51" t="str">
        <f t="shared" si="257"/>
        <v/>
      </c>
      <c r="Q256" s="51" t="str">
        <f t="shared" si="257"/>
        <v/>
      </c>
      <c r="R256" s="51" t="str">
        <f t="shared" si="257"/>
        <v/>
      </c>
      <c r="S256" s="51" t="str">
        <f t="shared" si="257"/>
        <v/>
      </c>
      <c r="T256" s="51" t="str">
        <f t="shared" si="257"/>
        <v/>
      </c>
      <c r="U256" s="52"/>
      <c r="V256" s="52" t="str">
        <f>IFERROR(__xludf.DUMMYFUNCTION("""COMPUTED_VALUE"""),"")</f>
        <v/>
      </c>
      <c r="W256" s="52" t="str">
        <f>IFERROR(__xludf.DUMMYFUNCTION("""COMPUTED_VALUE"""),"")</f>
        <v/>
      </c>
      <c r="X256" s="52" t="str">
        <f>IFERROR(__xludf.DUMMYFUNCTION("""COMPUTED_VALUE"""),"")</f>
        <v/>
      </c>
      <c r="Y256" s="52" t="str">
        <f>IFERROR(__xludf.DUMMYFUNCTION("""COMPUTED_VALUE"""),"")</f>
        <v/>
      </c>
      <c r="Z256" s="52" t="str">
        <f>IFERROR(__xludf.DUMMYFUNCTION("""COMPUTED_VALUE"""),"")</f>
        <v/>
      </c>
      <c r="AA256" s="52" t="str">
        <f>IFERROR(__xludf.DUMMYFUNCTION("""COMPUTED_VALUE"""),"")</f>
        <v/>
      </c>
      <c r="AB256" s="52" t="str">
        <f>IFERROR(__xludf.DUMMYFUNCTION("""COMPUTED_VALUE"""),"")</f>
        <v/>
      </c>
      <c r="AC256" s="52" t="str">
        <f>IFERROR(__xludf.DUMMYFUNCTION("""COMPUTED_VALUE"""),"")</f>
        <v/>
      </c>
      <c r="AD256" s="52" t="str">
        <f>IFERROR(__xludf.DUMMYFUNCTION("""COMPUTED_VALUE"""),"")</f>
        <v/>
      </c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</row>
    <row r="257">
      <c r="B257" s="49"/>
      <c r="C257" s="49" t="str">
        <f t="shared" si="2"/>
        <v/>
      </c>
      <c r="D257" s="50" t="str">
        <f t="shared" si="3"/>
        <v/>
      </c>
      <c r="E257" s="51" t="str">
        <f t="shared" ref="E257:T257" si="258">IFERROR(VLOOKUP($A257,INDIRECT("'" &amp; E$1 &amp; "'!$C:$G"), 5, FALSE),"")</f>
        <v/>
      </c>
      <c r="F257" s="51" t="str">
        <f t="shared" si="258"/>
        <v/>
      </c>
      <c r="G257" s="51" t="str">
        <f t="shared" si="258"/>
        <v/>
      </c>
      <c r="H257" s="51" t="str">
        <f t="shared" si="258"/>
        <v/>
      </c>
      <c r="I257" s="51" t="str">
        <f t="shared" si="258"/>
        <v/>
      </c>
      <c r="J257" s="51" t="str">
        <f t="shared" si="258"/>
        <v/>
      </c>
      <c r="K257" s="51" t="str">
        <f t="shared" si="258"/>
        <v/>
      </c>
      <c r="L257" s="51" t="str">
        <f t="shared" si="258"/>
        <v/>
      </c>
      <c r="M257" s="51" t="str">
        <f t="shared" si="258"/>
        <v/>
      </c>
      <c r="N257" s="51" t="str">
        <f t="shared" si="258"/>
        <v/>
      </c>
      <c r="O257" s="51" t="str">
        <f t="shared" si="258"/>
        <v/>
      </c>
      <c r="P257" s="51" t="str">
        <f t="shared" si="258"/>
        <v/>
      </c>
      <c r="Q257" s="51" t="str">
        <f t="shared" si="258"/>
        <v/>
      </c>
      <c r="R257" s="51" t="str">
        <f t="shared" si="258"/>
        <v/>
      </c>
      <c r="S257" s="51" t="str">
        <f t="shared" si="258"/>
        <v/>
      </c>
      <c r="T257" s="51" t="str">
        <f t="shared" si="258"/>
        <v/>
      </c>
      <c r="U257" s="52"/>
      <c r="V257" s="52" t="str">
        <f>IFERROR(__xludf.DUMMYFUNCTION("""COMPUTED_VALUE"""),"")</f>
        <v/>
      </c>
      <c r="W257" s="52" t="str">
        <f>IFERROR(__xludf.DUMMYFUNCTION("""COMPUTED_VALUE"""),"")</f>
        <v/>
      </c>
      <c r="X257" s="52" t="str">
        <f>IFERROR(__xludf.DUMMYFUNCTION("""COMPUTED_VALUE"""),"")</f>
        <v/>
      </c>
      <c r="Y257" s="52" t="str">
        <f>IFERROR(__xludf.DUMMYFUNCTION("""COMPUTED_VALUE"""),"")</f>
        <v/>
      </c>
      <c r="Z257" s="52" t="str">
        <f>IFERROR(__xludf.DUMMYFUNCTION("""COMPUTED_VALUE"""),"")</f>
        <v/>
      </c>
      <c r="AA257" s="52" t="str">
        <f>IFERROR(__xludf.DUMMYFUNCTION("""COMPUTED_VALUE"""),"")</f>
        <v/>
      </c>
      <c r="AB257" s="52" t="str">
        <f>IFERROR(__xludf.DUMMYFUNCTION("""COMPUTED_VALUE"""),"")</f>
        <v/>
      </c>
      <c r="AC257" s="52" t="str">
        <f>IFERROR(__xludf.DUMMYFUNCTION("""COMPUTED_VALUE"""),"")</f>
        <v/>
      </c>
      <c r="AD257" s="52" t="str">
        <f>IFERROR(__xludf.DUMMYFUNCTION("""COMPUTED_VALUE"""),"")</f>
        <v/>
      </c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</row>
    <row r="258">
      <c r="B258" s="49"/>
      <c r="C258" s="49" t="str">
        <f t="shared" si="2"/>
        <v/>
      </c>
      <c r="D258" s="50" t="str">
        <f t="shared" si="3"/>
        <v/>
      </c>
      <c r="E258" s="51" t="str">
        <f t="shared" ref="E258:T258" si="259">IFERROR(VLOOKUP($A258,INDIRECT("'" &amp; E$1 &amp; "'!$C:$G"), 5, FALSE),"")</f>
        <v/>
      </c>
      <c r="F258" s="51" t="str">
        <f t="shared" si="259"/>
        <v/>
      </c>
      <c r="G258" s="51" t="str">
        <f t="shared" si="259"/>
        <v/>
      </c>
      <c r="H258" s="51" t="str">
        <f t="shared" si="259"/>
        <v/>
      </c>
      <c r="I258" s="51" t="str">
        <f t="shared" si="259"/>
        <v/>
      </c>
      <c r="J258" s="51" t="str">
        <f t="shared" si="259"/>
        <v/>
      </c>
      <c r="K258" s="51" t="str">
        <f t="shared" si="259"/>
        <v/>
      </c>
      <c r="L258" s="51" t="str">
        <f t="shared" si="259"/>
        <v/>
      </c>
      <c r="M258" s="51" t="str">
        <f t="shared" si="259"/>
        <v/>
      </c>
      <c r="N258" s="51" t="str">
        <f t="shared" si="259"/>
        <v/>
      </c>
      <c r="O258" s="51" t="str">
        <f t="shared" si="259"/>
        <v/>
      </c>
      <c r="P258" s="51" t="str">
        <f t="shared" si="259"/>
        <v/>
      </c>
      <c r="Q258" s="51" t="str">
        <f t="shared" si="259"/>
        <v/>
      </c>
      <c r="R258" s="51" t="str">
        <f t="shared" si="259"/>
        <v/>
      </c>
      <c r="S258" s="51" t="str">
        <f t="shared" si="259"/>
        <v/>
      </c>
      <c r="T258" s="51" t="str">
        <f t="shared" si="259"/>
        <v/>
      </c>
      <c r="U258" s="52"/>
      <c r="V258" s="52" t="str">
        <f>IFERROR(__xludf.DUMMYFUNCTION("""COMPUTED_VALUE"""),"")</f>
        <v/>
      </c>
      <c r="W258" s="52" t="str">
        <f>IFERROR(__xludf.DUMMYFUNCTION("""COMPUTED_VALUE"""),"")</f>
        <v/>
      </c>
      <c r="X258" s="52" t="str">
        <f>IFERROR(__xludf.DUMMYFUNCTION("""COMPUTED_VALUE"""),"")</f>
        <v/>
      </c>
      <c r="Y258" s="52" t="str">
        <f>IFERROR(__xludf.DUMMYFUNCTION("""COMPUTED_VALUE"""),"")</f>
        <v/>
      </c>
      <c r="Z258" s="52" t="str">
        <f>IFERROR(__xludf.DUMMYFUNCTION("""COMPUTED_VALUE"""),"")</f>
        <v/>
      </c>
      <c r="AA258" s="52" t="str">
        <f>IFERROR(__xludf.DUMMYFUNCTION("""COMPUTED_VALUE"""),"")</f>
        <v/>
      </c>
      <c r="AB258" s="52" t="str">
        <f>IFERROR(__xludf.DUMMYFUNCTION("""COMPUTED_VALUE"""),"")</f>
        <v/>
      </c>
      <c r="AC258" s="52" t="str">
        <f>IFERROR(__xludf.DUMMYFUNCTION("""COMPUTED_VALUE"""),"")</f>
        <v/>
      </c>
      <c r="AD258" s="52" t="str">
        <f>IFERROR(__xludf.DUMMYFUNCTION("""COMPUTED_VALUE"""),"")</f>
        <v/>
      </c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</row>
    <row r="259">
      <c r="B259" s="49"/>
      <c r="C259" s="49" t="str">
        <f t="shared" si="2"/>
        <v/>
      </c>
      <c r="D259" s="50" t="str">
        <f t="shared" si="3"/>
        <v/>
      </c>
      <c r="E259" s="51" t="str">
        <f t="shared" ref="E259:T259" si="260">IFERROR(VLOOKUP($A259,INDIRECT("'" &amp; E$1 &amp; "'!$C:$G"), 5, FALSE),"")</f>
        <v/>
      </c>
      <c r="F259" s="51" t="str">
        <f t="shared" si="260"/>
        <v/>
      </c>
      <c r="G259" s="51" t="str">
        <f t="shared" si="260"/>
        <v/>
      </c>
      <c r="H259" s="51" t="str">
        <f t="shared" si="260"/>
        <v/>
      </c>
      <c r="I259" s="51" t="str">
        <f t="shared" si="260"/>
        <v/>
      </c>
      <c r="J259" s="51" t="str">
        <f t="shared" si="260"/>
        <v/>
      </c>
      <c r="K259" s="51" t="str">
        <f t="shared" si="260"/>
        <v/>
      </c>
      <c r="L259" s="51" t="str">
        <f t="shared" si="260"/>
        <v/>
      </c>
      <c r="M259" s="51" t="str">
        <f t="shared" si="260"/>
        <v/>
      </c>
      <c r="N259" s="51" t="str">
        <f t="shared" si="260"/>
        <v/>
      </c>
      <c r="O259" s="51" t="str">
        <f t="shared" si="260"/>
        <v/>
      </c>
      <c r="P259" s="51" t="str">
        <f t="shared" si="260"/>
        <v/>
      </c>
      <c r="Q259" s="51" t="str">
        <f t="shared" si="260"/>
        <v/>
      </c>
      <c r="R259" s="51" t="str">
        <f t="shared" si="260"/>
        <v/>
      </c>
      <c r="S259" s="51" t="str">
        <f t="shared" si="260"/>
        <v/>
      </c>
      <c r="T259" s="51" t="str">
        <f t="shared" si="260"/>
        <v/>
      </c>
      <c r="U259" s="52"/>
      <c r="V259" s="52" t="str">
        <f>IFERROR(__xludf.DUMMYFUNCTION("""COMPUTED_VALUE"""),"")</f>
        <v/>
      </c>
      <c r="W259" s="52" t="str">
        <f>IFERROR(__xludf.DUMMYFUNCTION("""COMPUTED_VALUE"""),"")</f>
        <v/>
      </c>
      <c r="X259" s="52" t="str">
        <f>IFERROR(__xludf.DUMMYFUNCTION("""COMPUTED_VALUE"""),"")</f>
        <v/>
      </c>
      <c r="Y259" s="52" t="str">
        <f>IFERROR(__xludf.DUMMYFUNCTION("""COMPUTED_VALUE"""),"")</f>
        <v/>
      </c>
      <c r="Z259" s="52" t="str">
        <f>IFERROR(__xludf.DUMMYFUNCTION("""COMPUTED_VALUE"""),"")</f>
        <v/>
      </c>
      <c r="AA259" s="52" t="str">
        <f>IFERROR(__xludf.DUMMYFUNCTION("""COMPUTED_VALUE"""),"")</f>
        <v/>
      </c>
      <c r="AB259" s="52" t="str">
        <f>IFERROR(__xludf.DUMMYFUNCTION("""COMPUTED_VALUE"""),"")</f>
        <v/>
      </c>
      <c r="AC259" s="52" t="str">
        <f>IFERROR(__xludf.DUMMYFUNCTION("""COMPUTED_VALUE"""),"")</f>
        <v/>
      </c>
      <c r="AD259" s="52" t="str">
        <f>IFERROR(__xludf.DUMMYFUNCTION("""COMPUTED_VALUE"""),"")</f>
        <v/>
      </c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</row>
    <row r="260">
      <c r="B260" s="49"/>
      <c r="C260" s="49" t="str">
        <f t="shared" si="2"/>
        <v/>
      </c>
      <c r="D260" s="50" t="str">
        <f t="shared" si="3"/>
        <v/>
      </c>
      <c r="E260" s="51" t="str">
        <f t="shared" ref="E260:T260" si="261">IFERROR(VLOOKUP($A260,INDIRECT("'" &amp; E$1 &amp; "'!$C:$G"), 5, FALSE),"")</f>
        <v/>
      </c>
      <c r="F260" s="51" t="str">
        <f t="shared" si="261"/>
        <v/>
      </c>
      <c r="G260" s="51" t="str">
        <f t="shared" si="261"/>
        <v/>
      </c>
      <c r="H260" s="51" t="str">
        <f t="shared" si="261"/>
        <v/>
      </c>
      <c r="I260" s="51" t="str">
        <f t="shared" si="261"/>
        <v/>
      </c>
      <c r="J260" s="51" t="str">
        <f t="shared" si="261"/>
        <v/>
      </c>
      <c r="K260" s="51" t="str">
        <f t="shared" si="261"/>
        <v/>
      </c>
      <c r="L260" s="51" t="str">
        <f t="shared" si="261"/>
        <v/>
      </c>
      <c r="M260" s="51" t="str">
        <f t="shared" si="261"/>
        <v/>
      </c>
      <c r="N260" s="51" t="str">
        <f t="shared" si="261"/>
        <v/>
      </c>
      <c r="O260" s="51" t="str">
        <f t="shared" si="261"/>
        <v/>
      </c>
      <c r="P260" s="51" t="str">
        <f t="shared" si="261"/>
        <v/>
      </c>
      <c r="Q260" s="51" t="str">
        <f t="shared" si="261"/>
        <v/>
      </c>
      <c r="R260" s="51" t="str">
        <f t="shared" si="261"/>
        <v/>
      </c>
      <c r="S260" s="51" t="str">
        <f t="shared" si="261"/>
        <v/>
      </c>
      <c r="T260" s="51" t="str">
        <f t="shared" si="261"/>
        <v/>
      </c>
      <c r="U260" s="52"/>
      <c r="V260" s="52" t="str">
        <f>IFERROR(__xludf.DUMMYFUNCTION("""COMPUTED_VALUE"""),"")</f>
        <v/>
      </c>
      <c r="W260" s="52" t="str">
        <f>IFERROR(__xludf.DUMMYFUNCTION("""COMPUTED_VALUE"""),"")</f>
        <v/>
      </c>
      <c r="X260" s="52" t="str">
        <f>IFERROR(__xludf.DUMMYFUNCTION("""COMPUTED_VALUE"""),"")</f>
        <v/>
      </c>
      <c r="Y260" s="52" t="str">
        <f>IFERROR(__xludf.DUMMYFUNCTION("""COMPUTED_VALUE"""),"")</f>
        <v/>
      </c>
      <c r="Z260" s="52" t="str">
        <f>IFERROR(__xludf.DUMMYFUNCTION("""COMPUTED_VALUE"""),"")</f>
        <v/>
      </c>
      <c r="AA260" s="52" t="str">
        <f>IFERROR(__xludf.DUMMYFUNCTION("""COMPUTED_VALUE"""),"")</f>
        <v/>
      </c>
      <c r="AB260" s="52" t="str">
        <f>IFERROR(__xludf.DUMMYFUNCTION("""COMPUTED_VALUE"""),"")</f>
        <v/>
      </c>
      <c r="AC260" s="52" t="str">
        <f>IFERROR(__xludf.DUMMYFUNCTION("""COMPUTED_VALUE"""),"")</f>
        <v/>
      </c>
      <c r="AD260" s="52" t="str">
        <f>IFERROR(__xludf.DUMMYFUNCTION("""COMPUTED_VALUE"""),"")</f>
        <v/>
      </c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</row>
    <row r="261">
      <c r="B261" s="49"/>
      <c r="C261" s="49" t="str">
        <f t="shared" si="2"/>
        <v/>
      </c>
      <c r="D261" s="50" t="str">
        <f t="shared" si="3"/>
        <v/>
      </c>
      <c r="E261" s="51" t="str">
        <f t="shared" ref="E261:T261" si="262">IFERROR(VLOOKUP($A261,INDIRECT("'" &amp; E$1 &amp; "'!$C:$G"), 5, FALSE),"")</f>
        <v/>
      </c>
      <c r="F261" s="51" t="str">
        <f t="shared" si="262"/>
        <v/>
      </c>
      <c r="G261" s="51" t="str">
        <f t="shared" si="262"/>
        <v/>
      </c>
      <c r="H261" s="51" t="str">
        <f t="shared" si="262"/>
        <v/>
      </c>
      <c r="I261" s="51" t="str">
        <f t="shared" si="262"/>
        <v/>
      </c>
      <c r="J261" s="51" t="str">
        <f t="shared" si="262"/>
        <v/>
      </c>
      <c r="K261" s="51" t="str">
        <f t="shared" si="262"/>
        <v/>
      </c>
      <c r="L261" s="51" t="str">
        <f t="shared" si="262"/>
        <v/>
      </c>
      <c r="M261" s="51" t="str">
        <f t="shared" si="262"/>
        <v/>
      </c>
      <c r="N261" s="51" t="str">
        <f t="shared" si="262"/>
        <v/>
      </c>
      <c r="O261" s="51" t="str">
        <f t="shared" si="262"/>
        <v/>
      </c>
      <c r="P261" s="51" t="str">
        <f t="shared" si="262"/>
        <v/>
      </c>
      <c r="Q261" s="51" t="str">
        <f t="shared" si="262"/>
        <v/>
      </c>
      <c r="R261" s="51" t="str">
        <f t="shared" si="262"/>
        <v/>
      </c>
      <c r="S261" s="51" t="str">
        <f t="shared" si="262"/>
        <v/>
      </c>
      <c r="T261" s="51" t="str">
        <f t="shared" si="262"/>
        <v/>
      </c>
      <c r="U261" s="52"/>
      <c r="V261" s="52" t="str">
        <f>IFERROR(__xludf.DUMMYFUNCTION("""COMPUTED_VALUE"""),"")</f>
        <v/>
      </c>
      <c r="W261" s="52" t="str">
        <f>IFERROR(__xludf.DUMMYFUNCTION("""COMPUTED_VALUE"""),"")</f>
        <v/>
      </c>
      <c r="X261" s="52" t="str">
        <f>IFERROR(__xludf.DUMMYFUNCTION("""COMPUTED_VALUE"""),"")</f>
        <v/>
      </c>
      <c r="Y261" s="52" t="str">
        <f>IFERROR(__xludf.DUMMYFUNCTION("""COMPUTED_VALUE"""),"")</f>
        <v/>
      </c>
      <c r="Z261" s="52" t="str">
        <f>IFERROR(__xludf.DUMMYFUNCTION("""COMPUTED_VALUE"""),"")</f>
        <v/>
      </c>
      <c r="AA261" s="52" t="str">
        <f>IFERROR(__xludf.DUMMYFUNCTION("""COMPUTED_VALUE"""),"")</f>
        <v/>
      </c>
      <c r="AB261" s="52" t="str">
        <f>IFERROR(__xludf.DUMMYFUNCTION("""COMPUTED_VALUE"""),"")</f>
        <v/>
      </c>
      <c r="AC261" s="52" t="str">
        <f>IFERROR(__xludf.DUMMYFUNCTION("""COMPUTED_VALUE"""),"")</f>
        <v/>
      </c>
      <c r="AD261" s="52" t="str">
        <f>IFERROR(__xludf.DUMMYFUNCTION("""COMPUTED_VALUE"""),"")</f>
        <v/>
      </c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</row>
    <row r="262">
      <c r="B262" s="49"/>
      <c r="C262" s="49" t="str">
        <f t="shared" si="2"/>
        <v/>
      </c>
      <c r="D262" s="50" t="str">
        <f t="shared" si="3"/>
        <v/>
      </c>
      <c r="E262" s="51" t="str">
        <f t="shared" ref="E262:T262" si="263">IFERROR(VLOOKUP($A262,INDIRECT("'" &amp; E$1 &amp; "'!$C:$G"), 5, FALSE),"")</f>
        <v/>
      </c>
      <c r="F262" s="51" t="str">
        <f t="shared" si="263"/>
        <v/>
      </c>
      <c r="G262" s="51" t="str">
        <f t="shared" si="263"/>
        <v/>
      </c>
      <c r="H262" s="51" t="str">
        <f t="shared" si="263"/>
        <v/>
      </c>
      <c r="I262" s="51" t="str">
        <f t="shared" si="263"/>
        <v/>
      </c>
      <c r="J262" s="51" t="str">
        <f t="shared" si="263"/>
        <v/>
      </c>
      <c r="K262" s="51" t="str">
        <f t="shared" si="263"/>
        <v/>
      </c>
      <c r="L262" s="51" t="str">
        <f t="shared" si="263"/>
        <v/>
      </c>
      <c r="M262" s="51" t="str">
        <f t="shared" si="263"/>
        <v/>
      </c>
      <c r="N262" s="51" t="str">
        <f t="shared" si="263"/>
        <v/>
      </c>
      <c r="O262" s="51" t="str">
        <f t="shared" si="263"/>
        <v/>
      </c>
      <c r="P262" s="51" t="str">
        <f t="shared" si="263"/>
        <v/>
      </c>
      <c r="Q262" s="51" t="str">
        <f t="shared" si="263"/>
        <v/>
      </c>
      <c r="R262" s="51" t="str">
        <f t="shared" si="263"/>
        <v/>
      </c>
      <c r="S262" s="51" t="str">
        <f t="shared" si="263"/>
        <v/>
      </c>
      <c r="T262" s="51" t="str">
        <f t="shared" si="263"/>
        <v/>
      </c>
      <c r="U262" s="52"/>
      <c r="V262" s="52" t="str">
        <f>IFERROR(__xludf.DUMMYFUNCTION("""COMPUTED_VALUE"""),"")</f>
        <v/>
      </c>
      <c r="W262" s="52" t="str">
        <f>IFERROR(__xludf.DUMMYFUNCTION("""COMPUTED_VALUE"""),"")</f>
        <v/>
      </c>
      <c r="X262" s="52" t="str">
        <f>IFERROR(__xludf.DUMMYFUNCTION("""COMPUTED_VALUE"""),"")</f>
        <v/>
      </c>
      <c r="Y262" s="52" t="str">
        <f>IFERROR(__xludf.DUMMYFUNCTION("""COMPUTED_VALUE"""),"")</f>
        <v/>
      </c>
      <c r="Z262" s="52" t="str">
        <f>IFERROR(__xludf.DUMMYFUNCTION("""COMPUTED_VALUE"""),"")</f>
        <v/>
      </c>
      <c r="AA262" s="52" t="str">
        <f>IFERROR(__xludf.DUMMYFUNCTION("""COMPUTED_VALUE"""),"")</f>
        <v/>
      </c>
      <c r="AB262" s="52" t="str">
        <f>IFERROR(__xludf.DUMMYFUNCTION("""COMPUTED_VALUE"""),"")</f>
        <v/>
      </c>
      <c r="AC262" s="52" t="str">
        <f>IFERROR(__xludf.DUMMYFUNCTION("""COMPUTED_VALUE"""),"")</f>
        <v/>
      </c>
      <c r="AD262" s="52" t="str">
        <f>IFERROR(__xludf.DUMMYFUNCTION("""COMPUTED_VALUE"""),"")</f>
        <v/>
      </c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</row>
    <row r="263">
      <c r="B263" s="49"/>
      <c r="C263" s="49" t="str">
        <f t="shared" si="2"/>
        <v/>
      </c>
      <c r="D263" s="50" t="str">
        <f t="shared" si="3"/>
        <v/>
      </c>
      <c r="E263" s="51" t="str">
        <f t="shared" ref="E263:T263" si="264">IFERROR(VLOOKUP($A263,INDIRECT("'" &amp; E$1 &amp; "'!$C:$G"), 5, FALSE),"")</f>
        <v/>
      </c>
      <c r="F263" s="51" t="str">
        <f t="shared" si="264"/>
        <v/>
      </c>
      <c r="G263" s="51" t="str">
        <f t="shared" si="264"/>
        <v/>
      </c>
      <c r="H263" s="51" t="str">
        <f t="shared" si="264"/>
        <v/>
      </c>
      <c r="I263" s="51" t="str">
        <f t="shared" si="264"/>
        <v/>
      </c>
      <c r="J263" s="51" t="str">
        <f t="shared" si="264"/>
        <v/>
      </c>
      <c r="K263" s="51" t="str">
        <f t="shared" si="264"/>
        <v/>
      </c>
      <c r="L263" s="51" t="str">
        <f t="shared" si="264"/>
        <v/>
      </c>
      <c r="M263" s="51" t="str">
        <f t="shared" si="264"/>
        <v/>
      </c>
      <c r="N263" s="51" t="str">
        <f t="shared" si="264"/>
        <v/>
      </c>
      <c r="O263" s="51" t="str">
        <f t="shared" si="264"/>
        <v/>
      </c>
      <c r="P263" s="51" t="str">
        <f t="shared" si="264"/>
        <v/>
      </c>
      <c r="Q263" s="51" t="str">
        <f t="shared" si="264"/>
        <v/>
      </c>
      <c r="R263" s="51" t="str">
        <f t="shared" si="264"/>
        <v/>
      </c>
      <c r="S263" s="51" t="str">
        <f t="shared" si="264"/>
        <v/>
      </c>
      <c r="T263" s="51" t="str">
        <f t="shared" si="264"/>
        <v/>
      </c>
      <c r="U263" s="52"/>
      <c r="V263" s="52" t="str">
        <f>IFERROR(__xludf.DUMMYFUNCTION("""COMPUTED_VALUE"""),"")</f>
        <v/>
      </c>
      <c r="W263" s="52" t="str">
        <f>IFERROR(__xludf.DUMMYFUNCTION("""COMPUTED_VALUE"""),"")</f>
        <v/>
      </c>
      <c r="X263" s="52" t="str">
        <f>IFERROR(__xludf.DUMMYFUNCTION("""COMPUTED_VALUE"""),"")</f>
        <v/>
      </c>
      <c r="Y263" s="52" t="str">
        <f>IFERROR(__xludf.DUMMYFUNCTION("""COMPUTED_VALUE"""),"")</f>
        <v/>
      </c>
      <c r="Z263" s="52" t="str">
        <f>IFERROR(__xludf.DUMMYFUNCTION("""COMPUTED_VALUE"""),"")</f>
        <v/>
      </c>
      <c r="AA263" s="52" t="str">
        <f>IFERROR(__xludf.DUMMYFUNCTION("""COMPUTED_VALUE"""),"")</f>
        <v/>
      </c>
      <c r="AB263" s="52" t="str">
        <f>IFERROR(__xludf.DUMMYFUNCTION("""COMPUTED_VALUE"""),"")</f>
        <v/>
      </c>
      <c r="AC263" s="52" t="str">
        <f>IFERROR(__xludf.DUMMYFUNCTION("""COMPUTED_VALUE"""),"")</f>
        <v/>
      </c>
      <c r="AD263" s="52" t="str">
        <f>IFERROR(__xludf.DUMMYFUNCTION("""COMPUTED_VALUE"""),"")</f>
        <v/>
      </c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</row>
    <row r="264">
      <c r="B264" s="49"/>
      <c r="C264" s="49" t="str">
        <f t="shared" si="2"/>
        <v/>
      </c>
      <c r="D264" s="50" t="str">
        <f t="shared" si="3"/>
        <v/>
      </c>
      <c r="E264" s="51" t="str">
        <f t="shared" ref="E264:T264" si="265">IFERROR(VLOOKUP($A264,INDIRECT("'" &amp; E$1 &amp; "'!$C:$G"), 5, FALSE),"")</f>
        <v/>
      </c>
      <c r="F264" s="51" t="str">
        <f t="shared" si="265"/>
        <v/>
      </c>
      <c r="G264" s="51" t="str">
        <f t="shared" si="265"/>
        <v/>
      </c>
      <c r="H264" s="51" t="str">
        <f t="shared" si="265"/>
        <v/>
      </c>
      <c r="I264" s="51" t="str">
        <f t="shared" si="265"/>
        <v/>
      </c>
      <c r="J264" s="51" t="str">
        <f t="shared" si="265"/>
        <v/>
      </c>
      <c r="K264" s="51" t="str">
        <f t="shared" si="265"/>
        <v/>
      </c>
      <c r="L264" s="51" t="str">
        <f t="shared" si="265"/>
        <v/>
      </c>
      <c r="M264" s="51" t="str">
        <f t="shared" si="265"/>
        <v/>
      </c>
      <c r="N264" s="51" t="str">
        <f t="shared" si="265"/>
        <v/>
      </c>
      <c r="O264" s="51" t="str">
        <f t="shared" si="265"/>
        <v/>
      </c>
      <c r="P264" s="51" t="str">
        <f t="shared" si="265"/>
        <v/>
      </c>
      <c r="Q264" s="51" t="str">
        <f t="shared" si="265"/>
        <v/>
      </c>
      <c r="R264" s="51" t="str">
        <f t="shared" si="265"/>
        <v/>
      </c>
      <c r="S264" s="51" t="str">
        <f t="shared" si="265"/>
        <v/>
      </c>
      <c r="T264" s="51" t="str">
        <f t="shared" si="265"/>
        <v/>
      </c>
      <c r="U264" s="52"/>
      <c r="V264" s="52" t="str">
        <f>IFERROR(__xludf.DUMMYFUNCTION("""COMPUTED_VALUE"""),"")</f>
        <v/>
      </c>
      <c r="W264" s="52" t="str">
        <f>IFERROR(__xludf.DUMMYFUNCTION("""COMPUTED_VALUE"""),"")</f>
        <v/>
      </c>
      <c r="X264" s="52" t="str">
        <f>IFERROR(__xludf.DUMMYFUNCTION("""COMPUTED_VALUE"""),"")</f>
        <v/>
      </c>
      <c r="Y264" s="52" t="str">
        <f>IFERROR(__xludf.DUMMYFUNCTION("""COMPUTED_VALUE"""),"")</f>
        <v/>
      </c>
      <c r="Z264" s="52" t="str">
        <f>IFERROR(__xludf.DUMMYFUNCTION("""COMPUTED_VALUE"""),"")</f>
        <v/>
      </c>
      <c r="AA264" s="52" t="str">
        <f>IFERROR(__xludf.DUMMYFUNCTION("""COMPUTED_VALUE"""),"")</f>
        <v/>
      </c>
      <c r="AB264" s="52" t="str">
        <f>IFERROR(__xludf.DUMMYFUNCTION("""COMPUTED_VALUE"""),"")</f>
        <v/>
      </c>
      <c r="AC264" s="52" t="str">
        <f>IFERROR(__xludf.DUMMYFUNCTION("""COMPUTED_VALUE"""),"")</f>
        <v/>
      </c>
      <c r="AD264" s="52" t="str">
        <f>IFERROR(__xludf.DUMMYFUNCTION("""COMPUTED_VALUE"""),"")</f>
        <v/>
      </c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</row>
    <row r="265">
      <c r="B265" s="49"/>
      <c r="C265" s="49" t="str">
        <f t="shared" si="2"/>
        <v/>
      </c>
      <c r="D265" s="50" t="str">
        <f t="shared" si="3"/>
        <v/>
      </c>
      <c r="E265" s="51" t="str">
        <f t="shared" ref="E265:T265" si="266">IFERROR(VLOOKUP($A265,INDIRECT("'" &amp; E$1 &amp; "'!$C:$G"), 5, FALSE),"")</f>
        <v/>
      </c>
      <c r="F265" s="51" t="str">
        <f t="shared" si="266"/>
        <v/>
      </c>
      <c r="G265" s="51" t="str">
        <f t="shared" si="266"/>
        <v/>
      </c>
      <c r="H265" s="51" t="str">
        <f t="shared" si="266"/>
        <v/>
      </c>
      <c r="I265" s="51" t="str">
        <f t="shared" si="266"/>
        <v/>
      </c>
      <c r="J265" s="51" t="str">
        <f t="shared" si="266"/>
        <v/>
      </c>
      <c r="K265" s="51" t="str">
        <f t="shared" si="266"/>
        <v/>
      </c>
      <c r="L265" s="51" t="str">
        <f t="shared" si="266"/>
        <v/>
      </c>
      <c r="M265" s="51" t="str">
        <f t="shared" si="266"/>
        <v/>
      </c>
      <c r="N265" s="51" t="str">
        <f t="shared" si="266"/>
        <v/>
      </c>
      <c r="O265" s="51" t="str">
        <f t="shared" si="266"/>
        <v/>
      </c>
      <c r="P265" s="51" t="str">
        <f t="shared" si="266"/>
        <v/>
      </c>
      <c r="Q265" s="51" t="str">
        <f t="shared" si="266"/>
        <v/>
      </c>
      <c r="R265" s="51" t="str">
        <f t="shared" si="266"/>
        <v/>
      </c>
      <c r="S265" s="51" t="str">
        <f t="shared" si="266"/>
        <v/>
      </c>
      <c r="T265" s="51" t="str">
        <f t="shared" si="266"/>
        <v/>
      </c>
      <c r="U265" s="52"/>
      <c r="V265" s="52" t="str">
        <f>IFERROR(__xludf.DUMMYFUNCTION("""COMPUTED_VALUE"""),"")</f>
        <v/>
      </c>
      <c r="W265" s="52" t="str">
        <f>IFERROR(__xludf.DUMMYFUNCTION("""COMPUTED_VALUE"""),"")</f>
        <v/>
      </c>
      <c r="X265" s="52" t="str">
        <f>IFERROR(__xludf.DUMMYFUNCTION("""COMPUTED_VALUE"""),"")</f>
        <v/>
      </c>
      <c r="Y265" s="52" t="str">
        <f>IFERROR(__xludf.DUMMYFUNCTION("""COMPUTED_VALUE"""),"")</f>
        <v/>
      </c>
      <c r="Z265" s="52" t="str">
        <f>IFERROR(__xludf.DUMMYFUNCTION("""COMPUTED_VALUE"""),"")</f>
        <v/>
      </c>
      <c r="AA265" s="52" t="str">
        <f>IFERROR(__xludf.DUMMYFUNCTION("""COMPUTED_VALUE"""),"")</f>
        <v/>
      </c>
      <c r="AB265" s="52" t="str">
        <f>IFERROR(__xludf.DUMMYFUNCTION("""COMPUTED_VALUE"""),"")</f>
        <v/>
      </c>
      <c r="AC265" s="52" t="str">
        <f>IFERROR(__xludf.DUMMYFUNCTION("""COMPUTED_VALUE"""),"")</f>
        <v/>
      </c>
      <c r="AD265" s="52" t="str">
        <f>IFERROR(__xludf.DUMMYFUNCTION("""COMPUTED_VALUE"""),"")</f>
        <v/>
      </c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</row>
    <row r="266">
      <c r="B266" s="49"/>
      <c r="C266" s="49" t="str">
        <f t="shared" si="2"/>
        <v/>
      </c>
      <c r="D266" s="50" t="str">
        <f t="shared" si="3"/>
        <v/>
      </c>
      <c r="E266" s="51" t="str">
        <f t="shared" ref="E266:T266" si="267">IFERROR(VLOOKUP($A266,INDIRECT("'" &amp; E$1 &amp; "'!$C:$G"), 5, FALSE),"")</f>
        <v/>
      </c>
      <c r="F266" s="51" t="str">
        <f t="shared" si="267"/>
        <v/>
      </c>
      <c r="G266" s="51" t="str">
        <f t="shared" si="267"/>
        <v/>
      </c>
      <c r="H266" s="51" t="str">
        <f t="shared" si="267"/>
        <v/>
      </c>
      <c r="I266" s="51" t="str">
        <f t="shared" si="267"/>
        <v/>
      </c>
      <c r="J266" s="51" t="str">
        <f t="shared" si="267"/>
        <v/>
      </c>
      <c r="K266" s="51" t="str">
        <f t="shared" si="267"/>
        <v/>
      </c>
      <c r="L266" s="51" t="str">
        <f t="shared" si="267"/>
        <v/>
      </c>
      <c r="M266" s="51" t="str">
        <f t="shared" si="267"/>
        <v/>
      </c>
      <c r="N266" s="51" t="str">
        <f t="shared" si="267"/>
        <v/>
      </c>
      <c r="O266" s="51" t="str">
        <f t="shared" si="267"/>
        <v/>
      </c>
      <c r="P266" s="51" t="str">
        <f t="shared" si="267"/>
        <v/>
      </c>
      <c r="Q266" s="51" t="str">
        <f t="shared" si="267"/>
        <v/>
      </c>
      <c r="R266" s="51" t="str">
        <f t="shared" si="267"/>
        <v/>
      </c>
      <c r="S266" s="51" t="str">
        <f t="shared" si="267"/>
        <v/>
      </c>
      <c r="T266" s="51" t="str">
        <f t="shared" si="267"/>
        <v/>
      </c>
      <c r="U266" s="52"/>
      <c r="V266" s="52" t="str">
        <f>IFERROR(__xludf.DUMMYFUNCTION("""COMPUTED_VALUE"""),"")</f>
        <v/>
      </c>
      <c r="W266" s="52" t="str">
        <f>IFERROR(__xludf.DUMMYFUNCTION("""COMPUTED_VALUE"""),"")</f>
        <v/>
      </c>
      <c r="X266" s="52" t="str">
        <f>IFERROR(__xludf.DUMMYFUNCTION("""COMPUTED_VALUE"""),"")</f>
        <v/>
      </c>
      <c r="Y266" s="52" t="str">
        <f>IFERROR(__xludf.DUMMYFUNCTION("""COMPUTED_VALUE"""),"")</f>
        <v/>
      </c>
      <c r="Z266" s="52" t="str">
        <f>IFERROR(__xludf.DUMMYFUNCTION("""COMPUTED_VALUE"""),"")</f>
        <v/>
      </c>
      <c r="AA266" s="52" t="str">
        <f>IFERROR(__xludf.DUMMYFUNCTION("""COMPUTED_VALUE"""),"")</f>
        <v/>
      </c>
      <c r="AB266" s="52" t="str">
        <f>IFERROR(__xludf.DUMMYFUNCTION("""COMPUTED_VALUE"""),"")</f>
        <v/>
      </c>
      <c r="AC266" s="52" t="str">
        <f>IFERROR(__xludf.DUMMYFUNCTION("""COMPUTED_VALUE"""),"")</f>
        <v/>
      </c>
      <c r="AD266" s="52" t="str">
        <f>IFERROR(__xludf.DUMMYFUNCTION("""COMPUTED_VALUE"""),"")</f>
        <v/>
      </c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</row>
    <row r="267">
      <c r="B267" s="49"/>
      <c r="C267" s="49" t="str">
        <f t="shared" si="2"/>
        <v/>
      </c>
      <c r="D267" s="50" t="str">
        <f t="shared" si="3"/>
        <v/>
      </c>
      <c r="E267" s="51" t="str">
        <f t="shared" ref="E267:T267" si="268">IFERROR(VLOOKUP($A267,INDIRECT("'" &amp; E$1 &amp; "'!$C:$G"), 5, FALSE),"")</f>
        <v/>
      </c>
      <c r="F267" s="51" t="str">
        <f t="shared" si="268"/>
        <v/>
      </c>
      <c r="G267" s="51" t="str">
        <f t="shared" si="268"/>
        <v/>
      </c>
      <c r="H267" s="51" t="str">
        <f t="shared" si="268"/>
        <v/>
      </c>
      <c r="I267" s="51" t="str">
        <f t="shared" si="268"/>
        <v/>
      </c>
      <c r="J267" s="51" t="str">
        <f t="shared" si="268"/>
        <v/>
      </c>
      <c r="K267" s="51" t="str">
        <f t="shared" si="268"/>
        <v/>
      </c>
      <c r="L267" s="51" t="str">
        <f t="shared" si="268"/>
        <v/>
      </c>
      <c r="M267" s="51" t="str">
        <f t="shared" si="268"/>
        <v/>
      </c>
      <c r="N267" s="51" t="str">
        <f t="shared" si="268"/>
        <v/>
      </c>
      <c r="O267" s="51" t="str">
        <f t="shared" si="268"/>
        <v/>
      </c>
      <c r="P267" s="51" t="str">
        <f t="shared" si="268"/>
        <v/>
      </c>
      <c r="Q267" s="51" t="str">
        <f t="shared" si="268"/>
        <v/>
      </c>
      <c r="R267" s="51" t="str">
        <f t="shared" si="268"/>
        <v/>
      </c>
      <c r="S267" s="51" t="str">
        <f t="shared" si="268"/>
        <v/>
      </c>
      <c r="T267" s="51" t="str">
        <f t="shared" si="268"/>
        <v/>
      </c>
      <c r="U267" s="52"/>
      <c r="V267" s="52" t="str">
        <f>IFERROR(__xludf.DUMMYFUNCTION("""COMPUTED_VALUE"""),"")</f>
        <v/>
      </c>
      <c r="W267" s="52" t="str">
        <f>IFERROR(__xludf.DUMMYFUNCTION("""COMPUTED_VALUE"""),"")</f>
        <v/>
      </c>
      <c r="X267" s="52" t="str">
        <f>IFERROR(__xludf.DUMMYFUNCTION("""COMPUTED_VALUE"""),"")</f>
        <v/>
      </c>
      <c r="Y267" s="52" t="str">
        <f>IFERROR(__xludf.DUMMYFUNCTION("""COMPUTED_VALUE"""),"")</f>
        <v/>
      </c>
      <c r="Z267" s="52" t="str">
        <f>IFERROR(__xludf.DUMMYFUNCTION("""COMPUTED_VALUE"""),"")</f>
        <v/>
      </c>
      <c r="AA267" s="52" t="str">
        <f>IFERROR(__xludf.DUMMYFUNCTION("""COMPUTED_VALUE"""),"")</f>
        <v/>
      </c>
      <c r="AB267" s="52" t="str">
        <f>IFERROR(__xludf.DUMMYFUNCTION("""COMPUTED_VALUE"""),"")</f>
        <v/>
      </c>
      <c r="AC267" s="52" t="str">
        <f>IFERROR(__xludf.DUMMYFUNCTION("""COMPUTED_VALUE"""),"")</f>
        <v/>
      </c>
      <c r="AD267" s="52" t="str">
        <f>IFERROR(__xludf.DUMMYFUNCTION("""COMPUTED_VALUE"""),"")</f>
        <v/>
      </c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</row>
    <row r="268">
      <c r="B268" s="49"/>
      <c r="C268" s="49" t="str">
        <f t="shared" si="2"/>
        <v/>
      </c>
      <c r="D268" s="50" t="str">
        <f t="shared" si="3"/>
        <v/>
      </c>
      <c r="E268" s="51" t="str">
        <f t="shared" ref="E268:T268" si="269">IFERROR(VLOOKUP($A268,INDIRECT("'" &amp; E$1 &amp; "'!$C:$G"), 5, FALSE),"")</f>
        <v/>
      </c>
      <c r="F268" s="51" t="str">
        <f t="shared" si="269"/>
        <v/>
      </c>
      <c r="G268" s="51" t="str">
        <f t="shared" si="269"/>
        <v/>
      </c>
      <c r="H268" s="51" t="str">
        <f t="shared" si="269"/>
        <v/>
      </c>
      <c r="I268" s="51" t="str">
        <f t="shared" si="269"/>
        <v/>
      </c>
      <c r="J268" s="51" t="str">
        <f t="shared" si="269"/>
        <v/>
      </c>
      <c r="K268" s="51" t="str">
        <f t="shared" si="269"/>
        <v/>
      </c>
      <c r="L268" s="51" t="str">
        <f t="shared" si="269"/>
        <v/>
      </c>
      <c r="M268" s="51" t="str">
        <f t="shared" si="269"/>
        <v/>
      </c>
      <c r="N268" s="51" t="str">
        <f t="shared" si="269"/>
        <v/>
      </c>
      <c r="O268" s="51" t="str">
        <f t="shared" si="269"/>
        <v/>
      </c>
      <c r="P268" s="51" t="str">
        <f t="shared" si="269"/>
        <v/>
      </c>
      <c r="Q268" s="51" t="str">
        <f t="shared" si="269"/>
        <v/>
      </c>
      <c r="R268" s="51" t="str">
        <f t="shared" si="269"/>
        <v/>
      </c>
      <c r="S268" s="51" t="str">
        <f t="shared" si="269"/>
        <v/>
      </c>
      <c r="T268" s="51" t="str">
        <f t="shared" si="269"/>
        <v/>
      </c>
      <c r="U268" s="52"/>
      <c r="V268" s="52" t="str">
        <f>IFERROR(__xludf.DUMMYFUNCTION("""COMPUTED_VALUE"""),"")</f>
        <v/>
      </c>
      <c r="W268" s="52" t="str">
        <f>IFERROR(__xludf.DUMMYFUNCTION("""COMPUTED_VALUE"""),"")</f>
        <v/>
      </c>
      <c r="X268" s="52" t="str">
        <f>IFERROR(__xludf.DUMMYFUNCTION("""COMPUTED_VALUE"""),"")</f>
        <v/>
      </c>
      <c r="Y268" s="52" t="str">
        <f>IFERROR(__xludf.DUMMYFUNCTION("""COMPUTED_VALUE"""),"")</f>
        <v/>
      </c>
      <c r="Z268" s="52" t="str">
        <f>IFERROR(__xludf.DUMMYFUNCTION("""COMPUTED_VALUE"""),"")</f>
        <v/>
      </c>
      <c r="AA268" s="52" t="str">
        <f>IFERROR(__xludf.DUMMYFUNCTION("""COMPUTED_VALUE"""),"")</f>
        <v/>
      </c>
      <c r="AB268" s="52" t="str">
        <f>IFERROR(__xludf.DUMMYFUNCTION("""COMPUTED_VALUE"""),"")</f>
        <v/>
      </c>
      <c r="AC268" s="52" t="str">
        <f>IFERROR(__xludf.DUMMYFUNCTION("""COMPUTED_VALUE"""),"")</f>
        <v/>
      </c>
      <c r="AD268" s="52" t="str">
        <f>IFERROR(__xludf.DUMMYFUNCTION("""COMPUTED_VALUE"""),"")</f>
        <v/>
      </c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</row>
    <row r="269">
      <c r="B269" s="49"/>
      <c r="C269" s="49" t="str">
        <f t="shared" si="2"/>
        <v/>
      </c>
      <c r="D269" s="50" t="str">
        <f t="shared" si="3"/>
        <v/>
      </c>
      <c r="E269" s="51" t="str">
        <f t="shared" ref="E269:T269" si="270">IFERROR(VLOOKUP($A269,INDIRECT("'" &amp; E$1 &amp; "'!$C:$G"), 5, FALSE),"")</f>
        <v/>
      </c>
      <c r="F269" s="51" t="str">
        <f t="shared" si="270"/>
        <v/>
      </c>
      <c r="G269" s="51" t="str">
        <f t="shared" si="270"/>
        <v/>
      </c>
      <c r="H269" s="51" t="str">
        <f t="shared" si="270"/>
        <v/>
      </c>
      <c r="I269" s="51" t="str">
        <f t="shared" si="270"/>
        <v/>
      </c>
      <c r="J269" s="51" t="str">
        <f t="shared" si="270"/>
        <v/>
      </c>
      <c r="K269" s="51" t="str">
        <f t="shared" si="270"/>
        <v/>
      </c>
      <c r="L269" s="51" t="str">
        <f t="shared" si="270"/>
        <v/>
      </c>
      <c r="M269" s="51" t="str">
        <f t="shared" si="270"/>
        <v/>
      </c>
      <c r="N269" s="51" t="str">
        <f t="shared" si="270"/>
        <v/>
      </c>
      <c r="O269" s="51" t="str">
        <f t="shared" si="270"/>
        <v/>
      </c>
      <c r="P269" s="51" t="str">
        <f t="shared" si="270"/>
        <v/>
      </c>
      <c r="Q269" s="51" t="str">
        <f t="shared" si="270"/>
        <v/>
      </c>
      <c r="R269" s="51" t="str">
        <f t="shared" si="270"/>
        <v/>
      </c>
      <c r="S269" s="51" t="str">
        <f t="shared" si="270"/>
        <v/>
      </c>
      <c r="T269" s="51" t="str">
        <f t="shared" si="270"/>
        <v/>
      </c>
      <c r="U269" s="52"/>
      <c r="V269" s="52" t="str">
        <f>IFERROR(__xludf.DUMMYFUNCTION("""COMPUTED_VALUE"""),"")</f>
        <v/>
      </c>
      <c r="W269" s="52" t="str">
        <f>IFERROR(__xludf.DUMMYFUNCTION("""COMPUTED_VALUE"""),"")</f>
        <v/>
      </c>
      <c r="X269" s="52" t="str">
        <f>IFERROR(__xludf.DUMMYFUNCTION("""COMPUTED_VALUE"""),"")</f>
        <v/>
      </c>
      <c r="Y269" s="52" t="str">
        <f>IFERROR(__xludf.DUMMYFUNCTION("""COMPUTED_VALUE"""),"")</f>
        <v/>
      </c>
      <c r="Z269" s="52" t="str">
        <f>IFERROR(__xludf.DUMMYFUNCTION("""COMPUTED_VALUE"""),"")</f>
        <v/>
      </c>
      <c r="AA269" s="52" t="str">
        <f>IFERROR(__xludf.DUMMYFUNCTION("""COMPUTED_VALUE"""),"")</f>
        <v/>
      </c>
      <c r="AB269" s="52" t="str">
        <f>IFERROR(__xludf.DUMMYFUNCTION("""COMPUTED_VALUE"""),"")</f>
        <v/>
      </c>
      <c r="AC269" s="52" t="str">
        <f>IFERROR(__xludf.DUMMYFUNCTION("""COMPUTED_VALUE"""),"")</f>
        <v/>
      </c>
      <c r="AD269" s="52" t="str">
        <f>IFERROR(__xludf.DUMMYFUNCTION("""COMPUTED_VALUE"""),"")</f>
        <v/>
      </c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</row>
    <row r="270">
      <c r="B270" s="49"/>
      <c r="C270" s="49" t="str">
        <f t="shared" si="2"/>
        <v/>
      </c>
      <c r="D270" s="50" t="str">
        <f t="shared" si="3"/>
        <v/>
      </c>
      <c r="E270" s="51" t="str">
        <f t="shared" ref="E270:T270" si="271">IFERROR(VLOOKUP($A270,INDIRECT("'" &amp; E$1 &amp; "'!$C:$G"), 5, FALSE),"")</f>
        <v/>
      </c>
      <c r="F270" s="51" t="str">
        <f t="shared" si="271"/>
        <v/>
      </c>
      <c r="G270" s="51" t="str">
        <f t="shared" si="271"/>
        <v/>
      </c>
      <c r="H270" s="51" t="str">
        <f t="shared" si="271"/>
        <v/>
      </c>
      <c r="I270" s="51" t="str">
        <f t="shared" si="271"/>
        <v/>
      </c>
      <c r="J270" s="51" t="str">
        <f t="shared" si="271"/>
        <v/>
      </c>
      <c r="K270" s="51" t="str">
        <f t="shared" si="271"/>
        <v/>
      </c>
      <c r="L270" s="51" t="str">
        <f t="shared" si="271"/>
        <v/>
      </c>
      <c r="M270" s="51" t="str">
        <f t="shared" si="271"/>
        <v/>
      </c>
      <c r="N270" s="51" t="str">
        <f t="shared" si="271"/>
        <v/>
      </c>
      <c r="O270" s="51" t="str">
        <f t="shared" si="271"/>
        <v/>
      </c>
      <c r="P270" s="51" t="str">
        <f t="shared" si="271"/>
        <v/>
      </c>
      <c r="Q270" s="51" t="str">
        <f t="shared" si="271"/>
        <v/>
      </c>
      <c r="R270" s="51" t="str">
        <f t="shared" si="271"/>
        <v/>
      </c>
      <c r="S270" s="51" t="str">
        <f t="shared" si="271"/>
        <v/>
      </c>
      <c r="T270" s="51" t="str">
        <f t="shared" si="271"/>
        <v/>
      </c>
      <c r="U270" s="52"/>
      <c r="V270" s="52" t="str">
        <f>IFERROR(__xludf.DUMMYFUNCTION("""COMPUTED_VALUE"""),"")</f>
        <v/>
      </c>
      <c r="W270" s="52" t="str">
        <f>IFERROR(__xludf.DUMMYFUNCTION("""COMPUTED_VALUE"""),"")</f>
        <v/>
      </c>
      <c r="X270" s="52" t="str">
        <f>IFERROR(__xludf.DUMMYFUNCTION("""COMPUTED_VALUE"""),"")</f>
        <v/>
      </c>
      <c r="Y270" s="52" t="str">
        <f>IFERROR(__xludf.DUMMYFUNCTION("""COMPUTED_VALUE"""),"")</f>
        <v/>
      </c>
      <c r="Z270" s="52" t="str">
        <f>IFERROR(__xludf.DUMMYFUNCTION("""COMPUTED_VALUE"""),"")</f>
        <v/>
      </c>
      <c r="AA270" s="52" t="str">
        <f>IFERROR(__xludf.DUMMYFUNCTION("""COMPUTED_VALUE"""),"")</f>
        <v/>
      </c>
      <c r="AB270" s="52" t="str">
        <f>IFERROR(__xludf.DUMMYFUNCTION("""COMPUTED_VALUE"""),"")</f>
        <v/>
      </c>
      <c r="AC270" s="52" t="str">
        <f>IFERROR(__xludf.DUMMYFUNCTION("""COMPUTED_VALUE"""),"")</f>
        <v/>
      </c>
      <c r="AD270" s="52" t="str">
        <f>IFERROR(__xludf.DUMMYFUNCTION("""COMPUTED_VALUE"""),"")</f>
        <v/>
      </c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</row>
    <row r="271">
      <c r="B271" s="49"/>
      <c r="C271" s="49" t="str">
        <f t="shared" si="2"/>
        <v/>
      </c>
      <c r="D271" s="50" t="str">
        <f t="shared" si="3"/>
        <v/>
      </c>
      <c r="E271" s="51" t="str">
        <f t="shared" ref="E271:T271" si="272">IFERROR(VLOOKUP($A271,INDIRECT("'" &amp; E$1 &amp; "'!$C:$G"), 5, FALSE),"")</f>
        <v/>
      </c>
      <c r="F271" s="51" t="str">
        <f t="shared" si="272"/>
        <v/>
      </c>
      <c r="G271" s="51" t="str">
        <f t="shared" si="272"/>
        <v/>
      </c>
      <c r="H271" s="51" t="str">
        <f t="shared" si="272"/>
        <v/>
      </c>
      <c r="I271" s="51" t="str">
        <f t="shared" si="272"/>
        <v/>
      </c>
      <c r="J271" s="51" t="str">
        <f t="shared" si="272"/>
        <v/>
      </c>
      <c r="K271" s="51" t="str">
        <f t="shared" si="272"/>
        <v/>
      </c>
      <c r="L271" s="51" t="str">
        <f t="shared" si="272"/>
        <v/>
      </c>
      <c r="M271" s="51" t="str">
        <f t="shared" si="272"/>
        <v/>
      </c>
      <c r="N271" s="51" t="str">
        <f t="shared" si="272"/>
        <v/>
      </c>
      <c r="O271" s="51" t="str">
        <f t="shared" si="272"/>
        <v/>
      </c>
      <c r="P271" s="51" t="str">
        <f t="shared" si="272"/>
        <v/>
      </c>
      <c r="Q271" s="51" t="str">
        <f t="shared" si="272"/>
        <v/>
      </c>
      <c r="R271" s="51" t="str">
        <f t="shared" si="272"/>
        <v/>
      </c>
      <c r="S271" s="51" t="str">
        <f t="shared" si="272"/>
        <v/>
      </c>
      <c r="T271" s="51" t="str">
        <f t="shared" si="272"/>
        <v/>
      </c>
      <c r="U271" s="52"/>
      <c r="V271" s="52" t="str">
        <f>IFERROR(__xludf.DUMMYFUNCTION("""COMPUTED_VALUE"""),"")</f>
        <v/>
      </c>
      <c r="W271" s="52" t="str">
        <f>IFERROR(__xludf.DUMMYFUNCTION("""COMPUTED_VALUE"""),"")</f>
        <v/>
      </c>
      <c r="X271" s="52" t="str">
        <f>IFERROR(__xludf.DUMMYFUNCTION("""COMPUTED_VALUE"""),"")</f>
        <v/>
      </c>
      <c r="Y271" s="52" t="str">
        <f>IFERROR(__xludf.DUMMYFUNCTION("""COMPUTED_VALUE"""),"")</f>
        <v/>
      </c>
      <c r="Z271" s="52" t="str">
        <f>IFERROR(__xludf.DUMMYFUNCTION("""COMPUTED_VALUE"""),"")</f>
        <v/>
      </c>
      <c r="AA271" s="52" t="str">
        <f>IFERROR(__xludf.DUMMYFUNCTION("""COMPUTED_VALUE"""),"")</f>
        <v/>
      </c>
      <c r="AB271" s="52" t="str">
        <f>IFERROR(__xludf.DUMMYFUNCTION("""COMPUTED_VALUE"""),"")</f>
        <v/>
      </c>
      <c r="AC271" s="52" t="str">
        <f>IFERROR(__xludf.DUMMYFUNCTION("""COMPUTED_VALUE"""),"")</f>
        <v/>
      </c>
      <c r="AD271" s="52" t="str">
        <f>IFERROR(__xludf.DUMMYFUNCTION("""COMPUTED_VALUE"""),"")</f>
        <v/>
      </c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</row>
    <row r="272">
      <c r="B272" s="49"/>
      <c r="C272" s="49" t="str">
        <f t="shared" si="2"/>
        <v/>
      </c>
      <c r="D272" s="50" t="str">
        <f t="shared" si="3"/>
        <v/>
      </c>
      <c r="E272" s="51" t="str">
        <f t="shared" ref="E272:T272" si="273">IFERROR(VLOOKUP($A272,INDIRECT("'" &amp; E$1 &amp; "'!$C:$G"), 5, FALSE),"")</f>
        <v/>
      </c>
      <c r="F272" s="51" t="str">
        <f t="shared" si="273"/>
        <v/>
      </c>
      <c r="G272" s="51" t="str">
        <f t="shared" si="273"/>
        <v/>
      </c>
      <c r="H272" s="51" t="str">
        <f t="shared" si="273"/>
        <v/>
      </c>
      <c r="I272" s="51" t="str">
        <f t="shared" si="273"/>
        <v/>
      </c>
      <c r="J272" s="51" t="str">
        <f t="shared" si="273"/>
        <v/>
      </c>
      <c r="K272" s="51" t="str">
        <f t="shared" si="273"/>
        <v/>
      </c>
      <c r="L272" s="51" t="str">
        <f t="shared" si="273"/>
        <v/>
      </c>
      <c r="M272" s="51" t="str">
        <f t="shared" si="273"/>
        <v/>
      </c>
      <c r="N272" s="51" t="str">
        <f t="shared" si="273"/>
        <v/>
      </c>
      <c r="O272" s="51" t="str">
        <f t="shared" si="273"/>
        <v/>
      </c>
      <c r="P272" s="51" t="str">
        <f t="shared" si="273"/>
        <v/>
      </c>
      <c r="Q272" s="51" t="str">
        <f t="shared" si="273"/>
        <v/>
      </c>
      <c r="R272" s="51" t="str">
        <f t="shared" si="273"/>
        <v/>
      </c>
      <c r="S272" s="51" t="str">
        <f t="shared" si="273"/>
        <v/>
      </c>
      <c r="T272" s="51" t="str">
        <f t="shared" si="273"/>
        <v/>
      </c>
      <c r="U272" s="52"/>
      <c r="V272" s="52" t="str">
        <f>IFERROR(__xludf.DUMMYFUNCTION("""COMPUTED_VALUE"""),"")</f>
        <v/>
      </c>
      <c r="W272" s="52" t="str">
        <f>IFERROR(__xludf.DUMMYFUNCTION("""COMPUTED_VALUE"""),"")</f>
        <v/>
      </c>
      <c r="X272" s="52" t="str">
        <f>IFERROR(__xludf.DUMMYFUNCTION("""COMPUTED_VALUE"""),"")</f>
        <v/>
      </c>
      <c r="Y272" s="52" t="str">
        <f>IFERROR(__xludf.DUMMYFUNCTION("""COMPUTED_VALUE"""),"")</f>
        <v/>
      </c>
      <c r="Z272" s="52" t="str">
        <f>IFERROR(__xludf.DUMMYFUNCTION("""COMPUTED_VALUE"""),"")</f>
        <v/>
      </c>
      <c r="AA272" s="52" t="str">
        <f>IFERROR(__xludf.DUMMYFUNCTION("""COMPUTED_VALUE"""),"")</f>
        <v/>
      </c>
      <c r="AB272" s="52" t="str">
        <f>IFERROR(__xludf.DUMMYFUNCTION("""COMPUTED_VALUE"""),"")</f>
        <v/>
      </c>
      <c r="AC272" s="52" t="str">
        <f>IFERROR(__xludf.DUMMYFUNCTION("""COMPUTED_VALUE"""),"")</f>
        <v/>
      </c>
      <c r="AD272" s="52" t="str">
        <f>IFERROR(__xludf.DUMMYFUNCTION("""COMPUTED_VALUE"""),"")</f>
        <v/>
      </c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</row>
    <row r="273">
      <c r="B273" s="49"/>
      <c r="C273" s="49" t="str">
        <f t="shared" si="2"/>
        <v/>
      </c>
      <c r="D273" s="50" t="str">
        <f t="shared" si="3"/>
        <v/>
      </c>
      <c r="E273" s="51" t="str">
        <f t="shared" ref="E273:T273" si="274">IFERROR(VLOOKUP($A273,INDIRECT("'" &amp; E$1 &amp; "'!$C:$G"), 5, FALSE),"")</f>
        <v/>
      </c>
      <c r="F273" s="51" t="str">
        <f t="shared" si="274"/>
        <v/>
      </c>
      <c r="G273" s="51" t="str">
        <f t="shared" si="274"/>
        <v/>
      </c>
      <c r="H273" s="51" t="str">
        <f t="shared" si="274"/>
        <v/>
      </c>
      <c r="I273" s="51" t="str">
        <f t="shared" si="274"/>
        <v/>
      </c>
      <c r="J273" s="51" t="str">
        <f t="shared" si="274"/>
        <v/>
      </c>
      <c r="K273" s="51" t="str">
        <f t="shared" si="274"/>
        <v/>
      </c>
      <c r="L273" s="51" t="str">
        <f t="shared" si="274"/>
        <v/>
      </c>
      <c r="M273" s="51" t="str">
        <f t="shared" si="274"/>
        <v/>
      </c>
      <c r="N273" s="51" t="str">
        <f t="shared" si="274"/>
        <v/>
      </c>
      <c r="O273" s="51" t="str">
        <f t="shared" si="274"/>
        <v/>
      </c>
      <c r="P273" s="51" t="str">
        <f t="shared" si="274"/>
        <v/>
      </c>
      <c r="Q273" s="51" t="str">
        <f t="shared" si="274"/>
        <v/>
      </c>
      <c r="R273" s="51" t="str">
        <f t="shared" si="274"/>
        <v/>
      </c>
      <c r="S273" s="51" t="str">
        <f t="shared" si="274"/>
        <v/>
      </c>
      <c r="T273" s="51" t="str">
        <f t="shared" si="274"/>
        <v/>
      </c>
      <c r="U273" s="52"/>
      <c r="V273" s="52" t="str">
        <f>IFERROR(__xludf.DUMMYFUNCTION("""COMPUTED_VALUE"""),"")</f>
        <v/>
      </c>
      <c r="W273" s="52" t="str">
        <f>IFERROR(__xludf.DUMMYFUNCTION("""COMPUTED_VALUE"""),"")</f>
        <v/>
      </c>
      <c r="X273" s="52" t="str">
        <f>IFERROR(__xludf.DUMMYFUNCTION("""COMPUTED_VALUE"""),"")</f>
        <v/>
      </c>
      <c r="Y273" s="52" t="str">
        <f>IFERROR(__xludf.DUMMYFUNCTION("""COMPUTED_VALUE"""),"")</f>
        <v/>
      </c>
      <c r="Z273" s="52" t="str">
        <f>IFERROR(__xludf.DUMMYFUNCTION("""COMPUTED_VALUE"""),"")</f>
        <v/>
      </c>
      <c r="AA273" s="52" t="str">
        <f>IFERROR(__xludf.DUMMYFUNCTION("""COMPUTED_VALUE"""),"")</f>
        <v/>
      </c>
      <c r="AB273" s="52" t="str">
        <f>IFERROR(__xludf.DUMMYFUNCTION("""COMPUTED_VALUE"""),"")</f>
        <v/>
      </c>
      <c r="AC273" s="52" t="str">
        <f>IFERROR(__xludf.DUMMYFUNCTION("""COMPUTED_VALUE"""),"")</f>
        <v/>
      </c>
      <c r="AD273" s="52" t="str">
        <f>IFERROR(__xludf.DUMMYFUNCTION("""COMPUTED_VALUE"""),"")</f>
        <v/>
      </c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</row>
    <row r="274">
      <c r="B274" s="49"/>
      <c r="C274" s="49" t="str">
        <f t="shared" si="2"/>
        <v/>
      </c>
      <c r="D274" s="50" t="str">
        <f t="shared" si="3"/>
        <v/>
      </c>
      <c r="E274" s="51" t="str">
        <f t="shared" ref="E274:T274" si="275">IFERROR(VLOOKUP($A274,INDIRECT("'" &amp; E$1 &amp; "'!$C:$G"), 5, FALSE),"")</f>
        <v/>
      </c>
      <c r="F274" s="51" t="str">
        <f t="shared" si="275"/>
        <v/>
      </c>
      <c r="G274" s="51" t="str">
        <f t="shared" si="275"/>
        <v/>
      </c>
      <c r="H274" s="51" t="str">
        <f t="shared" si="275"/>
        <v/>
      </c>
      <c r="I274" s="51" t="str">
        <f t="shared" si="275"/>
        <v/>
      </c>
      <c r="J274" s="51" t="str">
        <f t="shared" si="275"/>
        <v/>
      </c>
      <c r="K274" s="51" t="str">
        <f t="shared" si="275"/>
        <v/>
      </c>
      <c r="L274" s="51" t="str">
        <f t="shared" si="275"/>
        <v/>
      </c>
      <c r="M274" s="51" t="str">
        <f t="shared" si="275"/>
        <v/>
      </c>
      <c r="N274" s="51" t="str">
        <f t="shared" si="275"/>
        <v/>
      </c>
      <c r="O274" s="51" t="str">
        <f t="shared" si="275"/>
        <v/>
      </c>
      <c r="P274" s="51" t="str">
        <f t="shared" si="275"/>
        <v/>
      </c>
      <c r="Q274" s="51" t="str">
        <f t="shared" si="275"/>
        <v/>
      </c>
      <c r="R274" s="51" t="str">
        <f t="shared" si="275"/>
        <v/>
      </c>
      <c r="S274" s="51" t="str">
        <f t="shared" si="275"/>
        <v/>
      </c>
      <c r="T274" s="51" t="str">
        <f t="shared" si="275"/>
        <v/>
      </c>
      <c r="U274" s="52"/>
      <c r="V274" s="52" t="str">
        <f>IFERROR(__xludf.DUMMYFUNCTION("""COMPUTED_VALUE"""),"")</f>
        <v/>
      </c>
      <c r="W274" s="52" t="str">
        <f>IFERROR(__xludf.DUMMYFUNCTION("""COMPUTED_VALUE"""),"")</f>
        <v/>
      </c>
      <c r="X274" s="52" t="str">
        <f>IFERROR(__xludf.DUMMYFUNCTION("""COMPUTED_VALUE"""),"")</f>
        <v/>
      </c>
      <c r="Y274" s="52" t="str">
        <f>IFERROR(__xludf.DUMMYFUNCTION("""COMPUTED_VALUE"""),"")</f>
        <v/>
      </c>
      <c r="Z274" s="52" t="str">
        <f>IFERROR(__xludf.DUMMYFUNCTION("""COMPUTED_VALUE"""),"")</f>
        <v/>
      </c>
      <c r="AA274" s="52" t="str">
        <f>IFERROR(__xludf.DUMMYFUNCTION("""COMPUTED_VALUE"""),"")</f>
        <v/>
      </c>
      <c r="AB274" s="52" t="str">
        <f>IFERROR(__xludf.DUMMYFUNCTION("""COMPUTED_VALUE"""),"")</f>
        <v/>
      </c>
      <c r="AC274" s="52" t="str">
        <f>IFERROR(__xludf.DUMMYFUNCTION("""COMPUTED_VALUE"""),"")</f>
        <v/>
      </c>
      <c r="AD274" s="52" t="str">
        <f>IFERROR(__xludf.DUMMYFUNCTION("""COMPUTED_VALUE"""),"")</f>
        <v/>
      </c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</row>
    <row r="275">
      <c r="B275" s="49"/>
      <c r="C275" s="49" t="str">
        <f t="shared" si="2"/>
        <v/>
      </c>
      <c r="D275" s="50" t="str">
        <f t="shared" si="3"/>
        <v/>
      </c>
      <c r="E275" s="51" t="str">
        <f t="shared" ref="E275:T275" si="276">IFERROR(VLOOKUP($A275,INDIRECT("'" &amp; E$1 &amp; "'!$C:$G"), 5, FALSE),"")</f>
        <v/>
      </c>
      <c r="F275" s="51" t="str">
        <f t="shared" si="276"/>
        <v/>
      </c>
      <c r="G275" s="51" t="str">
        <f t="shared" si="276"/>
        <v/>
      </c>
      <c r="H275" s="51" t="str">
        <f t="shared" si="276"/>
        <v/>
      </c>
      <c r="I275" s="51" t="str">
        <f t="shared" si="276"/>
        <v/>
      </c>
      <c r="J275" s="51" t="str">
        <f t="shared" si="276"/>
        <v/>
      </c>
      <c r="K275" s="51" t="str">
        <f t="shared" si="276"/>
        <v/>
      </c>
      <c r="L275" s="51" t="str">
        <f t="shared" si="276"/>
        <v/>
      </c>
      <c r="M275" s="51" t="str">
        <f t="shared" si="276"/>
        <v/>
      </c>
      <c r="N275" s="51" t="str">
        <f t="shared" si="276"/>
        <v/>
      </c>
      <c r="O275" s="51" t="str">
        <f t="shared" si="276"/>
        <v/>
      </c>
      <c r="P275" s="51" t="str">
        <f t="shared" si="276"/>
        <v/>
      </c>
      <c r="Q275" s="51" t="str">
        <f t="shared" si="276"/>
        <v/>
      </c>
      <c r="R275" s="51" t="str">
        <f t="shared" si="276"/>
        <v/>
      </c>
      <c r="S275" s="51" t="str">
        <f t="shared" si="276"/>
        <v/>
      </c>
      <c r="T275" s="51" t="str">
        <f t="shared" si="276"/>
        <v/>
      </c>
      <c r="U275" s="52"/>
      <c r="V275" s="52" t="str">
        <f>IFERROR(__xludf.DUMMYFUNCTION("""COMPUTED_VALUE"""),"")</f>
        <v/>
      </c>
      <c r="W275" s="52" t="str">
        <f>IFERROR(__xludf.DUMMYFUNCTION("""COMPUTED_VALUE"""),"")</f>
        <v/>
      </c>
      <c r="X275" s="52" t="str">
        <f>IFERROR(__xludf.DUMMYFUNCTION("""COMPUTED_VALUE"""),"")</f>
        <v/>
      </c>
      <c r="Y275" s="52" t="str">
        <f>IFERROR(__xludf.DUMMYFUNCTION("""COMPUTED_VALUE"""),"")</f>
        <v/>
      </c>
      <c r="Z275" s="52" t="str">
        <f>IFERROR(__xludf.DUMMYFUNCTION("""COMPUTED_VALUE"""),"")</f>
        <v/>
      </c>
      <c r="AA275" s="52" t="str">
        <f>IFERROR(__xludf.DUMMYFUNCTION("""COMPUTED_VALUE"""),"")</f>
        <v/>
      </c>
      <c r="AB275" s="52" t="str">
        <f>IFERROR(__xludf.DUMMYFUNCTION("""COMPUTED_VALUE"""),"")</f>
        <v/>
      </c>
      <c r="AC275" s="52" t="str">
        <f>IFERROR(__xludf.DUMMYFUNCTION("""COMPUTED_VALUE"""),"")</f>
        <v/>
      </c>
      <c r="AD275" s="52" t="str">
        <f>IFERROR(__xludf.DUMMYFUNCTION("""COMPUTED_VALUE"""),"")</f>
        <v/>
      </c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</row>
    <row r="276">
      <c r="B276" s="49"/>
      <c r="C276" s="49" t="str">
        <f t="shared" si="2"/>
        <v/>
      </c>
      <c r="D276" s="50" t="str">
        <f t="shared" si="3"/>
        <v/>
      </c>
      <c r="E276" s="51" t="str">
        <f t="shared" ref="E276:T276" si="277">IFERROR(VLOOKUP($A276,INDIRECT("'" &amp; E$1 &amp; "'!$C:$G"), 5, FALSE),"")</f>
        <v/>
      </c>
      <c r="F276" s="51" t="str">
        <f t="shared" si="277"/>
        <v/>
      </c>
      <c r="G276" s="51" t="str">
        <f t="shared" si="277"/>
        <v/>
      </c>
      <c r="H276" s="51" t="str">
        <f t="shared" si="277"/>
        <v/>
      </c>
      <c r="I276" s="51" t="str">
        <f t="shared" si="277"/>
        <v/>
      </c>
      <c r="J276" s="51" t="str">
        <f t="shared" si="277"/>
        <v/>
      </c>
      <c r="K276" s="51" t="str">
        <f t="shared" si="277"/>
        <v/>
      </c>
      <c r="L276" s="51" t="str">
        <f t="shared" si="277"/>
        <v/>
      </c>
      <c r="M276" s="51" t="str">
        <f t="shared" si="277"/>
        <v/>
      </c>
      <c r="N276" s="51" t="str">
        <f t="shared" si="277"/>
        <v/>
      </c>
      <c r="O276" s="51" t="str">
        <f t="shared" si="277"/>
        <v/>
      </c>
      <c r="P276" s="51" t="str">
        <f t="shared" si="277"/>
        <v/>
      </c>
      <c r="Q276" s="51" t="str">
        <f t="shared" si="277"/>
        <v/>
      </c>
      <c r="R276" s="51" t="str">
        <f t="shared" si="277"/>
        <v/>
      </c>
      <c r="S276" s="51" t="str">
        <f t="shared" si="277"/>
        <v/>
      </c>
      <c r="T276" s="51" t="str">
        <f t="shared" si="277"/>
        <v/>
      </c>
      <c r="U276" s="52"/>
      <c r="V276" s="52" t="str">
        <f>IFERROR(__xludf.DUMMYFUNCTION("""COMPUTED_VALUE"""),"")</f>
        <v/>
      </c>
      <c r="W276" s="52" t="str">
        <f>IFERROR(__xludf.DUMMYFUNCTION("""COMPUTED_VALUE"""),"")</f>
        <v/>
      </c>
      <c r="X276" s="52" t="str">
        <f>IFERROR(__xludf.DUMMYFUNCTION("""COMPUTED_VALUE"""),"")</f>
        <v/>
      </c>
      <c r="Y276" s="52" t="str">
        <f>IFERROR(__xludf.DUMMYFUNCTION("""COMPUTED_VALUE"""),"")</f>
        <v/>
      </c>
      <c r="Z276" s="52" t="str">
        <f>IFERROR(__xludf.DUMMYFUNCTION("""COMPUTED_VALUE"""),"")</f>
        <v/>
      </c>
      <c r="AA276" s="52" t="str">
        <f>IFERROR(__xludf.DUMMYFUNCTION("""COMPUTED_VALUE"""),"")</f>
        <v/>
      </c>
      <c r="AB276" s="52" t="str">
        <f>IFERROR(__xludf.DUMMYFUNCTION("""COMPUTED_VALUE"""),"")</f>
        <v/>
      </c>
      <c r="AC276" s="52" t="str">
        <f>IFERROR(__xludf.DUMMYFUNCTION("""COMPUTED_VALUE"""),"")</f>
        <v/>
      </c>
      <c r="AD276" s="52" t="str">
        <f>IFERROR(__xludf.DUMMYFUNCTION("""COMPUTED_VALUE"""),"")</f>
        <v/>
      </c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</row>
    <row r="277">
      <c r="B277" s="49"/>
      <c r="C277" s="49" t="str">
        <f t="shared" si="2"/>
        <v/>
      </c>
      <c r="D277" s="50" t="str">
        <f t="shared" si="3"/>
        <v/>
      </c>
      <c r="E277" s="51" t="str">
        <f t="shared" ref="E277:T277" si="278">IFERROR(VLOOKUP($A277,INDIRECT("'" &amp; E$1 &amp; "'!$C:$G"), 5, FALSE),"")</f>
        <v/>
      </c>
      <c r="F277" s="51" t="str">
        <f t="shared" si="278"/>
        <v/>
      </c>
      <c r="G277" s="51" t="str">
        <f t="shared" si="278"/>
        <v/>
      </c>
      <c r="H277" s="51" t="str">
        <f t="shared" si="278"/>
        <v/>
      </c>
      <c r="I277" s="51" t="str">
        <f t="shared" si="278"/>
        <v/>
      </c>
      <c r="J277" s="51" t="str">
        <f t="shared" si="278"/>
        <v/>
      </c>
      <c r="K277" s="51" t="str">
        <f t="shared" si="278"/>
        <v/>
      </c>
      <c r="L277" s="51" t="str">
        <f t="shared" si="278"/>
        <v/>
      </c>
      <c r="M277" s="51" t="str">
        <f t="shared" si="278"/>
        <v/>
      </c>
      <c r="N277" s="51" t="str">
        <f t="shared" si="278"/>
        <v/>
      </c>
      <c r="O277" s="51" t="str">
        <f t="shared" si="278"/>
        <v/>
      </c>
      <c r="P277" s="51" t="str">
        <f t="shared" si="278"/>
        <v/>
      </c>
      <c r="Q277" s="51" t="str">
        <f t="shared" si="278"/>
        <v/>
      </c>
      <c r="R277" s="51" t="str">
        <f t="shared" si="278"/>
        <v/>
      </c>
      <c r="S277" s="51" t="str">
        <f t="shared" si="278"/>
        <v/>
      </c>
      <c r="T277" s="51" t="str">
        <f t="shared" si="278"/>
        <v/>
      </c>
      <c r="U277" s="52"/>
      <c r="V277" s="52" t="str">
        <f>IFERROR(__xludf.DUMMYFUNCTION("""COMPUTED_VALUE"""),"")</f>
        <v/>
      </c>
      <c r="W277" s="52" t="str">
        <f>IFERROR(__xludf.DUMMYFUNCTION("""COMPUTED_VALUE"""),"")</f>
        <v/>
      </c>
      <c r="X277" s="52" t="str">
        <f>IFERROR(__xludf.DUMMYFUNCTION("""COMPUTED_VALUE"""),"")</f>
        <v/>
      </c>
      <c r="Y277" s="52" t="str">
        <f>IFERROR(__xludf.DUMMYFUNCTION("""COMPUTED_VALUE"""),"")</f>
        <v/>
      </c>
      <c r="Z277" s="52" t="str">
        <f>IFERROR(__xludf.DUMMYFUNCTION("""COMPUTED_VALUE"""),"")</f>
        <v/>
      </c>
      <c r="AA277" s="52" t="str">
        <f>IFERROR(__xludf.DUMMYFUNCTION("""COMPUTED_VALUE"""),"")</f>
        <v/>
      </c>
      <c r="AB277" s="52" t="str">
        <f>IFERROR(__xludf.DUMMYFUNCTION("""COMPUTED_VALUE"""),"")</f>
        <v/>
      </c>
      <c r="AC277" s="52" t="str">
        <f>IFERROR(__xludf.DUMMYFUNCTION("""COMPUTED_VALUE"""),"")</f>
        <v/>
      </c>
      <c r="AD277" s="52" t="str">
        <f>IFERROR(__xludf.DUMMYFUNCTION("""COMPUTED_VALUE"""),"")</f>
        <v/>
      </c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</row>
    <row r="278">
      <c r="B278" s="49"/>
      <c r="C278" s="49" t="str">
        <f t="shared" si="2"/>
        <v/>
      </c>
      <c r="D278" s="50" t="str">
        <f t="shared" si="3"/>
        <v/>
      </c>
      <c r="E278" s="51" t="str">
        <f t="shared" ref="E278:T278" si="279">IFERROR(VLOOKUP($A278,INDIRECT("'" &amp; E$1 &amp; "'!$C:$G"), 5, FALSE),"")</f>
        <v/>
      </c>
      <c r="F278" s="51" t="str">
        <f t="shared" si="279"/>
        <v/>
      </c>
      <c r="G278" s="51" t="str">
        <f t="shared" si="279"/>
        <v/>
      </c>
      <c r="H278" s="51" t="str">
        <f t="shared" si="279"/>
        <v/>
      </c>
      <c r="I278" s="51" t="str">
        <f t="shared" si="279"/>
        <v/>
      </c>
      <c r="J278" s="51" t="str">
        <f t="shared" si="279"/>
        <v/>
      </c>
      <c r="K278" s="51" t="str">
        <f t="shared" si="279"/>
        <v/>
      </c>
      <c r="L278" s="51" t="str">
        <f t="shared" si="279"/>
        <v/>
      </c>
      <c r="M278" s="51" t="str">
        <f t="shared" si="279"/>
        <v/>
      </c>
      <c r="N278" s="51" t="str">
        <f t="shared" si="279"/>
        <v/>
      </c>
      <c r="O278" s="51" t="str">
        <f t="shared" si="279"/>
        <v/>
      </c>
      <c r="P278" s="51" t="str">
        <f t="shared" si="279"/>
        <v/>
      </c>
      <c r="Q278" s="51" t="str">
        <f t="shared" si="279"/>
        <v/>
      </c>
      <c r="R278" s="51" t="str">
        <f t="shared" si="279"/>
        <v/>
      </c>
      <c r="S278" s="51" t="str">
        <f t="shared" si="279"/>
        <v/>
      </c>
      <c r="T278" s="51" t="str">
        <f t="shared" si="279"/>
        <v/>
      </c>
      <c r="U278" s="52"/>
      <c r="V278" s="52" t="str">
        <f>IFERROR(__xludf.DUMMYFUNCTION("""COMPUTED_VALUE"""),"")</f>
        <v/>
      </c>
      <c r="W278" s="52" t="str">
        <f>IFERROR(__xludf.DUMMYFUNCTION("""COMPUTED_VALUE"""),"")</f>
        <v/>
      </c>
      <c r="X278" s="52" t="str">
        <f>IFERROR(__xludf.DUMMYFUNCTION("""COMPUTED_VALUE"""),"")</f>
        <v/>
      </c>
      <c r="Y278" s="52" t="str">
        <f>IFERROR(__xludf.DUMMYFUNCTION("""COMPUTED_VALUE"""),"")</f>
        <v/>
      </c>
      <c r="Z278" s="52" t="str">
        <f>IFERROR(__xludf.DUMMYFUNCTION("""COMPUTED_VALUE"""),"")</f>
        <v/>
      </c>
      <c r="AA278" s="52" t="str">
        <f>IFERROR(__xludf.DUMMYFUNCTION("""COMPUTED_VALUE"""),"")</f>
        <v/>
      </c>
      <c r="AB278" s="52" t="str">
        <f>IFERROR(__xludf.DUMMYFUNCTION("""COMPUTED_VALUE"""),"")</f>
        <v/>
      </c>
      <c r="AC278" s="52" t="str">
        <f>IFERROR(__xludf.DUMMYFUNCTION("""COMPUTED_VALUE"""),"")</f>
        <v/>
      </c>
      <c r="AD278" s="52" t="str">
        <f>IFERROR(__xludf.DUMMYFUNCTION("""COMPUTED_VALUE"""),"")</f>
        <v/>
      </c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</row>
    <row r="279">
      <c r="B279" s="49"/>
      <c r="C279" s="49" t="str">
        <f t="shared" si="2"/>
        <v/>
      </c>
      <c r="D279" s="50" t="str">
        <f t="shared" si="3"/>
        <v/>
      </c>
      <c r="E279" s="51" t="str">
        <f t="shared" ref="E279:T279" si="280">IFERROR(VLOOKUP($A279,INDIRECT("'" &amp; E$1 &amp; "'!$C:$G"), 5, FALSE),"")</f>
        <v/>
      </c>
      <c r="F279" s="51" t="str">
        <f t="shared" si="280"/>
        <v/>
      </c>
      <c r="G279" s="51" t="str">
        <f t="shared" si="280"/>
        <v/>
      </c>
      <c r="H279" s="51" t="str">
        <f t="shared" si="280"/>
        <v/>
      </c>
      <c r="I279" s="51" t="str">
        <f t="shared" si="280"/>
        <v/>
      </c>
      <c r="J279" s="51" t="str">
        <f t="shared" si="280"/>
        <v/>
      </c>
      <c r="K279" s="51" t="str">
        <f t="shared" si="280"/>
        <v/>
      </c>
      <c r="L279" s="51" t="str">
        <f t="shared" si="280"/>
        <v/>
      </c>
      <c r="M279" s="51" t="str">
        <f t="shared" si="280"/>
        <v/>
      </c>
      <c r="N279" s="51" t="str">
        <f t="shared" si="280"/>
        <v/>
      </c>
      <c r="O279" s="51" t="str">
        <f t="shared" si="280"/>
        <v/>
      </c>
      <c r="P279" s="51" t="str">
        <f t="shared" si="280"/>
        <v/>
      </c>
      <c r="Q279" s="51" t="str">
        <f t="shared" si="280"/>
        <v/>
      </c>
      <c r="R279" s="51" t="str">
        <f t="shared" si="280"/>
        <v/>
      </c>
      <c r="S279" s="51" t="str">
        <f t="shared" si="280"/>
        <v/>
      </c>
      <c r="T279" s="51" t="str">
        <f t="shared" si="280"/>
        <v/>
      </c>
      <c r="U279" s="52"/>
      <c r="V279" s="52" t="str">
        <f>IFERROR(__xludf.DUMMYFUNCTION("""COMPUTED_VALUE"""),"")</f>
        <v/>
      </c>
      <c r="W279" s="52" t="str">
        <f>IFERROR(__xludf.DUMMYFUNCTION("""COMPUTED_VALUE"""),"")</f>
        <v/>
      </c>
      <c r="X279" s="52" t="str">
        <f>IFERROR(__xludf.DUMMYFUNCTION("""COMPUTED_VALUE"""),"")</f>
        <v/>
      </c>
      <c r="Y279" s="52" t="str">
        <f>IFERROR(__xludf.DUMMYFUNCTION("""COMPUTED_VALUE"""),"")</f>
        <v/>
      </c>
      <c r="Z279" s="52" t="str">
        <f>IFERROR(__xludf.DUMMYFUNCTION("""COMPUTED_VALUE"""),"")</f>
        <v/>
      </c>
      <c r="AA279" s="52" t="str">
        <f>IFERROR(__xludf.DUMMYFUNCTION("""COMPUTED_VALUE"""),"")</f>
        <v/>
      </c>
      <c r="AB279" s="52" t="str">
        <f>IFERROR(__xludf.DUMMYFUNCTION("""COMPUTED_VALUE"""),"")</f>
        <v/>
      </c>
      <c r="AC279" s="52" t="str">
        <f>IFERROR(__xludf.DUMMYFUNCTION("""COMPUTED_VALUE"""),"")</f>
        <v/>
      </c>
      <c r="AD279" s="52" t="str">
        <f>IFERROR(__xludf.DUMMYFUNCTION("""COMPUTED_VALUE"""),"")</f>
        <v/>
      </c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</row>
    <row r="280">
      <c r="B280" s="49"/>
      <c r="C280" s="49" t="str">
        <f t="shared" si="2"/>
        <v/>
      </c>
      <c r="D280" s="50" t="str">
        <f t="shared" si="3"/>
        <v/>
      </c>
      <c r="E280" s="51" t="str">
        <f t="shared" ref="E280:T280" si="281">IFERROR(VLOOKUP($A280,INDIRECT("'" &amp; E$1 &amp; "'!$C:$G"), 5, FALSE),"")</f>
        <v/>
      </c>
      <c r="F280" s="51" t="str">
        <f t="shared" si="281"/>
        <v/>
      </c>
      <c r="G280" s="51" t="str">
        <f t="shared" si="281"/>
        <v/>
      </c>
      <c r="H280" s="51" t="str">
        <f t="shared" si="281"/>
        <v/>
      </c>
      <c r="I280" s="51" t="str">
        <f t="shared" si="281"/>
        <v/>
      </c>
      <c r="J280" s="51" t="str">
        <f t="shared" si="281"/>
        <v/>
      </c>
      <c r="K280" s="51" t="str">
        <f t="shared" si="281"/>
        <v/>
      </c>
      <c r="L280" s="51" t="str">
        <f t="shared" si="281"/>
        <v/>
      </c>
      <c r="M280" s="51" t="str">
        <f t="shared" si="281"/>
        <v/>
      </c>
      <c r="N280" s="51" t="str">
        <f t="shared" si="281"/>
        <v/>
      </c>
      <c r="O280" s="51" t="str">
        <f t="shared" si="281"/>
        <v/>
      </c>
      <c r="P280" s="51" t="str">
        <f t="shared" si="281"/>
        <v/>
      </c>
      <c r="Q280" s="51" t="str">
        <f t="shared" si="281"/>
        <v/>
      </c>
      <c r="R280" s="51" t="str">
        <f t="shared" si="281"/>
        <v/>
      </c>
      <c r="S280" s="51" t="str">
        <f t="shared" si="281"/>
        <v/>
      </c>
      <c r="T280" s="51" t="str">
        <f t="shared" si="281"/>
        <v/>
      </c>
      <c r="U280" s="52"/>
      <c r="V280" s="52" t="str">
        <f>IFERROR(__xludf.DUMMYFUNCTION("""COMPUTED_VALUE"""),"")</f>
        <v/>
      </c>
      <c r="W280" s="52" t="str">
        <f>IFERROR(__xludf.DUMMYFUNCTION("""COMPUTED_VALUE"""),"")</f>
        <v/>
      </c>
      <c r="X280" s="52" t="str">
        <f>IFERROR(__xludf.DUMMYFUNCTION("""COMPUTED_VALUE"""),"")</f>
        <v/>
      </c>
      <c r="Y280" s="52" t="str">
        <f>IFERROR(__xludf.DUMMYFUNCTION("""COMPUTED_VALUE"""),"")</f>
        <v/>
      </c>
      <c r="Z280" s="52" t="str">
        <f>IFERROR(__xludf.DUMMYFUNCTION("""COMPUTED_VALUE"""),"")</f>
        <v/>
      </c>
      <c r="AA280" s="52" t="str">
        <f>IFERROR(__xludf.DUMMYFUNCTION("""COMPUTED_VALUE"""),"")</f>
        <v/>
      </c>
      <c r="AB280" s="52" t="str">
        <f>IFERROR(__xludf.DUMMYFUNCTION("""COMPUTED_VALUE"""),"")</f>
        <v/>
      </c>
      <c r="AC280" s="52" t="str">
        <f>IFERROR(__xludf.DUMMYFUNCTION("""COMPUTED_VALUE"""),"")</f>
        <v/>
      </c>
      <c r="AD280" s="52" t="str">
        <f>IFERROR(__xludf.DUMMYFUNCTION("""COMPUTED_VALUE"""),"")</f>
        <v/>
      </c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</row>
    <row r="281">
      <c r="B281" s="49"/>
      <c r="C281" s="49" t="str">
        <f t="shared" si="2"/>
        <v/>
      </c>
      <c r="D281" s="50" t="str">
        <f t="shared" si="3"/>
        <v/>
      </c>
      <c r="E281" s="51" t="str">
        <f t="shared" ref="E281:T281" si="282">IFERROR(VLOOKUP($A281,INDIRECT("'" &amp; E$1 &amp; "'!$C:$G"), 5, FALSE),"")</f>
        <v/>
      </c>
      <c r="F281" s="51" t="str">
        <f t="shared" si="282"/>
        <v/>
      </c>
      <c r="G281" s="51" t="str">
        <f t="shared" si="282"/>
        <v/>
      </c>
      <c r="H281" s="51" t="str">
        <f t="shared" si="282"/>
        <v/>
      </c>
      <c r="I281" s="51" t="str">
        <f t="shared" si="282"/>
        <v/>
      </c>
      <c r="J281" s="51" t="str">
        <f t="shared" si="282"/>
        <v/>
      </c>
      <c r="K281" s="51" t="str">
        <f t="shared" si="282"/>
        <v/>
      </c>
      <c r="L281" s="51" t="str">
        <f t="shared" si="282"/>
        <v/>
      </c>
      <c r="M281" s="51" t="str">
        <f t="shared" si="282"/>
        <v/>
      </c>
      <c r="N281" s="51" t="str">
        <f t="shared" si="282"/>
        <v/>
      </c>
      <c r="O281" s="51" t="str">
        <f t="shared" si="282"/>
        <v/>
      </c>
      <c r="P281" s="51" t="str">
        <f t="shared" si="282"/>
        <v/>
      </c>
      <c r="Q281" s="51" t="str">
        <f t="shared" si="282"/>
        <v/>
      </c>
      <c r="R281" s="51" t="str">
        <f t="shared" si="282"/>
        <v/>
      </c>
      <c r="S281" s="51" t="str">
        <f t="shared" si="282"/>
        <v/>
      </c>
      <c r="T281" s="51" t="str">
        <f t="shared" si="282"/>
        <v/>
      </c>
      <c r="U281" s="52"/>
      <c r="V281" s="52" t="str">
        <f>IFERROR(__xludf.DUMMYFUNCTION("""COMPUTED_VALUE"""),"")</f>
        <v/>
      </c>
      <c r="W281" s="52" t="str">
        <f>IFERROR(__xludf.DUMMYFUNCTION("""COMPUTED_VALUE"""),"")</f>
        <v/>
      </c>
      <c r="X281" s="52" t="str">
        <f>IFERROR(__xludf.DUMMYFUNCTION("""COMPUTED_VALUE"""),"")</f>
        <v/>
      </c>
      <c r="Y281" s="52" t="str">
        <f>IFERROR(__xludf.DUMMYFUNCTION("""COMPUTED_VALUE"""),"")</f>
        <v/>
      </c>
      <c r="Z281" s="52" t="str">
        <f>IFERROR(__xludf.DUMMYFUNCTION("""COMPUTED_VALUE"""),"")</f>
        <v/>
      </c>
      <c r="AA281" s="52" t="str">
        <f>IFERROR(__xludf.DUMMYFUNCTION("""COMPUTED_VALUE"""),"")</f>
        <v/>
      </c>
      <c r="AB281" s="52" t="str">
        <f>IFERROR(__xludf.DUMMYFUNCTION("""COMPUTED_VALUE"""),"")</f>
        <v/>
      </c>
      <c r="AC281" s="52" t="str">
        <f>IFERROR(__xludf.DUMMYFUNCTION("""COMPUTED_VALUE"""),"")</f>
        <v/>
      </c>
      <c r="AD281" s="52" t="str">
        <f>IFERROR(__xludf.DUMMYFUNCTION("""COMPUTED_VALUE"""),"")</f>
        <v/>
      </c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</row>
    <row r="282">
      <c r="B282" s="49"/>
      <c r="C282" s="49" t="str">
        <f t="shared" si="2"/>
        <v/>
      </c>
      <c r="D282" s="50" t="str">
        <f t="shared" si="3"/>
        <v/>
      </c>
      <c r="E282" s="51" t="str">
        <f t="shared" ref="E282:T282" si="283">IFERROR(VLOOKUP($A282,INDIRECT("'" &amp; E$1 &amp; "'!$C:$G"), 5, FALSE),"")</f>
        <v/>
      </c>
      <c r="F282" s="51" t="str">
        <f t="shared" si="283"/>
        <v/>
      </c>
      <c r="G282" s="51" t="str">
        <f t="shared" si="283"/>
        <v/>
      </c>
      <c r="H282" s="51" t="str">
        <f t="shared" si="283"/>
        <v/>
      </c>
      <c r="I282" s="51" t="str">
        <f t="shared" si="283"/>
        <v/>
      </c>
      <c r="J282" s="51" t="str">
        <f t="shared" si="283"/>
        <v/>
      </c>
      <c r="K282" s="51" t="str">
        <f t="shared" si="283"/>
        <v/>
      </c>
      <c r="L282" s="51" t="str">
        <f t="shared" si="283"/>
        <v/>
      </c>
      <c r="M282" s="51" t="str">
        <f t="shared" si="283"/>
        <v/>
      </c>
      <c r="N282" s="51" t="str">
        <f t="shared" si="283"/>
        <v/>
      </c>
      <c r="O282" s="51" t="str">
        <f t="shared" si="283"/>
        <v/>
      </c>
      <c r="P282" s="51" t="str">
        <f t="shared" si="283"/>
        <v/>
      </c>
      <c r="Q282" s="51" t="str">
        <f t="shared" si="283"/>
        <v/>
      </c>
      <c r="R282" s="51" t="str">
        <f t="shared" si="283"/>
        <v/>
      </c>
      <c r="S282" s="51" t="str">
        <f t="shared" si="283"/>
        <v/>
      </c>
      <c r="T282" s="51" t="str">
        <f t="shared" si="283"/>
        <v/>
      </c>
      <c r="U282" s="52"/>
      <c r="V282" s="52" t="str">
        <f>IFERROR(__xludf.DUMMYFUNCTION("""COMPUTED_VALUE"""),"")</f>
        <v/>
      </c>
      <c r="W282" s="52" t="str">
        <f>IFERROR(__xludf.DUMMYFUNCTION("""COMPUTED_VALUE"""),"")</f>
        <v/>
      </c>
      <c r="X282" s="52" t="str">
        <f>IFERROR(__xludf.DUMMYFUNCTION("""COMPUTED_VALUE"""),"")</f>
        <v/>
      </c>
      <c r="Y282" s="52" t="str">
        <f>IFERROR(__xludf.DUMMYFUNCTION("""COMPUTED_VALUE"""),"")</f>
        <v/>
      </c>
      <c r="Z282" s="52" t="str">
        <f>IFERROR(__xludf.DUMMYFUNCTION("""COMPUTED_VALUE"""),"")</f>
        <v/>
      </c>
      <c r="AA282" s="52" t="str">
        <f>IFERROR(__xludf.DUMMYFUNCTION("""COMPUTED_VALUE"""),"")</f>
        <v/>
      </c>
      <c r="AB282" s="52" t="str">
        <f>IFERROR(__xludf.DUMMYFUNCTION("""COMPUTED_VALUE"""),"")</f>
        <v/>
      </c>
      <c r="AC282" s="52" t="str">
        <f>IFERROR(__xludf.DUMMYFUNCTION("""COMPUTED_VALUE"""),"")</f>
        <v/>
      </c>
      <c r="AD282" s="52" t="str">
        <f>IFERROR(__xludf.DUMMYFUNCTION("""COMPUTED_VALUE"""),"")</f>
        <v/>
      </c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</row>
    <row r="283">
      <c r="B283" s="49"/>
      <c r="C283" s="49" t="str">
        <f t="shared" si="2"/>
        <v/>
      </c>
      <c r="D283" s="50" t="str">
        <f t="shared" si="3"/>
        <v/>
      </c>
      <c r="E283" s="51" t="str">
        <f t="shared" ref="E283:T283" si="284">IFERROR(VLOOKUP($A283,INDIRECT("'" &amp; E$1 &amp; "'!$C:$G"), 5, FALSE),"")</f>
        <v/>
      </c>
      <c r="F283" s="51" t="str">
        <f t="shared" si="284"/>
        <v/>
      </c>
      <c r="G283" s="51" t="str">
        <f t="shared" si="284"/>
        <v/>
      </c>
      <c r="H283" s="51" t="str">
        <f t="shared" si="284"/>
        <v/>
      </c>
      <c r="I283" s="51" t="str">
        <f t="shared" si="284"/>
        <v/>
      </c>
      <c r="J283" s="51" t="str">
        <f t="shared" si="284"/>
        <v/>
      </c>
      <c r="K283" s="51" t="str">
        <f t="shared" si="284"/>
        <v/>
      </c>
      <c r="L283" s="51" t="str">
        <f t="shared" si="284"/>
        <v/>
      </c>
      <c r="M283" s="51" t="str">
        <f t="shared" si="284"/>
        <v/>
      </c>
      <c r="N283" s="51" t="str">
        <f t="shared" si="284"/>
        <v/>
      </c>
      <c r="O283" s="51" t="str">
        <f t="shared" si="284"/>
        <v/>
      </c>
      <c r="P283" s="51" t="str">
        <f t="shared" si="284"/>
        <v/>
      </c>
      <c r="Q283" s="51" t="str">
        <f t="shared" si="284"/>
        <v/>
      </c>
      <c r="R283" s="51" t="str">
        <f t="shared" si="284"/>
        <v/>
      </c>
      <c r="S283" s="51" t="str">
        <f t="shared" si="284"/>
        <v/>
      </c>
      <c r="T283" s="51" t="str">
        <f t="shared" si="284"/>
        <v/>
      </c>
      <c r="U283" s="52"/>
      <c r="V283" s="52" t="str">
        <f>IFERROR(__xludf.DUMMYFUNCTION("""COMPUTED_VALUE"""),"")</f>
        <v/>
      </c>
      <c r="W283" s="52" t="str">
        <f>IFERROR(__xludf.DUMMYFUNCTION("""COMPUTED_VALUE"""),"")</f>
        <v/>
      </c>
      <c r="X283" s="52" t="str">
        <f>IFERROR(__xludf.DUMMYFUNCTION("""COMPUTED_VALUE"""),"")</f>
        <v/>
      </c>
      <c r="Y283" s="52" t="str">
        <f>IFERROR(__xludf.DUMMYFUNCTION("""COMPUTED_VALUE"""),"")</f>
        <v/>
      </c>
      <c r="Z283" s="52" t="str">
        <f>IFERROR(__xludf.DUMMYFUNCTION("""COMPUTED_VALUE"""),"")</f>
        <v/>
      </c>
      <c r="AA283" s="52" t="str">
        <f>IFERROR(__xludf.DUMMYFUNCTION("""COMPUTED_VALUE"""),"")</f>
        <v/>
      </c>
      <c r="AB283" s="52" t="str">
        <f>IFERROR(__xludf.DUMMYFUNCTION("""COMPUTED_VALUE"""),"")</f>
        <v/>
      </c>
      <c r="AC283" s="52" t="str">
        <f>IFERROR(__xludf.DUMMYFUNCTION("""COMPUTED_VALUE"""),"")</f>
        <v/>
      </c>
      <c r="AD283" s="52" t="str">
        <f>IFERROR(__xludf.DUMMYFUNCTION("""COMPUTED_VALUE"""),"")</f>
        <v/>
      </c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</row>
    <row r="284">
      <c r="B284" s="49"/>
      <c r="C284" s="49" t="str">
        <f t="shared" si="2"/>
        <v/>
      </c>
      <c r="D284" s="50" t="str">
        <f t="shared" si="3"/>
        <v/>
      </c>
      <c r="E284" s="51" t="str">
        <f t="shared" ref="E284:T284" si="285">IFERROR(VLOOKUP($A284,INDIRECT("'" &amp; E$1 &amp; "'!$C:$G"), 5, FALSE),"")</f>
        <v/>
      </c>
      <c r="F284" s="51" t="str">
        <f t="shared" si="285"/>
        <v/>
      </c>
      <c r="G284" s="51" t="str">
        <f t="shared" si="285"/>
        <v/>
      </c>
      <c r="H284" s="51" t="str">
        <f t="shared" si="285"/>
        <v/>
      </c>
      <c r="I284" s="51" t="str">
        <f t="shared" si="285"/>
        <v/>
      </c>
      <c r="J284" s="51" t="str">
        <f t="shared" si="285"/>
        <v/>
      </c>
      <c r="K284" s="51" t="str">
        <f t="shared" si="285"/>
        <v/>
      </c>
      <c r="L284" s="51" t="str">
        <f t="shared" si="285"/>
        <v/>
      </c>
      <c r="M284" s="51" t="str">
        <f t="shared" si="285"/>
        <v/>
      </c>
      <c r="N284" s="51" t="str">
        <f t="shared" si="285"/>
        <v/>
      </c>
      <c r="O284" s="51" t="str">
        <f t="shared" si="285"/>
        <v/>
      </c>
      <c r="P284" s="51" t="str">
        <f t="shared" si="285"/>
        <v/>
      </c>
      <c r="Q284" s="51" t="str">
        <f t="shared" si="285"/>
        <v/>
      </c>
      <c r="R284" s="51" t="str">
        <f t="shared" si="285"/>
        <v/>
      </c>
      <c r="S284" s="51" t="str">
        <f t="shared" si="285"/>
        <v/>
      </c>
      <c r="T284" s="51" t="str">
        <f t="shared" si="285"/>
        <v/>
      </c>
      <c r="U284" s="52"/>
      <c r="V284" s="52" t="str">
        <f>IFERROR(__xludf.DUMMYFUNCTION("""COMPUTED_VALUE"""),"")</f>
        <v/>
      </c>
      <c r="W284" s="52" t="str">
        <f>IFERROR(__xludf.DUMMYFUNCTION("""COMPUTED_VALUE"""),"")</f>
        <v/>
      </c>
      <c r="X284" s="52" t="str">
        <f>IFERROR(__xludf.DUMMYFUNCTION("""COMPUTED_VALUE"""),"")</f>
        <v/>
      </c>
      <c r="Y284" s="52" t="str">
        <f>IFERROR(__xludf.DUMMYFUNCTION("""COMPUTED_VALUE"""),"")</f>
        <v/>
      </c>
      <c r="Z284" s="52" t="str">
        <f>IFERROR(__xludf.DUMMYFUNCTION("""COMPUTED_VALUE"""),"")</f>
        <v/>
      </c>
      <c r="AA284" s="52" t="str">
        <f>IFERROR(__xludf.DUMMYFUNCTION("""COMPUTED_VALUE"""),"")</f>
        <v/>
      </c>
      <c r="AB284" s="52" t="str">
        <f>IFERROR(__xludf.DUMMYFUNCTION("""COMPUTED_VALUE"""),"")</f>
        <v/>
      </c>
      <c r="AC284" s="52" t="str">
        <f>IFERROR(__xludf.DUMMYFUNCTION("""COMPUTED_VALUE"""),"")</f>
        <v/>
      </c>
      <c r="AD284" s="52" t="str">
        <f>IFERROR(__xludf.DUMMYFUNCTION("""COMPUTED_VALUE"""),"")</f>
        <v/>
      </c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</row>
    <row r="285">
      <c r="B285" s="49"/>
      <c r="C285" s="49" t="str">
        <f t="shared" si="2"/>
        <v/>
      </c>
      <c r="D285" s="50" t="str">
        <f t="shared" si="3"/>
        <v/>
      </c>
      <c r="E285" s="51" t="str">
        <f t="shared" ref="E285:T285" si="286">IFERROR(VLOOKUP($A285,INDIRECT("'" &amp; E$1 &amp; "'!$C:$G"), 5, FALSE),"")</f>
        <v/>
      </c>
      <c r="F285" s="51" t="str">
        <f t="shared" si="286"/>
        <v/>
      </c>
      <c r="G285" s="51" t="str">
        <f t="shared" si="286"/>
        <v/>
      </c>
      <c r="H285" s="51" t="str">
        <f t="shared" si="286"/>
        <v/>
      </c>
      <c r="I285" s="51" t="str">
        <f t="shared" si="286"/>
        <v/>
      </c>
      <c r="J285" s="51" t="str">
        <f t="shared" si="286"/>
        <v/>
      </c>
      <c r="K285" s="51" t="str">
        <f t="shared" si="286"/>
        <v/>
      </c>
      <c r="L285" s="51" t="str">
        <f t="shared" si="286"/>
        <v/>
      </c>
      <c r="M285" s="51" t="str">
        <f t="shared" si="286"/>
        <v/>
      </c>
      <c r="N285" s="51" t="str">
        <f t="shared" si="286"/>
        <v/>
      </c>
      <c r="O285" s="51" t="str">
        <f t="shared" si="286"/>
        <v/>
      </c>
      <c r="P285" s="51" t="str">
        <f t="shared" si="286"/>
        <v/>
      </c>
      <c r="Q285" s="51" t="str">
        <f t="shared" si="286"/>
        <v/>
      </c>
      <c r="R285" s="51" t="str">
        <f t="shared" si="286"/>
        <v/>
      </c>
      <c r="S285" s="51" t="str">
        <f t="shared" si="286"/>
        <v/>
      </c>
      <c r="T285" s="51" t="str">
        <f t="shared" si="286"/>
        <v/>
      </c>
      <c r="U285" s="52"/>
      <c r="V285" s="52" t="str">
        <f>IFERROR(__xludf.DUMMYFUNCTION("""COMPUTED_VALUE"""),"")</f>
        <v/>
      </c>
      <c r="W285" s="52" t="str">
        <f>IFERROR(__xludf.DUMMYFUNCTION("""COMPUTED_VALUE"""),"")</f>
        <v/>
      </c>
      <c r="X285" s="52" t="str">
        <f>IFERROR(__xludf.DUMMYFUNCTION("""COMPUTED_VALUE"""),"")</f>
        <v/>
      </c>
      <c r="Y285" s="52" t="str">
        <f>IFERROR(__xludf.DUMMYFUNCTION("""COMPUTED_VALUE"""),"")</f>
        <v/>
      </c>
      <c r="Z285" s="52" t="str">
        <f>IFERROR(__xludf.DUMMYFUNCTION("""COMPUTED_VALUE"""),"")</f>
        <v/>
      </c>
      <c r="AA285" s="52" t="str">
        <f>IFERROR(__xludf.DUMMYFUNCTION("""COMPUTED_VALUE"""),"")</f>
        <v/>
      </c>
      <c r="AB285" s="52" t="str">
        <f>IFERROR(__xludf.DUMMYFUNCTION("""COMPUTED_VALUE"""),"")</f>
        <v/>
      </c>
      <c r="AC285" s="52" t="str">
        <f>IFERROR(__xludf.DUMMYFUNCTION("""COMPUTED_VALUE"""),"")</f>
        <v/>
      </c>
      <c r="AD285" s="52" t="str">
        <f>IFERROR(__xludf.DUMMYFUNCTION("""COMPUTED_VALUE"""),"")</f>
        <v/>
      </c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</row>
    <row r="286">
      <c r="B286" s="49"/>
      <c r="C286" s="49" t="str">
        <f t="shared" si="2"/>
        <v/>
      </c>
      <c r="D286" s="50" t="str">
        <f t="shared" si="3"/>
        <v/>
      </c>
      <c r="E286" s="51" t="str">
        <f t="shared" ref="E286:T286" si="287">IFERROR(VLOOKUP($A286,INDIRECT("'" &amp; E$1 &amp; "'!$C:$G"), 5, FALSE),"")</f>
        <v/>
      </c>
      <c r="F286" s="51" t="str">
        <f t="shared" si="287"/>
        <v/>
      </c>
      <c r="G286" s="51" t="str">
        <f t="shared" si="287"/>
        <v/>
      </c>
      <c r="H286" s="51" t="str">
        <f t="shared" si="287"/>
        <v/>
      </c>
      <c r="I286" s="51" t="str">
        <f t="shared" si="287"/>
        <v/>
      </c>
      <c r="J286" s="51" t="str">
        <f t="shared" si="287"/>
        <v/>
      </c>
      <c r="K286" s="51" t="str">
        <f t="shared" si="287"/>
        <v/>
      </c>
      <c r="L286" s="51" t="str">
        <f t="shared" si="287"/>
        <v/>
      </c>
      <c r="M286" s="51" t="str">
        <f t="shared" si="287"/>
        <v/>
      </c>
      <c r="N286" s="51" t="str">
        <f t="shared" si="287"/>
        <v/>
      </c>
      <c r="O286" s="51" t="str">
        <f t="shared" si="287"/>
        <v/>
      </c>
      <c r="P286" s="51" t="str">
        <f t="shared" si="287"/>
        <v/>
      </c>
      <c r="Q286" s="51" t="str">
        <f t="shared" si="287"/>
        <v/>
      </c>
      <c r="R286" s="51" t="str">
        <f t="shared" si="287"/>
        <v/>
      </c>
      <c r="S286" s="51" t="str">
        <f t="shared" si="287"/>
        <v/>
      </c>
      <c r="T286" s="51" t="str">
        <f t="shared" si="287"/>
        <v/>
      </c>
      <c r="U286" s="52"/>
      <c r="V286" s="52" t="str">
        <f>IFERROR(__xludf.DUMMYFUNCTION("""COMPUTED_VALUE"""),"")</f>
        <v/>
      </c>
      <c r="W286" s="52" t="str">
        <f>IFERROR(__xludf.DUMMYFUNCTION("""COMPUTED_VALUE"""),"")</f>
        <v/>
      </c>
      <c r="X286" s="52" t="str">
        <f>IFERROR(__xludf.DUMMYFUNCTION("""COMPUTED_VALUE"""),"")</f>
        <v/>
      </c>
      <c r="Y286" s="52" t="str">
        <f>IFERROR(__xludf.DUMMYFUNCTION("""COMPUTED_VALUE"""),"")</f>
        <v/>
      </c>
      <c r="Z286" s="52" t="str">
        <f>IFERROR(__xludf.DUMMYFUNCTION("""COMPUTED_VALUE"""),"")</f>
        <v/>
      </c>
      <c r="AA286" s="52" t="str">
        <f>IFERROR(__xludf.DUMMYFUNCTION("""COMPUTED_VALUE"""),"")</f>
        <v/>
      </c>
      <c r="AB286" s="52" t="str">
        <f>IFERROR(__xludf.DUMMYFUNCTION("""COMPUTED_VALUE"""),"")</f>
        <v/>
      </c>
      <c r="AC286" s="52" t="str">
        <f>IFERROR(__xludf.DUMMYFUNCTION("""COMPUTED_VALUE"""),"")</f>
        <v/>
      </c>
      <c r="AD286" s="52" t="str">
        <f>IFERROR(__xludf.DUMMYFUNCTION("""COMPUTED_VALUE"""),"")</f>
        <v/>
      </c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</row>
    <row r="287">
      <c r="B287" s="49"/>
      <c r="C287" s="49" t="str">
        <f t="shared" si="2"/>
        <v/>
      </c>
      <c r="D287" s="50" t="str">
        <f t="shared" si="3"/>
        <v/>
      </c>
      <c r="E287" s="51" t="str">
        <f t="shared" ref="E287:T287" si="288">IFERROR(VLOOKUP($A287,INDIRECT("'" &amp; E$1 &amp; "'!$C:$G"), 5, FALSE),"")</f>
        <v/>
      </c>
      <c r="F287" s="51" t="str">
        <f t="shared" si="288"/>
        <v/>
      </c>
      <c r="G287" s="51" t="str">
        <f t="shared" si="288"/>
        <v/>
      </c>
      <c r="H287" s="51" t="str">
        <f t="shared" si="288"/>
        <v/>
      </c>
      <c r="I287" s="51" t="str">
        <f t="shared" si="288"/>
        <v/>
      </c>
      <c r="J287" s="51" t="str">
        <f t="shared" si="288"/>
        <v/>
      </c>
      <c r="K287" s="51" t="str">
        <f t="shared" si="288"/>
        <v/>
      </c>
      <c r="L287" s="51" t="str">
        <f t="shared" si="288"/>
        <v/>
      </c>
      <c r="M287" s="51" t="str">
        <f t="shared" si="288"/>
        <v/>
      </c>
      <c r="N287" s="51" t="str">
        <f t="shared" si="288"/>
        <v/>
      </c>
      <c r="O287" s="51" t="str">
        <f t="shared" si="288"/>
        <v/>
      </c>
      <c r="P287" s="51" t="str">
        <f t="shared" si="288"/>
        <v/>
      </c>
      <c r="Q287" s="51" t="str">
        <f t="shared" si="288"/>
        <v/>
      </c>
      <c r="R287" s="51" t="str">
        <f t="shared" si="288"/>
        <v/>
      </c>
      <c r="S287" s="51" t="str">
        <f t="shared" si="288"/>
        <v/>
      </c>
      <c r="T287" s="51" t="str">
        <f t="shared" si="288"/>
        <v/>
      </c>
      <c r="U287" s="52"/>
      <c r="V287" s="52" t="str">
        <f>IFERROR(__xludf.DUMMYFUNCTION("""COMPUTED_VALUE"""),"")</f>
        <v/>
      </c>
      <c r="W287" s="52" t="str">
        <f>IFERROR(__xludf.DUMMYFUNCTION("""COMPUTED_VALUE"""),"")</f>
        <v/>
      </c>
      <c r="X287" s="52" t="str">
        <f>IFERROR(__xludf.DUMMYFUNCTION("""COMPUTED_VALUE"""),"")</f>
        <v/>
      </c>
      <c r="Y287" s="52" t="str">
        <f>IFERROR(__xludf.DUMMYFUNCTION("""COMPUTED_VALUE"""),"")</f>
        <v/>
      </c>
      <c r="Z287" s="52" t="str">
        <f>IFERROR(__xludf.DUMMYFUNCTION("""COMPUTED_VALUE"""),"")</f>
        <v/>
      </c>
      <c r="AA287" s="52" t="str">
        <f>IFERROR(__xludf.DUMMYFUNCTION("""COMPUTED_VALUE"""),"")</f>
        <v/>
      </c>
      <c r="AB287" s="52" t="str">
        <f>IFERROR(__xludf.DUMMYFUNCTION("""COMPUTED_VALUE"""),"")</f>
        <v/>
      </c>
      <c r="AC287" s="52" t="str">
        <f>IFERROR(__xludf.DUMMYFUNCTION("""COMPUTED_VALUE"""),"")</f>
        <v/>
      </c>
      <c r="AD287" s="52" t="str">
        <f>IFERROR(__xludf.DUMMYFUNCTION("""COMPUTED_VALUE"""),"")</f>
        <v/>
      </c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</row>
    <row r="288">
      <c r="B288" s="49"/>
      <c r="C288" s="49" t="str">
        <f t="shared" si="2"/>
        <v/>
      </c>
      <c r="D288" s="50" t="str">
        <f t="shared" si="3"/>
        <v/>
      </c>
      <c r="E288" s="51" t="str">
        <f t="shared" ref="E288:T288" si="289">IFERROR(VLOOKUP($A288,INDIRECT("'" &amp; E$1 &amp; "'!$C:$G"), 5, FALSE),"")</f>
        <v/>
      </c>
      <c r="F288" s="51" t="str">
        <f t="shared" si="289"/>
        <v/>
      </c>
      <c r="G288" s="51" t="str">
        <f t="shared" si="289"/>
        <v/>
      </c>
      <c r="H288" s="51" t="str">
        <f t="shared" si="289"/>
        <v/>
      </c>
      <c r="I288" s="51" t="str">
        <f t="shared" si="289"/>
        <v/>
      </c>
      <c r="J288" s="51" t="str">
        <f t="shared" si="289"/>
        <v/>
      </c>
      <c r="K288" s="51" t="str">
        <f t="shared" si="289"/>
        <v/>
      </c>
      <c r="L288" s="51" t="str">
        <f t="shared" si="289"/>
        <v/>
      </c>
      <c r="M288" s="51" t="str">
        <f t="shared" si="289"/>
        <v/>
      </c>
      <c r="N288" s="51" t="str">
        <f t="shared" si="289"/>
        <v/>
      </c>
      <c r="O288" s="51" t="str">
        <f t="shared" si="289"/>
        <v/>
      </c>
      <c r="P288" s="51" t="str">
        <f t="shared" si="289"/>
        <v/>
      </c>
      <c r="Q288" s="51" t="str">
        <f t="shared" si="289"/>
        <v/>
      </c>
      <c r="R288" s="51" t="str">
        <f t="shared" si="289"/>
        <v/>
      </c>
      <c r="S288" s="51" t="str">
        <f t="shared" si="289"/>
        <v/>
      </c>
      <c r="T288" s="51" t="str">
        <f t="shared" si="289"/>
        <v/>
      </c>
      <c r="U288" s="52"/>
      <c r="V288" s="52" t="str">
        <f>IFERROR(__xludf.DUMMYFUNCTION("""COMPUTED_VALUE"""),"")</f>
        <v/>
      </c>
      <c r="W288" s="52" t="str">
        <f>IFERROR(__xludf.DUMMYFUNCTION("""COMPUTED_VALUE"""),"")</f>
        <v/>
      </c>
      <c r="X288" s="52" t="str">
        <f>IFERROR(__xludf.DUMMYFUNCTION("""COMPUTED_VALUE"""),"")</f>
        <v/>
      </c>
      <c r="Y288" s="52" t="str">
        <f>IFERROR(__xludf.DUMMYFUNCTION("""COMPUTED_VALUE"""),"")</f>
        <v/>
      </c>
      <c r="Z288" s="52" t="str">
        <f>IFERROR(__xludf.DUMMYFUNCTION("""COMPUTED_VALUE"""),"")</f>
        <v/>
      </c>
      <c r="AA288" s="52" t="str">
        <f>IFERROR(__xludf.DUMMYFUNCTION("""COMPUTED_VALUE"""),"")</f>
        <v/>
      </c>
      <c r="AB288" s="52" t="str">
        <f>IFERROR(__xludf.DUMMYFUNCTION("""COMPUTED_VALUE"""),"")</f>
        <v/>
      </c>
      <c r="AC288" s="52" t="str">
        <f>IFERROR(__xludf.DUMMYFUNCTION("""COMPUTED_VALUE"""),"")</f>
        <v/>
      </c>
      <c r="AD288" s="52" t="str">
        <f>IFERROR(__xludf.DUMMYFUNCTION("""COMPUTED_VALUE"""),"")</f>
        <v/>
      </c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</row>
    <row r="289">
      <c r="B289" s="49"/>
      <c r="C289" s="49" t="str">
        <f t="shared" si="2"/>
        <v/>
      </c>
      <c r="D289" s="50" t="str">
        <f t="shared" si="3"/>
        <v/>
      </c>
      <c r="E289" s="51" t="str">
        <f t="shared" ref="E289:T289" si="290">IFERROR(VLOOKUP($A289,INDIRECT("'" &amp; E$1 &amp; "'!$C:$G"), 5, FALSE),"")</f>
        <v/>
      </c>
      <c r="F289" s="51" t="str">
        <f t="shared" si="290"/>
        <v/>
      </c>
      <c r="G289" s="51" t="str">
        <f t="shared" si="290"/>
        <v/>
      </c>
      <c r="H289" s="51" t="str">
        <f t="shared" si="290"/>
        <v/>
      </c>
      <c r="I289" s="51" t="str">
        <f t="shared" si="290"/>
        <v/>
      </c>
      <c r="J289" s="51" t="str">
        <f t="shared" si="290"/>
        <v/>
      </c>
      <c r="K289" s="51" t="str">
        <f t="shared" si="290"/>
        <v/>
      </c>
      <c r="L289" s="51" t="str">
        <f t="shared" si="290"/>
        <v/>
      </c>
      <c r="M289" s="51" t="str">
        <f t="shared" si="290"/>
        <v/>
      </c>
      <c r="N289" s="51" t="str">
        <f t="shared" si="290"/>
        <v/>
      </c>
      <c r="O289" s="51" t="str">
        <f t="shared" si="290"/>
        <v/>
      </c>
      <c r="P289" s="51" t="str">
        <f t="shared" si="290"/>
        <v/>
      </c>
      <c r="Q289" s="51" t="str">
        <f t="shared" si="290"/>
        <v/>
      </c>
      <c r="R289" s="51" t="str">
        <f t="shared" si="290"/>
        <v/>
      </c>
      <c r="S289" s="51" t="str">
        <f t="shared" si="290"/>
        <v/>
      </c>
      <c r="T289" s="51" t="str">
        <f t="shared" si="290"/>
        <v/>
      </c>
      <c r="U289" s="52"/>
      <c r="V289" s="52" t="str">
        <f>IFERROR(__xludf.DUMMYFUNCTION("""COMPUTED_VALUE"""),"")</f>
        <v/>
      </c>
      <c r="W289" s="52" t="str">
        <f>IFERROR(__xludf.DUMMYFUNCTION("""COMPUTED_VALUE"""),"")</f>
        <v/>
      </c>
      <c r="X289" s="52" t="str">
        <f>IFERROR(__xludf.DUMMYFUNCTION("""COMPUTED_VALUE"""),"")</f>
        <v/>
      </c>
      <c r="Y289" s="52" t="str">
        <f>IFERROR(__xludf.DUMMYFUNCTION("""COMPUTED_VALUE"""),"")</f>
        <v/>
      </c>
      <c r="Z289" s="52" t="str">
        <f>IFERROR(__xludf.DUMMYFUNCTION("""COMPUTED_VALUE"""),"")</f>
        <v/>
      </c>
      <c r="AA289" s="52" t="str">
        <f>IFERROR(__xludf.DUMMYFUNCTION("""COMPUTED_VALUE"""),"")</f>
        <v/>
      </c>
      <c r="AB289" s="52" t="str">
        <f>IFERROR(__xludf.DUMMYFUNCTION("""COMPUTED_VALUE"""),"")</f>
        <v/>
      </c>
      <c r="AC289" s="52" t="str">
        <f>IFERROR(__xludf.DUMMYFUNCTION("""COMPUTED_VALUE"""),"")</f>
        <v/>
      </c>
      <c r="AD289" s="52" t="str">
        <f>IFERROR(__xludf.DUMMYFUNCTION("""COMPUTED_VALUE"""),"")</f>
        <v/>
      </c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</row>
    <row r="290">
      <c r="B290" s="49"/>
      <c r="C290" s="49" t="str">
        <f t="shared" si="2"/>
        <v/>
      </c>
      <c r="D290" s="50" t="str">
        <f t="shared" si="3"/>
        <v/>
      </c>
      <c r="E290" s="51" t="str">
        <f t="shared" ref="E290:T290" si="291">IFERROR(VLOOKUP($A290,INDIRECT("'" &amp; E$1 &amp; "'!$C:$G"), 5, FALSE),"")</f>
        <v/>
      </c>
      <c r="F290" s="51" t="str">
        <f t="shared" si="291"/>
        <v/>
      </c>
      <c r="G290" s="51" t="str">
        <f t="shared" si="291"/>
        <v/>
      </c>
      <c r="H290" s="51" t="str">
        <f t="shared" si="291"/>
        <v/>
      </c>
      <c r="I290" s="51" t="str">
        <f t="shared" si="291"/>
        <v/>
      </c>
      <c r="J290" s="51" t="str">
        <f t="shared" si="291"/>
        <v/>
      </c>
      <c r="K290" s="51" t="str">
        <f t="shared" si="291"/>
        <v/>
      </c>
      <c r="L290" s="51" t="str">
        <f t="shared" si="291"/>
        <v/>
      </c>
      <c r="M290" s="51" t="str">
        <f t="shared" si="291"/>
        <v/>
      </c>
      <c r="N290" s="51" t="str">
        <f t="shared" si="291"/>
        <v/>
      </c>
      <c r="O290" s="51" t="str">
        <f t="shared" si="291"/>
        <v/>
      </c>
      <c r="P290" s="51" t="str">
        <f t="shared" si="291"/>
        <v/>
      </c>
      <c r="Q290" s="51" t="str">
        <f t="shared" si="291"/>
        <v/>
      </c>
      <c r="R290" s="51" t="str">
        <f t="shared" si="291"/>
        <v/>
      </c>
      <c r="S290" s="51" t="str">
        <f t="shared" si="291"/>
        <v/>
      </c>
      <c r="T290" s="51" t="str">
        <f t="shared" si="291"/>
        <v/>
      </c>
      <c r="U290" s="52"/>
      <c r="V290" s="52" t="str">
        <f>IFERROR(__xludf.DUMMYFUNCTION("""COMPUTED_VALUE"""),"")</f>
        <v/>
      </c>
      <c r="W290" s="52" t="str">
        <f>IFERROR(__xludf.DUMMYFUNCTION("""COMPUTED_VALUE"""),"")</f>
        <v/>
      </c>
      <c r="X290" s="52" t="str">
        <f>IFERROR(__xludf.DUMMYFUNCTION("""COMPUTED_VALUE"""),"")</f>
        <v/>
      </c>
      <c r="Y290" s="52" t="str">
        <f>IFERROR(__xludf.DUMMYFUNCTION("""COMPUTED_VALUE"""),"")</f>
        <v/>
      </c>
      <c r="Z290" s="52" t="str">
        <f>IFERROR(__xludf.DUMMYFUNCTION("""COMPUTED_VALUE"""),"")</f>
        <v/>
      </c>
      <c r="AA290" s="52" t="str">
        <f>IFERROR(__xludf.DUMMYFUNCTION("""COMPUTED_VALUE"""),"")</f>
        <v/>
      </c>
      <c r="AB290" s="52" t="str">
        <f>IFERROR(__xludf.DUMMYFUNCTION("""COMPUTED_VALUE"""),"")</f>
        <v/>
      </c>
      <c r="AC290" s="52" t="str">
        <f>IFERROR(__xludf.DUMMYFUNCTION("""COMPUTED_VALUE"""),"")</f>
        <v/>
      </c>
      <c r="AD290" s="52" t="str">
        <f>IFERROR(__xludf.DUMMYFUNCTION("""COMPUTED_VALUE"""),"")</f>
        <v/>
      </c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</row>
    <row r="291">
      <c r="B291" s="49"/>
      <c r="C291" s="49" t="str">
        <f t="shared" si="2"/>
        <v/>
      </c>
      <c r="D291" s="50" t="str">
        <f t="shared" si="3"/>
        <v/>
      </c>
      <c r="E291" s="51" t="str">
        <f t="shared" ref="E291:T291" si="292">IFERROR(VLOOKUP($A291,INDIRECT("'" &amp; E$1 &amp; "'!$C:$G"), 5, FALSE),"")</f>
        <v/>
      </c>
      <c r="F291" s="51" t="str">
        <f t="shared" si="292"/>
        <v/>
      </c>
      <c r="G291" s="51" t="str">
        <f t="shared" si="292"/>
        <v/>
      </c>
      <c r="H291" s="51" t="str">
        <f t="shared" si="292"/>
        <v/>
      </c>
      <c r="I291" s="51" t="str">
        <f t="shared" si="292"/>
        <v/>
      </c>
      <c r="J291" s="51" t="str">
        <f t="shared" si="292"/>
        <v/>
      </c>
      <c r="K291" s="51" t="str">
        <f t="shared" si="292"/>
        <v/>
      </c>
      <c r="L291" s="51" t="str">
        <f t="shared" si="292"/>
        <v/>
      </c>
      <c r="M291" s="51" t="str">
        <f t="shared" si="292"/>
        <v/>
      </c>
      <c r="N291" s="51" t="str">
        <f t="shared" si="292"/>
        <v/>
      </c>
      <c r="O291" s="51" t="str">
        <f t="shared" si="292"/>
        <v/>
      </c>
      <c r="P291" s="51" t="str">
        <f t="shared" si="292"/>
        <v/>
      </c>
      <c r="Q291" s="51" t="str">
        <f t="shared" si="292"/>
        <v/>
      </c>
      <c r="R291" s="51" t="str">
        <f t="shared" si="292"/>
        <v/>
      </c>
      <c r="S291" s="51" t="str">
        <f t="shared" si="292"/>
        <v/>
      </c>
      <c r="T291" s="51" t="str">
        <f t="shared" si="292"/>
        <v/>
      </c>
      <c r="U291" s="52"/>
      <c r="V291" s="52" t="str">
        <f>IFERROR(__xludf.DUMMYFUNCTION("""COMPUTED_VALUE"""),"")</f>
        <v/>
      </c>
      <c r="W291" s="52" t="str">
        <f>IFERROR(__xludf.DUMMYFUNCTION("""COMPUTED_VALUE"""),"")</f>
        <v/>
      </c>
      <c r="X291" s="52" t="str">
        <f>IFERROR(__xludf.DUMMYFUNCTION("""COMPUTED_VALUE"""),"")</f>
        <v/>
      </c>
      <c r="Y291" s="52" t="str">
        <f>IFERROR(__xludf.DUMMYFUNCTION("""COMPUTED_VALUE"""),"")</f>
        <v/>
      </c>
      <c r="Z291" s="52" t="str">
        <f>IFERROR(__xludf.DUMMYFUNCTION("""COMPUTED_VALUE"""),"")</f>
        <v/>
      </c>
      <c r="AA291" s="52" t="str">
        <f>IFERROR(__xludf.DUMMYFUNCTION("""COMPUTED_VALUE"""),"")</f>
        <v/>
      </c>
      <c r="AB291" s="52" t="str">
        <f>IFERROR(__xludf.DUMMYFUNCTION("""COMPUTED_VALUE"""),"")</f>
        <v/>
      </c>
      <c r="AC291" s="52" t="str">
        <f>IFERROR(__xludf.DUMMYFUNCTION("""COMPUTED_VALUE"""),"")</f>
        <v/>
      </c>
      <c r="AD291" s="52" t="str">
        <f>IFERROR(__xludf.DUMMYFUNCTION("""COMPUTED_VALUE"""),"")</f>
        <v/>
      </c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</row>
    <row r="292">
      <c r="B292" s="49"/>
      <c r="C292" s="49" t="str">
        <f t="shared" si="2"/>
        <v/>
      </c>
      <c r="D292" s="50" t="str">
        <f t="shared" si="3"/>
        <v/>
      </c>
      <c r="E292" s="51" t="str">
        <f t="shared" ref="E292:T292" si="293">IFERROR(VLOOKUP($A292,INDIRECT("'" &amp; E$1 &amp; "'!$C:$G"), 5, FALSE),"")</f>
        <v/>
      </c>
      <c r="F292" s="51" t="str">
        <f t="shared" si="293"/>
        <v/>
      </c>
      <c r="G292" s="51" t="str">
        <f t="shared" si="293"/>
        <v/>
      </c>
      <c r="H292" s="51" t="str">
        <f t="shared" si="293"/>
        <v/>
      </c>
      <c r="I292" s="51" t="str">
        <f t="shared" si="293"/>
        <v/>
      </c>
      <c r="J292" s="51" t="str">
        <f t="shared" si="293"/>
        <v/>
      </c>
      <c r="K292" s="51" t="str">
        <f t="shared" si="293"/>
        <v/>
      </c>
      <c r="L292" s="51" t="str">
        <f t="shared" si="293"/>
        <v/>
      </c>
      <c r="M292" s="51" t="str">
        <f t="shared" si="293"/>
        <v/>
      </c>
      <c r="N292" s="51" t="str">
        <f t="shared" si="293"/>
        <v/>
      </c>
      <c r="O292" s="51" t="str">
        <f t="shared" si="293"/>
        <v/>
      </c>
      <c r="P292" s="51" t="str">
        <f t="shared" si="293"/>
        <v/>
      </c>
      <c r="Q292" s="51" t="str">
        <f t="shared" si="293"/>
        <v/>
      </c>
      <c r="R292" s="51" t="str">
        <f t="shared" si="293"/>
        <v/>
      </c>
      <c r="S292" s="51" t="str">
        <f t="shared" si="293"/>
        <v/>
      </c>
      <c r="T292" s="51" t="str">
        <f t="shared" si="293"/>
        <v/>
      </c>
      <c r="U292" s="52"/>
      <c r="V292" s="52" t="str">
        <f>IFERROR(__xludf.DUMMYFUNCTION("""COMPUTED_VALUE"""),"")</f>
        <v/>
      </c>
      <c r="W292" s="52" t="str">
        <f>IFERROR(__xludf.DUMMYFUNCTION("""COMPUTED_VALUE"""),"")</f>
        <v/>
      </c>
      <c r="X292" s="52" t="str">
        <f>IFERROR(__xludf.DUMMYFUNCTION("""COMPUTED_VALUE"""),"")</f>
        <v/>
      </c>
      <c r="Y292" s="52" t="str">
        <f>IFERROR(__xludf.DUMMYFUNCTION("""COMPUTED_VALUE"""),"")</f>
        <v/>
      </c>
      <c r="Z292" s="52" t="str">
        <f>IFERROR(__xludf.DUMMYFUNCTION("""COMPUTED_VALUE"""),"")</f>
        <v/>
      </c>
      <c r="AA292" s="52" t="str">
        <f>IFERROR(__xludf.DUMMYFUNCTION("""COMPUTED_VALUE"""),"")</f>
        <v/>
      </c>
      <c r="AB292" s="52" t="str">
        <f>IFERROR(__xludf.DUMMYFUNCTION("""COMPUTED_VALUE"""),"")</f>
        <v/>
      </c>
      <c r="AC292" s="52" t="str">
        <f>IFERROR(__xludf.DUMMYFUNCTION("""COMPUTED_VALUE"""),"")</f>
        <v/>
      </c>
      <c r="AD292" s="52" t="str">
        <f>IFERROR(__xludf.DUMMYFUNCTION("""COMPUTED_VALUE"""),"")</f>
        <v/>
      </c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</row>
    <row r="293">
      <c r="B293" s="49"/>
      <c r="C293" s="49" t="str">
        <f t="shared" si="2"/>
        <v/>
      </c>
      <c r="D293" s="50" t="str">
        <f t="shared" si="3"/>
        <v/>
      </c>
      <c r="E293" s="51" t="str">
        <f t="shared" ref="E293:T293" si="294">IFERROR(VLOOKUP($A293,INDIRECT("'" &amp; E$1 &amp; "'!$C:$G"), 5, FALSE),"")</f>
        <v/>
      </c>
      <c r="F293" s="51" t="str">
        <f t="shared" si="294"/>
        <v/>
      </c>
      <c r="G293" s="51" t="str">
        <f t="shared" si="294"/>
        <v/>
      </c>
      <c r="H293" s="51" t="str">
        <f t="shared" si="294"/>
        <v/>
      </c>
      <c r="I293" s="51" t="str">
        <f t="shared" si="294"/>
        <v/>
      </c>
      <c r="J293" s="51" t="str">
        <f t="shared" si="294"/>
        <v/>
      </c>
      <c r="K293" s="51" t="str">
        <f t="shared" si="294"/>
        <v/>
      </c>
      <c r="L293" s="51" t="str">
        <f t="shared" si="294"/>
        <v/>
      </c>
      <c r="M293" s="51" t="str">
        <f t="shared" si="294"/>
        <v/>
      </c>
      <c r="N293" s="51" t="str">
        <f t="shared" si="294"/>
        <v/>
      </c>
      <c r="O293" s="51" t="str">
        <f t="shared" si="294"/>
        <v/>
      </c>
      <c r="P293" s="51" t="str">
        <f t="shared" si="294"/>
        <v/>
      </c>
      <c r="Q293" s="51" t="str">
        <f t="shared" si="294"/>
        <v/>
      </c>
      <c r="R293" s="51" t="str">
        <f t="shared" si="294"/>
        <v/>
      </c>
      <c r="S293" s="51" t="str">
        <f t="shared" si="294"/>
        <v/>
      </c>
      <c r="T293" s="51" t="str">
        <f t="shared" si="294"/>
        <v/>
      </c>
      <c r="U293" s="52"/>
      <c r="V293" s="52" t="str">
        <f>IFERROR(__xludf.DUMMYFUNCTION("""COMPUTED_VALUE"""),"")</f>
        <v/>
      </c>
      <c r="W293" s="52" t="str">
        <f>IFERROR(__xludf.DUMMYFUNCTION("""COMPUTED_VALUE"""),"")</f>
        <v/>
      </c>
      <c r="X293" s="52" t="str">
        <f>IFERROR(__xludf.DUMMYFUNCTION("""COMPUTED_VALUE"""),"")</f>
        <v/>
      </c>
      <c r="Y293" s="52" t="str">
        <f>IFERROR(__xludf.DUMMYFUNCTION("""COMPUTED_VALUE"""),"")</f>
        <v/>
      </c>
      <c r="Z293" s="52" t="str">
        <f>IFERROR(__xludf.DUMMYFUNCTION("""COMPUTED_VALUE"""),"")</f>
        <v/>
      </c>
      <c r="AA293" s="52" t="str">
        <f>IFERROR(__xludf.DUMMYFUNCTION("""COMPUTED_VALUE"""),"")</f>
        <v/>
      </c>
      <c r="AB293" s="52" t="str">
        <f>IFERROR(__xludf.DUMMYFUNCTION("""COMPUTED_VALUE"""),"")</f>
        <v/>
      </c>
      <c r="AC293" s="52" t="str">
        <f>IFERROR(__xludf.DUMMYFUNCTION("""COMPUTED_VALUE"""),"")</f>
        <v/>
      </c>
      <c r="AD293" s="52" t="str">
        <f>IFERROR(__xludf.DUMMYFUNCTION("""COMPUTED_VALUE"""),"")</f>
        <v/>
      </c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</row>
    <row r="294">
      <c r="B294" s="49"/>
      <c r="C294" s="49" t="str">
        <f t="shared" si="2"/>
        <v/>
      </c>
      <c r="D294" s="50" t="str">
        <f t="shared" si="3"/>
        <v/>
      </c>
      <c r="E294" s="51" t="str">
        <f t="shared" ref="E294:T294" si="295">IFERROR(VLOOKUP($A294,INDIRECT("'" &amp; E$1 &amp; "'!$C:$G"), 5, FALSE),"")</f>
        <v/>
      </c>
      <c r="F294" s="51" t="str">
        <f t="shared" si="295"/>
        <v/>
      </c>
      <c r="G294" s="51" t="str">
        <f t="shared" si="295"/>
        <v/>
      </c>
      <c r="H294" s="51" t="str">
        <f t="shared" si="295"/>
        <v/>
      </c>
      <c r="I294" s="51" t="str">
        <f t="shared" si="295"/>
        <v/>
      </c>
      <c r="J294" s="51" t="str">
        <f t="shared" si="295"/>
        <v/>
      </c>
      <c r="K294" s="51" t="str">
        <f t="shared" si="295"/>
        <v/>
      </c>
      <c r="L294" s="51" t="str">
        <f t="shared" si="295"/>
        <v/>
      </c>
      <c r="M294" s="51" t="str">
        <f t="shared" si="295"/>
        <v/>
      </c>
      <c r="N294" s="51" t="str">
        <f t="shared" si="295"/>
        <v/>
      </c>
      <c r="O294" s="51" t="str">
        <f t="shared" si="295"/>
        <v/>
      </c>
      <c r="P294" s="51" t="str">
        <f t="shared" si="295"/>
        <v/>
      </c>
      <c r="Q294" s="51" t="str">
        <f t="shared" si="295"/>
        <v/>
      </c>
      <c r="R294" s="51" t="str">
        <f t="shared" si="295"/>
        <v/>
      </c>
      <c r="S294" s="51" t="str">
        <f t="shared" si="295"/>
        <v/>
      </c>
      <c r="T294" s="51" t="str">
        <f t="shared" si="295"/>
        <v/>
      </c>
      <c r="U294" s="52"/>
      <c r="V294" s="52" t="str">
        <f>IFERROR(__xludf.DUMMYFUNCTION("""COMPUTED_VALUE"""),"")</f>
        <v/>
      </c>
      <c r="W294" s="52" t="str">
        <f>IFERROR(__xludf.DUMMYFUNCTION("""COMPUTED_VALUE"""),"")</f>
        <v/>
      </c>
      <c r="X294" s="52" t="str">
        <f>IFERROR(__xludf.DUMMYFUNCTION("""COMPUTED_VALUE"""),"")</f>
        <v/>
      </c>
      <c r="Y294" s="52" t="str">
        <f>IFERROR(__xludf.DUMMYFUNCTION("""COMPUTED_VALUE"""),"")</f>
        <v/>
      </c>
      <c r="Z294" s="52" t="str">
        <f>IFERROR(__xludf.DUMMYFUNCTION("""COMPUTED_VALUE"""),"")</f>
        <v/>
      </c>
      <c r="AA294" s="52" t="str">
        <f>IFERROR(__xludf.DUMMYFUNCTION("""COMPUTED_VALUE"""),"")</f>
        <v/>
      </c>
      <c r="AB294" s="52" t="str">
        <f>IFERROR(__xludf.DUMMYFUNCTION("""COMPUTED_VALUE"""),"")</f>
        <v/>
      </c>
      <c r="AC294" s="52" t="str">
        <f>IFERROR(__xludf.DUMMYFUNCTION("""COMPUTED_VALUE"""),"")</f>
        <v/>
      </c>
      <c r="AD294" s="52" t="str">
        <f>IFERROR(__xludf.DUMMYFUNCTION("""COMPUTED_VALUE"""),"")</f>
        <v/>
      </c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</row>
    <row r="295">
      <c r="B295" s="49"/>
      <c r="C295" s="49" t="str">
        <f t="shared" si="2"/>
        <v/>
      </c>
      <c r="D295" s="50" t="str">
        <f t="shared" si="3"/>
        <v/>
      </c>
      <c r="E295" s="51" t="str">
        <f t="shared" ref="E295:T295" si="296">IFERROR(VLOOKUP($A295,INDIRECT("'" &amp; E$1 &amp; "'!$C:$G"), 5, FALSE),"")</f>
        <v/>
      </c>
      <c r="F295" s="51" t="str">
        <f t="shared" si="296"/>
        <v/>
      </c>
      <c r="G295" s="51" t="str">
        <f t="shared" si="296"/>
        <v/>
      </c>
      <c r="H295" s="51" t="str">
        <f t="shared" si="296"/>
        <v/>
      </c>
      <c r="I295" s="51" t="str">
        <f t="shared" si="296"/>
        <v/>
      </c>
      <c r="J295" s="51" t="str">
        <f t="shared" si="296"/>
        <v/>
      </c>
      <c r="K295" s="51" t="str">
        <f t="shared" si="296"/>
        <v/>
      </c>
      <c r="L295" s="51" t="str">
        <f t="shared" si="296"/>
        <v/>
      </c>
      <c r="M295" s="51" t="str">
        <f t="shared" si="296"/>
        <v/>
      </c>
      <c r="N295" s="51" t="str">
        <f t="shared" si="296"/>
        <v/>
      </c>
      <c r="O295" s="51" t="str">
        <f t="shared" si="296"/>
        <v/>
      </c>
      <c r="P295" s="51" t="str">
        <f t="shared" si="296"/>
        <v/>
      </c>
      <c r="Q295" s="51" t="str">
        <f t="shared" si="296"/>
        <v/>
      </c>
      <c r="R295" s="51" t="str">
        <f t="shared" si="296"/>
        <v/>
      </c>
      <c r="S295" s="51" t="str">
        <f t="shared" si="296"/>
        <v/>
      </c>
      <c r="T295" s="51" t="str">
        <f t="shared" si="296"/>
        <v/>
      </c>
      <c r="U295" s="52"/>
      <c r="V295" s="52" t="str">
        <f>IFERROR(__xludf.DUMMYFUNCTION("""COMPUTED_VALUE"""),"")</f>
        <v/>
      </c>
      <c r="W295" s="52" t="str">
        <f>IFERROR(__xludf.DUMMYFUNCTION("""COMPUTED_VALUE"""),"")</f>
        <v/>
      </c>
      <c r="X295" s="52" t="str">
        <f>IFERROR(__xludf.DUMMYFUNCTION("""COMPUTED_VALUE"""),"")</f>
        <v/>
      </c>
      <c r="Y295" s="52" t="str">
        <f>IFERROR(__xludf.DUMMYFUNCTION("""COMPUTED_VALUE"""),"")</f>
        <v/>
      </c>
      <c r="Z295" s="52" t="str">
        <f>IFERROR(__xludf.DUMMYFUNCTION("""COMPUTED_VALUE"""),"")</f>
        <v/>
      </c>
      <c r="AA295" s="52" t="str">
        <f>IFERROR(__xludf.DUMMYFUNCTION("""COMPUTED_VALUE"""),"")</f>
        <v/>
      </c>
      <c r="AB295" s="52" t="str">
        <f>IFERROR(__xludf.DUMMYFUNCTION("""COMPUTED_VALUE"""),"")</f>
        <v/>
      </c>
      <c r="AC295" s="52" t="str">
        <f>IFERROR(__xludf.DUMMYFUNCTION("""COMPUTED_VALUE"""),"")</f>
        <v/>
      </c>
      <c r="AD295" s="52" t="str">
        <f>IFERROR(__xludf.DUMMYFUNCTION("""COMPUTED_VALUE"""),"")</f>
        <v/>
      </c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</row>
    <row r="296">
      <c r="B296" s="49"/>
      <c r="C296" s="49" t="str">
        <f t="shared" si="2"/>
        <v/>
      </c>
      <c r="D296" s="50" t="str">
        <f t="shared" si="3"/>
        <v/>
      </c>
      <c r="E296" s="51" t="str">
        <f t="shared" ref="E296:T296" si="297">IFERROR(VLOOKUP($A296,INDIRECT("'" &amp; E$1 &amp; "'!$C:$G"), 5, FALSE),"")</f>
        <v/>
      </c>
      <c r="F296" s="51" t="str">
        <f t="shared" si="297"/>
        <v/>
      </c>
      <c r="G296" s="51" t="str">
        <f t="shared" si="297"/>
        <v/>
      </c>
      <c r="H296" s="51" t="str">
        <f t="shared" si="297"/>
        <v/>
      </c>
      <c r="I296" s="51" t="str">
        <f t="shared" si="297"/>
        <v/>
      </c>
      <c r="J296" s="51" t="str">
        <f t="shared" si="297"/>
        <v/>
      </c>
      <c r="K296" s="51" t="str">
        <f t="shared" si="297"/>
        <v/>
      </c>
      <c r="L296" s="51" t="str">
        <f t="shared" si="297"/>
        <v/>
      </c>
      <c r="M296" s="51" t="str">
        <f t="shared" si="297"/>
        <v/>
      </c>
      <c r="N296" s="51" t="str">
        <f t="shared" si="297"/>
        <v/>
      </c>
      <c r="O296" s="51" t="str">
        <f t="shared" si="297"/>
        <v/>
      </c>
      <c r="P296" s="51" t="str">
        <f t="shared" si="297"/>
        <v/>
      </c>
      <c r="Q296" s="51" t="str">
        <f t="shared" si="297"/>
        <v/>
      </c>
      <c r="R296" s="51" t="str">
        <f t="shared" si="297"/>
        <v/>
      </c>
      <c r="S296" s="51" t="str">
        <f t="shared" si="297"/>
        <v/>
      </c>
      <c r="T296" s="51" t="str">
        <f t="shared" si="297"/>
        <v/>
      </c>
      <c r="U296" s="52"/>
      <c r="V296" s="52" t="str">
        <f>IFERROR(__xludf.DUMMYFUNCTION("""COMPUTED_VALUE"""),"")</f>
        <v/>
      </c>
      <c r="W296" s="52" t="str">
        <f>IFERROR(__xludf.DUMMYFUNCTION("""COMPUTED_VALUE"""),"")</f>
        <v/>
      </c>
      <c r="X296" s="52" t="str">
        <f>IFERROR(__xludf.DUMMYFUNCTION("""COMPUTED_VALUE"""),"")</f>
        <v/>
      </c>
      <c r="Y296" s="52" t="str">
        <f>IFERROR(__xludf.DUMMYFUNCTION("""COMPUTED_VALUE"""),"")</f>
        <v/>
      </c>
      <c r="Z296" s="52" t="str">
        <f>IFERROR(__xludf.DUMMYFUNCTION("""COMPUTED_VALUE"""),"")</f>
        <v/>
      </c>
      <c r="AA296" s="52" t="str">
        <f>IFERROR(__xludf.DUMMYFUNCTION("""COMPUTED_VALUE"""),"")</f>
        <v/>
      </c>
      <c r="AB296" s="52" t="str">
        <f>IFERROR(__xludf.DUMMYFUNCTION("""COMPUTED_VALUE"""),"")</f>
        <v/>
      </c>
      <c r="AC296" s="52" t="str">
        <f>IFERROR(__xludf.DUMMYFUNCTION("""COMPUTED_VALUE"""),"")</f>
        <v/>
      </c>
      <c r="AD296" s="52" t="str">
        <f>IFERROR(__xludf.DUMMYFUNCTION("""COMPUTED_VALUE"""),"")</f>
        <v/>
      </c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</row>
    <row r="297">
      <c r="B297" s="49"/>
      <c r="C297" s="49" t="str">
        <f t="shared" si="2"/>
        <v/>
      </c>
      <c r="D297" s="50" t="str">
        <f t="shared" si="3"/>
        <v/>
      </c>
      <c r="E297" s="51" t="str">
        <f t="shared" ref="E297:T297" si="298">IFERROR(VLOOKUP($A297,INDIRECT("'" &amp; E$1 &amp; "'!$C:$G"), 5, FALSE),"")</f>
        <v/>
      </c>
      <c r="F297" s="51" t="str">
        <f t="shared" si="298"/>
        <v/>
      </c>
      <c r="G297" s="51" t="str">
        <f t="shared" si="298"/>
        <v/>
      </c>
      <c r="H297" s="51" t="str">
        <f t="shared" si="298"/>
        <v/>
      </c>
      <c r="I297" s="51" t="str">
        <f t="shared" si="298"/>
        <v/>
      </c>
      <c r="J297" s="51" t="str">
        <f t="shared" si="298"/>
        <v/>
      </c>
      <c r="K297" s="51" t="str">
        <f t="shared" si="298"/>
        <v/>
      </c>
      <c r="L297" s="51" t="str">
        <f t="shared" si="298"/>
        <v/>
      </c>
      <c r="M297" s="51" t="str">
        <f t="shared" si="298"/>
        <v/>
      </c>
      <c r="N297" s="51" t="str">
        <f t="shared" si="298"/>
        <v/>
      </c>
      <c r="O297" s="51" t="str">
        <f t="shared" si="298"/>
        <v/>
      </c>
      <c r="P297" s="51" t="str">
        <f t="shared" si="298"/>
        <v/>
      </c>
      <c r="Q297" s="51" t="str">
        <f t="shared" si="298"/>
        <v/>
      </c>
      <c r="R297" s="51" t="str">
        <f t="shared" si="298"/>
        <v/>
      </c>
      <c r="S297" s="51" t="str">
        <f t="shared" si="298"/>
        <v/>
      </c>
      <c r="T297" s="51" t="str">
        <f t="shared" si="298"/>
        <v/>
      </c>
      <c r="U297" s="52"/>
      <c r="V297" s="52" t="str">
        <f>IFERROR(__xludf.DUMMYFUNCTION("""COMPUTED_VALUE"""),"")</f>
        <v/>
      </c>
      <c r="W297" s="52" t="str">
        <f>IFERROR(__xludf.DUMMYFUNCTION("""COMPUTED_VALUE"""),"")</f>
        <v/>
      </c>
      <c r="X297" s="52" t="str">
        <f>IFERROR(__xludf.DUMMYFUNCTION("""COMPUTED_VALUE"""),"")</f>
        <v/>
      </c>
      <c r="Y297" s="52" t="str">
        <f>IFERROR(__xludf.DUMMYFUNCTION("""COMPUTED_VALUE"""),"")</f>
        <v/>
      </c>
      <c r="Z297" s="52" t="str">
        <f>IFERROR(__xludf.DUMMYFUNCTION("""COMPUTED_VALUE"""),"")</f>
        <v/>
      </c>
      <c r="AA297" s="52" t="str">
        <f>IFERROR(__xludf.DUMMYFUNCTION("""COMPUTED_VALUE"""),"")</f>
        <v/>
      </c>
      <c r="AB297" s="52" t="str">
        <f>IFERROR(__xludf.DUMMYFUNCTION("""COMPUTED_VALUE"""),"")</f>
        <v/>
      </c>
      <c r="AC297" s="52" t="str">
        <f>IFERROR(__xludf.DUMMYFUNCTION("""COMPUTED_VALUE"""),"")</f>
        <v/>
      </c>
      <c r="AD297" s="52" t="str">
        <f>IFERROR(__xludf.DUMMYFUNCTION("""COMPUTED_VALUE"""),"")</f>
        <v/>
      </c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</row>
    <row r="298">
      <c r="B298" s="49"/>
      <c r="C298" s="49" t="str">
        <f t="shared" si="2"/>
        <v/>
      </c>
      <c r="D298" s="50" t="str">
        <f t="shared" si="3"/>
        <v/>
      </c>
      <c r="E298" s="51" t="str">
        <f t="shared" ref="E298:T298" si="299">IFERROR(VLOOKUP($A298,INDIRECT("'" &amp; E$1 &amp; "'!$C:$G"), 5, FALSE),"")</f>
        <v/>
      </c>
      <c r="F298" s="51" t="str">
        <f t="shared" si="299"/>
        <v/>
      </c>
      <c r="G298" s="51" t="str">
        <f t="shared" si="299"/>
        <v/>
      </c>
      <c r="H298" s="51" t="str">
        <f t="shared" si="299"/>
        <v/>
      </c>
      <c r="I298" s="51" t="str">
        <f t="shared" si="299"/>
        <v/>
      </c>
      <c r="J298" s="51" t="str">
        <f t="shared" si="299"/>
        <v/>
      </c>
      <c r="K298" s="51" t="str">
        <f t="shared" si="299"/>
        <v/>
      </c>
      <c r="L298" s="51" t="str">
        <f t="shared" si="299"/>
        <v/>
      </c>
      <c r="M298" s="51" t="str">
        <f t="shared" si="299"/>
        <v/>
      </c>
      <c r="N298" s="51" t="str">
        <f t="shared" si="299"/>
        <v/>
      </c>
      <c r="O298" s="51" t="str">
        <f t="shared" si="299"/>
        <v/>
      </c>
      <c r="P298" s="51" t="str">
        <f t="shared" si="299"/>
        <v/>
      </c>
      <c r="Q298" s="51" t="str">
        <f t="shared" si="299"/>
        <v/>
      </c>
      <c r="R298" s="51" t="str">
        <f t="shared" si="299"/>
        <v/>
      </c>
      <c r="S298" s="51" t="str">
        <f t="shared" si="299"/>
        <v/>
      </c>
      <c r="T298" s="51" t="str">
        <f t="shared" si="299"/>
        <v/>
      </c>
      <c r="U298" s="52"/>
      <c r="V298" s="52" t="str">
        <f>IFERROR(__xludf.DUMMYFUNCTION("""COMPUTED_VALUE"""),"")</f>
        <v/>
      </c>
      <c r="W298" s="52" t="str">
        <f>IFERROR(__xludf.DUMMYFUNCTION("""COMPUTED_VALUE"""),"")</f>
        <v/>
      </c>
      <c r="X298" s="52" t="str">
        <f>IFERROR(__xludf.DUMMYFUNCTION("""COMPUTED_VALUE"""),"")</f>
        <v/>
      </c>
      <c r="Y298" s="52" t="str">
        <f>IFERROR(__xludf.DUMMYFUNCTION("""COMPUTED_VALUE"""),"")</f>
        <v/>
      </c>
      <c r="Z298" s="52" t="str">
        <f>IFERROR(__xludf.DUMMYFUNCTION("""COMPUTED_VALUE"""),"")</f>
        <v/>
      </c>
      <c r="AA298" s="52" t="str">
        <f>IFERROR(__xludf.DUMMYFUNCTION("""COMPUTED_VALUE"""),"")</f>
        <v/>
      </c>
      <c r="AB298" s="52" t="str">
        <f>IFERROR(__xludf.DUMMYFUNCTION("""COMPUTED_VALUE"""),"")</f>
        <v/>
      </c>
      <c r="AC298" s="52" t="str">
        <f>IFERROR(__xludf.DUMMYFUNCTION("""COMPUTED_VALUE"""),"")</f>
        <v/>
      </c>
      <c r="AD298" s="52" t="str">
        <f>IFERROR(__xludf.DUMMYFUNCTION("""COMPUTED_VALUE"""),"")</f>
        <v/>
      </c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</row>
    <row r="299">
      <c r="B299" s="49"/>
      <c r="C299" s="49" t="str">
        <f t="shared" si="2"/>
        <v/>
      </c>
      <c r="D299" s="50" t="str">
        <f t="shared" si="3"/>
        <v/>
      </c>
      <c r="E299" s="51" t="str">
        <f t="shared" ref="E299:T299" si="300">IFERROR(VLOOKUP($A299,INDIRECT("'" &amp; E$1 &amp; "'!$C:$G"), 5, FALSE),"")</f>
        <v/>
      </c>
      <c r="F299" s="51" t="str">
        <f t="shared" si="300"/>
        <v/>
      </c>
      <c r="G299" s="51" t="str">
        <f t="shared" si="300"/>
        <v/>
      </c>
      <c r="H299" s="51" t="str">
        <f t="shared" si="300"/>
        <v/>
      </c>
      <c r="I299" s="51" t="str">
        <f t="shared" si="300"/>
        <v/>
      </c>
      <c r="J299" s="51" t="str">
        <f t="shared" si="300"/>
        <v/>
      </c>
      <c r="K299" s="51" t="str">
        <f t="shared" si="300"/>
        <v/>
      </c>
      <c r="L299" s="51" t="str">
        <f t="shared" si="300"/>
        <v/>
      </c>
      <c r="M299" s="51" t="str">
        <f t="shared" si="300"/>
        <v/>
      </c>
      <c r="N299" s="51" t="str">
        <f t="shared" si="300"/>
        <v/>
      </c>
      <c r="O299" s="51" t="str">
        <f t="shared" si="300"/>
        <v/>
      </c>
      <c r="P299" s="51" t="str">
        <f t="shared" si="300"/>
        <v/>
      </c>
      <c r="Q299" s="51" t="str">
        <f t="shared" si="300"/>
        <v/>
      </c>
      <c r="R299" s="51" t="str">
        <f t="shared" si="300"/>
        <v/>
      </c>
      <c r="S299" s="51" t="str">
        <f t="shared" si="300"/>
        <v/>
      </c>
      <c r="T299" s="51" t="str">
        <f t="shared" si="300"/>
        <v/>
      </c>
      <c r="U299" s="52"/>
      <c r="V299" s="52" t="str">
        <f>IFERROR(__xludf.DUMMYFUNCTION("""COMPUTED_VALUE"""),"")</f>
        <v/>
      </c>
      <c r="W299" s="52" t="str">
        <f>IFERROR(__xludf.DUMMYFUNCTION("""COMPUTED_VALUE"""),"")</f>
        <v/>
      </c>
      <c r="X299" s="52" t="str">
        <f>IFERROR(__xludf.DUMMYFUNCTION("""COMPUTED_VALUE"""),"")</f>
        <v/>
      </c>
      <c r="Y299" s="52" t="str">
        <f>IFERROR(__xludf.DUMMYFUNCTION("""COMPUTED_VALUE"""),"")</f>
        <v/>
      </c>
      <c r="Z299" s="52" t="str">
        <f>IFERROR(__xludf.DUMMYFUNCTION("""COMPUTED_VALUE"""),"")</f>
        <v/>
      </c>
      <c r="AA299" s="52" t="str">
        <f>IFERROR(__xludf.DUMMYFUNCTION("""COMPUTED_VALUE"""),"")</f>
        <v/>
      </c>
      <c r="AB299" s="52" t="str">
        <f>IFERROR(__xludf.DUMMYFUNCTION("""COMPUTED_VALUE"""),"")</f>
        <v/>
      </c>
      <c r="AC299" s="52" t="str">
        <f>IFERROR(__xludf.DUMMYFUNCTION("""COMPUTED_VALUE"""),"")</f>
        <v/>
      </c>
      <c r="AD299" s="52" t="str">
        <f>IFERROR(__xludf.DUMMYFUNCTION("""COMPUTED_VALUE"""),"")</f>
        <v/>
      </c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</row>
    <row r="300">
      <c r="B300" s="49"/>
      <c r="C300" s="49" t="str">
        <f t="shared" si="2"/>
        <v/>
      </c>
      <c r="D300" s="50" t="str">
        <f t="shared" si="3"/>
        <v/>
      </c>
      <c r="E300" s="51" t="str">
        <f t="shared" ref="E300:T300" si="301">IFERROR(VLOOKUP($A300,INDIRECT("'" &amp; E$1 &amp; "'!$C:$G"), 5, FALSE),"")</f>
        <v/>
      </c>
      <c r="F300" s="51" t="str">
        <f t="shared" si="301"/>
        <v/>
      </c>
      <c r="G300" s="51" t="str">
        <f t="shared" si="301"/>
        <v/>
      </c>
      <c r="H300" s="51" t="str">
        <f t="shared" si="301"/>
        <v/>
      </c>
      <c r="I300" s="51" t="str">
        <f t="shared" si="301"/>
        <v/>
      </c>
      <c r="J300" s="51" t="str">
        <f t="shared" si="301"/>
        <v/>
      </c>
      <c r="K300" s="51" t="str">
        <f t="shared" si="301"/>
        <v/>
      </c>
      <c r="L300" s="51" t="str">
        <f t="shared" si="301"/>
        <v/>
      </c>
      <c r="M300" s="51" t="str">
        <f t="shared" si="301"/>
        <v/>
      </c>
      <c r="N300" s="51" t="str">
        <f t="shared" si="301"/>
        <v/>
      </c>
      <c r="O300" s="51" t="str">
        <f t="shared" si="301"/>
        <v/>
      </c>
      <c r="P300" s="51" t="str">
        <f t="shared" si="301"/>
        <v/>
      </c>
      <c r="Q300" s="51" t="str">
        <f t="shared" si="301"/>
        <v/>
      </c>
      <c r="R300" s="51" t="str">
        <f t="shared" si="301"/>
        <v/>
      </c>
      <c r="S300" s="51" t="str">
        <f t="shared" si="301"/>
        <v/>
      </c>
      <c r="T300" s="51" t="str">
        <f t="shared" si="301"/>
        <v/>
      </c>
      <c r="U300" s="52"/>
      <c r="V300" s="52" t="str">
        <f>IFERROR(__xludf.DUMMYFUNCTION("""COMPUTED_VALUE"""),"")</f>
        <v/>
      </c>
      <c r="W300" s="52" t="str">
        <f>IFERROR(__xludf.DUMMYFUNCTION("""COMPUTED_VALUE"""),"")</f>
        <v/>
      </c>
      <c r="X300" s="52" t="str">
        <f>IFERROR(__xludf.DUMMYFUNCTION("""COMPUTED_VALUE"""),"")</f>
        <v/>
      </c>
      <c r="Y300" s="52" t="str">
        <f>IFERROR(__xludf.DUMMYFUNCTION("""COMPUTED_VALUE"""),"")</f>
        <v/>
      </c>
      <c r="Z300" s="52" t="str">
        <f>IFERROR(__xludf.DUMMYFUNCTION("""COMPUTED_VALUE"""),"")</f>
        <v/>
      </c>
      <c r="AA300" s="52" t="str">
        <f>IFERROR(__xludf.DUMMYFUNCTION("""COMPUTED_VALUE"""),"")</f>
        <v/>
      </c>
      <c r="AB300" s="52" t="str">
        <f>IFERROR(__xludf.DUMMYFUNCTION("""COMPUTED_VALUE"""),"")</f>
        <v/>
      </c>
      <c r="AC300" s="52" t="str">
        <f>IFERROR(__xludf.DUMMYFUNCTION("""COMPUTED_VALUE"""),"")</f>
        <v/>
      </c>
      <c r="AD300" s="52" t="str">
        <f>IFERROR(__xludf.DUMMYFUNCTION("""COMPUTED_VALUE"""),"")</f>
        <v/>
      </c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</row>
    <row r="301">
      <c r="B301" s="49"/>
      <c r="C301" s="49" t="str">
        <f t="shared" si="2"/>
        <v/>
      </c>
      <c r="D301" s="50" t="str">
        <f t="shared" si="3"/>
        <v/>
      </c>
      <c r="E301" s="51" t="str">
        <f t="shared" ref="E301:T301" si="302">IFERROR(VLOOKUP($A301,INDIRECT("'" &amp; E$1 &amp; "'!$C:$G"), 5, FALSE),"")</f>
        <v/>
      </c>
      <c r="F301" s="51" t="str">
        <f t="shared" si="302"/>
        <v/>
      </c>
      <c r="G301" s="51" t="str">
        <f t="shared" si="302"/>
        <v/>
      </c>
      <c r="H301" s="51" t="str">
        <f t="shared" si="302"/>
        <v/>
      </c>
      <c r="I301" s="51" t="str">
        <f t="shared" si="302"/>
        <v/>
      </c>
      <c r="J301" s="51" t="str">
        <f t="shared" si="302"/>
        <v/>
      </c>
      <c r="K301" s="51" t="str">
        <f t="shared" si="302"/>
        <v/>
      </c>
      <c r="L301" s="51" t="str">
        <f t="shared" si="302"/>
        <v/>
      </c>
      <c r="M301" s="51" t="str">
        <f t="shared" si="302"/>
        <v/>
      </c>
      <c r="N301" s="51" t="str">
        <f t="shared" si="302"/>
        <v/>
      </c>
      <c r="O301" s="51" t="str">
        <f t="shared" si="302"/>
        <v/>
      </c>
      <c r="P301" s="51" t="str">
        <f t="shared" si="302"/>
        <v/>
      </c>
      <c r="Q301" s="51" t="str">
        <f t="shared" si="302"/>
        <v/>
      </c>
      <c r="R301" s="51" t="str">
        <f t="shared" si="302"/>
        <v/>
      </c>
      <c r="S301" s="51" t="str">
        <f t="shared" si="302"/>
        <v/>
      </c>
      <c r="T301" s="51" t="str">
        <f t="shared" si="302"/>
        <v/>
      </c>
      <c r="U301" s="52"/>
      <c r="V301" s="52" t="str">
        <f>IFERROR(__xludf.DUMMYFUNCTION("""COMPUTED_VALUE"""),"")</f>
        <v/>
      </c>
      <c r="W301" s="52" t="str">
        <f>IFERROR(__xludf.DUMMYFUNCTION("""COMPUTED_VALUE"""),"")</f>
        <v/>
      </c>
      <c r="X301" s="52" t="str">
        <f>IFERROR(__xludf.DUMMYFUNCTION("""COMPUTED_VALUE"""),"")</f>
        <v/>
      </c>
      <c r="Y301" s="52" t="str">
        <f>IFERROR(__xludf.DUMMYFUNCTION("""COMPUTED_VALUE"""),"")</f>
        <v/>
      </c>
      <c r="Z301" s="52" t="str">
        <f>IFERROR(__xludf.DUMMYFUNCTION("""COMPUTED_VALUE"""),"")</f>
        <v/>
      </c>
      <c r="AA301" s="52" t="str">
        <f>IFERROR(__xludf.DUMMYFUNCTION("""COMPUTED_VALUE"""),"")</f>
        <v/>
      </c>
      <c r="AB301" s="52" t="str">
        <f>IFERROR(__xludf.DUMMYFUNCTION("""COMPUTED_VALUE"""),"")</f>
        <v/>
      </c>
      <c r="AC301" s="52" t="str">
        <f>IFERROR(__xludf.DUMMYFUNCTION("""COMPUTED_VALUE"""),"")</f>
        <v/>
      </c>
      <c r="AD301" s="52" t="str">
        <f>IFERROR(__xludf.DUMMYFUNCTION("""COMPUTED_VALUE"""),"")</f>
        <v/>
      </c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</row>
    <row r="302">
      <c r="B302" s="49"/>
      <c r="C302" s="49" t="str">
        <f t="shared" si="2"/>
        <v/>
      </c>
      <c r="D302" s="50" t="str">
        <f t="shared" si="3"/>
        <v/>
      </c>
      <c r="E302" s="51" t="str">
        <f t="shared" ref="E302:T302" si="303">IFERROR(VLOOKUP($A302,INDIRECT("'" &amp; E$1 &amp; "'!$C:$G"), 5, FALSE),"")</f>
        <v/>
      </c>
      <c r="F302" s="51" t="str">
        <f t="shared" si="303"/>
        <v/>
      </c>
      <c r="G302" s="51" t="str">
        <f t="shared" si="303"/>
        <v/>
      </c>
      <c r="H302" s="51" t="str">
        <f t="shared" si="303"/>
        <v/>
      </c>
      <c r="I302" s="51" t="str">
        <f t="shared" si="303"/>
        <v/>
      </c>
      <c r="J302" s="51" t="str">
        <f t="shared" si="303"/>
        <v/>
      </c>
      <c r="K302" s="51" t="str">
        <f t="shared" si="303"/>
        <v/>
      </c>
      <c r="L302" s="51" t="str">
        <f t="shared" si="303"/>
        <v/>
      </c>
      <c r="M302" s="51" t="str">
        <f t="shared" si="303"/>
        <v/>
      </c>
      <c r="N302" s="51" t="str">
        <f t="shared" si="303"/>
        <v/>
      </c>
      <c r="O302" s="51" t="str">
        <f t="shared" si="303"/>
        <v/>
      </c>
      <c r="P302" s="51" t="str">
        <f t="shared" si="303"/>
        <v/>
      </c>
      <c r="Q302" s="51" t="str">
        <f t="shared" si="303"/>
        <v/>
      </c>
      <c r="R302" s="51" t="str">
        <f t="shared" si="303"/>
        <v/>
      </c>
      <c r="S302" s="51" t="str">
        <f t="shared" si="303"/>
        <v/>
      </c>
      <c r="T302" s="51" t="str">
        <f t="shared" si="303"/>
        <v/>
      </c>
      <c r="U302" s="52"/>
      <c r="V302" s="52" t="str">
        <f>IFERROR(__xludf.DUMMYFUNCTION("""COMPUTED_VALUE"""),"")</f>
        <v/>
      </c>
      <c r="W302" s="52" t="str">
        <f>IFERROR(__xludf.DUMMYFUNCTION("""COMPUTED_VALUE"""),"")</f>
        <v/>
      </c>
      <c r="X302" s="52" t="str">
        <f>IFERROR(__xludf.DUMMYFUNCTION("""COMPUTED_VALUE"""),"")</f>
        <v/>
      </c>
      <c r="Y302" s="52" t="str">
        <f>IFERROR(__xludf.DUMMYFUNCTION("""COMPUTED_VALUE"""),"")</f>
        <v/>
      </c>
      <c r="Z302" s="52" t="str">
        <f>IFERROR(__xludf.DUMMYFUNCTION("""COMPUTED_VALUE"""),"")</f>
        <v/>
      </c>
      <c r="AA302" s="52" t="str">
        <f>IFERROR(__xludf.DUMMYFUNCTION("""COMPUTED_VALUE"""),"")</f>
        <v/>
      </c>
      <c r="AB302" s="52" t="str">
        <f>IFERROR(__xludf.DUMMYFUNCTION("""COMPUTED_VALUE"""),"")</f>
        <v/>
      </c>
      <c r="AC302" s="52" t="str">
        <f>IFERROR(__xludf.DUMMYFUNCTION("""COMPUTED_VALUE"""),"")</f>
        <v/>
      </c>
      <c r="AD302" s="52" t="str">
        <f>IFERROR(__xludf.DUMMYFUNCTION("""COMPUTED_VALUE"""),"")</f>
        <v/>
      </c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</row>
    <row r="303">
      <c r="B303" s="49"/>
      <c r="C303" s="49" t="str">
        <f t="shared" si="2"/>
        <v/>
      </c>
      <c r="D303" s="50" t="str">
        <f t="shared" si="3"/>
        <v/>
      </c>
      <c r="E303" s="51" t="str">
        <f t="shared" ref="E303:T303" si="304">IFERROR(VLOOKUP($A303,INDIRECT("'" &amp; E$1 &amp; "'!$C:$G"), 5, FALSE),"")</f>
        <v/>
      </c>
      <c r="F303" s="51" t="str">
        <f t="shared" si="304"/>
        <v/>
      </c>
      <c r="G303" s="51" t="str">
        <f t="shared" si="304"/>
        <v/>
      </c>
      <c r="H303" s="51" t="str">
        <f t="shared" si="304"/>
        <v/>
      </c>
      <c r="I303" s="51" t="str">
        <f t="shared" si="304"/>
        <v/>
      </c>
      <c r="J303" s="51" t="str">
        <f t="shared" si="304"/>
        <v/>
      </c>
      <c r="K303" s="51" t="str">
        <f t="shared" si="304"/>
        <v/>
      </c>
      <c r="L303" s="51" t="str">
        <f t="shared" si="304"/>
        <v/>
      </c>
      <c r="M303" s="51" t="str">
        <f t="shared" si="304"/>
        <v/>
      </c>
      <c r="N303" s="51" t="str">
        <f t="shared" si="304"/>
        <v/>
      </c>
      <c r="O303" s="51" t="str">
        <f t="shared" si="304"/>
        <v/>
      </c>
      <c r="P303" s="51" t="str">
        <f t="shared" si="304"/>
        <v/>
      </c>
      <c r="Q303" s="51" t="str">
        <f t="shared" si="304"/>
        <v/>
      </c>
      <c r="R303" s="51" t="str">
        <f t="shared" si="304"/>
        <v/>
      </c>
      <c r="S303" s="51" t="str">
        <f t="shared" si="304"/>
        <v/>
      </c>
      <c r="T303" s="51" t="str">
        <f t="shared" si="304"/>
        <v/>
      </c>
      <c r="U303" s="52"/>
      <c r="V303" s="52" t="str">
        <f>IFERROR(__xludf.DUMMYFUNCTION("""COMPUTED_VALUE"""),"")</f>
        <v/>
      </c>
      <c r="W303" s="52" t="str">
        <f>IFERROR(__xludf.DUMMYFUNCTION("""COMPUTED_VALUE"""),"")</f>
        <v/>
      </c>
      <c r="X303" s="52" t="str">
        <f>IFERROR(__xludf.DUMMYFUNCTION("""COMPUTED_VALUE"""),"")</f>
        <v/>
      </c>
      <c r="Y303" s="52" t="str">
        <f>IFERROR(__xludf.DUMMYFUNCTION("""COMPUTED_VALUE"""),"")</f>
        <v/>
      </c>
      <c r="Z303" s="52" t="str">
        <f>IFERROR(__xludf.DUMMYFUNCTION("""COMPUTED_VALUE"""),"")</f>
        <v/>
      </c>
      <c r="AA303" s="52" t="str">
        <f>IFERROR(__xludf.DUMMYFUNCTION("""COMPUTED_VALUE"""),"")</f>
        <v/>
      </c>
      <c r="AB303" s="52" t="str">
        <f>IFERROR(__xludf.DUMMYFUNCTION("""COMPUTED_VALUE"""),"")</f>
        <v/>
      </c>
      <c r="AC303" s="52" t="str">
        <f>IFERROR(__xludf.DUMMYFUNCTION("""COMPUTED_VALUE"""),"")</f>
        <v/>
      </c>
      <c r="AD303" s="52" t="str">
        <f>IFERROR(__xludf.DUMMYFUNCTION("""COMPUTED_VALUE"""),"")</f>
        <v/>
      </c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</row>
    <row r="304">
      <c r="B304" s="49"/>
      <c r="C304" s="49" t="str">
        <f t="shared" si="2"/>
        <v/>
      </c>
      <c r="D304" s="50" t="str">
        <f t="shared" si="3"/>
        <v/>
      </c>
      <c r="E304" s="51" t="str">
        <f t="shared" ref="E304:T304" si="305">IFERROR(VLOOKUP($A304,INDIRECT("'" &amp; E$1 &amp; "'!$C:$G"), 5, FALSE),"")</f>
        <v/>
      </c>
      <c r="F304" s="51" t="str">
        <f t="shared" si="305"/>
        <v/>
      </c>
      <c r="G304" s="51" t="str">
        <f t="shared" si="305"/>
        <v/>
      </c>
      <c r="H304" s="51" t="str">
        <f t="shared" si="305"/>
        <v/>
      </c>
      <c r="I304" s="51" t="str">
        <f t="shared" si="305"/>
        <v/>
      </c>
      <c r="J304" s="51" t="str">
        <f t="shared" si="305"/>
        <v/>
      </c>
      <c r="K304" s="51" t="str">
        <f t="shared" si="305"/>
        <v/>
      </c>
      <c r="L304" s="51" t="str">
        <f t="shared" si="305"/>
        <v/>
      </c>
      <c r="M304" s="51" t="str">
        <f t="shared" si="305"/>
        <v/>
      </c>
      <c r="N304" s="51" t="str">
        <f t="shared" si="305"/>
        <v/>
      </c>
      <c r="O304" s="51" t="str">
        <f t="shared" si="305"/>
        <v/>
      </c>
      <c r="P304" s="51" t="str">
        <f t="shared" si="305"/>
        <v/>
      </c>
      <c r="Q304" s="51" t="str">
        <f t="shared" si="305"/>
        <v/>
      </c>
      <c r="R304" s="51" t="str">
        <f t="shared" si="305"/>
        <v/>
      </c>
      <c r="S304" s="51" t="str">
        <f t="shared" si="305"/>
        <v/>
      </c>
      <c r="T304" s="51" t="str">
        <f t="shared" si="305"/>
        <v/>
      </c>
      <c r="U304" s="52"/>
      <c r="V304" s="52" t="str">
        <f>IFERROR(__xludf.DUMMYFUNCTION("""COMPUTED_VALUE"""),"")</f>
        <v/>
      </c>
      <c r="W304" s="52" t="str">
        <f>IFERROR(__xludf.DUMMYFUNCTION("""COMPUTED_VALUE"""),"")</f>
        <v/>
      </c>
      <c r="X304" s="52" t="str">
        <f>IFERROR(__xludf.DUMMYFUNCTION("""COMPUTED_VALUE"""),"")</f>
        <v/>
      </c>
      <c r="Y304" s="52" t="str">
        <f>IFERROR(__xludf.DUMMYFUNCTION("""COMPUTED_VALUE"""),"")</f>
        <v/>
      </c>
      <c r="Z304" s="52" t="str">
        <f>IFERROR(__xludf.DUMMYFUNCTION("""COMPUTED_VALUE"""),"")</f>
        <v/>
      </c>
      <c r="AA304" s="52" t="str">
        <f>IFERROR(__xludf.DUMMYFUNCTION("""COMPUTED_VALUE"""),"")</f>
        <v/>
      </c>
      <c r="AB304" s="52" t="str">
        <f>IFERROR(__xludf.DUMMYFUNCTION("""COMPUTED_VALUE"""),"")</f>
        <v/>
      </c>
      <c r="AC304" s="52" t="str">
        <f>IFERROR(__xludf.DUMMYFUNCTION("""COMPUTED_VALUE"""),"")</f>
        <v/>
      </c>
      <c r="AD304" s="52" t="str">
        <f>IFERROR(__xludf.DUMMYFUNCTION("""COMPUTED_VALUE"""),"")</f>
        <v/>
      </c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</row>
    <row r="305">
      <c r="B305" s="49"/>
      <c r="C305" s="49" t="str">
        <f t="shared" si="2"/>
        <v/>
      </c>
      <c r="D305" s="50" t="str">
        <f t="shared" si="3"/>
        <v/>
      </c>
      <c r="E305" s="51" t="str">
        <f t="shared" ref="E305:T305" si="306">IFERROR(VLOOKUP($A305,INDIRECT("'" &amp; E$1 &amp; "'!$C:$G"), 5, FALSE),"")</f>
        <v/>
      </c>
      <c r="F305" s="51" t="str">
        <f t="shared" si="306"/>
        <v/>
      </c>
      <c r="G305" s="51" t="str">
        <f t="shared" si="306"/>
        <v/>
      </c>
      <c r="H305" s="51" t="str">
        <f t="shared" si="306"/>
        <v/>
      </c>
      <c r="I305" s="51" t="str">
        <f t="shared" si="306"/>
        <v/>
      </c>
      <c r="J305" s="51" t="str">
        <f t="shared" si="306"/>
        <v/>
      </c>
      <c r="K305" s="51" t="str">
        <f t="shared" si="306"/>
        <v/>
      </c>
      <c r="L305" s="51" t="str">
        <f t="shared" si="306"/>
        <v/>
      </c>
      <c r="M305" s="51" t="str">
        <f t="shared" si="306"/>
        <v/>
      </c>
      <c r="N305" s="51" t="str">
        <f t="shared" si="306"/>
        <v/>
      </c>
      <c r="O305" s="51" t="str">
        <f t="shared" si="306"/>
        <v/>
      </c>
      <c r="P305" s="51" t="str">
        <f t="shared" si="306"/>
        <v/>
      </c>
      <c r="Q305" s="51" t="str">
        <f t="shared" si="306"/>
        <v/>
      </c>
      <c r="R305" s="51" t="str">
        <f t="shared" si="306"/>
        <v/>
      </c>
      <c r="S305" s="51" t="str">
        <f t="shared" si="306"/>
        <v/>
      </c>
      <c r="T305" s="51" t="str">
        <f t="shared" si="306"/>
        <v/>
      </c>
      <c r="U305" s="52"/>
      <c r="V305" s="52" t="str">
        <f>IFERROR(__xludf.DUMMYFUNCTION("""COMPUTED_VALUE"""),"")</f>
        <v/>
      </c>
      <c r="W305" s="52" t="str">
        <f>IFERROR(__xludf.DUMMYFUNCTION("""COMPUTED_VALUE"""),"")</f>
        <v/>
      </c>
      <c r="X305" s="52" t="str">
        <f>IFERROR(__xludf.DUMMYFUNCTION("""COMPUTED_VALUE"""),"")</f>
        <v/>
      </c>
      <c r="Y305" s="52" t="str">
        <f>IFERROR(__xludf.DUMMYFUNCTION("""COMPUTED_VALUE"""),"")</f>
        <v/>
      </c>
      <c r="Z305" s="52" t="str">
        <f>IFERROR(__xludf.DUMMYFUNCTION("""COMPUTED_VALUE"""),"")</f>
        <v/>
      </c>
      <c r="AA305" s="52" t="str">
        <f>IFERROR(__xludf.DUMMYFUNCTION("""COMPUTED_VALUE"""),"")</f>
        <v/>
      </c>
      <c r="AB305" s="52" t="str">
        <f>IFERROR(__xludf.DUMMYFUNCTION("""COMPUTED_VALUE"""),"")</f>
        <v/>
      </c>
      <c r="AC305" s="52" t="str">
        <f>IFERROR(__xludf.DUMMYFUNCTION("""COMPUTED_VALUE"""),"")</f>
        <v/>
      </c>
      <c r="AD305" s="52" t="str">
        <f>IFERROR(__xludf.DUMMYFUNCTION("""COMPUTED_VALUE"""),"")</f>
        <v/>
      </c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</row>
    <row r="306">
      <c r="B306" s="49"/>
      <c r="C306" s="49" t="str">
        <f t="shared" si="2"/>
        <v/>
      </c>
      <c r="D306" s="50" t="str">
        <f t="shared" si="3"/>
        <v/>
      </c>
      <c r="E306" s="51" t="str">
        <f t="shared" ref="E306:T306" si="307">IFERROR(VLOOKUP($A306,INDIRECT("'" &amp; E$1 &amp; "'!$C:$G"), 5, FALSE),"")</f>
        <v/>
      </c>
      <c r="F306" s="51" t="str">
        <f t="shared" si="307"/>
        <v/>
      </c>
      <c r="G306" s="51" t="str">
        <f t="shared" si="307"/>
        <v/>
      </c>
      <c r="H306" s="51" t="str">
        <f t="shared" si="307"/>
        <v/>
      </c>
      <c r="I306" s="51" t="str">
        <f t="shared" si="307"/>
        <v/>
      </c>
      <c r="J306" s="51" t="str">
        <f t="shared" si="307"/>
        <v/>
      </c>
      <c r="K306" s="51" t="str">
        <f t="shared" si="307"/>
        <v/>
      </c>
      <c r="L306" s="51" t="str">
        <f t="shared" si="307"/>
        <v/>
      </c>
      <c r="M306" s="51" t="str">
        <f t="shared" si="307"/>
        <v/>
      </c>
      <c r="N306" s="51" t="str">
        <f t="shared" si="307"/>
        <v/>
      </c>
      <c r="O306" s="51" t="str">
        <f t="shared" si="307"/>
        <v/>
      </c>
      <c r="P306" s="51" t="str">
        <f t="shared" si="307"/>
        <v/>
      </c>
      <c r="Q306" s="51" t="str">
        <f t="shared" si="307"/>
        <v/>
      </c>
      <c r="R306" s="51" t="str">
        <f t="shared" si="307"/>
        <v/>
      </c>
      <c r="S306" s="51" t="str">
        <f t="shared" si="307"/>
        <v/>
      </c>
      <c r="T306" s="51" t="str">
        <f t="shared" si="307"/>
        <v/>
      </c>
      <c r="U306" s="52"/>
      <c r="V306" s="52" t="str">
        <f>IFERROR(__xludf.DUMMYFUNCTION("""COMPUTED_VALUE"""),"")</f>
        <v/>
      </c>
      <c r="W306" s="52" t="str">
        <f>IFERROR(__xludf.DUMMYFUNCTION("""COMPUTED_VALUE"""),"")</f>
        <v/>
      </c>
      <c r="X306" s="52" t="str">
        <f>IFERROR(__xludf.DUMMYFUNCTION("""COMPUTED_VALUE"""),"")</f>
        <v/>
      </c>
      <c r="Y306" s="52" t="str">
        <f>IFERROR(__xludf.DUMMYFUNCTION("""COMPUTED_VALUE"""),"")</f>
        <v/>
      </c>
      <c r="Z306" s="52" t="str">
        <f>IFERROR(__xludf.DUMMYFUNCTION("""COMPUTED_VALUE"""),"")</f>
        <v/>
      </c>
      <c r="AA306" s="52" t="str">
        <f>IFERROR(__xludf.DUMMYFUNCTION("""COMPUTED_VALUE"""),"")</f>
        <v/>
      </c>
      <c r="AB306" s="52" t="str">
        <f>IFERROR(__xludf.DUMMYFUNCTION("""COMPUTED_VALUE"""),"")</f>
        <v/>
      </c>
      <c r="AC306" s="52" t="str">
        <f>IFERROR(__xludf.DUMMYFUNCTION("""COMPUTED_VALUE"""),"")</f>
        <v/>
      </c>
      <c r="AD306" s="52" t="str">
        <f>IFERROR(__xludf.DUMMYFUNCTION("""COMPUTED_VALUE"""),"")</f>
        <v/>
      </c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</row>
    <row r="307">
      <c r="B307" s="49"/>
      <c r="C307" s="49" t="str">
        <f t="shared" si="2"/>
        <v/>
      </c>
      <c r="D307" s="50" t="str">
        <f t="shared" si="3"/>
        <v/>
      </c>
      <c r="E307" s="51" t="str">
        <f t="shared" ref="E307:T307" si="308">IFERROR(VLOOKUP($A307,INDIRECT("'" &amp; E$1 &amp; "'!$C:$G"), 5, FALSE),"")</f>
        <v/>
      </c>
      <c r="F307" s="51" t="str">
        <f t="shared" si="308"/>
        <v/>
      </c>
      <c r="G307" s="51" t="str">
        <f t="shared" si="308"/>
        <v/>
      </c>
      <c r="H307" s="51" t="str">
        <f t="shared" si="308"/>
        <v/>
      </c>
      <c r="I307" s="51" t="str">
        <f t="shared" si="308"/>
        <v/>
      </c>
      <c r="J307" s="51" t="str">
        <f t="shared" si="308"/>
        <v/>
      </c>
      <c r="K307" s="51" t="str">
        <f t="shared" si="308"/>
        <v/>
      </c>
      <c r="L307" s="51" t="str">
        <f t="shared" si="308"/>
        <v/>
      </c>
      <c r="M307" s="51" t="str">
        <f t="shared" si="308"/>
        <v/>
      </c>
      <c r="N307" s="51" t="str">
        <f t="shared" si="308"/>
        <v/>
      </c>
      <c r="O307" s="51" t="str">
        <f t="shared" si="308"/>
        <v/>
      </c>
      <c r="P307" s="51" t="str">
        <f t="shared" si="308"/>
        <v/>
      </c>
      <c r="Q307" s="51" t="str">
        <f t="shared" si="308"/>
        <v/>
      </c>
      <c r="R307" s="51" t="str">
        <f t="shared" si="308"/>
        <v/>
      </c>
      <c r="S307" s="51" t="str">
        <f t="shared" si="308"/>
        <v/>
      </c>
      <c r="T307" s="51" t="str">
        <f t="shared" si="308"/>
        <v/>
      </c>
      <c r="U307" s="52"/>
      <c r="V307" s="52" t="str">
        <f>IFERROR(__xludf.DUMMYFUNCTION("""COMPUTED_VALUE"""),"")</f>
        <v/>
      </c>
      <c r="W307" s="52" t="str">
        <f>IFERROR(__xludf.DUMMYFUNCTION("""COMPUTED_VALUE"""),"")</f>
        <v/>
      </c>
      <c r="X307" s="52" t="str">
        <f>IFERROR(__xludf.DUMMYFUNCTION("""COMPUTED_VALUE"""),"")</f>
        <v/>
      </c>
      <c r="Y307" s="52" t="str">
        <f>IFERROR(__xludf.DUMMYFUNCTION("""COMPUTED_VALUE"""),"")</f>
        <v/>
      </c>
      <c r="Z307" s="52" t="str">
        <f>IFERROR(__xludf.DUMMYFUNCTION("""COMPUTED_VALUE"""),"")</f>
        <v/>
      </c>
      <c r="AA307" s="52" t="str">
        <f>IFERROR(__xludf.DUMMYFUNCTION("""COMPUTED_VALUE"""),"")</f>
        <v/>
      </c>
      <c r="AB307" s="52" t="str">
        <f>IFERROR(__xludf.DUMMYFUNCTION("""COMPUTED_VALUE"""),"")</f>
        <v/>
      </c>
      <c r="AC307" s="52" t="str">
        <f>IFERROR(__xludf.DUMMYFUNCTION("""COMPUTED_VALUE"""),"")</f>
        <v/>
      </c>
      <c r="AD307" s="52" t="str">
        <f>IFERROR(__xludf.DUMMYFUNCTION("""COMPUTED_VALUE"""),"")</f>
        <v/>
      </c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</row>
    <row r="308">
      <c r="B308" s="49"/>
      <c r="C308" s="49" t="str">
        <f t="shared" si="2"/>
        <v/>
      </c>
      <c r="D308" s="50" t="str">
        <f t="shared" si="3"/>
        <v/>
      </c>
      <c r="E308" s="51" t="str">
        <f t="shared" ref="E308:T308" si="309">IFERROR(VLOOKUP($A308,INDIRECT("'" &amp; E$1 &amp; "'!$C:$G"), 5, FALSE),"")</f>
        <v/>
      </c>
      <c r="F308" s="51" t="str">
        <f t="shared" si="309"/>
        <v/>
      </c>
      <c r="G308" s="51" t="str">
        <f t="shared" si="309"/>
        <v/>
      </c>
      <c r="H308" s="51" t="str">
        <f t="shared" si="309"/>
        <v/>
      </c>
      <c r="I308" s="51" t="str">
        <f t="shared" si="309"/>
        <v/>
      </c>
      <c r="J308" s="51" t="str">
        <f t="shared" si="309"/>
        <v/>
      </c>
      <c r="K308" s="51" t="str">
        <f t="shared" si="309"/>
        <v/>
      </c>
      <c r="L308" s="51" t="str">
        <f t="shared" si="309"/>
        <v/>
      </c>
      <c r="M308" s="51" t="str">
        <f t="shared" si="309"/>
        <v/>
      </c>
      <c r="N308" s="51" t="str">
        <f t="shared" si="309"/>
        <v/>
      </c>
      <c r="O308" s="51" t="str">
        <f t="shared" si="309"/>
        <v/>
      </c>
      <c r="P308" s="51" t="str">
        <f t="shared" si="309"/>
        <v/>
      </c>
      <c r="Q308" s="51" t="str">
        <f t="shared" si="309"/>
        <v/>
      </c>
      <c r="R308" s="51" t="str">
        <f t="shared" si="309"/>
        <v/>
      </c>
      <c r="S308" s="51" t="str">
        <f t="shared" si="309"/>
        <v/>
      </c>
      <c r="T308" s="51" t="str">
        <f t="shared" si="309"/>
        <v/>
      </c>
      <c r="U308" s="52"/>
      <c r="V308" s="52" t="str">
        <f>IFERROR(__xludf.DUMMYFUNCTION("""COMPUTED_VALUE"""),"")</f>
        <v/>
      </c>
      <c r="W308" s="52" t="str">
        <f>IFERROR(__xludf.DUMMYFUNCTION("""COMPUTED_VALUE"""),"")</f>
        <v/>
      </c>
      <c r="X308" s="52" t="str">
        <f>IFERROR(__xludf.DUMMYFUNCTION("""COMPUTED_VALUE"""),"")</f>
        <v/>
      </c>
      <c r="Y308" s="52" t="str">
        <f>IFERROR(__xludf.DUMMYFUNCTION("""COMPUTED_VALUE"""),"")</f>
        <v/>
      </c>
      <c r="Z308" s="52" t="str">
        <f>IFERROR(__xludf.DUMMYFUNCTION("""COMPUTED_VALUE"""),"")</f>
        <v/>
      </c>
      <c r="AA308" s="52" t="str">
        <f>IFERROR(__xludf.DUMMYFUNCTION("""COMPUTED_VALUE"""),"")</f>
        <v/>
      </c>
      <c r="AB308" s="52" t="str">
        <f>IFERROR(__xludf.DUMMYFUNCTION("""COMPUTED_VALUE"""),"")</f>
        <v/>
      </c>
      <c r="AC308" s="52" t="str">
        <f>IFERROR(__xludf.DUMMYFUNCTION("""COMPUTED_VALUE"""),"")</f>
        <v/>
      </c>
      <c r="AD308" s="52" t="str">
        <f>IFERROR(__xludf.DUMMYFUNCTION("""COMPUTED_VALUE"""),"")</f>
        <v/>
      </c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</row>
    <row r="309">
      <c r="B309" s="49"/>
      <c r="C309" s="49" t="str">
        <f t="shared" si="2"/>
        <v/>
      </c>
      <c r="D309" s="50" t="str">
        <f t="shared" si="3"/>
        <v/>
      </c>
      <c r="E309" s="51" t="str">
        <f t="shared" ref="E309:T309" si="310">IFERROR(VLOOKUP($A309,INDIRECT("'" &amp; E$1 &amp; "'!$C:$G"), 5, FALSE),"")</f>
        <v/>
      </c>
      <c r="F309" s="51" t="str">
        <f t="shared" si="310"/>
        <v/>
      </c>
      <c r="G309" s="51" t="str">
        <f t="shared" si="310"/>
        <v/>
      </c>
      <c r="H309" s="51" t="str">
        <f t="shared" si="310"/>
        <v/>
      </c>
      <c r="I309" s="51" t="str">
        <f t="shared" si="310"/>
        <v/>
      </c>
      <c r="J309" s="51" t="str">
        <f t="shared" si="310"/>
        <v/>
      </c>
      <c r="K309" s="51" t="str">
        <f t="shared" si="310"/>
        <v/>
      </c>
      <c r="L309" s="51" t="str">
        <f t="shared" si="310"/>
        <v/>
      </c>
      <c r="M309" s="51" t="str">
        <f t="shared" si="310"/>
        <v/>
      </c>
      <c r="N309" s="51" t="str">
        <f t="shared" si="310"/>
        <v/>
      </c>
      <c r="O309" s="51" t="str">
        <f t="shared" si="310"/>
        <v/>
      </c>
      <c r="P309" s="51" t="str">
        <f t="shared" si="310"/>
        <v/>
      </c>
      <c r="Q309" s="51" t="str">
        <f t="shared" si="310"/>
        <v/>
      </c>
      <c r="R309" s="51" t="str">
        <f t="shared" si="310"/>
        <v/>
      </c>
      <c r="S309" s="51" t="str">
        <f t="shared" si="310"/>
        <v/>
      </c>
      <c r="T309" s="51" t="str">
        <f t="shared" si="310"/>
        <v/>
      </c>
      <c r="U309" s="52"/>
      <c r="V309" s="52" t="str">
        <f>IFERROR(__xludf.DUMMYFUNCTION("""COMPUTED_VALUE"""),"")</f>
        <v/>
      </c>
      <c r="W309" s="52" t="str">
        <f>IFERROR(__xludf.DUMMYFUNCTION("""COMPUTED_VALUE"""),"")</f>
        <v/>
      </c>
      <c r="X309" s="52" t="str">
        <f>IFERROR(__xludf.DUMMYFUNCTION("""COMPUTED_VALUE"""),"")</f>
        <v/>
      </c>
      <c r="Y309" s="52" t="str">
        <f>IFERROR(__xludf.DUMMYFUNCTION("""COMPUTED_VALUE"""),"")</f>
        <v/>
      </c>
      <c r="Z309" s="52" t="str">
        <f>IFERROR(__xludf.DUMMYFUNCTION("""COMPUTED_VALUE"""),"")</f>
        <v/>
      </c>
      <c r="AA309" s="52" t="str">
        <f>IFERROR(__xludf.DUMMYFUNCTION("""COMPUTED_VALUE"""),"")</f>
        <v/>
      </c>
      <c r="AB309" s="52" t="str">
        <f>IFERROR(__xludf.DUMMYFUNCTION("""COMPUTED_VALUE"""),"")</f>
        <v/>
      </c>
      <c r="AC309" s="52" t="str">
        <f>IFERROR(__xludf.DUMMYFUNCTION("""COMPUTED_VALUE"""),"")</f>
        <v/>
      </c>
      <c r="AD309" s="52" t="str">
        <f>IFERROR(__xludf.DUMMYFUNCTION("""COMPUTED_VALUE"""),"")</f>
        <v/>
      </c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</row>
    <row r="310">
      <c r="B310" s="49"/>
      <c r="C310" s="49" t="str">
        <f t="shared" si="2"/>
        <v/>
      </c>
      <c r="D310" s="50" t="str">
        <f t="shared" si="3"/>
        <v/>
      </c>
      <c r="E310" s="51" t="str">
        <f t="shared" ref="E310:T310" si="311">IFERROR(VLOOKUP($A310,INDIRECT("'" &amp; E$1 &amp; "'!$C:$G"), 5, FALSE),"")</f>
        <v/>
      </c>
      <c r="F310" s="51" t="str">
        <f t="shared" si="311"/>
        <v/>
      </c>
      <c r="G310" s="51" t="str">
        <f t="shared" si="311"/>
        <v/>
      </c>
      <c r="H310" s="51" t="str">
        <f t="shared" si="311"/>
        <v/>
      </c>
      <c r="I310" s="51" t="str">
        <f t="shared" si="311"/>
        <v/>
      </c>
      <c r="J310" s="51" t="str">
        <f t="shared" si="311"/>
        <v/>
      </c>
      <c r="K310" s="51" t="str">
        <f t="shared" si="311"/>
        <v/>
      </c>
      <c r="L310" s="51" t="str">
        <f t="shared" si="311"/>
        <v/>
      </c>
      <c r="M310" s="51" t="str">
        <f t="shared" si="311"/>
        <v/>
      </c>
      <c r="N310" s="51" t="str">
        <f t="shared" si="311"/>
        <v/>
      </c>
      <c r="O310" s="51" t="str">
        <f t="shared" si="311"/>
        <v/>
      </c>
      <c r="P310" s="51" t="str">
        <f t="shared" si="311"/>
        <v/>
      </c>
      <c r="Q310" s="51" t="str">
        <f t="shared" si="311"/>
        <v/>
      </c>
      <c r="R310" s="51" t="str">
        <f t="shared" si="311"/>
        <v/>
      </c>
      <c r="S310" s="51" t="str">
        <f t="shared" si="311"/>
        <v/>
      </c>
      <c r="T310" s="51" t="str">
        <f t="shared" si="311"/>
        <v/>
      </c>
      <c r="U310" s="52"/>
      <c r="V310" s="52" t="str">
        <f>IFERROR(__xludf.DUMMYFUNCTION("""COMPUTED_VALUE"""),"")</f>
        <v/>
      </c>
      <c r="W310" s="52" t="str">
        <f>IFERROR(__xludf.DUMMYFUNCTION("""COMPUTED_VALUE"""),"")</f>
        <v/>
      </c>
      <c r="X310" s="52" t="str">
        <f>IFERROR(__xludf.DUMMYFUNCTION("""COMPUTED_VALUE"""),"")</f>
        <v/>
      </c>
      <c r="Y310" s="52" t="str">
        <f>IFERROR(__xludf.DUMMYFUNCTION("""COMPUTED_VALUE"""),"")</f>
        <v/>
      </c>
      <c r="Z310" s="52" t="str">
        <f>IFERROR(__xludf.DUMMYFUNCTION("""COMPUTED_VALUE"""),"")</f>
        <v/>
      </c>
      <c r="AA310" s="52" t="str">
        <f>IFERROR(__xludf.DUMMYFUNCTION("""COMPUTED_VALUE"""),"")</f>
        <v/>
      </c>
      <c r="AB310" s="52" t="str">
        <f>IFERROR(__xludf.DUMMYFUNCTION("""COMPUTED_VALUE"""),"")</f>
        <v/>
      </c>
      <c r="AC310" s="52" t="str">
        <f>IFERROR(__xludf.DUMMYFUNCTION("""COMPUTED_VALUE"""),"")</f>
        <v/>
      </c>
      <c r="AD310" s="52" t="str">
        <f>IFERROR(__xludf.DUMMYFUNCTION("""COMPUTED_VALUE"""),"")</f>
        <v/>
      </c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</row>
    <row r="311">
      <c r="B311" s="49"/>
      <c r="C311" s="49" t="str">
        <f t="shared" si="2"/>
        <v/>
      </c>
      <c r="D311" s="50" t="str">
        <f t="shared" si="3"/>
        <v/>
      </c>
      <c r="E311" s="51" t="str">
        <f t="shared" ref="E311:T311" si="312">IFERROR(VLOOKUP($A311,INDIRECT("'" &amp; E$1 &amp; "'!$C:$G"), 5, FALSE),"")</f>
        <v/>
      </c>
      <c r="F311" s="51" t="str">
        <f t="shared" si="312"/>
        <v/>
      </c>
      <c r="G311" s="51" t="str">
        <f t="shared" si="312"/>
        <v/>
      </c>
      <c r="H311" s="51" t="str">
        <f t="shared" si="312"/>
        <v/>
      </c>
      <c r="I311" s="51" t="str">
        <f t="shared" si="312"/>
        <v/>
      </c>
      <c r="J311" s="51" t="str">
        <f t="shared" si="312"/>
        <v/>
      </c>
      <c r="K311" s="51" t="str">
        <f t="shared" si="312"/>
        <v/>
      </c>
      <c r="L311" s="51" t="str">
        <f t="shared" si="312"/>
        <v/>
      </c>
      <c r="M311" s="51" t="str">
        <f t="shared" si="312"/>
        <v/>
      </c>
      <c r="N311" s="51" t="str">
        <f t="shared" si="312"/>
        <v/>
      </c>
      <c r="O311" s="51" t="str">
        <f t="shared" si="312"/>
        <v/>
      </c>
      <c r="P311" s="51" t="str">
        <f t="shared" si="312"/>
        <v/>
      </c>
      <c r="Q311" s="51" t="str">
        <f t="shared" si="312"/>
        <v/>
      </c>
      <c r="R311" s="51" t="str">
        <f t="shared" si="312"/>
        <v/>
      </c>
      <c r="S311" s="51" t="str">
        <f t="shared" si="312"/>
        <v/>
      </c>
      <c r="T311" s="51" t="str">
        <f t="shared" si="312"/>
        <v/>
      </c>
      <c r="U311" s="52"/>
      <c r="V311" s="52" t="str">
        <f>IFERROR(__xludf.DUMMYFUNCTION("""COMPUTED_VALUE"""),"")</f>
        <v/>
      </c>
      <c r="W311" s="52" t="str">
        <f>IFERROR(__xludf.DUMMYFUNCTION("""COMPUTED_VALUE"""),"")</f>
        <v/>
      </c>
      <c r="X311" s="52" t="str">
        <f>IFERROR(__xludf.DUMMYFUNCTION("""COMPUTED_VALUE"""),"")</f>
        <v/>
      </c>
      <c r="Y311" s="52" t="str">
        <f>IFERROR(__xludf.DUMMYFUNCTION("""COMPUTED_VALUE"""),"")</f>
        <v/>
      </c>
      <c r="Z311" s="52" t="str">
        <f>IFERROR(__xludf.DUMMYFUNCTION("""COMPUTED_VALUE"""),"")</f>
        <v/>
      </c>
      <c r="AA311" s="52" t="str">
        <f>IFERROR(__xludf.DUMMYFUNCTION("""COMPUTED_VALUE"""),"")</f>
        <v/>
      </c>
      <c r="AB311" s="52" t="str">
        <f>IFERROR(__xludf.DUMMYFUNCTION("""COMPUTED_VALUE"""),"")</f>
        <v/>
      </c>
      <c r="AC311" s="52" t="str">
        <f>IFERROR(__xludf.DUMMYFUNCTION("""COMPUTED_VALUE"""),"")</f>
        <v/>
      </c>
      <c r="AD311" s="52" t="str">
        <f>IFERROR(__xludf.DUMMYFUNCTION("""COMPUTED_VALUE"""),"")</f>
        <v/>
      </c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</row>
    <row r="312">
      <c r="B312" s="49"/>
      <c r="C312" s="49" t="str">
        <f t="shared" si="2"/>
        <v/>
      </c>
      <c r="D312" s="50" t="str">
        <f t="shared" si="3"/>
        <v/>
      </c>
      <c r="E312" s="51" t="str">
        <f t="shared" ref="E312:T312" si="313">IFERROR(VLOOKUP($A312,INDIRECT("'" &amp; E$1 &amp; "'!$C:$G"), 5, FALSE),"")</f>
        <v/>
      </c>
      <c r="F312" s="51" t="str">
        <f t="shared" si="313"/>
        <v/>
      </c>
      <c r="G312" s="51" t="str">
        <f t="shared" si="313"/>
        <v/>
      </c>
      <c r="H312" s="51" t="str">
        <f t="shared" si="313"/>
        <v/>
      </c>
      <c r="I312" s="51" t="str">
        <f t="shared" si="313"/>
        <v/>
      </c>
      <c r="J312" s="51" t="str">
        <f t="shared" si="313"/>
        <v/>
      </c>
      <c r="K312" s="51" t="str">
        <f t="shared" si="313"/>
        <v/>
      </c>
      <c r="L312" s="51" t="str">
        <f t="shared" si="313"/>
        <v/>
      </c>
      <c r="M312" s="51" t="str">
        <f t="shared" si="313"/>
        <v/>
      </c>
      <c r="N312" s="51" t="str">
        <f t="shared" si="313"/>
        <v/>
      </c>
      <c r="O312" s="51" t="str">
        <f t="shared" si="313"/>
        <v/>
      </c>
      <c r="P312" s="51" t="str">
        <f t="shared" si="313"/>
        <v/>
      </c>
      <c r="Q312" s="51" t="str">
        <f t="shared" si="313"/>
        <v/>
      </c>
      <c r="R312" s="51" t="str">
        <f t="shared" si="313"/>
        <v/>
      </c>
      <c r="S312" s="51" t="str">
        <f t="shared" si="313"/>
        <v/>
      </c>
      <c r="T312" s="51" t="str">
        <f t="shared" si="313"/>
        <v/>
      </c>
      <c r="U312" s="52"/>
      <c r="V312" s="52" t="str">
        <f>IFERROR(__xludf.DUMMYFUNCTION("""COMPUTED_VALUE"""),"")</f>
        <v/>
      </c>
      <c r="W312" s="52" t="str">
        <f>IFERROR(__xludf.DUMMYFUNCTION("""COMPUTED_VALUE"""),"")</f>
        <v/>
      </c>
      <c r="X312" s="52" t="str">
        <f>IFERROR(__xludf.DUMMYFUNCTION("""COMPUTED_VALUE"""),"")</f>
        <v/>
      </c>
      <c r="Y312" s="52" t="str">
        <f>IFERROR(__xludf.DUMMYFUNCTION("""COMPUTED_VALUE"""),"")</f>
        <v/>
      </c>
      <c r="Z312" s="52" t="str">
        <f>IFERROR(__xludf.DUMMYFUNCTION("""COMPUTED_VALUE"""),"")</f>
        <v/>
      </c>
      <c r="AA312" s="52" t="str">
        <f>IFERROR(__xludf.DUMMYFUNCTION("""COMPUTED_VALUE"""),"")</f>
        <v/>
      </c>
      <c r="AB312" s="52" t="str">
        <f>IFERROR(__xludf.DUMMYFUNCTION("""COMPUTED_VALUE"""),"")</f>
        <v/>
      </c>
      <c r="AC312" s="52" t="str">
        <f>IFERROR(__xludf.DUMMYFUNCTION("""COMPUTED_VALUE"""),"")</f>
        <v/>
      </c>
      <c r="AD312" s="52" t="str">
        <f>IFERROR(__xludf.DUMMYFUNCTION("""COMPUTED_VALUE"""),"")</f>
        <v/>
      </c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</row>
    <row r="313">
      <c r="B313" s="49"/>
      <c r="C313" s="49" t="str">
        <f t="shared" si="2"/>
        <v/>
      </c>
      <c r="D313" s="50" t="str">
        <f t="shared" si="3"/>
        <v/>
      </c>
      <c r="E313" s="51" t="str">
        <f t="shared" ref="E313:T313" si="314">IFERROR(VLOOKUP($A313,INDIRECT("'" &amp; E$1 &amp; "'!$C:$G"), 5, FALSE),"")</f>
        <v/>
      </c>
      <c r="F313" s="51" t="str">
        <f t="shared" si="314"/>
        <v/>
      </c>
      <c r="G313" s="51" t="str">
        <f t="shared" si="314"/>
        <v/>
      </c>
      <c r="H313" s="51" t="str">
        <f t="shared" si="314"/>
        <v/>
      </c>
      <c r="I313" s="51" t="str">
        <f t="shared" si="314"/>
        <v/>
      </c>
      <c r="J313" s="51" t="str">
        <f t="shared" si="314"/>
        <v/>
      </c>
      <c r="K313" s="51" t="str">
        <f t="shared" si="314"/>
        <v/>
      </c>
      <c r="L313" s="51" t="str">
        <f t="shared" si="314"/>
        <v/>
      </c>
      <c r="M313" s="51" t="str">
        <f t="shared" si="314"/>
        <v/>
      </c>
      <c r="N313" s="51" t="str">
        <f t="shared" si="314"/>
        <v/>
      </c>
      <c r="O313" s="51" t="str">
        <f t="shared" si="314"/>
        <v/>
      </c>
      <c r="P313" s="51" t="str">
        <f t="shared" si="314"/>
        <v/>
      </c>
      <c r="Q313" s="51" t="str">
        <f t="shared" si="314"/>
        <v/>
      </c>
      <c r="R313" s="51" t="str">
        <f t="shared" si="314"/>
        <v/>
      </c>
      <c r="S313" s="51" t="str">
        <f t="shared" si="314"/>
        <v/>
      </c>
      <c r="T313" s="51" t="str">
        <f t="shared" si="314"/>
        <v/>
      </c>
      <c r="U313" s="52"/>
      <c r="V313" s="52" t="str">
        <f>IFERROR(__xludf.DUMMYFUNCTION("""COMPUTED_VALUE"""),"")</f>
        <v/>
      </c>
      <c r="W313" s="52" t="str">
        <f>IFERROR(__xludf.DUMMYFUNCTION("""COMPUTED_VALUE"""),"")</f>
        <v/>
      </c>
      <c r="X313" s="52" t="str">
        <f>IFERROR(__xludf.DUMMYFUNCTION("""COMPUTED_VALUE"""),"")</f>
        <v/>
      </c>
      <c r="Y313" s="52" t="str">
        <f>IFERROR(__xludf.DUMMYFUNCTION("""COMPUTED_VALUE"""),"")</f>
        <v/>
      </c>
      <c r="Z313" s="52" t="str">
        <f>IFERROR(__xludf.DUMMYFUNCTION("""COMPUTED_VALUE"""),"")</f>
        <v/>
      </c>
      <c r="AA313" s="52" t="str">
        <f>IFERROR(__xludf.DUMMYFUNCTION("""COMPUTED_VALUE"""),"")</f>
        <v/>
      </c>
      <c r="AB313" s="52" t="str">
        <f>IFERROR(__xludf.DUMMYFUNCTION("""COMPUTED_VALUE"""),"")</f>
        <v/>
      </c>
      <c r="AC313" s="52" t="str">
        <f>IFERROR(__xludf.DUMMYFUNCTION("""COMPUTED_VALUE"""),"")</f>
        <v/>
      </c>
      <c r="AD313" s="52" t="str">
        <f>IFERROR(__xludf.DUMMYFUNCTION("""COMPUTED_VALUE"""),"")</f>
        <v/>
      </c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</row>
    <row r="314">
      <c r="B314" s="49"/>
      <c r="C314" s="49" t="str">
        <f t="shared" si="2"/>
        <v/>
      </c>
      <c r="D314" s="50" t="str">
        <f t="shared" si="3"/>
        <v/>
      </c>
      <c r="E314" s="51" t="str">
        <f t="shared" ref="E314:T314" si="315">IFERROR(VLOOKUP($A314,INDIRECT("'" &amp; E$1 &amp; "'!$C:$G"), 5, FALSE),"")</f>
        <v/>
      </c>
      <c r="F314" s="51" t="str">
        <f t="shared" si="315"/>
        <v/>
      </c>
      <c r="G314" s="51" t="str">
        <f t="shared" si="315"/>
        <v/>
      </c>
      <c r="H314" s="51" t="str">
        <f t="shared" si="315"/>
        <v/>
      </c>
      <c r="I314" s="51" t="str">
        <f t="shared" si="315"/>
        <v/>
      </c>
      <c r="J314" s="51" t="str">
        <f t="shared" si="315"/>
        <v/>
      </c>
      <c r="K314" s="51" t="str">
        <f t="shared" si="315"/>
        <v/>
      </c>
      <c r="L314" s="51" t="str">
        <f t="shared" si="315"/>
        <v/>
      </c>
      <c r="M314" s="51" t="str">
        <f t="shared" si="315"/>
        <v/>
      </c>
      <c r="N314" s="51" t="str">
        <f t="shared" si="315"/>
        <v/>
      </c>
      <c r="O314" s="51" t="str">
        <f t="shared" si="315"/>
        <v/>
      </c>
      <c r="P314" s="51" t="str">
        <f t="shared" si="315"/>
        <v/>
      </c>
      <c r="Q314" s="51" t="str">
        <f t="shared" si="315"/>
        <v/>
      </c>
      <c r="R314" s="51" t="str">
        <f t="shared" si="315"/>
        <v/>
      </c>
      <c r="S314" s="51" t="str">
        <f t="shared" si="315"/>
        <v/>
      </c>
      <c r="T314" s="51" t="str">
        <f t="shared" si="315"/>
        <v/>
      </c>
      <c r="U314" s="52"/>
      <c r="V314" s="52" t="str">
        <f>IFERROR(__xludf.DUMMYFUNCTION("""COMPUTED_VALUE"""),"")</f>
        <v/>
      </c>
      <c r="W314" s="52" t="str">
        <f>IFERROR(__xludf.DUMMYFUNCTION("""COMPUTED_VALUE"""),"")</f>
        <v/>
      </c>
      <c r="X314" s="52" t="str">
        <f>IFERROR(__xludf.DUMMYFUNCTION("""COMPUTED_VALUE"""),"")</f>
        <v/>
      </c>
      <c r="Y314" s="52" t="str">
        <f>IFERROR(__xludf.DUMMYFUNCTION("""COMPUTED_VALUE"""),"")</f>
        <v/>
      </c>
      <c r="Z314" s="52" t="str">
        <f>IFERROR(__xludf.DUMMYFUNCTION("""COMPUTED_VALUE"""),"")</f>
        <v/>
      </c>
      <c r="AA314" s="52" t="str">
        <f>IFERROR(__xludf.DUMMYFUNCTION("""COMPUTED_VALUE"""),"")</f>
        <v/>
      </c>
      <c r="AB314" s="52" t="str">
        <f>IFERROR(__xludf.DUMMYFUNCTION("""COMPUTED_VALUE"""),"")</f>
        <v/>
      </c>
      <c r="AC314" s="52" t="str">
        <f>IFERROR(__xludf.DUMMYFUNCTION("""COMPUTED_VALUE"""),"")</f>
        <v/>
      </c>
      <c r="AD314" s="52" t="str">
        <f>IFERROR(__xludf.DUMMYFUNCTION("""COMPUTED_VALUE"""),"")</f>
        <v/>
      </c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</row>
    <row r="315">
      <c r="B315" s="49"/>
      <c r="C315" s="49" t="str">
        <f t="shared" si="2"/>
        <v/>
      </c>
      <c r="D315" s="50" t="str">
        <f t="shared" si="3"/>
        <v/>
      </c>
      <c r="E315" s="51" t="str">
        <f t="shared" ref="E315:T315" si="316">IFERROR(VLOOKUP($A315,INDIRECT("'" &amp; E$1 &amp; "'!$C:$G"), 5, FALSE),"")</f>
        <v/>
      </c>
      <c r="F315" s="51" t="str">
        <f t="shared" si="316"/>
        <v/>
      </c>
      <c r="G315" s="51" t="str">
        <f t="shared" si="316"/>
        <v/>
      </c>
      <c r="H315" s="51" t="str">
        <f t="shared" si="316"/>
        <v/>
      </c>
      <c r="I315" s="51" t="str">
        <f t="shared" si="316"/>
        <v/>
      </c>
      <c r="J315" s="51" t="str">
        <f t="shared" si="316"/>
        <v/>
      </c>
      <c r="K315" s="51" t="str">
        <f t="shared" si="316"/>
        <v/>
      </c>
      <c r="L315" s="51" t="str">
        <f t="shared" si="316"/>
        <v/>
      </c>
      <c r="M315" s="51" t="str">
        <f t="shared" si="316"/>
        <v/>
      </c>
      <c r="N315" s="51" t="str">
        <f t="shared" si="316"/>
        <v/>
      </c>
      <c r="O315" s="51" t="str">
        <f t="shared" si="316"/>
        <v/>
      </c>
      <c r="P315" s="51" t="str">
        <f t="shared" si="316"/>
        <v/>
      </c>
      <c r="Q315" s="51" t="str">
        <f t="shared" si="316"/>
        <v/>
      </c>
      <c r="R315" s="51" t="str">
        <f t="shared" si="316"/>
        <v/>
      </c>
      <c r="S315" s="51" t="str">
        <f t="shared" si="316"/>
        <v/>
      </c>
      <c r="T315" s="51" t="str">
        <f t="shared" si="316"/>
        <v/>
      </c>
      <c r="U315" s="52"/>
      <c r="V315" s="52" t="str">
        <f>IFERROR(__xludf.DUMMYFUNCTION("""COMPUTED_VALUE"""),"")</f>
        <v/>
      </c>
      <c r="W315" s="52" t="str">
        <f>IFERROR(__xludf.DUMMYFUNCTION("""COMPUTED_VALUE"""),"")</f>
        <v/>
      </c>
      <c r="X315" s="52" t="str">
        <f>IFERROR(__xludf.DUMMYFUNCTION("""COMPUTED_VALUE"""),"")</f>
        <v/>
      </c>
      <c r="Y315" s="52" t="str">
        <f>IFERROR(__xludf.DUMMYFUNCTION("""COMPUTED_VALUE"""),"")</f>
        <v/>
      </c>
      <c r="Z315" s="52" t="str">
        <f>IFERROR(__xludf.DUMMYFUNCTION("""COMPUTED_VALUE"""),"")</f>
        <v/>
      </c>
      <c r="AA315" s="52" t="str">
        <f>IFERROR(__xludf.DUMMYFUNCTION("""COMPUTED_VALUE"""),"")</f>
        <v/>
      </c>
      <c r="AB315" s="52" t="str">
        <f>IFERROR(__xludf.DUMMYFUNCTION("""COMPUTED_VALUE"""),"")</f>
        <v/>
      </c>
      <c r="AC315" s="52" t="str">
        <f>IFERROR(__xludf.DUMMYFUNCTION("""COMPUTED_VALUE"""),"")</f>
        <v/>
      </c>
      <c r="AD315" s="52" t="str">
        <f>IFERROR(__xludf.DUMMYFUNCTION("""COMPUTED_VALUE"""),"")</f>
        <v/>
      </c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</row>
    <row r="316">
      <c r="B316" s="49"/>
      <c r="C316" s="49" t="str">
        <f t="shared" si="2"/>
        <v/>
      </c>
      <c r="D316" s="50" t="str">
        <f t="shared" si="3"/>
        <v/>
      </c>
      <c r="E316" s="51" t="str">
        <f t="shared" ref="E316:T316" si="317">IFERROR(VLOOKUP($A316,INDIRECT("'" &amp; E$1 &amp; "'!$C:$G"), 5, FALSE),"")</f>
        <v/>
      </c>
      <c r="F316" s="51" t="str">
        <f t="shared" si="317"/>
        <v/>
      </c>
      <c r="G316" s="51" t="str">
        <f t="shared" si="317"/>
        <v/>
      </c>
      <c r="H316" s="51" t="str">
        <f t="shared" si="317"/>
        <v/>
      </c>
      <c r="I316" s="51" t="str">
        <f t="shared" si="317"/>
        <v/>
      </c>
      <c r="J316" s="51" t="str">
        <f t="shared" si="317"/>
        <v/>
      </c>
      <c r="K316" s="51" t="str">
        <f t="shared" si="317"/>
        <v/>
      </c>
      <c r="L316" s="51" t="str">
        <f t="shared" si="317"/>
        <v/>
      </c>
      <c r="M316" s="51" t="str">
        <f t="shared" si="317"/>
        <v/>
      </c>
      <c r="N316" s="51" t="str">
        <f t="shared" si="317"/>
        <v/>
      </c>
      <c r="O316" s="51" t="str">
        <f t="shared" si="317"/>
        <v/>
      </c>
      <c r="P316" s="51" t="str">
        <f t="shared" si="317"/>
        <v/>
      </c>
      <c r="Q316" s="51" t="str">
        <f t="shared" si="317"/>
        <v/>
      </c>
      <c r="R316" s="51" t="str">
        <f t="shared" si="317"/>
        <v/>
      </c>
      <c r="S316" s="51" t="str">
        <f t="shared" si="317"/>
        <v/>
      </c>
      <c r="T316" s="51" t="str">
        <f t="shared" si="317"/>
        <v/>
      </c>
      <c r="U316" s="52"/>
      <c r="V316" s="52" t="str">
        <f>IFERROR(__xludf.DUMMYFUNCTION("""COMPUTED_VALUE"""),"")</f>
        <v/>
      </c>
      <c r="W316" s="52" t="str">
        <f>IFERROR(__xludf.DUMMYFUNCTION("""COMPUTED_VALUE"""),"")</f>
        <v/>
      </c>
      <c r="X316" s="52" t="str">
        <f>IFERROR(__xludf.DUMMYFUNCTION("""COMPUTED_VALUE"""),"")</f>
        <v/>
      </c>
      <c r="Y316" s="52" t="str">
        <f>IFERROR(__xludf.DUMMYFUNCTION("""COMPUTED_VALUE"""),"")</f>
        <v/>
      </c>
      <c r="Z316" s="52" t="str">
        <f>IFERROR(__xludf.DUMMYFUNCTION("""COMPUTED_VALUE"""),"")</f>
        <v/>
      </c>
      <c r="AA316" s="52" t="str">
        <f>IFERROR(__xludf.DUMMYFUNCTION("""COMPUTED_VALUE"""),"")</f>
        <v/>
      </c>
      <c r="AB316" s="52" t="str">
        <f>IFERROR(__xludf.DUMMYFUNCTION("""COMPUTED_VALUE"""),"")</f>
        <v/>
      </c>
      <c r="AC316" s="52" t="str">
        <f>IFERROR(__xludf.DUMMYFUNCTION("""COMPUTED_VALUE"""),"")</f>
        <v/>
      </c>
      <c r="AD316" s="52" t="str">
        <f>IFERROR(__xludf.DUMMYFUNCTION("""COMPUTED_VALUE"""),"")</f>
        <v/>
      </c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</row>
    <row r="317">
      <c r="B317" s="49"/>
      <c r="C317" s="49" t="str">
        <f t="shared" si="2"/>
        <v/>
      </c>
      <c r="D317" s="50" t="str">
        <f t="shared" si="3"/>
        <v/>
      </c>
      <c r="E317" s="51" t="str">
        <f t="shared" ref="E317:T317" si="318">IFERROR(VLOOKUP($A317,INDIRECT("'" &amp; E$1 &amp; "'!$C:$G"), 5, FALSE),"")</f>
        <v/>
      </c>
      <c r="F317" s="51" t="str">
        <f t="shared" si="318"/>
        <v/>
      </c>
      <c r="G317" s="51" t="str">
        <f t="shared" si="318"/>
        <v/>
      </c>
      <c r="H317" s="51" t="str">
        <f t="shared" si="318"/>
        <v/>
      </c>
      <c r="I317" s="51" t="str">
        <f t="shared" si="318"/>
        <v/>
      </c>
      <c r="J317" s="51" t="str">
        <f t="shared" si="318"/>
        <v/>
      </c>
      <c r="K317" s="51" t="str">
        <f t="shared" si="318"/>
        <v/>
      </c>
      <c r="L317" s="51" t="str">
        <f t="shared" si="318"/>
        <v/>
      </c>
      <c r="M317" s="51" t="str">
        <f t="shared" si="318"/>
        <v/>
      </c>
      <c r="N317" s="51" t="str">
        <f t="shared" si="318"/>
        <v/>
      </c>
      <c r="O317" s="51" t="str">
        <f t="shared" si="318"/>
        <v/>
      </c>
      <c r="P317" s="51" t="str">
        <f t="shared" si="318"/>
        <v/>
      </c>
      <c r="Q317" s="51" t="str">
        <f t="shared" si="318"/>
        <v/>
      </c>
      <c r="R317" s="51" t="str">
        <f t="shared" si="318"/>
        <v/>
      </c>
      <c r="S317" s="51" t="str">
        <f t="shared" si="318"/>
        <v/>
      </c>
      <c r="T317" s="51" t="str">
        <f t="shared" si="318"/>
        <v/>
      </c>
      <c r="U317" s="52"/>
      <c r="V317" s="52" t="str">
        <f>IFERROR(__xludf.DUMMYFUNCTION("""COMPUTED_VALUE"""),"")</f>
        <v/>
      </c>
      <c r="W317" s="52" t="str">
        <f>IFERROR(__xludf.DUMMYFUNCTION("""COMPUTED_VALUE"""),"")</f>
        <v/>
      </c>
      <c r="X317" s="52" t="str">
        <f>IFERROR(__xludf.DUMMYFUNCTION("""COMPUTED_VALUE"""),"")</f>
        <v/>
      </c>
      <c r="Y317" s="52" t="str">
        <f>IFERROR(__xludf.DUMMYFUNCTION("""COMPUTED_VALUE"""),"")</f>
        <v/>
      </c>
      <c r="Z317" s="52" t="str">
        <f>IFERROR(__xludf.DUMMYFUNCTION("""COMPUTED_VALUE"""),"")</f>
        <v/>
      </c>
      <c r="AA317" s="52" t="str">
        <f>IFERROR(__xludf.DUMMYFUNCTION("""COMPUTED_VALUE"""),"")</f>
        <v/>
      </c>
      <c r="AB317" s="52" t="str">
        <f>IFERROR(__xludf.DUMMYFUNCTION("""COMPUTED_VALUE"""),"")</f>
        <v/>
      </c>
      <c r="AC317" s="52" t="str">
        <f>IFERROR(__xludf.DUMMYFUNCTION("""COMPUTED_VALUE"""),"")</f>
        <v/>
      </c>
      <c r="AD317" s="52" t="str">
        <f>IFERROR(__xludf.DUMMYFUNCTION("""COMPUTED_VALUE"""),"")</f>
        <v/>
      </c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</row>
    <row r="318">
      <c r="B318" s="49"/>
      <c r="C318" s="49" t="str">
        <f t="shared" si="2"/>
        <v/>
      </c>
      <c r="D318" s="50" t="str">
        <f t="shared" si="3"/>
        <v/>
      </c>
      <c r="E318" s="51" t="str">
        <f t="shared" ref="E318:T318" si="319">IFERROR(VLOOKUP($A318,INDIRECT("'" &amp; E$1 &amp; "'!$C:$G"), 5, FALSE),"")</f>
        <v/>
      </c>
      <c r="F318" s="51" t="str">
        <f t="shared" si="319"/>
        <v/>
      </c>
      <c r="G318" s="51" t="str">
        <f t="shared" si="319"/>
        <v/>
      </c>
      <c r="H318" s="51" t="str">
        <f t="shared" si="319"/>
        <v/>
      </c>
      <c r="I318" s="51" t="str">
        <f t="shared" si="319"/>
        <v/>
      </c>
      <c r="J318" s="51" t="str">
        <f t="shared" si="319"/>
        <v/>
      </c>
      <c r="K318" s="51" t="str">
        <f t="shared" si="319"/>
        <v/>
      </c>
      <c r="L318" s="51" t="str">
        <f t="shared" si="319"/>
        <v/>
      </c>
      <c r="M318" s="51" t="str">
        <f t="shared" si="319"/>
        <v/>
      </c>
      <c r="N318" s="51" t="str">
        <f t="shared" si="319"/>
        <v/>
      </c>
      <c r="O318" s="51" t="str">
        <f t="shared" si="319"/>
        <v/>
      </c>
      <c r="P318" s="51" t="str">
        <f t="shared" si="319"/>
        <v/>
      </c>
      <c r="Q318" s="51" t="str">
        <f t="shared" si="319"/>
        <v/>
      </c>
      <c r="R318" s="51" t="str">
        <f t="shared" si="319"/>
        <v/>
      </c>
      <c r="S318" s="51" t="str">
        <f t="shared" si="319"/>
        <v/>
      </c>
      <c r="T318" s="51" t="str">
        <f t="shared" si="319"/>
        <v/>
      </c>
      <c r="U318" s="52"/>
      <c r="V318" s="52" t="str">
        <f>IFERROR(__xludf.DUMMYFUNCTION("""COMPUTED_VALUE"""),"")</f>
        <v/>
      </c>
      <c r="W318" s="52" t="str">
        <f>IFERROR(__xludf.DUMMYFUNCTION("""COMPUTED_VALUE"""),"")</f>
        <v/>
      </c>
      <c r="X318" s="52" t="str">
        <f>IFERROR(__xludf.DUMMYFUNCTION("""COMPUTED_VALUE"""),"")</f>
        <v/>
      </c>
      <c r="Y318" s="52" t="str">
        <f>IFERROR(__xludf.DUMMYFUNCTION("""COMPUTED_VALUE"""),"")</f>
        <v/>
      </c>
      <c r="Z318" s="52" t="str">
        <f>IFERROR(__xludf.DUMMYFUNCTION("""COMPUTED_VALUE"""),"")</f>
        <v/>
      </c>
      <c r="AA318" s="52" t="str">
        <f>IFERROR(__xludf.DUMMYFUNCTION("""COMPUTED_VALUE"""),"")</f>
        <v/>
      </c>
      <c r="AB318" s="52" t="str">
        <f>IFERROR(__xludf.DUMMYFUNCTION("""COMPUTED_VALUE"""),"")</f>
        <v/>
      </c>
      <c r="AC318" s="52" t="str">
        <f>IFERROR(__xludf.DUMMYFUNCTION("""COMPUTED_VALUE"""),"")</f>
        <v/>
      </c>
      <c r="AD318" s="52" t="str">
        <f>IFERROR(__xludf.DUMMYFUNCTION("""COMPUTED_VALUE"""),"")</f>
        <v/>
      </c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</row>
    <row r="319">
      <c r="B319" s="49"/>
      <c r="C319" s="49" t="str">
        <f t="shared" si="2"/>
        <v/>
      </c>
      <c r="D319" s="50" t="str">
        <f t="shared" si="3"/>
        <v/>
      </c>
      <c r="E319" s="51" t="str">
        <f t="shared" ref="E319:T319" si="320">IFERROR(VLOOKUP($A319,INDIRECT("'" &amp; E$1 &amp; "'!$C:$G"), 5, FALSE),"")</f>
        <v/>
      </c>
      <c r="F319" s="51" t="str">
        <f t="shared" si="320"/>
        <v/>
      </c>
      <c r="G319" s="51" t="str">
        <f t="shared" si="320"/>
        <v/>
      </c>
      <c r="H319" s="51" t="str">
        <f t="shared" si="320"/>
        <v/>
      </c>
      <c r="I319" s="51" t="str">
        <f t="shared" si="320"/>
        <v/>
      </c>
      <c r="J319" s="51" t="str">
        <f t="shared" si="320"/>
        <v/>
      </c>
      <c r="K319" s="51" t="str">
        <f t="shared" si="320"/>
        <v/>
      </c>
      <c r="L319" s="51" t="str">
        <f t="shared" si="320"/>
        <v/>
      </c>
      <c r="M319" s="51" t="str">
        <f t="shared" si="320"/>
        <v/>
      </c>
      <c r="N319" s="51" t="str">
        <f t="shared" si="320"/>
        <v/>
      </c>
      <c r="O319" s="51" t="str">
        <f t="shared" si="320"/>
        <v/>
      </c>
      <c r="P319" s="51" t="str">
        <f t="shared" si="320"/>
        <v/>
      </c>
      <c r="Q319" s="51" t="str">
        <f t="shared" si="320"/>
        <v/>
      </c>
      <c r="R319" s="51" t="str">
        <f t="shared" si="320"/>
        <v/>
      </c>
      <c r="S319" s="51" t="str">
        <f t="shared" si="320"/>
        <v/>
      </c>
      <c r="T319" s="51" t="str">
        <f t="shared" si="320"/>
        <v/>
      </c>
      <c r="U319" s="52"/>
      <c r="V319" s="52" t="str">
        <f>IFERROR(__xludf.DUMMYFUNCTION("""COMPUTED_VALUE"""),"")</f>
        <v/>
      </c>
      <c r="W319" s="52" t="str">
        <f>IFERROR(__xludf.DUMMYFUNCTION("""COMPUTED_VALUE"""),"")</f>
        <v/>
      </c>
      <c r="X319" s="52" t="str">
        <f>IFERROR(__xludf.DUMMYFUNCTION("""COMPUTED_VALUE"""),"")</f>
        <v/>
      </c>
      <c r="Y319" s="52" t="str">
        <f>IFERROR(__xludf.DUMMYFUNCTION("""COMPUTED_VALUE"""),"")</f>
        <v/>
      </c>
      <c r="Z319" s="52" t="str">
        <f>IFERROR(__xludf.DUMMYFUNCTION("""COMPUTED_VALUE"""),"")</f>
        <v/>
      </c>
      <c r="AA319" s="52" t="str">
        <f>IFERROR(__xludf.DUMMYFUNCTION("""COMPUTED_VALUE"""),"")</f>
        <v/>
      </c>
      <c r="AB319" s="52" t="str">
        <f>IFERROR(__xludf.DUMMYFUNCTION("""COMPUTED_VALUE"""),"")</f>
        <v/>
      </c>
      <c r="AC319" s="52" t="str">
        <f>IFERROR(__xludf.DUMMYFUNCTION("""COMPUTED_VALUE"""),"")</f>
        <v/>
      </c>
      <c r="AD319" s="52" t="str">
        <f>IFERROR(__xludf.DUMMYFUNCTION("""COMPUTED_VALUE"""),"")</f>
        <v/>
      </c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</row>
    <row r="320">
      <c r="B320" s="49"/>
      <c r="C320" s="49" t="str">
        <f t="shared" si="2"/>
        <v/>
      </c>
      <c r="D320" s="50" t="str">
        <f t="shared" si="3"/>
        <v/>
      </c>
      <c r="E320" s="51" t="str">
        <f t="shared" ref="E320:T320" si="321">IFERROR(VLOOKUP($A320,INDIRECT("'" &amp; E$1 &amp; "'!$C:$G"), 5, FALSE),"")</f>
        <v/>
      </c>
      <c r="F320" s="51" t="str">
        <f t="shared" si="321"/>
        <v/>
      </c>
      <c r="G320" s="51" t="str">
        <f t="shared" si="321"/>
        <v/>
      </c>
      <c r="H320" s="51" t="str">
        <f t="shared" si="321"/>
        <v/>
      </c>
      <c r="I320" s="51" t="str">
        <f t="shared" si="321"/>
        <v/>
      </c>
      <c r="J320" s="51" t="str">
        <f t="shared" si="321"/>
        <v/>
      </c>
      <c r="K320" s="51" t="str">
        <f t="shared" si="321"/>
        <v/>
      </c>
      <c r="L320" s="51" t="str">
        <f t="shared" si="321"/>
        <v/>
      </c>
      <c r="M320" s="51" t="str">
        <f t="shared" si="321"/>
        <v/>
      </c>
      <c r="N320" s="51" t="str">
        <f t="shared" si="321"/>
        <v/>
      </c>
      <c r="O320" s="51" t="str">
        <f t="shared" si="321"/>
        <v/>
      </c>
      <c r="P320" s="51" t="str">
        <f t="shared" si="321"/>
        <v/>
      </c>
      <c r="Q320" s="51" t="str">
        <f t="shared" si="321"/>
        <v/>
      </c>
      <c r="R320" s="51" t="str">
        <f t="shared" si="321"/>
        <v/>
      </c>
      <c r="S320" s="51" t="str">
        <f t="shared" si="321"/>
        <v/>
      </c>
      <c r="T320" s="51" t="str">
        <f t="shared" si="321"/>
        <v/>
      </c>
      <c r="U320" s="52"/>
      <c r="V320" s="52" t="str">
        <f>IFERROR(__xludf.DUMMYFUNCTION("""COMPUTED_VALUE"""),"")</f>
        <v/>
      </c>
      <c r="W320" s="52" t="str">
        <f>IFERROR(__xludf.DUMMYFUNCTION("""COMPUTED_VALUE"""),"")</f>
        <v/>
      </c>
      <c r="X320" s="52" t="str">
        <f>IFERROR(__xludf.DUMMYFUNCTION("""COMPUTED_VALUE"""),"")</f>
        <v/>
      </c>
      <c r="Y320" s="52" t="str">
        <f>IFERROR(__xludf.DUMMYFUNCTION("""COMPUTED_VALUE"""),"")</f>
        <v/>
      </c>
      <c r="Z320" s="52" t="str">
        <f>IFERROR(__xludf.DUMMYFUNCTION("""COMPUTED_VALUE"""),"")</f>
        <v/>
      </c>
      <c r="AA320" s="52" t="str">
        <f>IFERROR(__xludf.DUMMYFUNCTION("""COMPUTED_VALUE"""),"")</f>
        <v/>
      </c>
      <c r="AB320" s="52" t="str">
        <f>IFERROR(__xludf.DUMMYFUNCTION("""COMPUTED_VALUE"""),"")</f>
        <v/>
      </c>
      <c r="AC320" s="52" t="str">
        <f>IFERROR(__xludf.DUMMYFUNCTION("""COMPUTED_VALUE"""),"")</f>
        <v/>
      </c>
      <c r="AD320" s="52" t="str">
        <f>IFERROR(__xludf.DUMMYFUNCTION("""COMPUTED_VALUE"""),"")</f>
        <v/>
      </c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</row>
    <row r="321">
      <c r="B321" s="49"/>
      <c r="C321" s="49" t="str">
        <f t="shared" si="2"/>
        <v/>
      </c>
      <c r="D321" s="50" t="str">
        <f t="shared" si="3"/>
        <v/>
      </c>
      <c r="E321" s="51" t="str">
        <f t="shared" ref="E321:T321" si="322">IFERROR(VLOOKUP($A321,INDIRECT("'" &amp; E$1 &amp; "'!$C:$G"), 5, FALSE),"")</f>
        <v/>
      </c>
      <c r="F321" s="51" t="str">
        <f t="shared" si="322"/>
        <v/>
      </c>
      <c r="G321" s="51" t="str">
        <f t="shared" si="322"/>
        <v/>
      </c>
      <c r="H321" s="51" t="str">
        <f t="shared" si="322"/>
        <v/>
      </c>
      <c r="I321" s="51" t="str">
        <f t="shared" si="322"/>
        <v/>
      </c>
      <c r="J321" s="51" t="str">
        <f t="shared" si="322"/>
        <v/>
      </c>
      <c r="K321" s="51" t="str">
        <f t="shared" si="322"/>
        <v/>
      </c>
      <c r="L321" s="51" t="str">
        <f t="shared" si="322"/>
        <v/>
      </c>
      <c r="M321" s="51" t="str">
        <f t="shared" si="322"/>
        <v/>
      </c>
      <c r="N321" s="51" t="str">
        <f t="shared" si="322"/>
        <v/>
      </c>
      <c r="O321" s="51" t="str">
        <f t="shared" si="322"/>
        <v/>
      </c>
      <c r="P321" s="51" t="str">
        <f t="shared" si="322"/>
        <v/>
      </c>
      <c r="Q321" s="51" t="str">
        <f t="shared" si="322"/>
        <v/>
      </c>
      <c r="R321" s="51" t="str">
        <f t="shared" si="322"/>
        <v/>
      </c>
      <c r="S321" s="51" t="str">
        <f t="shared" si="322"/>
        <v/>
      </c>
      <c r="T321" s="51" t="str">
        <f t="shared" si="322"/>
        <v/>
      </c>
      <c r="U321" s="52"/>
      <c r="V321" s="52" t="str">
        <f>IFERROR(__xludf.DUMMYFUNCTION("""COMPUTED_VALUE"""),"")</f>
        <v/>
      </c>
      <c r="W321" s="52" t="str">
        <f>IFERROR(__xludf.DUMMYFUNCTION("""COMPUTED_VALUE"""),"")</f>
        <v/>
      </c>
      <c r="X321" s="52" t="str">
        <f>IFERROR(__xludf.DUMMYFUNCTION("""COMPUTED_VALUE"""),"")</f>
        <v/>
      </c>
      <c r="Y321" s="52" t="str">
        <f>IFERROR(__xludf.DUMMYFUNCTION("""COMPUTED_VALUE"""),"")</f>
        <v/>
      </c>
      <c r="Z321" s="52" t="str">
        <f>IFERROR(__xludf.DUMMYFUNCTION("""COMPUTED_VALUE"""),"")</f>
        <v/>
      </c>
      <c r="AA321" s="52" t="str">
        <f>IFERROR(__xludf.DUMMYFUNCTION("""COMPUTED_VALUE"""),"")</f>
        <v/>
      </c>
      <c r="AB321" s="52" t="str">
        <f>IFERROR(__xludf.DUMMYFUNCTION("""COMPUTED_VALUE"""),"")</f>
        <v/>
      </c>
      <c r="AC321" s="52" t="str">
        <f>IFERROR(__xludf.DUMMYFUNCTION("""COMPUTED_VALUE"""),"")</f>
        <v/>
      </c>
      <c r="AD321" s="52" t="str">
        <f>IFERROR(__xludf.DUMMYFUNCTION("""COMPUTED_VALUE"""),"")</f>
        <v/>
      </c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</row>
    <row r="322">
      <c r="B322" s="49"/>
      <c r="C322" s="49" t="str">
        <f t="shared" si="2"/>
        <v/>
      </c>
      <c r="D322" s="50" t="str">
        <f t="shared" si="3"/>
        <v/>
      </c>
      <c r="E322" s="51" t="str">
        <f t="shared" ref="E322:T322" si="323">IFERROR(VLOOKUP($A322,INDIRECT("'" &amp; E$1 &amp; "'!$C:$G"), 5, FALSE),"")</f>
        <v/>
      </c>
      <c r="F322" s="51" t="str">
        <f t="shared" si="323"/>
        <v/>
      </c>
      <c r="G322" s="51" t="str">
        <f t="shared" si="323"/>
        <v/>
      </c>
      <c r="H322" s="51" t="str">
        <f t="shared" si="323"/>
        <v/>
      </c>
      <c r="I322" s="51" t="str">
        <f t="shared" si="323"/>
        <v/>
      </c>
      <c r="J322" s="51" t="str">
        <f t="shared" si="323"/>
        <v/>
      </c>
      <c r="K322" s="51" t="str">
        <f t="shared" si="323"/>
        <v/>
      </c>
      <c r="L322" s="51" t="str">
        <f t="shared" si="323"/>
        <v/>
      </c>
      <c r="M322" s="51" t="str">
        <f t="shared" si="323"/>
        <v/>
      </c>
      <c r="N322" s="51" t="str">
        <f t="shared" si="323"/>
        <v/>
      </c>
      <c r="O322" s="51" t="str">
        <f t="shared" si="323"/>
        <v/>
      </c>
      <c r="P322" s="51" t="str">
        <f t="shared" si="323"/>
        <v/>
      </c>
      <c r="Q322" s="51" t="str">
        <f t="shared" si="323"/>
        <v/>
      </c>
      <c r="R322" s="51" t="str">
        <f t="shared" si="323"/>
        <v/>
      </c>
      <c r="S322" s="51" t="str">
        <f t="shared" si="323"/>
        <v/>
      </c>
      <c r="T322" s="51" t="str">
        <f t="shared" si="323"/>
        <v/>
      </c>
      <c r="U322" s="52"/>
      <c r="V322" s="52" t="str">
        <f>IFERROR(__xludf.DUMMYFUNCTION("""COMPUTED_VALUE"""),"")</f>
        <v/>
      </c>
      <c r="W322" s="52" t="str">
        <f>IFERROR(__xludf.DUMMYFUNCTION("""COMPUTED_VALUE"""),"")</f>
        <v/>
      </c>
      <c r="X322" s="52" t="str">
        <f>IFERROR(__xludf.DUMMYFUNCTION("""COMPUTED_VALUE"""),"")</f>
        <v/>
      </c>
      <c r="Y322" s="52" t="str">
        <f>IFERROR(__xludf.DUMMYFUNCTION("""COMPUTED_VALUE"""),"")</f>
        <v/>
      </c>
      <c r="Z322" s="52" t="str">
        <f>IFERROR(__xludf.DUMMYFUNCTION("""COMPUTED_VALUE"""),"")</f>
        <v/>
      </c>
      <c r="AA322" s="52" t="str">
        <f>IFERROR(__xludf.DUMMYFUNCTION("""COMPUTED_VALUE"""),"")</f>
        <v/>
      </c>
      <c r="AB322" s="52" t="str">
        <f>IFERROR(__xludf.DUMMYFUNCTION("""COMPUTED_VALUE"""),"")</f>
        <v/>
      </c>
      <c r="AC322" s="52" t="str">
        <f>IFERROR(__xludf.DUMMYFUNCTION("""COMPUTED_VALUE"""),"")</f>
        <v/>
      </c>
      <c r="AD322" s="52" t="str">
        <f>IFERROR(__xludf.DUMMYFUNCTION("""COMPUTED_VALUE"""),"")</f>
        <v/>
      </c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</row>
    <row r="323">
      <c r="B323" s="49"/>
      <c r="C323" s="49" t="str">
        <f t="shared" si="2"/>
        <v/>
      </c>
      <c r="D323" s="50" t="str">
        <f t="shared" si="3"/>
        <v/>
      </c>
      <c r="E323" s="51" t="str">
        <f t="shared" ref="E323:T323" si="324">IFERROR(VLOOKUP($A323,INDIRECT("'" &amp; E$1 &amp; "'!$C:$G"), 5, FALSE),"")</f>
        <v/>
      </c>
      <c r="F323" s="51" t="str">
        <f t="shared" si="324"/>
        <v/>
      </c>
      <c r="G323" s="51" t="str">
        <f t="shared" si="324"/>
        <v/>
      </c>
      <c r="H323" s="51" t="str">
        <f t="shared" si="324"/>
        <v/>
      </c>
      <c r="I323" s="51" t="str">
        <f t="shared" si="324"/>
        <v/>
      </c>
      <c r="J323" s="51" t="str">
        <f t="shared" si="324"/>
        <v/>
      </c>
      <c r="K323" s="51" t="str">
        <f t="shared" si="324"/>
        <v/>
      </c>
      <c r="L323" s="51" t="str">
        <f t="shared" si="324"/>
        <v/>
      </c>
      <c r="M323" s="51" t="str">
        <f t="shared" si="324"/>
        <v/>
      </c>
      <c r="N323" s="51" t="str">
        <f t="shared" si="324"/>
        <v/>
      </c>
      <c r="O323" s="51" t="str">
        <f t="shared" si="324"/>
        <v/>
      </c>
      <c r="P323" s="51" t="str">
        <f t="shared" si="324"/>
        <v/>
      </c>
      <c r="Q323" s="51" t="str">
        <f t="shared" si="324"/>
        <v/>
      </c>
      <c r="R323" s="51" t="str">
        <f t="shared" si="324"/>
        <v/>
      </c>
      <c r="S323" s="51" t="str">
        <f t="shared" si="324"/>
        <v/>
      </c>
      <c r="T323" s="51" t="str">
        <f t="shared" si="324"/>
        <v/>
      </c>
      <c r="U323" s="52"/>
      <c r="V323" s="52" t="str">
        <f>IFERROR(__xludf.DUMMYFUNCTION("""COMPUTED_VALUE"""),"")</f>
        <v/>
      </c>
      <c r="W323" s="52" t="str">
        <f>IFERROR(__xludf.DUMMYFUNCTION("""COMPUTED_VALUE"""),"")</f>
        <v/>
      </c>
      <c r="X323" s="52" t="str">
        <f>IFERROR(__xludf.DUMMYFUNCTION("""COMPUTED_VALUE"""),"")</f>
        <v/>
      </c>
      <c r="Y323" s="52" t="str">
        <f>IFERROR(__xludf.DUMMYFUNCTION("""COMPUTED_VALUE"""),"")</f>
        <v/>
      </c>
      <c r="Z323" s="52" t="str">
        <f>IFERROR(__xludf.DUMMYFUNCTION("""COMPUTED_VALUE"""),"")</f>
        <v/>
      </c>
      <c r="AA323" s="52" t="str">
        <f>IFERROR(__xludf.DUMMYFUNCTION("""COMPUTED_VALUE"""),"")</f>
        <v/>
      </c>
      <c r="AB323" s="52" t="str">
        <f>IFERROR(__xludf.DUMMYFUNCTION("""COMPUTED_VALUE"""),"")</f>
        <v/>
      </c>
      <c r="AC323" s="52" t="str">
        <f>IFERROR(__xludf.DUMMYFUNCTION("""COMPUTED_VALUE"""),"")</f>
        <v/>
      </c>
      <c r="AD323" s="52" t="str">
        <f>IFERROR(__xludf.DUMMYFUNCTION("""COMPUTED_VALUE"""),"")</f>
        <v/>
      </c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</row>
    <row r="324">
      <c r="B324" s="49"/>
      <c r="C324" s="49" t="str">
        <f t="shared" si="2"/>
        <v/>
      </c>
      <c r="D324" s="50" t="str">
        <f t="shared" si="3"/>
        <v/>
      </c>
      <c r="E324" s="51" t="str">
        <f t="shared" ref="E324:T324" si="325">IFERROR(VLOOKUP($A324,INDIRECT("'" &amp; E$1 &amp; "'!$C:$G"), 5, FALSE),"")</f>
        <v/>
      </c>
      <c r="F324" s="51" t="str">
        <f t="shared" si="325"/>
        <v/>
      </c>
      <c r="G324" s="51" t="str">
        <f t="shared" si="325"/>
        <v/>
      </c>
      <c r="H324" s="51" t="str">
        <f t="shared" si="325"/>
        <v/>
      </c>
      <c r="I324" s="51" t="str">
        <f t="shared" si="325"/>
        <v/>
      </c>
      <c r="J324" s="51" t="str">
        <f t="shared" si="325"/>
        <v/>
      </c>
      <c r="K324" s="51" t="str">
        <f t="shared" si="325"/>
        <v/>
      </c>
      <c r="L324" s="51" t="str">
        <f t="shared" si="325"/>
        <v/>
      </c>
      <c r="M324" s="51" t="str">
        <f t="shared" si="325"/>
        <v/>
      </c>
      <c r="N324" s="51" t="str">
        <f t="shared" si="325"/>
        <v/>
      </c>
      <c r="O324" s="51" t="str">
        <f t="shared" si="325"/>
        <v/>
      </c>
      <c r="P324" s="51" t="str">
        <f t="shared" si="325"/>
        <v/>
      </c>
      <c r="Q324" s="51" t="str">
        <f t="shared" si="325"/>
        <v/>
      </c>
      <c r="R324" s="51" t="str">
        <f t="shared" si="325"/>
        <v/>
      </c>
      <c r="S324" s="51" t="str">
        <f t="shared" si="325"/>
        <v/>
      </c>
      <c r="T324" s="51" t="str">
        <f t="shared" si="325"/>
        <v/>
      </c>
      <c r="U324" s="52"/>
      <c r="V324" s="52" t="str">
        <f>IFERROR(__xludf.DUMMYFUNCTION("""COMPUTED_VALUE"""),"")</f>
        <v/>
      </c>
      <c r="W324" s="52" t="str">
        <f>IFERROR(__xludf.DUMMYFUNCTION("""COMPUTED_VALUE"""),"")</f>
        <v/>
      </c>
      <c r="X324" s="52" t="str">
        <f>IFERROR(__xludf.DUMMYFUNCTION("""COMPUTED_VALUE"""),"")</f>
        <v/>
      </c>
      <c r="Y324" s="52" t="str">
        <f>IFERROR(__xludf.DUMMYFUNCTION("""COMPUTED_VALUE"""),"")</f>
        <v/>
      </c>
      <c r="Z324" s="52" t="str">
        <f>IFERROR(__xludf.DUMMYFUNCTION("""COMPUTED_VALUE"""),"")</f>
        <v/>
      </c>
      <c r="AA324" s="52" t="str">
        <f>IFERROR(__xludf.DUMMYFUNCTION("""COMPUTED_VALUE"""),"")</f>
        <v/>
      </c>
      <c r="AB324" s="52" t="str">
        <f>IFERROR(__xludf.DUMMYFUNCTION("""COMPUTED_VALUE"""),"")</f>
        <v/>
      </c>
      <c r="AC324" s="52" t="str">
        <f>IFERROR(__xludf.DUMMYFUNCTION("""COMPUTED_VALUE"""),"")</f>
        <v/>
      </c>
      <c r="AD324" s="52" t="str">
        <f>IFERROR(__xludf.DUMMYFUNCTION("""COMPUTED_VALUE"""),"")</f>
        <v/>
      </c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</row>
    <row r="325">
      <c r="B325" s="49"/>
      <c r="C325" s="49" t="str">
        <f t="shared" si="2"/>
        <v/>
      </c>
      <c r="D325" s="50" t="str">
        <f t="shared" si="3"/>
        <v/>
      </c>
      <c r="E325" s="51" t="str">
        <f t="shared" ref="E325:T325" si="326">IFERROR(VLOOKUP($A325,INDIRECT("'" &amp; E$1 &amp; "'!$C:$G"), 5, FALSE),"")</f>
        <v/>
      </c>
      <c r="F325" s="51" t="str">
        <f t="shared" si="326"/>
        <v/>
      </c>
      <c r="G325" s="51" t="str">
        <f t="shared" si="326"/>
        <v/>
      </c>
      <c r="H325" s="51" t="str">
        <f t="shared" si="326"/>
        <v/>
      </c>
      <c r="I325" s="51" t="str">
        <f t="shared" si="326"/>
        <v/>
      </c>
      <c r="J325" s="51" t="str">
        <f t="shared" si="326"/>
        <v/>
      </c>
      <c r="K325" s="51" t="str">
        <f t="shared" si="326"/>
        <v/>
      </c>
      <c r="L325" s="51" t="str">
        <f t="shared" si="326"/>
        <v/>
      </c>
      <c r="M325" s="51" t="str">
        <f t="shared" si="326"/>
        <v/>
      </c>
      <c r="N325" s="51" t="str">
        <f t="shared" si="326"/>
        <v/>
      </c>
      <c r="O325" s="51" t="str">
        <f t="shared" si="326"/>
        <v/>
      </c>
      <c r="P325" s="51" t="str">
        <f t="shared" si="326"/>
        <v/>
      </c>
      <c r="Q325" s="51" t="str">
        <f t="shared" si="326"/>
        <v/>
      </c>
      <c r="R325" s="51" t="str">
        <f t="shared" si="326"/>
        <v/>
      </c>
      <c r="S325" s="51" t="str">
        <f t="shared" si="326"/>
        <v/>
      </c>
      <c r="T325" s="51" t="str">
        <f t="shared" si="326"/>
        <v/>
      </c>
      <c r="U325" s="52"/>
      <c r="V325" s="52" t="str">
        <f>IFERROR(__xludf.DUMMYFUNCTION("""COMPUTED_VALUE"""),"")</f>
        <v/>
      </c>
      <c r="W325" s="52" t="str">
        <f>IFERROR(__xludf.DUMMYFUNCTION("""COMPUTED_VALUE"""),"")</f>
        <v/>
      </c>
      <c r="X325" s="52" t="str">
        <f>IFERROR(__xludf.DUMMYFUNCTION("""COMPUTED_VALUE"""),"")</f>
        <v/>
      </c>
      <c r="Y325" s="52" t="str">
        <f>IFERROR(__xludf.DUMMYFUNCTION("""COMPUTED_VALUE"""),"")</f>
        <v/>
      </c>
      <c r="Z325" s="52" t="str">
        <f>IFERROR(__xludf.DUMMYFUNCTION("""COMPUTED_VALUE"""),"")</f>
        <v/>
      </c>
      <c r="AA325" s="52" t="str">
        <f>IFERROR(__xludf.DUMMYFUNCTION("""COMPUTED_VALUE"""),"")</f>
        <v/>
      </c>
      <c r="AB325" s="52" t="str">
        <f>IFERROR(__xludf.DUMMYFUNCTION("""COMPUTED_VALUE"""),"")</f>
        <v/>
      </c>
      <c r="AC325" s="52" t="str">
        <f>IFERROR(__xludf.DUMMYFUNCTION("""COMPUTED_VALUE"""),"")</f>
        <v/>
      </c>
      <c r="AD325" s="52" t="str">
        <f>IFERROR(__xludf.DUMMYFUNCTION("""COMPUTED_VALUE"""),"")</f>
        <v/>
      </c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</row>
    <row r="326">
      <c r="B326" s="49"/>
      <c r="C326" s="49" t="str">
        <f t="shared" si="2"/>
        <v/>
      </c>
      <c r="D326" s="50" t="str">
        <f t="shared" si="3"/>
        <v/>
      </c>
      <c r="E326" s="51" t="str">
        <f t="shared" ref="E326:T326" si="327">IFERROR(VLOOKUP($A326,INDIRECT("'" &amp; E$1 &amp; "'!$C:$G"), 5, FALSE),"")</f>
        <v/>
      </c>
      <c r="F326" s="51" t="str">
        <f t="shared" si="327"/>
        <v/>
      </c>
      <c r="G326" s="51" t="str">
        <f t="shared" si="327"/>
        <v/>
      </c>
      <c r="H326" s="51" t="str">
        <f t="shared" si="327"/>
        <v/>
      </c>
      <c r="I326" s="51" t="str">
        <f t="shared" si="327"/>
        <v/>
      </c>
      <c r="J326" s="51" t="str">
        <f t="shared" si="327"/>
        <v/>
      </c>
      <c r="K326" s="51" t="str">
        <f t="shared" si="327"/>
        <v/>
      </c>
      <c r="L326" s="51" t="str">
        <f t="shared" si="327"/>
        <v/>
      </c>
      <c r="M326" s="51" t="str">
        <f t="shared" si="327"/>
        <v/>
      </c>
      <c r="N326" s="51" t="str">
        <f t="shared" si="327"/>
        <v/>
      </c>
      <c r="O326" s="51" t="str">
        <f t="shared" si="327"/>
        <v/>
      </c>
      <c r="P326" s="51" t="str">
        <f t="shared" si="327"/>
        <v/>
      </c>
      <c r="Q326" s="51" t="str">
        <f t="shared" si="327"/>
        <v/>
      </c>
      <c r="R326" s="51" t="str">
        <f t="shared" si="327"/>
        <v/>
      </c>
      <c r="S326" s="51" t="str">
        <f t="shared" si="327"/>
        <v/>
      </c>
      <c r="T326" s="51" t="str">
        <f t="shared" si="327"/>
        <v/>
      </c>
      <c r="U326" s="52"/>
      <c r="V326" s="52" t="str">
        <f>IFERROR(__xludf.DUMMYFUNCTION("""COMPUTED_VALUE"""),"")</f>
        <v/>
      </c>
      <c r="W326" s="52" t="str">
        <f>IFERROR(__xludf.DUMMYFUNCTION("""COMPUTED_VALUE"""),"")</f>
        <v/>
      </c>
      <c r="X326" s="52" t="str">
        <f>IFERROR(__xludf.DUMMYFUNCTION("""COMPUTED_VALUE"""),"")</f>
        <v/>
      </c>
      <c r="Y326" s="52" t="str">
        <f>IFERROR(__xludf.DUMMYFUNCTION("""COMPUTED_VALUE"""),"")</f>
        <v/>
      </c>
      <c r="Z326" s="52" t="str">
        <f>IFERROR(__xludf.DUMMYFUNCTION("""COMPUTED_VALUE"""),"")</f>
        <v/>
      </c>
      <c r="AA326" s="52" t="str">
        <f>IFERROR(__xludf.DUMMYFUNCTION("""COMPUTED_VALUE"""),"")</f>
        <v/>
      </c>
      <c r="AB326" s="52" t="str">
        <f>IFERROR(__xludf.DUMMYFUNCTION("""COMPUTED_VALUE"""),"")</f>
        <v/>
      </c>
      <c r="AC326" s="52" t="str">
        <f>IFERROR(__xludf.DUMMYFUNCTION("""COMPUTED_VALUE"""),"")</f>
        <v/>
      </c>
      <c r="AD326" s="52" t="str">
        <f>IFERROR(__xludf.DUMMYFUNCTION("""COMPUTED_VALUE"""),"")</f>
        <v/>
      </c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</row>
    <row r="327">
      <c r="B327" s="49"/>
      <c r="C327" s="49" t="str">
        <f t="shared" si="2"/>
        <v/>
      </c>
      <c r="D327" s="50" t="str">
        <f t="shared" si="3"/>
        <v/>
      </c>
      <c r="E327" s="51" t="str">
        <f t="shared" ref="E327:T327" si="328">IFERROR(VLOOKUP($A327,INDIRECT("'" &amp; E$1 &amp; "'!$C:$G"), 5, FALSE),"")</f>
        <v/>
      </c>
      <c r="F327" s="51" t="str">
        <f t="shared" si="328"/>
        <v/>
      </c>
      <c r="G327" s="51" t="str">
        <f t="shared" si="328"/>
        <v/>
      </c>
      <c r="H327" s="51" t="str">
        <f t="shared" si="328"/>
        <v/>
      </c>
      <c r="I327" s="51" t="str">
        <f t="shared" si="328"/>
        <v/>
      </c>
      <c r="J327" s="51" t="str">
        <f t="shared" si="328"/>
        <v/>
      </c>
      <c r="K327" s="51" t="str">
        <f t="shared" si="328"/>
        <v/>
      </c>
      <c r="L327" s="51" t="str">
        <f t="shared" si="328"/>
        <v/>
      </c>
      <c r="M327" s="51" t="str">
        <f t="shared" si="328"/>
        <v/>
      </c>
      <c r="N327" s="51" t="str">
        <f t="shared" si="328"/>
        <v/>
      </c>
      <c r="O327" s="51" t="str">
        <f t="shared" si="328"/>
        <v/>
      </c>
      <c r="P327" s="51" t="str">
        <f t="shared" si="328"/>
        <v/>
      </c>
      <c r="Q327" s="51" t="str">
        <f t="shared" si="328"/>
        <v/>
      </c>
      <c r="R327" s="51" t="str">
        <f t="shared" si="328"/>
        <v/>
      </c>
      <c r="S327" s="51" t="str">
        <f t="shared" si="328"/>
        <v/>
      </c>
      <c r="T327" s="51" t="str">
        <f t="shared" si="328"/>
        <v/>
      </c>
      <c r="U327" s="52"/>
      <c r="V327" s="52" t="str">
        <f>IFERROR(__xludf.DUMMYFUNCTION("""COMPUTED_VALUE"""),"")</f>
        <v/>
      </c>
      <c r="W327" s="52" t="str">
        <f>IFERROR(__xludf.DUMMYFUNCTION("""COMPUTED_VALUE"""),"")</f>
        <v/>
      </c>
      <c r="X327" s="52" t="str">
        <f>IFERROR(__xludf.DUMMYFUNCTION("""COMPUTED_VALUE"""),"")</f>
        <v/>
      </c>
      <c r="Y327" s="52" t="str">
        <f>IFERROR(__xludf.DUMMYFUNCTION("""COMPUTED_VALUE"""),"")</f>
        <v/>
      </c>
      <c r="Z327" s="52" t="str">
        <f>IFERROR(__xludf.DUMMYFUNCTION("""COMPUTED_VALUE"""),"")</f>
        <v/>
      </c>
      <c r="AA327" s="52" t="str">
        <f>IFERROR(__xludf.DUMMYFUNCTION("""COMPUTED_VALUE"""),"")</f>
        <v/>
      </c>
      <c r="AB327" s="52" t="str">
        <f>IFERROR(__xludf.DUMMYFUNCTION("""COMPUTED_VALUE"""),"")</f>
        <v/>
      </c>
      <c r="AC327" s="52" t="str">
        <f>IFERROR(__xludf.DUMMYFUNCTION("""COMPUTED_VALUE"""),"")</f>
        <v/>
      </c>
      <c r="AD327" s="52" t="str">
        <f>IFERROR(__xludf.DUMMYFUNCTION("""COMPUTED_VALUE"""),"")</f>
        <v/>
      </c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</row>
    <row r="328">
      <c r="B328" s="49"/>
      <c r="C328" s="49" t="str">
        <f t="shared" si="2"/>
        <v/>
      </c>
      <c r="D328" s="50" t="str">
        <f t="shared" si="3"/>
        <v/>
      </c>
      <c r="E328" s="51" t="str">
        <f t="shared" ref="E328:T328" si="329">IFERROR(VLOOKUP($A328,INDIRECT("'" &amp; E$1 &amp; "'!$C:$G"), 5, FALSE),"")</f>
        <v/>
      </c>
      <c r="F328" s="51" t="str">
        <f t="shared" si="329"/>
        <v/>
      </c>
      <c r="G328" s="51" t="str">
        <f t="shared" si="329"/>
        <v/>
      </c>
      <c r="H328" s="51" t="str">
        <f t="shared" si="329"/>
        <v/>
      </c>
      <c r="I328" s="51" t="str">
        <f t="shared" si="329"/>
        <v/>
      </c>
      <c r="J328" s="51" t="str">
        <f t="shared" si="329"/>
        <v/>
      </c>
      <c r="K328" s="51" t="str">
        <f t="shared" si="329"/>
        <v/>
      </c>
      <c r="L328" s="51" t="str">
        <f t="shared" si="329"/>
        <v/>
      </c>
      <c r="M328" s="51" t="str">
        <f t="shared" si="329"/>
        <v/>
      </c>
      <c r="N328" s="51" t="str">
        <f t="shared" si="329"/>
        <v/>
      </c>
      <c r="O328" s="51" t="str">
        <f t="shared" si="329"/>
        <v/>
      </c>
      <c r="P328" s="51" t="str">
        <f t="shared" si="329"/>
        <v/>
      </c>
      <c r="Q328" s="51" t="str">
        <f t="shared" si="329"/>
        <v/>
      </c>
      <c r="R328" s="51" t="str">
        <f t="shared" si="329"/>
        <v/>
      </c>
      <c r="S328" s="51" t="str">
        <f t="shared" si="329"/>
        <v/>
      </c>
      <c r="T328" s="51" t="str">
        <f t="shared" si="329"/>
        <v/>
      </c>
      <c r="U328" s="52"/>
      <c r="V328" s="52" t="str">
        <f>IFERROR(__xludf.DUMMYFUNCTION("""COMPUTED_VALUE"""),"")</f>
        <v/>
      </c>
      <c r="W328" s="52" t="str">
        <f>IFERROR(__xludf.DUMMYFUNCTION("""COMPUTED_VALUE"""),"")</f>
        <v/>
      </c>
      <c r="X328" s="52" t="str">
        <f>IFERROR(__xludf.DUMMYFUNCTION("""COMPUTED_VALUE"""),"")</f>
        <v/>
      </c>
      <c r="Y328" s="52" t="str">
        <f>IFERROR(__xludf.DUMMYFUNCTION("""COMPUTED_VALUE"""),"")</f>
        <v/>
      </c>
      <c r="Z328" s="52" t="str">
        <f>IFERROR(__xludf.DUMMYFUNCTION("""COMPUTED_VALUE"""),"")</f>
        <v/>
      </c>
      <c r="AA328" s="52" t="str">
        <f>IFERROR(__xludf.DUMMYFUNCTION("""COMPUTED_VALUE"""),"")</f>
        <v/>
      </c>
      <c r="AB328" s="52" t="str">
        <f>IFERROR(__xludf.DUMMYFUNCTION("""COMPUTED_VALUE"""),"")</f>
        <v/>
      </c>
      <c r="AC328" s="52" t="str">
        <f>IFERROR(__xludf.DUMMYFUNCTION("""COMPUTED_VALUE"""),"")</f>
        <v/>
      </c>
      <c r="AD328" s="52" t="str">
        <f>IFERROR(__xludf.DUMMYFUNCTION("""COMPUTED_VALUE"""),"")</f>
        <v/>
      </c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</row>
    <row r="329">
      <c r="B329" s="49"/>
      <c r="C329" s="49" t="str">
        <f t="shared" si="2"/>
        <v/>
      </c>
      <c r="D329" s="50" t="str">
        <f t="shared" si="3"/>
        <v/>
      </c>
      <c r="E329" s="51" t="str">
        <f t="shared" ref="E329:T329" si="330">IFERROR(VLOOKUP($A329,INDIRECT("'" &amp; E$1 &amp; "'!$C:$G"), 5, FALSE),"")</f>
        <v/>
      </c>
      <c r="F329" s="51" t="str">
        <f t="shared" si="330"/>
        <v/>
      </c>
      <c r="G329" s="51" t="str">
        <f t="shared" si="330"/>
        <v/>
      </c>
      <c r="H329" s="51" t="str">
        <f t="shared" si="330"/>
        <v/>
      </c>
      <c r="I329" s="51" t="str">
        <f t="shared" si="330"/>
        <v/>
      </c>
      <c r="J329" s="51" t="str">
        <f t="shared" si="330"/>
        <v/>
      </c>
      <c r="K329" s="51" t="str">
        <f t="shared" si="330"/>
        <v/>
      </c>
      <c r="L329" s="51" t="str">
        <f t="shared" si="330"/>
        <v/>
      </c>
      <c r="M329" s="51" t="str">
        <f t="shared" si="330"/>
        <v/>
      </c>
      <c r="N329" s="51" t="str">
        <f t="shared" si="330"/>
        <v/>
      </c>
      <c r="O329" s="51" t="str">
        <f t="shared" si="330"/>
        <v/>
      </c>
      <c r="P329" s="51" t="str">
        <f t="shared" si="330"/>
        <v/>
      </c>
      <c r="Q329" s="51" t="str">
        <f t="shared" si="330"/>
        <v/>
      </c>
      <c r="R329" s="51" t="str">
        <f t="shared" si="330"/>
        <v/>
      </c>
      <c r="S329" s="51" t="str">
        <f t="shared" si="330"/>
        <v/>
      </c>
      <c r="T329" s="51" t="str">
        <f t="shared" si="330"/>
        <v/>
      </c>
      <c r="U329" s="52"/>
      <c r="V329" s="52" t="str">
        <f>IFERROR(__xludf.DUMMYFUNCTION("""COMPUTED_VALUE"""),"")</f>
        <v/>
      </c>
      <c r="W329" s="52" t="str">
        <f>IFERROR(__xludf.DUMMYFUNCTION("""COMPUTED_VALUE"""),"")</f>
        <v/>
      </c>
      <c r="X329" s="52" t="str">
        <f>IFERROR(__xludf.DUMMYFUNCTION("""COMPUTED_VALUE"""),"")</f>
        <v/>
      </c>
      <c r="Y329" s="52" t="str">
        <f>IFERROR(__xludf.DUMMYFUNCTION("""COMPUTED_VALUE"""),"")</f>
        <v/>
      </c>
      <c r="Z329" s="52" t="str">
        <f>IFERROR(__xludf.DUMMYFUNCTION("""COMPUTED_VALUE"""),"")</f>
        <v/>
      </c>
      <c r="AA329" s="52" t="str">
        <f>IFERROR(__xludf.DUMMYFUNCTION("""COMPUTED_VALUE"""),"")</f>
        <v/>
      </c>
      <c r="AB329" s="52" t="str">
        <f>IFERROR(__xludf.DUMMYFUNCTION("""COMPUTED_VALUE"""),"")</f>
        <v/>
      </c>
      <c r="AC329" s="52" t="str">
        <f>IFERROR(__xludf.DUMMYFUNCTION("""COMPUTED_VALUE"""),"")</f>
        <v/>
      </c>
      <c r="AD329" s="52" t="str">
        <f>IFERROR(__xludf.DUMMYFUNCTION("""COMPUTED_VALUE"""),"")</f>
        <v/>
      </c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</row>
    <row r="330">
      <c r="B330" s="49"/>
      <c r="C330" s="49" t="str">
        <f t="shared" si="2"/>
        <v/>
      </c>
      <c r="D330" s="50" t="str">
        <f t="shared" si="3"/>
        <v/>
      </c>
      <c r="E330" s="51" t="str">
        <f t="shared" ref="E330:T330" si="331">IFERROR(VLOOKUP($A330,INDIRECT("'" &amp; E$1 &amp; "'!$C:$G"), 5, FALSE),"")</f>
        <v/>
      </c>
      <c r="F330" s="51" t="str">
        <f t="shared" si="331"/>
        <v/>
      </c>
      <c r="G330" s="51" t="str">
        <f t="shared" si="331"/>
        <v/>
      </c>
      <c r="H330" s="51" t="str">
        <f t="shared" si="331"/>
        <v/>
      </c>
      <c r="I330" s="51" t="str">
        <f t="shared" si="331"/>
        <v/>
      </c>
      <c r="J330" s="51" t="str">
        <f t="shared" si="331"/>
        <v/>
      </c>
      <c r="K330" s="51" t="str">
        <f t="shared" si="331"/>
        <v/>
      </c>
      <c r="L330" s="51" t="str">
        <f t="shared" si="331"/>
        <v/>
      </c>
      <c r="M330" s="51" t="str">
        <f t="shared" si="331"/>
        <v/>
      </c>
      <c r="N330" s="51" t="str">
        <f t="shared" si="331"/>
        <v/>
      </c>
      <c r="O330" s="51" t="str">
        <f t="shared" si="331"/>
        <v/>
      </c>
      <c r="P330" s="51" t="str">
        <f t="shared" si="331"/>
        <v/>
      </c>
      <c r="Q330" s="51" t="str">
        <f t="shared" si="331"/>
        <v/>
      </c>
      <c r="R330" s="51" t="str">
        <f t="shared" si="331"/>
        <v/>
      </c>
      <c r="S330" s="51" t="str">
        <f t="shared" si="331"/>
        <v/>
      </c>
      <c r="T330" s="51" t="str">
        <f t="shared" si="331"/>
        <v/>
      </c>
      <c r="U330" s="52"/>
      <c r="V330" s="52" t="str">
        <f>IFERROR(__xludf.DUMMYFUNCTION("""COMPUTED_VALUE"""),"")</f>
        <v/>
      </c>
      <c r="W330" s="52" t="str">
        <f>IFERROR(__xludf.DUMMYFUNCTION("""COMPUTED_VALUE"""),"")</f>
        <v/>
      </c>
      <c r="X330" s="52" t="str">
        <f>IFERROR(__xludf.DUMMYFUNCTION("""COMPUTED_VALUE"""),"")</f>
        <v/>
      </c>
      <c r="Y330" s="52" t="str">
        <f>IFERROR(__xludf.DUMMYFUNCTION("""COMPUTED_VALUE"""),"")</f>
        <v/>
      </c>
      <c r="Z330" s="52" t="str">
        <f>IFERROR(__xludf.DUMMYFUNCTION("""COMPUTED_VALUE"""),"")</f>
        <v/>
      </c>
      <c r="AA330" s="52" t="str">
        <f>IFERROR(__xludf.DUMMYFUNCTION("""COMPUTED_VALUE"""),"")</f>
        <v/>
      </c>
      <c r="AB330" s="52" t="str">
        <f>IFERROR(__xludf.DUMMYFUNCTION("""COMPUTED_VALUE"""),"")</f>
        <v/>
      </c>
      <c r="AC330" s="52" t="str">
        <f>IFERROR(__xludf.DUMMYFUNCTION("""COMPUTED_VALUE"""),"")</f>
        <v/>
      </c>
      <c r="AD330" s="52" t="str">
        <f>IFERROR(__xludf.DUMMYFUNCTION("""COMPUTED_VALUE"""),"")</f>
        <v/>
      </c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</row>
    <row r="331">
      <c r="B331" s="49"/>
      <c r="C331" s="49" t="str">
        <f t="shared" si="2"/>
        <v/>
      </c>
      <c r="D331" s="50" t="str">
        <f t="shared" si="3"/>
        <v/>
      </c>
      <c r="E331" s="51" t="str">
        <f t="shared" ref="E331:T331" si="332">IFERROR(VLOOKUP($A331,INDIRECT("'" &amp; E$1 &amp; "'!$C:$G"), 5, FALSE),"")</f>
        <v/>
      </c>
      <c r="F331" s="51" t="str">
        <f t="shared" si="332"/>
        <v/>
      </c>
      <c r="G331" s="51" t="str">
        <f t="shared" si="332"/>
        <v/>
      </c>
      <c r="H331" s="51" t="str">
        <f t="shared" si="332"/>
        <v/>
      </c>
      <c r="I331" s="51" t="str">
        <f t="shared" si="332"/>
        <v/>
      </c>
      <c r="J331" s="51" t="str">
        <f t="shared" si="332"/>
        <v/>
      </c>
      <c r="K331" s="51" t="str">
        <f t="shared" si="332"/>
        <v/>
      </c>
      <c r="L331" s="51" t="str">
        <f t="shared" si="332"/>
        <v/>
      </c>
      <c r="M331" s="51" t="str">
        <f t="shared" si="332"/>
        <v/>
      </c>
      <c r="N331" s="51" t="str">
        <f t="shared" si="332"/>
        <v/>
      </c>
      <c r="O331" s="51" t="str">
        <f t="shared" si="332"/>
        <v/>
      </c>
      <c r="P331" s="51" t="str">
        <f t="shared" si="332"/>
        <v/>
      </c>
      <c r="Q331" s="51" t="str">
        <f t="shared" si="332"/>
        <v/>
      </c>
      <c r="R331" s="51" t="str">
        <f t="shared" si="332"/>
        <v/>
      </c>
      <c r="S331" s="51" t="str">
        <f t="shared" si="332"/>
        <v/>
      </c>
      <c r="T331" s="51" t="str">
        <f t="shared" si="332"/>
        <v/>
      </c>
      <c r="U331" s="52"/>
      <c r="V331" s="52" t="str">
        <f>IFERROR(__xludf.DUMMYFUNCTION("""COMPUTED_VALUE"""),"")</f>
        <v/>
      </c>
      <c r="W331" s="52" t="str">
        <f>IFERROR(__xludf.DUMMYFUNCTION("""COMPUTED_VALUE"""),"")</f>
        <v/>
      </c>
      <c r="X331" s="52" t="str">
        <f>IFERROR(__xludf.DUMMYFUNCTION("""COMPUTED_VALUE"""),"")</f>
        <v/>
      </c>
      <c r="Y331" s="52" t="str">
        <f>IFERROR(__xludf.DUMMYFUNCTION("""COMPUTED_VALUE"""),"")</f>
        <v/>
      </c>
      <c r="Z331" s="52" t="str">
        <f>IFERROR(__xludf.DUMMYFUNCTION("""COMPUTED_VALUE"""),"")</f>
        <v/>
      </c>
      <c r="AA331" s="52" t="str">
        <f>IFERROR(__xludf.DUMMYFUNCTION("""COMPUTED_VALUE"""),"")</f>
        <v/>
      </c>
      <c r="AB331" s="52" t="str">
        <f>IFERROR(__xludf.DUMMYFUNCTION("""COMPUTED_VALUE"""),"")</f>
        <v/>
      </c>
      <c r="AC331" s="52" t="str">
        <f>IFERROR(__xludf.DUMMYFUNCTION("""COMPUTED_VALUE"""),"")</f>
        <v/>
      </c>
      <c r="AD331" s="52" t="str">
        <f>IFERROR(__xludf.DUMMYFUNCTION("""COMPUTED_VALUE"""),"")</f>
        <v/>
      </c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</row>
    <row r="332">
      <c r="B332" s="49"/>
      <c r="C332" s="49" t="str">
        <f t="shared" si="2"/>
        <v/>
      </c>
      <c r="D332" s="50" t="str">
        <f t="shared" si="3"/>
        <v/>
      </c>
      <c r="E332" s="51" t="str">
        <f t="shared" ref="E332:T332" si="333">IFERROR(VLOOKUP($A332,INDIRECT("'" &amp; E$1 &amp; "'!$C:$G"), 5, FALSE),"")</f>
        <v/>
      </c>
      <c r="F332" s="51" t="str">
        <f t="shared" si="333"/>
        <v/>
      </c>
      <c r="G332" s="51" t="str">
        <f t="shared" si="333"/>
        <v/>
      </c>
      <c r="H332" s="51" t="str">
        <f t="shared" si="333"/>
        <v/>
      </c>
      <c r="I332" s="51" t="str">
        <f t="shared" si="333"/>
        <v/>
      </c>
      <c r="J332" s="51" t="str">
        <f t="shared" si="333"/>
        <v/>
      </c>
      <c r="K332" s="51" t="str">
        <f t="shared" si="333"/>
        <v/>
      </c>
      <c r="L332" s="51" t="str">
        <f t="shared" si="333"/>
        <v/>
      </c>
      <c r="M332" s="51" t="str">
        <f t="shared" si="333"/>
        <v/>
      </c>
      <c r="N332" s="51" t="str">
        <f t="shared" si="333"/>
        <v/>
      </c>
      <c r="O332" s="51" t="str">
        <f t="shared" si="333"/>
        <v/>
      </c>
      <c r="P332" s="51" t="str">
        <f t="shared" si="333"/>
        <v/>
      </c>
      <c r="Q332" s="51" t="str">
        <f t="shared" si="333"/>
        <v/>
      </c>
      <c r="R332" s="51" t="str">
        <f t="shared" si="333"/>
        <v/>
      </c>
      <c r="S332" s="51" t="str">
        <f t="shared" si="333"/>
        <v/>
      </c>
      <c r="T332" s="51" t="str">
        <f t="shared" si="333"/>
        <v/>
      </c>
      <c r="U332" s="52"/>
      <c r="V332" s="52" t="str">
        <f>IFERROR(__xludf.DUMMYFUNCTION("""COMPUTED_VALUE"""),"")</f>
        <v/>
      </c>
      <c r="W332" s="52" t="str">
        <f>IFERROR(__xludf.DUMMYFUNCTION("""COMPUTED_VALUE"""),"")</f>
        <v/>
      </c>
      <c r="X332" s="52" t="str">
        <f>IFERROR(__xludf.DUMMYFUNCTION("""COMPUTED_VALUE"""),"")</f>
        <v/>
      </c>
      <c r="Y332" s="52" t="str">
        <f>IFERROR(__xludf.DUMMYFUNCTION("""COMPUTED_VALUE"""),"")</f>
        <v/>
      </c>
      <c r="Z332" s="52" t="str">
        <f>IFERROR(__xludf.DUMMYFUNCTION("""COMPUTED_VALUE"""),"")</f>
        <v/>
      </c>
      <c r="AA332" s="52" t="str">
        <f>IFERROR(__xludf.DUMMYFUNCTION("""COMPUTED_VALUE"""),"")</f>
        <v/>
      </c>
      <c r="AB332" s="52" t="str">
        <f>IFERROR(__xludf.DUMMYFUNCTION("""COMPUTED_VALUE"""),"")</f>
        <v/>
      </c>
      <c r="AC332" s="52" t="str">
        <f>IFERROR(__xludf.DUMMYFUNCTION("""COMPUTED_VALUE"""),"")</f>
        <v/>
      </c>
      <c r="AD332" s="52" t="str">
        <f>IFERROR(__xludf.DUMMYFUNCTION("""COMPUTED_VALUE"""),"")</f>
        <v/>
      </c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</row>
    <row r="333">
      <c r="B333" s="49"/>
      <c r="C333" s="49" t="str">
        <f t="shared" si="2"/>
        <v/>
      </c>
      <c r="D333" s="50" t="str">
        <f t="shared" si="3"/>
        <v/>
      </c>
      <c r="E333" s="51" t="str">
        <f t="shared" ref="E333:T333" si="334">IFERROR(VLOOKUP($A333,INDIRECT("'" &amp; E$1 &amp; "'!$C:$G"), 5, FALSE),"")</f>
        <v/>
      </c>
      <c r="F333" s="51" t="str">
        <f t="shared" si="334"/>
        <v/>
      </c>
      <c r="G333" s="51" t="str">
        <f t="shared" si="334"/>
        <v/>
      </c>
      <c r="H333" s="51" t="str">
        <f t="shared" si="334"/>
        <v/>
      </c>
      <c r="I333" s="51" t="str">
        <f t="shared" si="334"/>
        <v/>
      </c>
      <c r="J333" s="51" t="str">
        <f t="shared" si="334"/>
        <v/>
      </c>
      <c r="K333" s="51" t="str">
        <f t="shared" si="334"/>
        <v/>
      </c>
      <c r="L333" s="51" t="str">
        <f t="shared" si="334"/>
        <v/>
      </c>
      <c r="M333" s="51" t="str">
        <f t="shared" si="334"/>
        <v/>
      </c>
      <c r="N333" s="51" t="str">
        <f t="shared" si="334"/>
        <v/>
      </c>
      <c r="O333" s="51" t="str">
        <f t="shared" si="334"/>
        <v/>
      </c>
      <c r="P333" s="51" t="str">
        <f t="shared" si="334"/>
        <v/>
      </c>
      <c r="Q333" s="51" t="str">
        <f t="shared" si="334"/>
        <v/>
      </c>
      <c r="R333" s="51" t="str">
        <f t="shared" si="334"/>
        <v/>
      </c>
      <c r="S333" s="51" t="str">
        <f t="shared" si="334"/>
        <v/>
      </c>
      <c r="T333" s="51" t="str">
        <f t="shared" si="334"/>
        <v/>
      </c>
      <c r="U333" s="52"/>
      <c r="V333" s="52" t="str">
        <f>IFERROR(__xludf.DUMMYFUNCTION("""COMPUTED_VALUE"""),"")</f>
        <v/>
      </c>
      <c r="W333" s="52" t="str">
        <f>IFERROR(__xludf.DUMMYFUNCTION("""COMPUTED_VALUE"""),"")</f>
        <v/>
      </c>
      <c r="X333" s="52" t="str">
        <f>IFERROR(__xludf.DUMMYFUNCTION("""COMPUTED_VALUE"""),"")</f>
        <v/>
      </c>
      <c r="Y333" s="52" t="str">
        <f>IFERROR(__xludf.DUMMYFUNCTION("""COMPUTED_VALUE"""),"")</f>
        <v/>
      </c>
      <c r="Z333" s="52" t="str">
        <f>IFERROR(__xludf.DUMMYFUNCTION("""COMPUTED_VALUE"""),"")</f>
        <v/>
      </c>
      <c r="AA333" s="52" t="str">
        <f>IFERROR(__xludf.DUMMYFUNCTION("""COMPUTED_VALUE"""),"")</f>
        <v/>
      </c>
      <c r="AB333" s="52" t="str">
        <f>IFERROR(__xludf.DUMMYFUNCTION("""COMPUTED_VALUE"""),"")</f>
        <v/>
      </c>
      <c r="AC333" s="52" t="str">
        <f>IFERROR(__xludf.DUMMYFUNCTION("""COMPUTED_VALUE"""),"")</f>
        <v/>
      </c>
      <c r="AD333" s="52" t="str">
        <f>IFERROR(__xludf.DUMMYFUNCTION("""COMPUTED_VALUE"""),"")</f>
        <v/>
      </c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</row>
    <row r="334">
      <c r="B334" s="49"/>
      <c r="C334" s="49" t="str">
        <f t="shared" si="2"/>
        <v/>
      </c>
      <c r="D334" s="50" t="str">
        <f t="shared" si="3"/>
        <v/>
      </c>
      <c r="E334" s="51" t="str">
        <f t="shared" ref="E334:T334" si="335">IFERROR(VLOOKUP($A334,INDIRECT("'" &amp; E$1 &amp; "'!$C:$G"), 5, FALSE),"")</f>
        <v/>
      </c>
      <c r="F334" s="51" t="str">
        <f t="shared" si="335"/>
        <v/>
      </c>
      <c r="G334" s="51" t="str">
        <f t="shared" si="335"/>
        <v/>
      </c>
      <c r="H334" s="51" t="str">
        <f t="shared" si="335"/>
        <v/>
      </c>
      <c r="I334" s="51" t="str">
        <f t="shared" si="335"/>
        <v/>
      </c>
      <c r="J334" s="51" t="str">
        <f t="shared" si="335"/>
        <v/>
      </c>
      <c r="K334" s="51" t="str">
        <f t="shared" si="335"/>
        <v/>
      </c>
      <c r="L334" s="51" t="str">
        <f t="shared" si="335"/>
        <v/>
      </c>
      <c r="M334" s="51" t="str">
        <f t="shared" si="335"/>
        <v/>
      </c>
      <c r="N334" s="51" t="str">
        <f t="shared" si="335"/>
        <v/>
      </c>
      <c r="O334" s="51" t="str">
        <f t="shared" si="335"/>
        <v/>
      </c>
      <c r="P334" s="51" t="str">
        <f t="shared" si="335"/>
        <v/>
      </c>
      <c r="Q334" s="51" t="str">
        <f t="shared" si="335"/>
        <v/>
      </c>
      <c r="R334" s="51" t="str">
        <f t="shared" si="335"/>
        <v/>
      </c>
      <c r="S334" s="51" t="str">
        <f t="shared" si="335"/>
        <v/>
      </c>
      <c r="T334" s="51" t="str">
        <f t="shared" si="335"/>
        <v/>
      </c>
      <c r="U334" s="52"/>
      <c r="V334" s="52" t="str">
        <f>IFERROR(__xludf.DUMMYFUNCTION("""COMPUTED_VALUE"""),"")</f>
        <v/>
      </c>
      <c r="W334" s="52" t="str">
        <f>IFERROR(__xludf.DUMMYFUNCTION("""COMPUTED_VALUE"""),"")</f>
        <v/>
      </c>
      <c r="X334" s="52" t="str">
        <f>IFERROR(__xludf.DUMMYFUNCTION("""COMPUTED_VALUE"""),"")</f>
        <v/>
      </c>
      <c r="Y334" s="52" t="str">
        <f>IFERROR(__xludf.DUMMYFUNCTION("""COMPUTED_VALUE"""),"")</f>
        <v/>
      </c>
      <c r="Z334" s="52" t="str">
        <f>IFERROR(__xludf.DUMMYFUNCTION("""COMPUTED_VALUE"""),"")</f>
        <v/>
      </c>
      <c r="AA334" s="52" t="str">
        <f>IFERROR(__xludf.DUMMYFUNCTION("""COMPUTED_VALUE"""),"")</f>
        <v/>
      </c>
      <c r="AB334" s="52" t="str">
        <f>IFERROR(__xludf.DUMMYFUNCTION("""COMPUTED_VALUE"""),"")</f>
        <v/>
      </c>
      <c r="AC334" s="52" t="str">
        <f>IFERROR(__xludf.DUMMYFUNCTION("""COMPUTED_VALUE"""),"")</f>
        <v/>
      </c>
      <c r="AD334" s="52" t="str">
        <f>IFERROR(__xludf.DUMMYFUNCTION("""COMPUTED_VALUE"""),"")</f>
        <v/>
      </c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</row>
    <row r="335">
      <c r="B335" s="49"/>
      <c r="C335" s="49" t="str">
        <f t="shared" si="2"/>
        <v/>
      </c>
      <c r="D335" s="50" t="str">
        <f t="shared" si="3"/>
        <v/>
      </c>
      <c r="E335" s="51" t="str">
        <f t="shared" ref="E335:T335" si="336">IFERROR(VLOOKUP($A335,INDIRECT("'" &amp; E$1 &amp; "'!$C:$G"), 5, FALSE),"")</f>
        <v/>
      </c>
      <c r="F335" s="51" t="str">
        <f t="shared" si="336"/>
        <v/>
      </c>
      <c r="G335" s="51" t="str">
        <f t="shared" si="336"/>
        <v/>
      </c>
      <c r="H335" s="51" t="str">
        <f t="shared" si="336"/>
        <v/>
      </c>
      <c r="I335" s="51" t="str">
        <f t="shared" si="336"/>
        <v/>
      </c>
      <c r="J335" s="51" t="str">
        <f t="shared" si="336"/>
        <v/>
      </c>
      <c r="K335" s="51" t="str">
        <f t="shared" si="336"/>
        <v/>
      </c>
      <c r="L335" s="51" t="str">
        <f t="shared" si="336"/>
        <v/>
      </c>
      <c r="M335" s="51" t="str">
        <f t="shared" si="336"/>
        <v/>
      </c>
      <c r="N335" s="51" t="str">
        <f t="shared" si="336"/>
        <v/>
      </c>
      <c r="O335" s="51" t="str">
        <f t="shared" si="336"/>
        <v/>
      </c>
      <c r="P335" s="51" t="str">
        <f t="shared" si="336"/>
        <v/>
      </c>
      <c r="Q335" s="51" t="str">
        <f t="shared" si="336"/>
        <v/>
      </c>
      <c r="R335" s="51" t="str">
        <f t="shared" si="336"/>
        <v/>
      </c>
      <c r="S335" s="51" t="str">
        <f t="shared" si="336"/>
        <v/>
      </c>
      <c r="T335" s="51" t="str">
        <f t="shared" si="336"/>
        <v/>
      </c>
      <c r="U335" s="52"/>
      <c r="V335" s="52" t="str">
        <f>IFERROR(__xludf.DUMMYFUNCTION("""COMPUTED_VALUE"""),"")</f>
        <v/>
      </c>
      <c r="W335" s="52" t="str">
        <f>IFERROR(__xludf.DUMMYFUNCTION("""COMPUTED_VALUE"""),"")</f>
        <v/>
      </c>
      <c r="X335" s="52" t="str">
        <f>IFERROR(__xludf.DUMMYFUNCTION("""COMPUTED_VALUE"""),"")</f>
        <v/>
      </c>
      <c r="Y335" s="52" t="str">
        <f>IFERROR(__xludf.DUMMYFUNCTION("""COMPUTED_VALUE"""),"")</f>
        <v/>
      </c>
      <c r="Z335" s="52" t="str">
        <f>IFERROR(__xludf.DUMMYFUNCTION("""COMPUTED_VALUE"""),"")</f>
        <v/>
      </c>
      <c r="AA335" s="52" t="str">
        <f>IFERROR(__xludf.DUMMYFUNCTION("""COMPUTED_VALUE"""),"")</f>
        <v/>
      </c>
      <c r="AB335" s="52" t="str">
        <f>IFERROR(__xludf.DUMMYFUNCTION("""COMPUTED_VALUE"""),"")</f>
        <v/>
      </c>
      <c r="AC335" s="52" t="str">
        <f>IFERROR(__xludf.DUMMYFUNCTION("""COMPUTED_VALUE"""),"")</f>
        <v/>
      </c>
      <c r="AD335" s="52" t="str">
        <f>IFERROR(__xludf.DUMMYFUNCTION("""COMPUTED_VALUE"""),"")</f>
        <v/>
      </c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</row>
    <row r="336">
      <c r="B336" s="49"/>
      <c r="C336" s="49" t="str">
        <f t="shared" si="2"/>
        <v/>
      </c>
      <c r="D336" s="50" t="str">
        <f t="shared" si="3"/>
        <v/>
      </c>
      <c r="E336" s="51" t="str">
        <f t="shared" ref="E336:T336" si="337">IFERROR(VLOOKUP($A336,INDIRECT("'" &amp; E$1 &amp; "'!$C:$G"), 5, FALSE),"")</f>
        <v/>
      </c>
      <c r="F336" s="51" t="str">
        <f t="shared" si="337"/>
        <v/>
      </c>
      <c r="G336" s="51" t="str">
        <f t="shared" si="337"/>
        <v/>
      </c>
      <c r="H336" s="51" t="str">
        <f t="shared" si="337"/>
        <v/>
      </c>
      <c r="I336" s="51" t="str">
        <f t="shared" si="337"/>
        <v/>
      </c>
      <c r="J336" s="51" t="str">
        <f t="shared" si="337"/>
        <v/>
      </c>
      <c r="K336" s="51" t="str">
        <f t="shared" si="337"/>
        <v/>
      </c>
      <c r="L336" s="51" t="str">
        <f t="shared" si="337"/>
        <v/>
      </c>
      <c r="M336" s="51" t="str">
        <f t="shared" si="337"/>
        <v/>
      </c>
      <c r="N336" s="51" t="str">
        <f t="shared" si="337"/>
        <v/>
      </c>
      <c r="O336" s="51" t="str">
        <f t="shared" si="337"/>
        <v/>
      </c>
      <c r="P336" s="51" t="str">
        <f t="shared" si="337"/>
        <v/>
      </c>
      <c r="Q336" s="51" t="str">
        <f t="shared" si="337"/>
        <v/>
      </c>
      <c r="R336" s="51" t="str">
        <f t="shared" si="337"/>
        <v/>
      </c>
      <c r="S336" s="51" t="str">
        <f t="shared" si="337"/>
        <v/>
      </c>
      <c r="T336" s="51" t="str">
        <f t="shared" si="337"/>
        <v/>
      </c>
      <c r="U336" s="52"/>
      <c r="V336" s="52" t="str">
        <f>IFERROR(__xludf.DUMMYFUNCTION("""COMPUTED_VALUE"""),"")</f>
        <v/>
      </c>
      <c r="W336" s="52" t="str">
        <f>IFERROR(__xludf.DUMMYFUNCTION("""COMPUTED_VALUE"""),"")</f>
        <v/>
      </c>
      <c r="X336" s="52" t="str">
        <f>IFERROR(__xludf.DUMMYFUNCTION("""COMPUTED_VALUE"""),"")</f>
        <v/>
      </c>
      <c r="Y336" s="52" t="str">
        <f>IFERROR(__xludf.DUMMYFUNCTION("""COMPUTED_VALUE"""),"")</f>
        <v/>
      </c>
      <c r="Z336" s="52" t="str">
        <f>IFERROR(__xludf.DUMMYFUNCTION("""COMPUTED_VALUE"""),"")</f>
        <v/>
      </c>
      <c r="AA336" s="52" t="str">
        <f>IFERROR(__xludf.DUMMYFUNCTION("""COMPUTED_VALUE"""),"")</f>
        <v/>
      </c>
      <c r="AB336" s="52" t="str">
        <f>IFERROR(__xludf.DUMMYFUNCTION("""COMPUTED_VALUE"""),"")</f>
        <v/>
      </c>
      <c r="AC336" s="52" t="str">
        <f>IFERROR(__xludf.DUMMYFUNCTION("""COMPUTED_VALUE"""),"")</f>
        <v/>
      </c>
      <c r="AD336" s="52" t="str">
        <f>IFERROR(__xludf.DUMMYFUNCTION("""COMPUTED_VALUE"""),"")</f>
        <v/>
      </c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</row>
    <row r="337">
      <c r="B337" s="49"/>
      <c r="C337" s="49" t="str">
        <f t="shared" si="2"/>
        <v/>
      </c>
      <c r="D337" s="50" t="str">
        <f t="shared" si="3"/>
        <v/>
      </c>
      <c r="E337" s="51" t="str">
        <f t="shared" ref="E337:T337" si="338">IFERROR(VLOOKUP($A337,INDIRECT("'" &amp; E$1 &amp; "'!$C:$G"), 5, FALSE),"")</f>
        <v/>
      </c>
      <c r="F337" s="51" t="str">
        <f t="shared" si="338"/>
        <v/>
      </c>
      <c r="G337" s="51" t="str">
        <f t="shared" si="338"/>
        <v/>
      </c>
      <c r="H337" s="51" t="str">
        <f t="shared" si="338"/>
        <v/>
      </c>
      <c r="I337" s="51" t="str">
        <f t="shared" si="338"/>
        <v/>
      </c>
      <c r="J337" s="51" t="str">
        <f t="shared" si="338"/>
        <v/>
      </c>
      <c r="K337" s="51" t="str">
        <f t="shared" si="338"/>
        <v/>
      </c>
      <c r="L337" s="51" t="str">
        <f t="shared" si="338"/>
        <v/>
      </c>
      <c r="M337" s="51" t="str">
        <f t="shared" si="338"/>
        <v/>
      </c>
      <c r="N337" s="51" t="str">
        <f t="shared" si="338"/>
        <v/>
      </c>
      <c r="O337" s="51" t="str">
        <f t="shared" si="338"/>
        <v/>
      </c>
      <c r="P337" s="51" t="str">
        <f t="shared" si="338"/>
        <v/>
      </c>
      <c r="Q337" s="51" t="str">
        <f t="shared" si="338"/>
        <v/>
      </c>
      <c r="R337" s="51" t="str">
        <f t="shared" si="338"/>
        <v/>
      </c>
      <c r="S337" s="51" t="str">
        <f t="shared" si="338"/>
        <v/>
      </c>
      <c r="T337" s="51" t="str">
        <f t="shared" si="338"/>
        <v/>
      </c>
      <c r="U337" s="52"/>
      <c r="V337" s="52" t="str">
        <f>IFERROR(__xludf.DUMMYFUNCTION("""COMPUTED_VALUE"""),"")</f>
        <v/>
      </c>
      <c r="W337" s="52" t="str">
        <f>IFERROR(__xludf.DUMMYFUNCTION("""COMPUTED_VALUE"""),"")</f>
        <v/>
      </c>
      <c r="X337" s="52" t="str">
        <f>IFERROR(__xludf.DUMMYFUNCTION("""COMPUTED_VALUE"""),"")</f>
        <v/>
      </c>
      <c r="Y337" s="52" t="str">
        <f>IFERROR(__xludf.DUMMYFUNCTION("""COMPUTED_VALUE"""),"")</f>
        <v/>
      </c>
      <c r="Z337" s="52" t="str">
        <f>IFERROR(__xludf.DUMMYFUNCTION("""COMPUTED_VALUE"""),"")</f>
        <v/>
      </c>
      <c r="AA337" s="52" t="str">
        <f>IFERROR(__xludf.DUMMYFUNCTION("""COMPUTED_VALUE"""),"")</f>
        <v/>
      </c>
      <c r="AB337" s="52" t="str">
        <f>IFERROR(__xludf.DUMMYFUNCTION("""COMPUTED_VALUE"""),"")</f>
        <v/>
      </c>
      <c r="AC337" s="52" t="str">
        <f>IFERROR(__xludf.DUMMYFUNCTION("""COMPUTED_VALUE"""),"")</f>
        <v/>
      </c>
      <c r="AD337" s="52" t="str">
        <f>IFERROR(__xludf.DUMMYFUNCTION("""COMPUTED_VALUE"""),"")</f>
        <v/>
      </c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</row>
    <row r="338">
      <c r="B338" s="49"/>
      <c r="C338" s="49" t="str">
        <f t="shared" si="2"/>
        <v/>
      </c>
      <c r="D338" s="50" t="str">
        <f t="shared" si="3"/>
        <v/>
      </c>
      <c r="E338" s="51" t="str">
        <f t="shared" ref="E338:T338" si="339">IFERROR(VLOOKUP($A338,INDIRECT("'" &amp; E$1 &amp; "'!$C:$G"), 5, FALSE),"")</f>
        <v/>
      </c>
      <c r="F338" s="51" t="str">
        <f t="shared" si="339"/>
        <v/>
      </c>
      <c r="G338" s="51" t="str">
        <f t="shared" si="339"/>
        <v/>
      </c>
      <c r="H338" s="51" t="str">
        <f t="shared" si="339"/>
        <v/>
      </c>
      <c r="I338" s="51" t="str">
        <f t="shared" si="339"/>
        <v/>
      </c>
      <c r="J338" s="51" t="str">
        <f t="shared" si="339"/>
        <v/>
      </c>
      <c r="K338" s="51" t="str">
        <f t="shared" si="339"/>
        <v/>
      </c>
      <c r="L338" s="51" t="str">
        <f t="shared" si="339"/>
        <v/>
      </c>
      <c r="M338" s="51" t="str">
        <f t="shared" si="339"/>
        <v/>
      </c>
      <c r="N338" s="51" t="str">
        <f t="shared" si="339"/>
        <v/>
      </c>
      <c r="O338" s="51" t="str">
        <f t="shared" si="339"/>
        <v/>
      </c>
      <c r="P338" s="51" t="str">
        <f t="shared" si="339"/>
        <v/>
      </c>
      <c r="Q338" s="51" t="str">
        <f t="shared" si="339"/>
        <v/>
      </c>
      <c r="R338" s="51" t="str">
        <f t="shared" si="339"/>
        <v/>
      </c>
      <c r="S338" s="51" t="str">
        <f t="shared" si="339"/>
        <v/>
      </c>
      <c r="T338" s="51" t="str">
        <f t="shared" si="339"/>
        <v/>
      </c>
      <c r="U338" s="52"/>
      <c r="V338" s="52" t="str">
        <f>IFERROR(__xludf.DUMMYFUNCTION("""COMPUTED_VALUE"""),"")</f>
        <v/>
      </c>
      <c r="W338" s="52" t="str">
        <f>IFERROR(__xludf.DUMMYFUNCTION("""COMPUTED_VALUE"""),"")</f>
        <v/>
      </c>
      <c r="X338" s="52" t="str">
        <f>IFERROR(__xludf.DUMMYFUNCTION("""COMPUTED_VALUE"""),"")</f>
        <v/>
      </c>
      <c r="Y338" s="52" t="str">
        <f>IFERROR(__xludf.DUMMYFUNCTION("""COMPUTED_VALUE"""),"")</f>
        <v/>
      </c>
      <c r="Z338" s="52" t="str">
        <f>IFERROR(__xludf.DUMMYFUNCTION("""COMPUTED_VALUE"""),"")</f>
        <v/>
      </c>
      <c r="AA338" s="52" t="str">
        <f>IFERROR(__xludf.DUMMYFUNCTION("""COMPUTED_VALUE"""),"")</f>
        <v/>
      </c>
      <c r="AB338" s="52" t="str">
        <f>IFERROR(__xludf.DUMMYFUNCTION("""COMPUTED_VALUE"""),"")</f>
        <v/>
      </c>
      <c r="AC338" s="52" t="str">
        <f>IFERROR(__xludf.DUMMYFUNCTION("""COMPUTED_VALUE"""),"")</f>
        <v/>
      </c>
      <c r="AD338" s="52" t="str">
        <f>IFERROR(__xludf.DUMMYFUNCTION("""COMPUTED_VALUE"""),"")</f>
        <v/>
      </c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</row>
    <row r="339">
      <c r="B339" s="49"/>
      <c r="C339" s="49" t="str">
        <f t="shared" si="2"/>
        <v/>
      </c>
      <c r="D339" s="50" t="str">
        <f t="shared" si="3"/>
        <v/>
      </c>
      <c r="E339" s="51" t="str">
        <f t="shared" ref="E339:T339" si="340">IFERROR(VLOOKUP($A339,INDIRECT("'" &amp; E$1 &amp; "'!$C:$G"), 5, FALSE),"")</f>
        <v/>
      </c>
      <c r="F339" s="51" t="str">
        <f t="shared" si="340"/>
        <v/>
      </c>
      <c r="G339" s="51" t="str">
        <f t="shared" si="340"/>
        <v/>
      </c>
      <c r="H339" s="51" t="str">
        <f t="shared" si="340"/>
        <v/>
      </c>
      <c r="I339" s="51" t="str">
        <f t="shared" si="340"/>
        <v/>
      </c>
      <c r="J339" s="51" t="str">
        <f t="shared" si="340"/>
        <v/>
      </c>
      <c r="K339" s="51" t="str">
        <f t="shared" si="340"/>
        <v/>
      </c>
      <c r="L339" s="51" t="str">
        <f t="shared" si="340"/>
        <v/>
      </c>
      <c r="M339" s="51" t="str">
        <f t="shared" si="340"/>
        <v/>
      </c>
      <c r="N339" s="51" t="str">
        <f t="shared" si="340"/>
        <v/>
      </c>
      <c r="O339" s="51" t="str">
        <f t="shared" si="340"/>
        <v/>
      </c>
      <c r="P339" s="51" t="str">
        <f t="shared" si="340"/>
        <v/>
      </c>
      <c r="Q339" s="51" t="str">
        <f t="shared" si="340"/>
        <v/>
      </c>
      <c r="R339" s="51" t="str">
        <f t="shared" si="340"/>
        <v/>
      </c>
      <c r="S339" s="51" t="str">
        <f t="shared" si="340"/>
        <v/>
      </c>
      <c r="T339" s="51" t="str">
        <f t="shared" si="340"/>
        <v/>
      </c>
      <c r="U339" s="52"/>
      <c r="V339" s="52" t="str">
        <f>IFERROR(__xludf.DUMMYFUNCTION("""COMPUTED_VALUE"""),"")</f>
        <v/>
      </c>
      <c r="W339" s="52" t="str">
        <f>IFERROR(__xludf.DUMMYFUNCTION("""COMPUTED_VALUE"""),"")</f>
        <v/>
      </c>
      <c r="X339" s="52" t="str">
        <f>IFERROR(__xludf.DUMMYFUNCTION("""COMPUTED_VALUE"""),"")</f>
        <v/>
      </c>
      <c r="Y339" s="52" t="str">
        <f>IFERROR(__xludf.DUMMYFUNCTION("""COMPUTED_VALUE"""),"")</f>
        <v/>
      </c>
      <c r="Z339" s="52" t="str">
        <f>IFERROR(__xludf.DUMMYFUNCTION("""COMPUTED_VALUE"""),"")</f>
        <v/>
      </c>
      <c r="AA339" s="52" t="str">
        <f>IFERROR(__xludf.DUMMYFUNCTION("""COMPUTED_VALUE"""),"")</f>
        <v/>
      </c>
      <c r="AB339" s="52" t="str">
        <f>IFERROR(__xludf.DUMMYFUNCTION("""COMPUTED_VALUE"""),"")</f>
        <v/>
      </c>
      <c r="AC339" s="52" t="str">
        <f>IFERROR(__xludf.DUMMYFUNCTION("""COMPUTED_VALUE"""),"")</f>
        <v/>
      </c>
      <c r="AD339" s="52" t="str">
        <f>IFERROR(__xludf.DUMMYFUNCTION("""COMPUTED_VALUE"""),"")</f>
        <v/>
      </c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</row>
    <row r="340">
      <c r="B340" s="49"/>
      <c r="C340" s="49" t="str">
        <f t="shared" si="2"/>
        <v/>
      </c>
      <c r="D340" s="50" t="str">
        <f t="shared" si="3"/>
        <v/>
      </c>
      <c r="E340" s="51" t="str">
        <f t="shared" ref="E340:T340" si="341">IFERROR(VLOOKUP($A340,INDIRECT("'" &amp; E$1 &amp; "'!$C:$G"), 5, FALSE),"")</f>
        <v/>
      </c>
      <c r="F340" s="51" t="str">
        <f t="shared" si="341"/>
        <v/>
      </c>
      <c r="G340" s="51" t="str">
        <f t="shared" si="341"/>
        <v/>
      </c>
      <c r="H340" s="51" t="str">
        <f t="shared" si="341"/>
        <v/>
      </c>
      <c r="I340" s="51" t="str">
        <f t="shared" si="341"/>
        <v/>
      </c>
      <c r="J340" s="51" t="str">
        <f t="shared" si="341"/>
        <v/>
      </c>
      <c r="K340" s="51" t="str">
        <f t="shared" si="341"/>
        <v/>
      </c>
      <c r="L340" s="51" t="str">
        <f t="shared" si="341"/>
        <v/>
      </c>
      <c r="M340" s="51" t="str">
        <f t="shared" si="341"/>
        <v/>
      </c>
      <c r="N340" s="51" t="str">
        <f t="shared" si="341"/>
        <v/>
      </c>
      <c r="O340" s="51" t="str">
        <f t="shared" si="341"/>
        <v/>
      </c>
      <c r="P340" s="51" t="str">
        <f t="shared" si="341"/>
        <v/>
      </c>
      <c r="Q340" s="51" t="str">
        <f t="shared" si="341"/>
        <v/>
      </c>
      <c r="R340" s="51" t="str">
        <f t="shared" si="341"/>
        <v/>
      </c>
      <c r="S340" s="51" t="str">
        <f t="shared" si="341"/>
        <v/>
      </c>
      <c r="T340" s="51" t="str">
        <f t="shared" si="341"/>
        <v/>
      </c>
      <c r="U340" s="52"/>
      <c r="V340" s="52" t="str">
        <f>IFERROR(__xludf.DUMMYFUNCTION("""COMPUTED_VALUE"""),"")</f>
        <v/>
      </c>
      <c r="W340" s="52" t="str">
        <f>IFERROR(__xludf.DUMMYFUNCTION("""COMPUTED_VALUE"""),"")</f>
        <v/>
      </c>
      <c r="X340" s="52" t="str">
        <f>IFERROR(__xludf.DUMMYFUNCTION("""COMPUTED_VALUE"""),"")</f>
        <v/>
      </c>
      <c r="Y340" s="52" t="str">
        <f>IFERROR(__xludf.DUMMYFUNCTION("""COMPUTED_VALUE"""),"")</f>
        <v/>
      </c>
      <c r="Z340" s="52" t="str">
        <f>IFERROR(__xludf.DUMMYFUNCTION("""COMPUTED_VALUE"""),"")</f>
        <v/>
      </c>
      <c r="AA340" s="52" t="str">
        <f>IFERROR(__xludf.DUMMYFUNCTION("""COMPUTED_VALUE"""),"")</f>
        <v/>
      </c>
      <c r="AB340" s="52" t="str">
        <f>IFERROR(__xludf.DUMMYFUNCTION("""COMPUTED_VALUE"""),"")</f>
        <v/>
      </c>
      <c r="AC340" s="52" t="str">
        <f>IFERROR(__xludf.DUMMYFUNCTION("""COMPUTED_VALUE"""),"")</f>
        <v/>
      </c>
      <c r="AD340" s="52" t="str">
        <f>IFERROR(__xludf.DUMMYFUNCTION("""COMPUTED_VALUE"""),"")</f>
        <v/>
      </c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</row>
    <row r="341">
      <c r="B341" s="49"/>
      <c r="C341" s="49" t="str">
        <f t="shared" si="2"/>
        <v/>
      </c>
      <c r="D341" s="50" t="str">
        <f t="shared" si="3"/>
        <v/>
      </c>
      <c r="E341" s="51" t="str">
        <f t="shared" ref="E341:T341" si="342">IFERROR(VLOOKUP($A341,INDIRECT("'" &amp; E$1 &amp; "'!$C:$G"), 5, FALSE),"")</f>
        <v/>
      </c>
      <c r="F341" s="51" t="str">
        <f t="shared" si="342"/>
        <v/>
      </c>
      <c r="G341" s="51" t="str">
        <f t="shared" si="342"/>
        <v/>
      </c>
      <c r="H341" s="51" t="str">
        <f t="shared" si="342"/>
        <v/>
      </c>
      <c r="I341" s="51" t="str">
        <f t="shared" si="342"/>
        <v/>
      </c>
      <c r="J341" s="51" t="str">
        <f t="shared" si="342"/>
        <v/>
      </c>
      <c r="K341" s="51" t="str">
        <f t="shared" si="342"/>
        <v/>
      </c>
      <c r="L341" s="51" t="str">
        <f t="shared" si="342"/>
        <v/>
      </c>
      <c r="M341" s="51" t="str">
        <f t="shared" si="342"/>
        <v/>
      </c>
      <c r="N341" s="51" t="str">
        <f t="shared" si="342"/>
        <v/>
      </c>
      <c r="O341" s="51" t="str">
        <f t="shared" si="342"/>
        <v/>
      </c>
      <c r="P341" s="51" t="str">
        <f t="shared" si="342"/>
        <v/>
      </c>
      <c r="Q341" s="51" t="str">
        <f t="shared" si="342"/>
        <v/>
      </c>
      <c r="R341" s="51" t="str">
        <f t="shared" si="342"/>
        <v/>
      </c>
      <c r="S341" s="51" t="str">
        <f t="shared" si="342"/>
        <v/>
      </c>
      <c r="T341" s="51" t="str">
        <f t="shared" si="342"/>
        <v/>
      </c>
      <c r="U341" s="52"/>
      <c r="V341" s="52" t="str">
        <f>IFERROR(__xludf.DUMMYFUNCTION("""COMPUTED_VALUE"""),"")</f>
        <v/>
      </c>
      <c r="W341" s="52" t="str">
        <f>IFERROR(__xludf.DUMMYFUNCTION("""COMPUTED_VALUE"""),"")</f>
        <v/>
      </c>
      <c r="X341" s="52" t="str">
        <f>IFERROR(__xludf.DUMMYFUNCTION("""COMPUTED_VALUE"""),"")</f>
        <v/>
      </c>
      <c r="Y341" s="52" t="str">
        <f>IFERROR(__xludf.DUMMYFUNCTION("""COMPUTED_VALUE"""),"")</f>
        <v/>
      </c>
      <c r="Z341" s="52" t="str">
        <f>IFERROR(__xludf.DUMMYFUNCTION("""COMPUTED_VALUE"""),"")</f>
        <v/>
      </c>
      <c r="AA341" s="52" t="str">
        <f>IFERROR(__xludf.DUMMYFUNCTION("""COMPUTED_VALUE"""),"")</f>
        <v/>
      </c>
      <c r="AB341" s="52" t="str">
        <f>IFERROR(__xludf.DUMMYFUNCTION("""COMPUTED_VALUE"""),"")</f>
        <v/>
      </c>
      <c r="AC341" s="52" t="str">
        <f>IFERROR(__xludf.DUMMYFUNCTION("""COMPUTED_VALUE"""),"")</f>
        <v/>
      </c>
      <c r="AD341" s="52" t="str">
        <f>IFERROR(__xludf.DUMMYFUNCTION("""COMPUTED_VALUE"""),"")</f>
        <v/>
      </c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</row>
    <row r="342">
      <c r="B342" s="49"/>
      <c r="C342" s="49" t="str">
        <f t="shared" si="2"/>
        <v/>
      </c>
      <c r="D342" s="50" t="str">
        <f t="shared" si="3"/>
        <v/>
      </c>
      <c r="E342" s="51" t="str">
        <f t="shared" ref="E342:T342" si="343">IFERROR(VLOOKUP($A342,INDIRECT("'" &amp; E$1 &amp; "'!$C:$G"), 5, FALSE),"")</f>
        <v/>
      </c>
      <c r="F342" s="51" t="str">
        <f t="shared" si="343"/>
        <v/>
      </c>
      <c r="G342" s="51" t="str">
        <f t="shared" si="343"/>
        <v/>
      </c>
      <c r="H342" s="51" t="str">
        <f t="shared" si="343"/>
        <v/>
      </c>
      <c r="I342" s="51" t="str">
        <f t="shared" si="343"/>
        <v/>
      </c>
      <c r="J342" s="51" t="str">
        <f t="shared" si="343"/>
        <v/>
      </c>
      <c r="K342" s="51" t="str">
        <f t="shared" si="343"/>
        <v/>
      </c>
      <c r="L342" s="51" t="str">
        <f t="shared" si="343"/>
        <v/>
      </c>
      <c r="M342" s="51" t="str">
        <f t="shared" si="343"/>
        <v/>
      </c>
      <c r="N342" s="51" t="str">
        <f t="shared" si="343"/>
        <v/>
      </c>
      <c r="O342" s="51" t="str">
        <f t="shared" si="343"/>
        <v/>
      </c>
      <c r="P342" s="51" t="str">
        <f t="shared" si="343"/>
        <v/>
      </c>
      <c r="Q342" s="51" t="str">
        <f t="shared" si="343"/>
        <v/>
      </c>
      <c r="R342" s="51" t="str">
        <f t="shared" si="343"/>
        <v/>
      </c>
      <c r="S342" s="51" t="str">
        <f t="shared" si="343"/>
        <v/>
      </c>
      <c r="T342" s="51" t="str">
        <f t="shared" si="343"/>
        <v/>
      </c>
      <c r="U342" s="52"/>
      <c r="V342" s="52" t="str">
        <f>IFERROR(__xludf.DUMMYFUNCTION("""COMPUTED_VALUE"""),"")</f>
        <v/>
      </c>
      <c r="W342" s="52" t="str">
        <f>IFERROR(__xludf.DUMMYFUNCTION("""COMPUTED_VALUE"""),"")</f>
        <v/>
      </c>
      <c r="X342" s="52" t="str">
        <f>IFERROR(__xludf.DUMMYFUNCTION("""COMPUTED_VALUE"""),"")</f>
        <v/>
      </c>
      <c r="Y342" s="52" t="str">
        <f>IFERROR(__xludf.DUMMYFUNCTION("""COMPUTED_VALUE"""),"")</f>
        <v/>
      </c>
      <c r="Z342" s="52" t="str">
        <f>IFERROR(__xludf.DUMMYFUNCTION("""COMPUTED_VALUE"""),"")</f>
        <v/>
      </c>
      <c r="AA342" s="52" t="str">
        <f>IFERROR(__xludf.DUMMYFUNCTION("""COMPUTED_VALUE"""),"")</f>
        <v/>
      </c>
      <c r="AB342" s="52" t="str">
        <f>IFERROR(__xludf.DUMMYFUNCTION("""COMPUTED_VALUE"""),"")</f>
        <v/>
      </c>
      <c r="AC342" s="52" t="str">
        <f>IFERROR(__xludf.DUMMYFUNCTION("""COMPUTED_VALUE"""),"")</f>
        <v/>
      </c>
      <c r="AD342" s="52" t="str">
        <f>IFERROR(__xludf.DUMMYFUNCTION("""COMPUTED_VALUE"""),"")</f>
        <v/>
      </c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</row>
    <row r="343">
      <c r="B343" s="49"/>
      <c r="C343" s="49" t="str">
        <f t="shared" si="2"/>
        <v/>
      </c>
      <c r="D343" s="50" t="str">
        <f t="shared" si="3"/>
        <v/>
      </c>
      <c r="E343" s="51" t="str">
        <f t="shared" ref="E343:T343" si="344">IFERROR(VLOOKUP($A343,INDIRECT("'" &amp; E$1 &amp; "'!$C:$G"), 5, FALSE),"")</f>
        <v/>
      </c>
      <c r="F343" s="51" t="str">
        <f t="shared" si="344"/>
        <v/>
      </c>
      <c r="G343" s="51" t="str">
        <f t="shared" si="344"/>
        <v/>
      </c>
      <c r="H343" s="51" t="str">
        <f t="shared" si="344"/>
        <v/>
      </c>
      <c r="I343" s="51" t="str">
        <f t="shared" si="344"/>
        <v/>
      </c>
      <c r="J343" s="51" t="str">
        <f t="shared" si="344"/>
        <v/>
      </c>
      <c r="K343" s="51" t="str">
        <f t="shared" si="344"/>
        <v/>
      </c>
      <c r="L343" s="51" t="str">
        <f t="shared" si="344"/>
        <v/>
      </c>
      <c r="M343" s="51" t="str">
        <f t="shared" si="344"/>
        <v/>
      </c>
      <c r="N343" s="51" t="str">
        <f t="shared" si="344"/>
        <v/>
      </c>
      <c r="O343" s="51" t="str">
        <f t="shared" si="344"/>
        <v/>
      </c>
      <c r="P343" s="51" t="str">
        <f t="shared" si="344"/>
        <v/>
      </c>
      <c r="Q343" s="51" t="str">
        <f t="shared" si="344"/>
        <v/>
      </c>
      <c r="R343" s="51" t="str">
        <f t="shared" si="344"/>
        <v/>
      </c>
      <c r="S343" s="51" t="str">
        <f t="shared" si="344"/>
        <v/>
      </c>
      <c r="T343" s="51" t="str">
        <f t="shared" si="344"/>
        <v/>
      </c>
      <c r="U343" s="52"/>
      <c r="V343" s="52" t="str">
        <f>IFERROR(__xludf.DUMMYFUNCTION("""COMPUTED_VALUE"""),"")</f>
        <v/>
      </c>
      <c r="W343" s="52" t="str">
        <f>IFERROR(__xludf.DUMMYFUNCTION("""COMPUTED_VALUE"""),"")</f>
        <v/>
      </c>
      <c r="X343" s="52" t="str">
        <f>IFERROR(__xludf.DUMMYFUNCTION("""COMPUTED_VALUE"""),"")</f>
        <v/>
      </c>
      <c r="Y343" s="52" t="str">
        <f>IFERROR(__xludf.DUMMYFUNCTION("""COMPUTED_VALUE"""),"")</f>
        <v/>
      </c>
      <c r="Z343" s="52" t="str">
        <f>IFERROR(__xludf.DUMMYFUNCTION("""COMPUTED_VALUE"""),"")</f>
        <v/>
      </c>
      <c r="AA343" s="52" t="str">
        <f>IFERROR(__xludf.DUMMYFUNCTION("""COMPUTED_VALUE"""),"")</f>
        <v/>
      </c>
      <c r="AB343" s="52" t="str">
        <f>IFERROR(__xludf.DUMMYFUNCTION("""COMPUTED_VALUE"""),"")</f>
        <v/>
      </c>
      <c r="AC343" s="52" t="str">
        <f>IFERROR(__xludf.DUMMYFUNCTION("""COMPUTED_VALUE"""),"")</f>
        <v/>
      </c>
      <c r="AD343" s="52" t="str">
        <f>IFERROR(__xludf.DUMMYFUNCTION("""COMPUTED_VALUE"""),"")</f>
        <v/>
      </c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</row>
    <row r="344">
      <c r="B344" s="49"/>
      <c r="C344" s="49" t="str">
        <f t="shared" si="2"/>
        <v/>
      </c>
      <c r="D344" s="50" t="str">
        <f t="shared" si="3"/>
        <v/>
      </c>
      <c r="E344" s="51" t="str">
        <f t="shared" ref="E344:T344" si="345">IFERROR(VLOOKUP($A344,INDIRECT("'" &amp; E$1 &amp; "'!$C:$G"), 5, FALSE),"")</f>
        <v/>
      </c>
      <c r="F344" s="51" t="str">
        <f t="shared" si="345"/>
        <v/>
      </c>
      <c r="G344" s="51" t="str">
        <f t="shared" si="345"/>
        <v/>
      </c>
      <c r="H344" s="51" t="str">
        <f t="shared" si="345"/>
        <v/>
      </c>
      <c r="I344" s="51" t="str">
        <f t="shared" si="345"/>
        <v/>
      </c>
      <c r="J344" s="51" t="str">
        <f t="shared" si="345"/>
        <v/>
      </c>
      <c r="K344" s="51" t="str">
        <f t="shared" si="345"/>
        <v/>
      </c>
      <c r="L344" s="51" t="str">
        <f t="shared" si="345"/>
        <v/>
      </c>
      <c r="M344" s="51" t="str">
        <f t="shared" si="345"/>
        <v/>
      </c>
      <c r="N344" s="51" t="str">
        <f t="shared" si="345"/>
        <v/>
      </c>
      <c r="O344" s="51" t="str">
        <f t="shared" si="345"/>
        <v/>
      </c>
      <c r="P344" s="51" t="str">
        <f t="shared" si="345"/>
        <v/>
      </c>
      <c r="Q344" s="51" t="str">
        <f t="shared" si="345"/>
        <v/>
      </c>
      <c r="R344" s="51" t="str">
        <f t="shared" si="345"/>
        <v/>
      </c>
      <c r="S344" s="51" t="str">
        <f t="shared" si="345"/>
        <v/>
      </c>
      <c r="T344" s="51" t="str">
        <f t="shared" si="345"/>
        <v/>
      </c>
      <c r="U344" s="52"/>
      <c r="V344" s="52" t="str">
        <f>IFERROR(__xludf.DUMMYFUNCTION("""COMPUTED_VALUE"""),"")</f>
        <v/>
      </c>
      <c r="W344" s="52" t="str">
        <f>IFERROR(__xludf.DUMMYFUNCTION("""COMPUTED_VALUE"""),"")</f>
        <v/>
      </c>
      <c r="X344" s="52" t="str">
        <f>IFERROR(__xludf.DUMMYFUNCTION("""COMPUTED_VALUE"""),"")</f>
        <v/>
      </c>
      <c r="Y344" s="52" t="str">
        <f>IFERROR(__xludf.DUMMYFUNCTION("""COMPUTED_VALUE"""),"")</f>
        <v/>
      </c>
      <c r="Z344" s="52" t="str">
        <f>IFERROR(__xludf.DUMMYFUNCTION("""COMPUTED_VALUE"""),"")</f>
        <v/>
      </c>
      <c r="AA344" s="52" t="str">
        <f>IFERROR(__xludf.DUMMYFUNCTION("""COMPUTED_VALUE"""),"")</f>
        <v/>
      </c>
      <c r="AB344" s="52" t="str">
        <f>IFERROR(__xludf.DUMMYFUNCTION("""COMPUTED_VALUE"""),"")</f>
        <v/>
      </c>
      <c r="AC344" s="52" t="str">
        <f>IFERROR(__xludf.DUMMYFUNCTION("""COMPUTED_VALUE"""),"")</f>
        <v/>
      </c>
      <c r="AD344" s="52" t="str">
        <f>IFERROR(__xludf.DUMMYFUNCTION("""COMPUTED_VALUE"""),"")</f>
        <v/>
      </c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</row>
    <row r="345">
      <c r="B345" s="49"/>
      <c r="C345" s="49" t="str">
        <f t="shared" si="2"/>
        <v/>
      </c>
      <c r="D345" s="50" t="str">
        <f t="shared" si="3"/>
        <v/>
      </c>
      <c r="E345" s="51" t="str">
        <f t="shared" ref="E345:T345" si="346">IFERROR(VLOOKUP($A345,INDIRECT("'" &amp; E$1 &amp; "'!$C:$G"), 5, FALSE),"")</f>
        <v/>
      </c>
      <c r="F345" s="51" t="str">
        <f t="shared" si="346"/>
        <v/>
      </c>
      <c r="G345" s="51" t="str">
        <f t="shared" si="346"/>
        <v/>
      </c>
      <c r="H345" s="51" t="str">
        <f t="shared" si="346"/>
        <v/>
      </c>
      <c r="I345" s="51" t="str">
        <f t="shared" si="346"/>
        <v/>
      </c>
      <c r="J345" s="51" t="str">
        <f t="shared" si="346"/>
        <v/>
      </c>
      <c r="K345" s="51" t="str">
        <f t="shared" si="346"/>
        <v/>
      </c>
      <c r="L345" s="51" t="str">
        <f t="shared" si="346"/>
        <v/>
      </c>
      <c r="M345" s="51" t="str">
        <f t="shared" si="346"/>
        <v/>
      </c>
      <c r="N345" s="51" t="str">
        <f t="shared" si="346"/>
        <v/>
      </c>
      <c r="O345" s="51" t="str">
        <f t="shared" si="346"/>
        <v/>
      </c>
      <c r="P345" s="51" t="str">
        <f t="shared" si="346"/>
        <v/>
      </c>
      <c r="Q345" s="51" t="str">
        <f t="shared" si="346"/>
        <v/>
      </c>
      <c r="R345" s="51" t="str">
        <f t="shared" si="346"/>
        <v/>
      </c>
      <c r="S345" s="51" t="str">
        <f t="shared" si="346"/>
        <v/>
      </c>
      <c r="T345" s="51" t="str">
        <f t="shared" si="346"/>
        <v/>
      </c>
      <c r="U345" s="52"/>
      <c r="V345" s="52" t="str">
        <f>IFERROR(__xludf.DUMMYFUNCTION("""COMPUTED_VALUE"""),"")</f>
        <v/>
      </c>
      <c r="W345" s="52" t="str">
        <f>IFERROR(__xludf.DUMMYFUNCTION("""COMPUTED_VALUE"""),"")</f>
        <v/>
      </c>
      <c r="X345" s="52" t="str">
        <f>IFERROR(__xludf.DUMMYFUNCTION("""COMPUTED_VALUE"""),"")</f>
        <v/>
      </c>
      <c r="Y345" s="52" t="str">
        <f>IFERROR(__xludf.DUMMYFUNCTION("""COMPUTED_VALUE"""),"")</f>
        <v/>
      </c>
      <c r="Z345" s="52" t="str">
        <f>IFERROR(__xludf.DUMMYFUNCTION("""COMPUTED_VALUE"""),"")</f>
        <v/>
      </c>
      <c r="AA345" s="52" t="str">
        <f>IFERROR(__xludf.DUMMYFUNCTION("""COMPUTED_VALUE"""),"")</f>
        <v/>
      </c>
      <c r="AB345" s="52" t="str">
        <f>IFERROR(__xludf.DUMMYFUNCTION("""COMPUTED_VALUE"""),"")</f>
        <v/>
      </c>
      <c r="AC345" s="52" t="str">
        <f>IFERROR(__xludf.DUMMYFUNCTION("""COMPUTED_VALUE"""),"")</f>
        <v/>
      </c>
      <c r="AD345" s="52" t="str">
        <f>IFERROR(__xludf.DUMMYFUNCTION("""COMPUTED_VALUE"""),"")</f>
        <v/>
      </c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</row>
    <row r="346">
      <c r="B346" s="49"/>
      <c r="C346" s="49" t="str">
        <f t="shared" si="2"/>
        <v/>
      </c>
      <c r="D346" s="50" t="str">
        <f t="shared" si="3"/>
        <v/>
      </c>
      <c r="E346" s="51" t="str">
        <f t="shared" ref="E346:T346" si="347">IFERROR(VLOOKUP($A346,INDIRECT("'" &amp; E$1 &amp; "'!$C:$G"), 5, FALSE),"")</f>
        <v/>
      </c>
      <c r="F346" s="51" t="str">
        <f t="shared" si="347"/>
        <v/>
      </c>
      <c r="G346" s="51" t="str">
        <f t="shared" si="347"/>
        <v/>
      </c>
      <c r="H346" s="51" t="str">
        <f t="shared" si="347"/>
        <v/>
      </c>
      <c r="I346" s="51" t="str">
        <f t="shared" si="347"/>
        <v/>
      </c>
      <c r="J346" s="51" t="str">
        <f t="shared" si="347"/>
        <v/>
      </c>
      <c r="K346" s="51" t="str">
        <f t="shared" si="347"/>
        <v/>
      </c>
      <c r="L346" s="51" t="str">
        <f t="shared" si="347"/>
        <v/>
      </c>
      <c r="M346" s="51" t="str">
        <f t="shared" si="347"/>
        <v/>
      </c>
      <c r="N346" s="51" t="str">
        <f t="shared" si="347"/>
        <v/>
      </c>
      <c r="O346" s="51" t="str">
        <f t="shared" si="347"/>
        <v/>
      </c>
      <c r="P346" s="51" t="str">
        <f t="shared" si="347"/>
        <v/>
      </c>
      <c r="Q346" s="51" t="str">
        <f t="shared" si="347"/>
        <v/>
      </c>
      <c r="R346" s="51" t="str">
        <f t="shared" si="347"/>
        <v/>
      </c>
      <c r="S346" s="51" t="str">
        <f t="shared" si="347"/>
        <v/>
      </c>
      <c r="T346" s="51" t="str">
        <f t="shared" si="347"/>
        <v/>
      </c>
      <c r="U346" s="52"/>
      <c r="V346" s="52" t="str">
        <f>IFERROR(__xludf.DUMMYFUNCTION("""COMPUTED_VALUE"""),"")</f>
        <v/>
      </c>
      <c r="W346" s="52" t="str">
        <f>IFERROR(__xludf.DUMMYFUNCTION("""COMPUTED_VALUE"""),"")</f>
        <v/>
      </c>
      <c r="X346" s="52" t="str">
        <f>IFERROR(__xludf.DUMMYFUNCTION("""COMPUTED_VALUE"""),"")</f>
        <v/>
      </c>
      <c r="Y346" s="52" t="str">
        <f>IFERROR(__xludf.DUMMYFUNCTION("""COMPUTED_VALUE"""),"")</f>
        <v/>
      </c>
      <c r="Z346" s="52" t="str">
        <f>IFERROR(__xludf.DUMMYFUNCTION("""COMPUTED_VALUE"""),"")</f>
        <v/>
      </c>
      <c r="AA346" s="52" t="str">
        <f>IFERROR(__xludf.DUMMYFUNCTION("""COMPUTED_VALUE"""),"")</f>
        <v/>
      </c>
      <c r="AB346" s="52" t="str">
        <f>IFERROR(__xludf.DUMMYFUNCTION("""COMPUTED_VALUE"""),"")</f>
        <v/>
      </c>
      <c r="AC346" s="52" t="str">
        <f>IFERROR(__xludf.DUMMYFUNCTION("""COMPUTED_VALUE"""),"")</f>
        <v/>
      </c>
      <c r="AD346" s="52" t="str">
        <f>IFERROR(__xludf.DUMMYFUNCTION("""COMPUTED_VALUE"""),"")</f>
        <v/>
      </c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</row>
    <row r="347">
      <c r="B347" s="49"/>
      <c r="C347" s="49" t="str">
        <f t="shared" si="2"/>
        <v/>
      </c>
      <c r="D347" s="50" t="str">
        <f t="shared" si="3"/>
        <v/>
      </c>
      <c r="E347" s="51" t="str">
        <f t="shared" ref="E347:T347" si="348">IFERROR(VLOOKUP($A347,INDIRECT("'" &amp; E$1 &amp; "'!$C:$G"), 5, FALSE),"")</f>
        <v/>
      </c>
      <c r="F347" s="51" t="str">
        <f t="shared" si="348"/>
        <v/>
      </c>
      <c r="G347" s="51" t="str">
        <f t="shared" si="348"/>
        <v/>
      </c>
      <c r="H347" s="51" t="str">
        <f t="shared" si="348"/>
        <v/>
      </c>
      <c r="I347" s="51" t="str">
        <f t="shared" si="348"/>
        <v/>
      </c>
      <c r="J347" s="51" t="str">
        <f t="shared" si="348"/>
        <v/>
      </c>
      <c r="K347" s="51" t="str">
        <f t="shared" si="348"/>
        <v/>
      </c>
      <c r="L347" s="51" t="str">
        <f t="shared" si="348"/>
        <v/>
      </c>
      <c r="M347" s="51" t="str">
        <f t="shared" si="348"/>
        <v/>
      </c>
      <c r="N347" s="51" t="str">
        <f t="shared" si="348"/>
        <v/>
      </c>
      <c r="O347" s="51" t="str">
        <f t="shared" si="348"/>
        <v/>
      </c>
      <c r="P347" s="51" t="str">
        <f t="shared" si="348"/>
        <v/>
      </c>
      <c r="Q347" s="51" t="str">
        <f t="shared" si="348"/>
        <v/>
      </c>
      <c r="R347" s="51" t="str">
        <f t="shared" si="348"/>
        <v/>
      </c>
      <c r="S347" s="51" t="str">
        <f t="shared" si="348"/>
        <v/>
      </c>
      <c r="T347" s="51" t="str">
        <f t="shared" si="348"/>
        <v/>
      </c>
      <c r="U347" s="52"/>
      <c r="V347" s="52" t="str">
        <f>IFERROR(__xludf.DUMMYFUNCTION("""COMPUTED_VALUE"""),"")</f>
        <v/>
      </c>
      <c r="W347" s="52" t="str">
        <f>IFERROR(__xludf.DUMMYFUNCTION("""COMPUTED_VALUE"""),"")</f>
        <v/>
      </c>
      <c r="X347" s="52" t="str">
        <f>IFERROR(__xludf.DUMMYFUNCTION("""COMPUTED_VALUE"""),"")</f>
        <v/>
      </c>
      <c r="Y347" s="52" t="str">
        <f>IFERROR(__xludf.DUMMYFUNCTION("""COMPUTED_VALUE"""),"")</f>
        <v/>
      </c>
      <c r="Z347" s="52" t="str">
        <f>IFERROR(__xludf.DUMMYFUNCTION("""COMPUTED_VALUE"""),"")</f>
        <v/>
      </c>
      <c r="AA347" s="52" t="str">
        <f>IFERROR(__xludf.DUMMYFUNCTION("""COMPUTED_VALUE"""),"")</f>
        <v/>
      </c>
      <c r="AB347" s="52" t="str">
        <f>IFERROR(__xludf.DUMMYFUNCTION("""COMPUTED_VALUE"""),"")</f>
        <v/>
      </c>
      <c r="AC347" s="52" t="str">
        <f>IFERROR(__xludf.DUMMYFUNCTION("""COMPUTED_VALUE"""),"")</f>
        <v/>
      </c>
      <c r="AD347" s="52" t="str">
        <f>IFERROR(__xludf.DUMMYFUNCTION("""COMPUTED_VALUE"""),"")</f>
        <v/>
      </c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</row>
    <row r="348">
      <c r="B348" s="49"/>
      <c r="C348" s="49" t="str">
        <f t="shared" si="2"/>
        <v/>
      </c>
      <c r="D348" s="50" t="str">
        <f t="shared" si="3"/>
        <v/>
      </c>
      <c r="E348" s="51" t="str">
        <f t="shared" ref="E348:T348" si="349">IFERROR(VLOOKUP($A348,INDIRECT("'" &amp; E$1 &amp; "'!$C:$G"), 5, FALSE),"")</f>
        <v/>
      </c>
      <c r="F348" s="51" t="str">
        <f t="shared" si="349"/>
        <v/>
      </c>
      <c r="G348" s="51" t="str">
        <f t="shared" si="349"/>
        <v/>
      </c>
      <c r="H348" s="51" t="str">
        <f t="shared" si="349"/>
        <v/>
      </c>
      <c r="I348" s="51" t="str">
        <f t="shared" si="349"/>
        <v/>
      </c>
      <c r="J348" s="51" t="str">
        <f t="shared" si="349"/>
        <v/>
      </c>
      <c r="K348" s="51" t="str">
        <f t="shared" si="349"/>
        <v/>
      </c>
      <c r="L348" s="51" t="str">
        <f t="shared" si="349"/>
        <v/>
      </c>
      <c r="M348" s="51" t="str">
        <f t="shared" si="349"/>
        <v/>
      </c>
      <c r="N348" s="51" t="str">
        <f t="shared" si="349"/>
        <v/>
      </c>
      <c r="O348" s="51" t="str">
        <f t="shared" si="349"/>
        <v/>
      </c>
      <c r="P348" s="51" t="str">
        <f t="shared" si="349"/>
        <v/>
      </c>
      <c r="Q348" s="51" t="str">
        <f t="shared" si="349"/>
        <v/>
      </c>
      <c r="R348" s="51" t="str">
        <f t="shared" si="349"/>
        <v/>
      </c>
      <c r="S348" s="51" t="str">
        <f t="shared" si="349"/>
        <v/>
      </c>
      <c r="T348" s="51" t="str">
        <f t="shared" si="349"/>
        <v/>
      </c>
      <c r="U348" s="52"/>
      <c r="V348" s="52" t="str">
        <f>IFERROR(__xludf.DUMMYFUNCTION("""COMPUTED_VALUE"""),"")</f>
        <v/>
      </c>
      <c r="W348" s="52" t="str">
        <f>IFERROR(__xludf.DUMMYFUNCTION("""COMPUTED_VALUE"""),"")</f>
        <v/>
      </c>
      <c r="X348" s="52" t="str">
        <f>IFERROR(__xludf.DUMMYFUNCTION("""COMPUTED_VALUE"""),"")</f>
        <v/>
      </c>
      <c r="Y348" s="52" t="str">
        <f>IFERROR(__xludf.DUMMYFUNCTION("""COMPUTED_VALUE"""),"")</f>
        <v/>
      </c>
      <c r="Z348" s="52" t="str">
        <f>IFERROR(__xludf.DUMMYFUNCTION("""COMPUTED_VALUE"""),"")</f>
        <v/>
      </c>
      <c r="AA348" s="52" t="str">
        <f>IFERROR(__xludf.DUMMYFUNCTION("""COMPUTED_VALUE"""),"")</f>
        <v/>
      </c>
      <c r="AB348" s="52" t="str">
        <f>IFERROR(__xludf.DUMMYFUNCTION("""COMPUTED_VALUE"""),"")</f>
        <v/>
      </c>
      <c r="AC348" s="52" t="str">
        <f>IFERROR(__xludf.DUMMYFUNCTION("""COMPUTED_VALUE"""),"")</f>
        <v/>
      </c>
      <c r="AD348" s="52" t="str">
        <f>IFERROR(__xludf.DUMMYFUNCTION("""COMPUTED_VALUE"""),"")</f>
        <v/>
      </c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</row>
    <row r="349">
      <c r="B349" s="49"/>
      <c r="C349" s="49" t="str">
        <f t="shared" si="2"/>
        <v/>
      </c>
      <c r="D349" s="50" t="str">
        <f t="shared" si="3"/>
        <v/>
      </c>
      <c r="E349" s="51" t="str">
        <f t="shared" ref="E349:T349" si="350">IFERROR(VLOOKUP($A349,INDIRECT("'" &amp; E$1 &amp; "'!$C:$G"), 5, FALSE),"")</f>
        <v/>
      </c>
      <c r="F349" s="51" t="str">
        <f t="shared" si="350"/>
        <v/>
      </c>
      <c r="G349" s="51" t="str">
        <f t="shared" si="350"/>
        <v/>
      </c>
      <c r="H349" s="51" t="str">
        <f t="shared" si="350"/>
        <v/>
      </c>
      <c r="I349" s="51" t="str">
        <f t="shared" si="350"/>
        <v/>
      </c>
      <c r="J349" s="51" t="str">
        <f t="shared" si="350"/>
        <v/>
      </c>
      <c r="K349" s="51" t="str">
        <f t="shared" si="350"/>
        <v/>
      </c>
      <c r="L349" s="51" t="str">
        <f t="shared" si="350"/>
        <v/>
      </c>
      <c r="M349" s="51" t="str">
        <f t="shared" si="350"/>
        <v/>
      </c>
      <c r="N349" s="51" t="str">
        <f t="shared" si="350"/>
        <v/>
      </c>
      <c r="O349" s="51" t="str">
        <f t="shared" si="350"/>
        <v/>
      </c>
      <c r="P349" s="51" t="str">
        <f t="shared" si="350"/>
        <v/>
      </c>
      <c r="Q349" s="51" t="str">
        <f t="shared" si="350"/>
        <v/>
      </c>
      <c r="R349" s="51" t="str">
        <f t="shared" si="350"/>
        <v/>
      </c>
      <c r="S349" s="51" t="str">
        <f t="shared" si="350"/>
        <v/>
      </c>
      <c r="T349" s="51" t="str">
        <f t="shared" si="350"/>
        <v/>
      </c>
      <c r="U349" s="52"/>
      <c r="V349" s="52" t="str">
        <f>IFERROR(__xludf.DUMMYFUNCTION("""COMPUTED_VALUE"""),"")</f>
        <v/>
      </c>
      <c r="W349" s="52" t="str">
        <f>IFERROR(__xludf.DUMMYFUNCTION("""COMPUTED_VALUE"""),"")</f>
        <v/>
      </c>
      <c r="X349" s="52" t="str">
        <f>IFERROR(__xludf.DUMMYFUNCTION("""COMPUTED_VALUE"""),"")</f>
        <v/>
      </c>
      <c r="Y349" s="52" t="str">
        <f>IFERROR(__xludf.DUMMYFUNCTION("""COMPUTED_VALUE"""),"")</f>
        <v/>
      </c>
      <c r="Z349" s="52" t="str">
        <f>IFERROR(__xludf.DUMMYFUNCTION("""COMPUTED_VALUE"""),"")</f>
        <v/>
      </c>
      <c r="AA349" s="52" t="str">
        <f>IFERROR(__xludf.DUMMYFUNCTION("""COMPUTED_VALUE"""),"")</f>
        <v/>
      </c>
      <c r="AB349" s="52" t="str">
        <f>IFERROR(__xludf.DUMMYFUNCTION("""COMPUTED_VALUE"""),"")</f>
        <v/>
      </c>
      <c r="AC349" s="52" t="str">
        <f>IFERROR(__xludf.DUMMYFUNCTION("""COMPUTED_VALUE"""),"")</f>
        <v/>
      </c>
      <c r="AD349" s="52" t="str">
        <f>IFERROR(__xludf.DUMMYFUNCTION("""COMPUTED_VALUE"""),"")</f>
        <v/>
      </c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</row>
    <row r="350">
      <c r="B350" s="49"/>
      <c r="C350" s="49" t="str">
        <f t="shared" si="2"/>
        <v/>
      </c>
      <c r="D350" s="50" t="str">
        <f t="shared" si="3"/>
        <v/>
      </c>
      <c r="E350" s="51" t="str">
        <f t="shared" ref="E350:T350" si="351">IFERROR(VLOOKUP($A350,INDIRECT("'" &amp; E$1 &amp; "'!$C:$G"), 5, FALSE),"")</f>
        <v/>
      </c>
      <c r="F350" s="51" t="str">
        <f t="shared" si="351"/>
        <v/>
      </c>
      <c r="G350" s="51" t="str">
        <f t="shared" si="351"/>
        <v/>
      </c>
      <c r="H350" s="51" t="str">
        <f t="shared" si="351"/>
        <v/>
      </c>
      <c r="I350" s="51" t="str">
        <f t="shared" si="351"/>
        <v/>
      </c>
      <c r="J350" s="51" t="str">
        <f t="shared" si="351"/>
        <v/>
      </c>
      <c r="K350" s="51" t="str">
        <f t="shared" si="351"/>
        <v/>
      </c>
      <c r="L350" s="51" t="str">
        <f t="shared" si="351"/>
        <v/>
      </c>
      <c r="M350" s="51" t="str">
        <f t="shared" si="351"/>
        <v/>
      </c>
      <c r="N350" s="51" t="str">
        <f t="shared" si="351"/>
        <v/>
      </c>
      <c r="O350" s="51" t="str">
        <f t="shared" si="351"/>
        <v/>
      </c>
      <c r="P350" s="51" t="str">
        <f t="shared" si="351"/>
        <v/>
      </c>
      <c r="Q350" s="51" t="str">
        <f t="shared" si="351"/>
        <v/>
      </c>
      <c r="R350" s="51" t="str">
        <f t="shared" si="351"/>
        <v/>
      </c>
      <c r="S350" s="51" t="str">
        <f t="shared" si="351"/>
        <v/>
      </c>
      <c r="T350" s="51" t="str">
        <f t="shared" si="351"/>
        <v/>
      </c>
      <c r="U350" s="52"/>
      <c r="V350" s="52" t="str">
        <f>IFERROR(__xludf.DUMMYFUNCTION("""COMPUTED_VALUE"""),"")</f>
        <v/>
      </c>
      <c r="W350" s="52" t="str">
        <f>IFERROR(__xludf.DUMMYFUNCTION("""COMPUTED_VALUE"""),"")</f>
        <v/>
      </c>
      <c r="X350" s="52" t="str">
        <f>IFERROR(__xludf.DUMMYFUNCTION("""COMPUTED_VALUE"""),"")</f>
        <v/>
      </c>
      <c r="Y350" s="52" t="str">
        <f>IFERROR(__xludf.DUMMYFUNCTION("""COMPUTED_VALUE"""),"")</f>
        <v/>
      </c>
      <c r="Z350" s="52" t="str">
        <f>IFERROR(__xludf.DUMMYFUNCTION("""COMPUTED_VALUE"""),"")</f>
        <v/>
      </c>
      <c r="AA350" s="52" t="str">
        <f>IFERROR(__xludf.DUMMYFUNCTION("""COMPUTED_VALUE"""),"")</f>
        <v/>
      </c>
      <c r="AB350" s="52" t="str">
        <f>IFERROR(__xludf.DUMMYFUNCTION("""COMPUTED_VALUE"""),"")</f>
        <v/>
      </c>
      <c r="AC350" s="52" t="str">
        <f>IFERROR(__xludf.DUMMYFUNCTION("""COMPUTED_VALUE"""),"")</f>
        <v/>
      </c>
      <c r="AD350" s="52" t="str">
        <f>IFERROR(__xludf.DUMMYFUNCTION("""COMPUTED_VALUE"""),"")</f>
        <v/>
      </c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</row>
    <row r="351">
      <c r="B351" s="49"/>
      <c r="C351" s="49" t="str">
        <f t="shared" si="2"/>
        <v/>
      </c>
      <c r="D351" s="50" t="str">
        <f t="shared" si="3"/>
        <v/>
      </c>
      <c r="E351" s="51" t="str">
        <f t="shared" ref="E351:T351" si="352">IFERROR(VLOOKUP($A351,INDIRECT("'" &amp; E$1 &amp; "'!$C:$G"), 5, FALSE),"")</f>
        <v/>
      </c>
      <c r="F351" s="51" t="str">
        <f t="shared" si="352"/>
        <v/>
      </c>
      <c r="G351" s="51" t="str">
        <f t="shared" si="352"/>
        <v/>
      </c>
      <c r="H351" s="51" t="str">
        <f t="shared" si="352"/>
        <v/>
      </c>
      <c r="I351" s="51" t="str">
        <f t="shared" si="352"/>
        <v/>
      </c>
      <c r="J351" s="51" t="str">
        <f t="shared" si="352"/>
        <v/>
      </c>
      <c r="K351" s="51" t="str">
        <f t="shared" si="352"/>
        <v/>
      </c>
      <c r="L351" s="51" t="str">
        <f t="shared" si="352"/>
        <v/>
      </c>
      <c r="M351" s="51" t="str">
        <f t="shared" si="352"/>
        <v/>
      </c>
      <c r="N351" s="51" t="str">
        <f t="shared" si="352"/>
        <v/>
      </c>
      <c r="O351" s="51" t="str">
        <f t="shared" si="352"/>
        <v/>
      </c>
      <c r="P351" s="51" t="str">
        <f t="shared" si="352"/>
        <v/>
      </c>
      <c r="Q351" s="51" t="str">
        <f t="shared" si="352"/>
        <v/>
      </c>
      <c r="R351" s="51" t="str">
        <f t="shared" si="352"/>
        <v/>
      </c>
      <c r="S351" s="51" t="str">
        <f t="shared" si="352"/>
        <v/>
      </c>
      <c r="T351" s="51" t="str">
        <f t="shared" si="352"/>
        <v/>
      </c>
      <c r="U351" s="52"/>
      <c r="V351" s="52" t="str">
        <f>IFERROR(__xludf.DUMMYFUNCTION("""COMPUTED_VALUE"""),"")</f>
        <v/>
      </c>
      <c r="W351" s="52" t="str">
        <f>IFERROR(__xludf.DUMMYFUNCTION("""COMPUTED_VALUE"""),"")</f>
        <v/>
      </c>
      <c r="X351" s="52" t="str">
        <f>IFERROR(__xludf.DUMMYFUNCTION("""COMPUTED_VALUE"""),"")</f>
        <v/>
      </c>
      <c r="Y351" s="52" t="str">
        <f>IFERROR(__xludf.DUMMYFUNCTION("""COMPUTED_VALUE"""),"")</f>
        <v/>
      </c>
      <c r="Z351" s="52" t="str">
        <f>IFERROR(__xludf.DUMMYFUNCTION("""COMPUTED_VALUE"""),"")</f>
        <v/>
      </c>
      <c r="AA351" s="52" t="str">
        <f>IFERROR(__xludf.DUMMYFUNCTION("""COMPUTED_VALUE"""),"")</f>
        <v/>
      </c>
      <c r="AB351" s="52" t="str">
        <f>IFERROR(__xludf.DUMMYFUNCTION("""COMPUTED_VALUE"""),"")</f>
        <v/>
      </c>
      <c r="AC351" s="52" t="str">
        <f>IFERROR(__xludf.DUMMYFUNCTION("""COMPUTED_VALUE"""),"")</f>
        <v/>
      </c>
      <c r="AD351" s="52" t="str">
        <f>IFERROR(__xludf.DUMMYFUNCTION("""COMPUTED_VALUE"""),"")</f>
        <v/>
      </c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</row>
    <row r="352">
      <c r="B352" s="49"/>
      <c r="C352" s="49" t="str">
        <f t="shared" si="2"/>
        <v/>
      </c>
      <c r="D352" s="50" t="str">
        <f t="shared" si="3"/>
        <v/>
      </c>
      <c r="E352" s="51" t="str">
        <f t="shared" ref="E352:T352" si="353">IFERROR(VLOOKUP($A352,INDIRECT("'" &amp; E$1 &amp; "'!$C:$G"), 5, FALSE),"")</f>
        <v/>
      </c>
      <c r="F352" s="51" t="str">
        <f t="shared" si="353"/>
        <v/>
      </c>
      <c r="G352" s="51" t="str">
        <f t="shared" si="353"/>
        <v/>
      </c>
      <c r="H352" s="51" t="str">
        <f t="shared" si="353"/>
        <v/>
      </c>
      <c r="I352" s="51" t="str">
        <f t="shared" si="353"/>
        <v/>
      </c>
      <c r="J352" s="51" t="str">
        <f t="shared" si="353"/>
        <v/>
      </c>
      <c r="K352" s="51" t="str">
        <f t="shared" si="353"/>
        <v/>
      </c>
      <c r="L352" s="51" t="str">
        <f t="shared" si="353"/>
        <v/>
      </c>
      <c r="M352" s="51" t="str">
        <f t="shared" si="353"/>
        <v/>
      </c>
      <c r="N352" s="51" t="str">
        <f t="shared" si="353"/>
        <v/>
      </c>
      <c r="O352" s="51" t="str">
        <f t="shared" si="353"/>
        <v/>
      </c>
      <c r="P352" s="51" t="str">
        <f t="shared" si="353"/>
        <v/>
      </c>
      <c r="Q352" s="51" t="str">
        <f t="shared" si="353"/>
        <v/>
      </c>
      <c r="R352" s="51" t="str">
        <f t="shared" si="353"/>
        <v/>
      </c>
      <c r="S352" s="51" t="str">
        <f t="shared" si="353"/>
        <v/>
      </c>
      <c r="T352" s="51" t="str">
        <f t="shared" si="353"/>
        <v/>
      </c>
      <c r="U352" s="52"/>
      <c r="V352" s="52" t="str">
        <f>IFERROR(__xludf.DUMMYFUNCTION("""COMPUTED_VALUE"""),"")</f>
        <v/>
      </c>
      <c r="W352" s="52" t="str">
        <f>IFERROR(__xludf.DUMMYFUNCTION("""COMPUTED_VALUE"""),"")</f>
        <v/>
      </c>
      <c r="X352" s="52" t="str">
        <f>IFERROR(__xludf.DUMMYFUNCTION("""COMPUTED_VALUE"""),"")</f>
        <v/>
      </c>
      <c r="Y352" s="52" t="str">
        <f>IFERROR(__xludf.DUMMYFUNCTION("""COMPUTED_VALUE"""),"")</f>
        <v/>
      </c>
      <c r="Z352" s="52" t="str">
        <f>IFERROR(__xludf.DUMMYFUNCTION("""COMPUTED_VALUE"""),"")</f>
        <v/>
      </c>
      <c r="AA352" s="52" t="str">
        <f>IFERROR(__xludf.DUMMYFUNCTION("""COMPUTED_VALUE"""),"")</f>
        <v/>
      </c>
      <c r="AB352" s="52" t="str">
        <f>IFERROR(__xludf.DUMMYFUNCTION("""COMPUTED_VALUE"""),"")</f>
        <v/>
      </c>
      <c r="AC352" s="52" t="str">
        <f>IFERROR(__xludf.DUMMYFUNCTION("""COMPUTED_VALUE"""),"")</f>
        <v/>
      </c>
      <c r="AD352" s="52" t="str">
        <f>IFERROR(__xludf.DUMMYFUNCTION("""COMPUTED_VALUE"""),"")</f>
        <v/>
      </c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</row>
    <row r="353">
      <c r="B353" s="49"/>
      <c r="C353" s="49" t="str">
        <f t="shared" si="2"/>
        <v/>
      </c>
      <c r="D353" s="50" t="str">
        <f t="shared" si="3"/>
        <v/>
      </c>
      <c r="E353" s="51" t="str">
        <f t="shared" ref="E353:T353" si="354">IFERROR(VLOOKUP($A353,INDIRECT("'" &amp; E$1 &amp; "'!$C:$G"), 5, FALSE),"")</f>
        <v/>
      </c>
      <c r="F353" s="51" t="str">
        <f t="shared" si="354"/>
        <v/>
      </c>
      <c r="G353" s="51" t="str">
        <f t="shared" si="354"/>
        <v/>
      </c>
      <c r="H353" s="51" t="str">
        <f t="shared" si="354"/>
        <v/>
      </c>
      <c r="I353" s="51" t="str">
        <f t="shared" si="354"/>
        <v/>
      </c>
      <c r="J353" s="51" t="str">
        <f t="shared" si="354"/>
        <v/>
      </c>
      <c r="K353" s="51" t="str">
        <f t="shared" si="354"/>
        <v/>
      </c>
      <c r="L353" s="51" t="str">
        <f t="shared" si="354"/>
        <v/>
      </c>
      <c r="M353" s="51" t="str">
        <f t="shared" si="354"/>
        <v/>
      </c>
      <c r="N353" s="51" t="str">
        <f t="shared" si="354"/>
        <v/>
      </c>
      <c r="O353" s="51" t="str">
        <f t="shared" si="354"/>
        <v/>
      </c>
      <c r="P353" s="51" t="str">
        <f t="shared" si="354"/>
        <v/>
      </c>
      <c r="Q353" s="51" t="str">
        <f t="shared" si="354"/>
        <v/>
      </c>
      <c r="R353" s="51" t="str">
        <f t="shared" si="354"/>
        <v/>
      </c>
      <c r="S353" s="51" t="str">
        <f t="shared" si="354"/>
        <v/>
      </c>
      <c r="T353" s="51" t="str">
        <f t="shared" si="354"/>
        <v/>
      </c>
      <c r="U353" s="52"/>
      <c r="V353" s="52" t="str">
        <f>IFERROR(__xludf.DUMMYFUNCTION("""COMPUTED_VALUE"""),"")</f>
        <v/>
      </c>
      <c r="W353" s="52" t="str">
        <f>IFERROR(__xludf.DUMMYFUNCTION("""COMPUTED_VALUE"""),"")</f>
        <v/>
      </c>
      <c r="X353" s="52" t="str">
        <f>IFERROR(__xludf.DUMMYFUNCTION("""COMPUTED_VALUE"""),"")</f>
        <v/>
      </c>
      <c r="Y353" s="52" t="str">
        <f>IFERROR(__xludf.DUMMYFUNCTION("""COMPUTED_VALUE"""),"")</f>
        <v/>
      </c>
      <c r="Z353" s="52" t="str">
        <f>IFERROR(__xludf.DUMMYFUNCTION("""COMPUTED_VALUE"""),"")</f>
        <v/>
      </c>
      <c r="AA353" s="52" t="str">
        <f>IFERROR(__xludf.DUMMYFUNCTION("""COMPUTED_VALUE"""),"")</f>
        <v/>
      </c>
      <c r="AB353" s="52" t="str">
        <f>IFERROR(__xludf.DUMMYFUNCTION("""COMPUTED_VALUE"""),"")</f>
        <v/>
      </c>
      <c r="AC353" s="52" t="str">
        <f>IFERROR(__xludf.DUMMYFUNCTION("""COMPUTED_VALUE"""),"")</f>
        <v/>
      </c>
      <c r="AD353" s="52" t="str">
        <f>IFERROR(__xludf.DUMMYFUNCTION("""COMPUTED_VALUE"""),"")</f>
        <v/>
      </c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</row>
    <row r="354">
      <c r="B354" s="49"/>
      <c r="C354" s="49" t="str">
        <f t="shared" si="2"/>
        <v/>
      </c>
      <c r="D354" s="50" t="str">
        <f t="shared" si="3"/>
        <v/>
      </c>
      <c r="E354" s="51" t="str">
        <f t="shared" ref="E354:T354" si="355">IFERROR(VLOOKUP($A354,INDIRECT("'" &amp; E$1 &amp; "'!$C:$G"), 5, FALSE),"")</f>
        <v/>
      </c>
      <c r="F354" s="51" t="str">
        <f t="shared" si="355"/>
        <v/>
      </c>
      <c r="G354" s="51" t="str">
        <f t="shared" si="355"/>
        <v/>
      </c>
      <c r="H354" s="51" t="str">
        <f t="shared" si="355"/>
        <v/>
      </c>
      <c r="I354" s="51" t="str">
        <f t="shared" si="355"/>
        <v/>
      </c>
      <c r="J354" s="51" t="str">
        <f t="shared" si="355"/>
        <v/>
      </c>
      <c r="K354" s="51" t="str">
        <f t="shared" si="355"/>
        <v/>
      </c>
      <c r="L354" s="51" t="str">
        <f t="shared" si="355"/>
        <v/>
      </c>
      <c r="M354" s="51" t="str">
        <f t="shared" si="355"/>
        <v/>
      </c>
      <c r="N354" s="51" t="str">
        <f t="shared" si="355"/>
        <v/>
      </c>
      <c r="O354" s="51" t="str">
        <f t="shared" si="355"/>
        <v/>
      </c>
      <c r="P354" s="51" t="str">
        <f t="shared" si="355"/>
        <v/>
      </c>
      <c r="Q354" s="51" t="str">
        <f t="shared" si="355"/>
        <v/>
      </c>
      <c r="R354" s="51" t="str">
        <f t="shared" si="355"/>
        <v/>
      </c>
      <c r="S354" s="51" t="str">
        <f t="shared" si="355"/>
        <v/>
      </c>
      <c r="T354" s="51" t="str">
        <f t="shared" si="355"/>
        <v/>
      </c>
      <c r="U354" s="52"/>
      <c r="V354" s="52" t="str">
        <f>IFERROR(__xludf.DUMMYFUNCTION("""COMPUTED_VALUE"""),"")</f>
        <v/>
      </c>
      <c r="W354" s="52" t="str">
        <f>IFERROR(__xludf.DUMMYFUNCTION("""COMPUTED_VALUE"""),"")</f>
        <v/>
      </c>
      <c r="X354" s="52" t="str">
        <f>IFERROR(__xludf.DUMMYFUNCTION("""COMPUTED_VALUE"""),"")</f>
        <v/>
      </c>
      <c r="Y354" s="52" t="str">
        <f>IFERROR(__xludf.DUMMYFUNCTION("""COMPUTED_VALUE"""),"")</f>
        <v/>
      </c>
      <c r="Z354" s="52" t="str">
        <f>IFERROR(__xludf.DUMMYFUNCTION("""COMPUTED_VALUE"""),"")</f>
        <v/>
      </c>
      <c r="AA354" s="52" t="str">
        <f>IFERROR(__xludf.DUMMYFUNCTION("""COMPUTED_VALUE"""),"")</f>
        <v/>
      </c>
      <c r="AB354" s="52" t="str">
        <f>IFERROR(__xludf.DUMMYFUNCTION("""COMPUTED_VALUE"""),"")</f>
        <v/>
      </c>
      <c r="AC354" s="52" t="str">
        <f>IFERROR(__xludf.DUMMYFUNCTION("""COMPUTED_VALUE"""),"")</f>
        <v/>
      </c>
      <c r="AD354" s="52" t="str">
        <f>IFERROR(__xludf.DUMMYFUNCTION("""COMPUTED_VALUE"""),"")</f>
        <v/>
      </c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</row>
    <row r="355">
      <c r="B355" s="49"/>
      <c r="C355" s="49" t="str">
        <f t="shared" si="2"/>
        <v/>
      </c>
      <c r="D355" s="50" t="str">
        <f t="shared" si="3"/>
        <v/>
      </c>
      <c r="E355" s="51" t="str">
        <f t="shared" ref="E355:T355" si="356">IFERROR(VLOOKUP($A355,INDIRECT("'" &amp; E$1 &amp; "'!$C:$G"), 5, FALSE),"")</f>
        <v/>
      </c>
      <c r="F355" s="51" t="str">
        <f t="shared" si="356"/>
        <v/>
      </c>
      <c r="G355" s="51" t="str">
        <f t="shared" si="356"/>
        <v/>
      </c>
      <c r="H355" s="51" t="str">
        <f t="shared" si="356"/>
        <v/>
      </c>
      <c r="I355" s="51" t="str">
        <f t="shared" si="356"/>
        <v/>
      </c>
      <c r="J355" s="51" t="str">
        <f t="shared" si="356"/>
        <v/>
      </c>
      <c r="K355" s="51" t="str">
        <f t="shared" si="356"/>
        <v/>
      </c>
      <c r="L355" s="51" t="str">
        <f t="shared" si="356"/>
        <v/>
      </c>
      <c r="M355" s="51" t="str">
        <f t="shared" si="356"/>
        <v/>
      </c>
      <c r="N355" s="51" t="str">
        <f t="shared" si="356"/>
        <v/>
      </c>
      <c r="O355" s="51" t="str">
        <f t="shared" si="356"/>
        <v/>
      </c>
      <c r="P355" s="51" t="str">
        <f t="shared" si="356"/>
        <v/>
      </c>
      <c r="Q355" s="51" t="str">
        <f t="shared" si="356"/>
        <v/>
      </c>
      <c r="R355" s="51" t="str">
        <f t="shared" si="356"/>
        <v/>
      </c>
      <c r="S355" s="51" t="str">
        <f t="shared" si="356"/>
        <v/>
      </c>
      <c r="T355" s="51" t="str">
        <f t="shared" si="356"/>
        <v/>
      </c>
      <c r="U355" s="52"/>
      <c r="V355" s="52" t="str">
        <f>IFERROR(__xludf.DUMMYFUNCTION("""COMPUTED_VALUE"""),"")</f>
        <v/>
      </c>
      <c r="W355" s="52" t="str">
        <f>IFERROR(__xludf.DUMMYFUNCTION("""COMPUTED_VALUE"""),"")</f>
        <v/>
      </c>
      <c r="X355" s="52" t="str">
        <f>IFERROR(__xludf.DUMMYFUNCTION("""COMPUTED_VALUE"""),"")</f>
        <v/>
      </c>
      <c r="Y355" s="52" t="str">
        <f>IFERROR(__xludf.DUMMYFUNCTION("""COMPUTED_VALUE"""),"")</f>
        <v/>
      </c>
      <c r="Z355" s="52" t="str">
        <f>IFERROR(__xludf.DUMMYFUNCTION("""COMPUTED_VALUE"""),"")</f>
        <v/>
      </c>
      <c r="AA355" s="52" t="str">
        <f>IFERROR(__xludf.DUMMYFUNCTION("""COMPUTED_VALUE"""),"")</f>
        <v/>
      </c>
      <c r="AB355" s="52" t="str">
        <f>IFERROR(__xludf.DUMMYFUNCTION("""COMPUTED_VALUE"""),"")</f>
        <v/>
      </c>
      <c r="AC355" s="52" t="str">
        <f>IFERROR(__xludf.DUMMYFUNCTION("""COMPUTED_VALUE"""),"")</f>
        <v/>
      </c>
      <c r="AD355" s="52" t="str">
        <f>IFERROR(__xludf.DUMMYFUNCTION("""COMPUTED_VALUE"""),"")</f>
        <v/>
      </c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</row>
    <row r="356">
      <c r="B356" s="49"/>
      <c r="C356" s="49" t="str">
        <f t="shared" si="2"/>
        <v/>
      </c>
      <c r="D356" s="50" t="str">
        <f t="shared" si="3"/>
        <v/>
      </c>
      <c r="E356" s="51" t="str">
        <f t="shared" ref="E356:T356" si="357">IFERROR(VLOOKUP($A356,INDIRECT("'" &amp; E$1 &amp; "'!$C:$G"), 5, FALSE),"")</f>
        <v/>
      </c>
      <c r="F356" s="51" t="str">
        <f t="shared" si="357"/>
        <v/>
      </c>
      <c r="G356" s="51" t="str">
        <f t="shared" si="357"/>
        <v/>
      </c>
      <c r="H356" s="51" t="str">
        <f t="shared" si="357"/>
        <v/>
      </c>
      <c r="I356" s="51" t="str">
        <f t="shared" si="357"/>
        <v/>
      </c>
      <c r="J356" s="51" t="str">
        <f t="shared" si="357"/>
        <v/>
      </c>
      <c r="K356" s="51" t="str">
        <f t="shared" si="357"/>
        <v/>
      </c>
      <c r="L356" s="51" t="str">
        <f t="shared" si="357"/>
        <v/>
      </c>
      <c r="M356" s="51" t="str">
        <f t="shared" si="357"/>
        <v/>
      </c>
      <c r="N356" s="51" t="str">
        <f t="shared" si="357"/>
        <v/>
      </c>
      <c r="O356" s="51" t="str">
        <f t="shared" si="357"/>
        <v/>
      </c>
      <c r="P356" s="51" t="str">
        <f t="shared" si="357"/>
        <v/>
      </c>
      <c r="Q356" s="51" t="str">
        <f t="shared" si="357"/>
        <v/>
      </c>
      <c r="R356" s="51" t="str">
        <f t="shared" si="357"/>
        <v/>
      </c>
      <c r="S356" s="51" t="str">
        <f t="shared" si="357"/>
        <v/>
      </c>
      <c r="T356" s="51" t="str">
        <f t="shared" si="357"/>
        <v/>
      </c>
      <c r="U356" s="52"/>
      <c r="V356" s="52" t="str">
        <f>IFERROR(__xludf.DUMMYFUNCTION("""COMPUTED_VALUE"""),"")</f>
        <v/>
      </c>
      <c r="W356" s="52" t="str">
        <f>IFERROR(__xludf.DUMMYFUNCTION("""COMPUTED_VALUE"""),"")</f>
        <v/>
      </c>
      <c r="X356" s="52" t="str">
        <f>IFERROR(__xludf.DUMMYFUNCTION("""COMPUTED_VALUE"""),"")</f>
        <v/>
      </c>
      <c r="Y356" s="52" t="str">
        <f>IFERROR(__xludf.DUMMYFUNCTION("""COMPUTED_VALUE"""),"")</f>
        <v/>
      </c>
      <c r="Z356" s="52" t="str">
        <f>IFERROR(__xludf.DUMMYFUNCTION("""COMPUTED_VALUE"""),"")</f>
        <v/>
      </c>
      <c r="AA356" s="52" t="str">
        <f>IFERROR(__xludf.DUMMYFUNCTION("""COMPUTED_VALUE"""),"")</f>
        <v/>
      </c>
      <c r="AB356" s="52" t="str">
        <f>IFERROR(__xludf.DUMMYFUNCTION("""COMPUTED_VALUE"""),"")</f>
        <v/>
      </c>
      <c r="AC356" s="52" t="str">
        <f>IFERROR(__xludf.DUMMYFUNCTION("""COMPUTED_VALUE"""),"")</f>
        <v/>
      </c>
      <c r="AD356" s="52" t="str">
        <f>IFERROR(__xludf.DUMMYFUNCTION("""COMPUTED_VALUE"""),"")</f>
        <v/>
      </c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</row>
    <row r="357">
      <c r="B357" s="49"/>
      <c r="C357" s="49" t="str">
        <f t="shared" si="2"/>
        <v/>
      </c>
      <c r="D357" s="50" t="str">
        <f t="shared" si="3"/>
        <v/>
      </c>
      <c r="E357" s="51" t="str">
        <f t="shared" ref="E357:T357" si="358">IFERROR(VLOOKUP($A357,INDIRECT("'" &amp; E$1 &amp; "'!$C:$G"), 5, FALSE),"")</f>
        <v/>
      </c>
      <c r="F357" s="51" t="str">
        <f t="shared" si="358"/>
        <v/>
      </c>
      <c r="G357" s="51" t="str">
        <f t="shared" si="358"/>
        <v/>
      </c>
      <c r="H357" s="51" t="str">
        <f t="shared" si="358"/>
        <v/>
      </c>
      <c r="I357" s="51" t="str">
        <f t="shared" si="358"/>
        <v/>
      </c>
      <c r="J357" s="51" t="str">
        <f t="shared" si="358"/>
        <v/>
      </c>
      <c r="K357" s="51" t="str">
        <f t="shared" si="358"/>
        <v/>
      </c>
      <c r="L357" s="51" t="str">
        <f t="shared" si="358"/>
        <v/>
      </c>
      <c r="M357" s="51" t="str">
        <f t="shared" si="358"/>
        <v/>
      </c>
      <c r="N357" s="51" t="str">
        <f t="shared" si="358"/>
        <v/>
      </c>
      <c r="O357" s="51" t="str">
        <f t="shared" si="358"/>
        <v/>
      </c>
      <c r="P357" s="51" t="str">
        <f t="shared" si="358"/>
        <v/>
      </c>
      <c r="Q357" s="51" t="str">
        <f t="shared" si="358"/>
        <v/>
      </c>
      <c r="R357" s="51" t="str">
        <f t="shared" si="358"/>
        <v/>
      </c>
      <c r="S357" s="51" t="str">
        <f t="shared" si="358"/>
        <v/>
      </c>
      <c r="T357" s="51" t="str">
        <f t="shared" si="358"/>
        <v/>
      </c>
      <c r="U357" s="52"/>
      <c r="V357" s="52" t="str">
        <f>IFERROR(__xludf.DUMMYFUNCTION("""COMPUTED_VALUE"""),"")</f>
        <v/>
      </c>
      <c r="W357" s="52" t="str">
        <f>IFERROR(__xludf.DUMMYFUNCTION("""COMPUTED_VALUE"""),"")</f>
        <v/>
      </c>
      <c r="X357" s="52" t="str">
        <f>IFERROR(__xludf.DUMMYFUNCTION("""COMPUTED_VALUE"""),"")</f>
        <v/>
      </c>
      <c r="Y357" s="52" t="str">
        <f>IFERROR(__xludf.DUMMYFUNCTION("""COMPUTED_VALUE"""),"")</f>
        <v/>
      </c>
      <c r="Z357" s="52" t="str">
        <f>IFERROR(__xludf.DUMMYFUNCTION("""COMPUTED_VALUE"""),"")</f>
        <v/>
      </c>
      <c r="AA357" s="52" t="str">
        <f>IFERROR(__xludf.DUMMYFUNCTION("""COMPUTED_VALUE"""),"")</f>
        <v/>
      </c>
      <c r="AB357" s="52" t="str">
        <f>IFERROR(__xludf.DUMMYFUNCTION("""COMPUTED_VALUE"""),"")</f>
        <v/>
      </c>
      <c r="AC357" s="52" t="str">
        <f>IFERROR(__xludf.DUMMYFUNCTION("""COMPUTED_VALUE"""),"")</f>
        <v/>
      </c>
      <c r="AD357" s="52" t="str">
        <f>IFERROR(__xludf.DUMMYFUNCTION("""COMPUTED_VALUE"""),"")</f>
        <v/>
      </c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</row>
    <row r="358">
      <c r="B358" s="49"/>
      <c r="C358" s="49" t="str">
        <f t="shared" si="2"/>
        <v/>
      </c>
      <c r="D358" s="50" t="str">
        <f t="shared" si="3"/>
        <v/>
      </c>
      <c r="E358" s="51" t="str">
        <f t="shared" ref="E358:T358" si="359">IFERROR(VLOOKUP($A358,INDIRECT("'" &amp; E$1 &amp; "'!$C:$G"), 5, FALSE),"")</f>
        <v/>
      </c>
      <c r="F358" s="51" t="str">
        <f t="shared" si="359"/>
        <v/>
      </c>
      <c r="G358" s="51" t="str">
        <f t="shared" si="359"/>
        <v/>
      </c>
      <c r="H358" s="51" t="str">
        <f t="shared" si="359"/>
        <v/>
      </c>
      <c r="I358" s="51" t="str">
        <f t="shared" si="359"/>
        <v/>
      </c>
      <c r="J358" s="51" t="str">
        <f t="shared" si="359"/>
        <v/>
      </c>
      <c r="K358" s="51" t="str">
        <f t="shared" si="359"/>
        <v/>
      </c>
      <c r="L358" s="51" t="str">
        <f t="shared" si="359"/>
        <v/>
      </c>
      <c r="M358" s="51" t="str">
        <f t="shared" si="359"/>
        <v/>
      </c>
      <c r="N358" s="51" t="str">
        <f t="shared" si="359"/>
        <v/>
      </c>
      <c r="O358" s="51" t="str">
        <f t="shared" si="359"/>
        <v/>
      </c>
      <c r="P358" s="51" t="str">
        <f t="shared" si="359"/>
        <v/>
      </c>
      <c r="Q358" s="51" t="str">
        <f t="shared" si="359"/>
        <v/>
      </c>
      <c r="R358" s="51" t="str">
        <f t="shared" si="359"/>
        <v/>
      </c>
      <c r="S358" s="51" t="str">
        <f t="shared" si="359"/>
        <v/>
      </c>
      <c r="T358" s="51" t="str">
        <f t="shared" si="359"/>
        <v/>
      </c>
      <c r="U358" s="52"/>
      <c r="V358" s="52" t="str">
        <f>IFERROR(__xludf.DUMMYFUNCTION("""COMPUTED_VALUE"""),"")</f>
        <v/>
      </c>
      <c r="W358" s="52" t="str">
        <f>IFERROR(__xludf.DUMMYFUNCTION("""COMPUTED_VALUE"""),"")</f>
        <v/>
      </c>
      <c r="X358" s="52" t="str">
        <f>IFERROR(__xludf.DUMMYFUNCTION("""COMPUTED_VALUE"""),"")</f>
        <v/>
      </c>
      <c r="Y358" s="52" t="str">
        <f>IFERROR(__xludf.DUMMYFUNCTION("""COMPUTED_VALUE"""),"")</f>
        <v/>
      </c>
      <c r="Z358" s="52" t="str">
        <f>IFERROR(__xludf.DUMMYFUNCTION("""COMPUTED_VALUE"""),"")</f>
        <v/>
      </c>
      <c r="AA358" s="52" t="str">
        <f>IFERROR(__xludf.DUMMYFUNCTION("""COMPUTED_VALUE"""),"")</f>
        <v/>
      </c>
      <c r="AB358" s="52" t="str">
        <f>IFERROR(__xludf.DUMMYFUNCTION("""COMPUTED_VALUE"""),"")</f>
        <v/>
      </c>
      <c r="AC358" s="52" t="str">
        <f>IFERROR(__xludf.DUMMYFUNCTION("""COMPUTED_VALUE"""),"")</f>
        <v/>
      </c>
      <c r="AD358" s="52" t="str">
        <f>IFERROR(__xludf.DUMMYFUNCTION("""COMPUTED_VALUE"""),"")</f>
        <v/>
      </c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</row>
    <row r="359">
      <c r="B359" s="49"/>
      <c r="C359" s="49" t="str">
        <f t="shared" si="2"/>
        <v/>
      </c>
      <c r="D359" s="50" t="str">
        <f t="shared" si="3"/>
        <v/>
      </c>
      <c r="E359" s="51" t="str">
        <f t="shared" ref="E359:T359" si="360">IFERROR(VLOOKUP($A359,INDIRECT("'" &amp; E$1 &amp; "'!$C:$G"), 5, FALSE),"")</f>
        <v/>
      </c>
      <c r="F359" s="51" t="str">
        <f t="shared" si="360"/>
        <v/>
      </c>
      <c r="G359" s="51" t="str">
        <f t="shared" si="360"/>
        <v/>
      </c>
      <c r="H359" s="51" t="str">
        <f t="shared" si="360"/>
        <v/>
      </c>
      <c r="I359" s="51" t="str">
        <f t="shared" si="360"/>
        <v/>
      </c>
      <c r="J359" s="51" t="str">
        <f t="shared" si="360"/>
        <v/>
      </c>
      <c r="K359" s="51" t="str">
        <f t="shared" si="360"/>
        <v/>
      </c>
      <c r="L359" s="51" t="str">
        <f t="shared" si="360"/>
        <v/>
      </c>
      <c r="M359" s="51" t="str">
        <f t="shared" si="360"/>
        <v/>
      </c>
      <c r="N359" s="51" t="str">
        <f t="shared" si="360"/>
        <v/>
      </c>
      <c r="O359" s="51" t="str">
        <f t="shared" si="360"/>
        <v/>
      </c>
      <c r="P359" s="51" t="str">
        <f t="shared" si="360"/>
        <v/>
      </c>
      <c r="Q359" s="51" t="str">
        <f t="shared" si="360"/>
        <v/>
      </c>
      <c r="R359" s="51" t="str">
        <f t="shared" si="360"/>
        <v/>
      </c>
      <c r="S359" s="51" t="str">
        <f t="shared" si="360"/>
        <v/>
      </c>
      <c r="T359" s="51" t="str">
        <f t="shared" si="360"/>
        <v/>
      </c>
      <c r="U359" s="52"/>
      <c r="V359" s="52" t="str">
        <f>IFERROR(__xludf.DUMMYFUNCTION("""COMPUTED_VALUE"""),"")</f>
        <v/>
      </c>
      <c r="W359" s="52" t="str">
        <f>IFERROR(__xludf.DUMMYFUNCTION("""COMPUTED_VALUE"""),"")</f>
        <v/>
      </c>
      <c r="X359" s="52" t="str">
        <f>IFERROR(__xludf.DUMMYFUNCTION("""COMPUTED_VALUE"""),"")</f>
        <v/>
      </c>
      <c r="Y359" s="52" t="str">
        <f>IFERROR(__xludf.DUMMYFUNCTION("""COMPUTED_VALUE"""),"")</f>
        <v/>
      </c>
      <c r="Z359" s="52" t="str">
        <f>IFERROR(__xludf.DUMMYFUNCTION("""COMPUTED_VALUE"""),"")</f>
        <v/>
      </c>
      <c r="AA359" s="52" t="str">
        <f>IFERROR(__xludf.DUMMYFUNCTION("""COMPUTED_VALUE"""),"")</f>
        <v/>
      </c>
      <c r="AB359" s="52" t="str">
        <f>IFERROR(__xludf.DUMMYFUNCTION("""COMPUTED_VALUE"""),"")</f>
        <v/>
      </c>
      <c r="AC359" s="52" t="str">
        <f>IFERROR(__xludf.DUMMYFUNCTION("""COMPUTED_VALUE"""),"")</f>
        <v/>
      </c>
      <c r="AD359" s="52" t="str">
        <f>IFERROR(__xludf.DUMMYFUNCTION("""COMPUTED_VALUE"""),"")</f>
        <v/>
      </c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</row>
    <row r="360">
      <c r="B360" s="49"/>
      <c r="C360" s="49" t="str">
        <f t="shared" si="2"/>
        <v/>
      </c>
      <c r="D360" s="50" t="str">
        <f t="shared" si="3"/>
        <v/>
      </c>
      <c r="E360" s="51" t="str">
        <f t="shared" ref="E360:T360" si="361">IFERROR(VLOOKUP($A360,INDIRECT("'" &amp; E$1 &amp; "'!$C:$G"), 5, FALSE),"")</f>
        <v/>
      </c>
      <c r="F360" s="51" t="str">
        <f t="shared" si="361"/>
        <v/>
      </c>
      <c r="G360" s="51" t="str">
        <f t="shared" si="361"/>
        <v/>
      </c>
      <c r="H360" s="51" t="str">
        <f t="shared" si="361"/>
        <v/>
      </c>
      <c r="I360" s="51" t="str">
        <f t="shared" si="361"/>
        <v/>
      </c>
      <c r="J360" s="51" t="str">
        <f t="shared" si="361"/>
        <v/>
      </c>
      <c r="K360" s="51" t="str">
        <f t="shared" si="361"/>
        <v/>
      </c>
      <c r="L360" s="51" t="str">
        <f t="shared" si="361"/>
        <v/>
      </c>
      <c r="M360" s="51" t="str">
        <f t="shared" si="361"/>
        <v/>
      </c>
      <c r="N360" s="51" t="str">
        <f t="shared" si="361"/>
        <v/>
      </c>
      <c r="O360" s="51" t="str">
        <f t="shared" si="361"/>
        <v/>
      </c>
      <c r="P360" s="51" t="str">
        <f t="shared" si="361"/>
        <v/>
      </c>
      <c r="Q360" s="51" t="str">
        <f t="shared" si="361"/>
        <v/>
      </c>
      <c r="R360" s="51" t="str">
        <f t="shared" si="361"/>
        <v/>
      </c>
      <c r="S360" s="51" t="str">
        <f t="shared" si="361"/>
        <v/>
      </c>
      <c r="T360" s="51" t="str">
        <f t="shared" si="361"/>
        <v/>
      </c>
      <c r="U360" s="52"/>
      <c r="V360" s="52" t="str">
        <f>IFERROR(__xludf.DUMMYFUNCTION("""COMPUTED_VALUE"""),"")</f>
        <v/>
      </c>
      <c r="W360" s="52" t="str">
        <f>IFERROR(__xludf.DUMMYFUNCTION("""COMPUTED_VALUE"""),"")</f>
        <v/>
      </c>
      <c r="X360" s="52" t="str">
        <f>IFERROR(__xludf.DUMMYFUNCTION("""COMPUTED_VALUE"""),"")</f>
        <v/>
      </c>
      <c r="Y360" s="52" t="str">
        <f>IFERROR(__xludf.DUMMYFUNCTION("""COMPUTED_VALUE"""),"")</f>
        <v/>
      </c>
      <c r="Z360" s="52" t="str">
        <f>IFERROR(__xludf.DUMMYFUNCTION("""COMPUTED_VALUE"""),"")</f>
        <v/>
      </c>
      <c r="AA360" s="52" t="str">
        <f>IFERROR(__xludf.DUMMYFUNCTION("""COMPUTED_VALUE"""),"")</f>
        <v/>
      </c>
      <c r="AB360" s="52" t="str">
        <f>IFERROR(__xludf.DUMMYFUNCTION("""COMPUTED_VALUE"""),"")</f>
        <v/>
      </c>
      <c r="AC360" s="52" t="str">
        <f>IFERROR(__xludf.DUMMYFUNCTION("""COMPUTED_VALUE"""),"")</f>
        <v/>
      </c>
      <c r="AD360" s="52" t="str">
        <f>IFERROR(__xludf.DUMMYFUNCTION("""COMPUTED_VALUE"""),"")</f>
        <v/>
      </c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</row>
    <row r="361">
      <c r="B361" s="49"/>
      <c r="C361" s="49" t="str">
        <f t="shared" si="2"/>
        <v/>
      </c>
      <c r="D361" s="50" t="str">
        <f t="shared" si="3"/>
        <v/>
      </c>
      <c r="E361" s="51" t="str">
        <f t="shared" ref="E361:T361" si="362">IFERROR(VLOOKUP($A361,INDIRECT("'" &amp; E$1 &amp; "'!$C:$G"), 5, FALSE),"")</f>
        <v/>
      </c>
      <c r="F361" s="51" t="str">
        <f t="shared" si="362"/>
        <v/>
      </c>
      <c r="G361" s="51" t="str">
        <f t="shared" si="362"/>
        <v/>
      </c>
      <c r="H361" s="51" t="str">
        <f t="shared" si="362"/>
        <v/>
      </c>
      <c r="I361" s="51" t="str">
        <f t="shared" si="362"/>
        <v/>
      </c>
      <c r="J361" s="51" t="str">
        <f t="shared" si="362"/>
        <v/>
      </c>
      <c r="K361" s="51" t="str">
        <f t="shared" si="362"/>
        <v/>
      </c>
      <c r="L361" s="51" t="str">
        <f t="shared" si="362"/>
        <v/>
      </c>
      <c r="M361" s="51" t="str">
        <f t="shared" si="362"/>
        <v/>
      </c>
      <c r="N361" s="51" t="str">
        <f t="shared" si="362"/>
        <v/>
      </c>
      <c r="O361" s="51" t="str">
        <f t="shared" si="362"/>
        <v/>
      </c>
      <c r="P361" s="51" t="str">
        <f t="shared" si="362"/>
        <v/>
      </c>
      <c r="Q361" s="51" t="str">
        <f t="shared" si="362"/>
        <v/>
      </c>
      <c r="R361" s="51" t="str">
        <f t="shared" si="362"/>
        <v/>
      </c>
      <c r="S361" s="51" t="str">
        <f t="shared" si="362"/>
        <v/>
      </c>
      <c r="T361" s="51" t="str">
        <f t="shared" si="362"/>
        <v/>
      </c>
      <c r="U361" s="52"/>
      <c r="V361" s="52" t="str">
        <f>IFERROR(__xludf.DUMMYFUNCTION("""COMPUTED_VALUE"""),"")</f>
        <v/>
      </c>
      <c r="W361" s="52" t="str">
        <f>IFERROR(__xludf.DUMMYFUNCTION("""COMPUTED_VALUE"""),"")</f>
        <v/>
      </c>
      <c r="X361" s="52" t="str">
        <f>IFERROR(__xludf.DUMMYFUNCTION("""COMPUTED_VALUE"""),"")</f>
        <v/>
      </c>
      <c r="Y361" s="52" t="str">
        <f>IFERROR(__xludf.DUMMYFUNCTION("""COMPUTED_VALUE"""),"")</f>
        <v/>
      </c>
      <c r="Z361" s="52" t="str">
        <f>IFERROR(__xludf.DUMMYFUNCTION("""COMPUTED_VALUE"""),"")</f>
        <v/>
      </c>
      <c r="AA361" s="52" t="str">
        <f>IFERROR(__xludf.DUMMYFUNCTION("""COMPUTED_VALUE"""),"")</f>
        <v/>
      </c>
      <c r="AB361" s="52" t="str">
        <f>IFERROR(__xludf.DUMMYFUNCTION("""COMPUTED_VALUE"""),"")</f>
        <v/>
      </c>
      <c r="AC361" s="52" t="str">
        <f>IFERROR(__xludf.DUMMYFUNCTION("""COMPUTED_VALUE"""),"")</f>
        <v/>
      </c>
      <c r="AD361" s="52" t="str">
        <f>IFERROR(__xludf.DUMMYFUNCTION("""COMPUTED_VALUE"""),"")</f>
        <v/>
      </c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</row>
    <row r="362">
      <c r="B362" s="49"/>
      <c r="C362" s="49" t="str">
        <f t="shared" si="2"/>
        <v/>
      </c>
      <c r="D362" s="50" t="str">
        <f t="shared" si="3"/>
        <v/>
      </c>
      <c r="E362" s="51" t="str">
        <f t="shared" ref="E362:T362" si="363">IFERROR(VLOOKUP($A362,INDIRECT("'" &amp; E$1 &amp; "'!$C:$G"), 5, FALSE),"")</f>
        <v/>
      </c>
      <c r="F362" s="51" t="str">
        <f t="shared" si="363"/>
        <v/>
      </c>
      <c r="G362" s="51" t="str">
        <f t="shared" si="363"/>
        <v/>
      </c>
      <c r="H362" s="51" t="str">
        <f t="shared" si="363"/>
        <v/>
      </c>
      <c r="I362" s="51" t="str">
        <f t="shared" si="363"/>
        <v/>
      </c>
      <c r="J362" s="51" t="str">
        <f t="shared" si="363"/>
        <v/>
      </c>
      <c r="K362" s="51" t="str">
        <f t="shared" si="363"/>
        <v/>
      </c>
      <c r="L362" s="51" t="str">
        <f t="shared" si="363"/>
        <v/>
      </c>
      <c r="M362" s="51" t="str">
        <f t="shared" si="363"/>
        <v/>
      </c>
      <c r="N362" s="51" t="str">
        <f t="shared" si="363"/>
        <v/>
      </c>
      <c r="O362" s="51" t="str">
        <f t="shared" si="363"/>
        <v/>
      </c>
      <c r="P362" s="51" t="str">
        <f t="shared" si="363"/>
        <v/>
      </c>
      <c r="Q362" s="51" t="str">
        <f t="shared" si="363"/>
        <v/>
      </c>
      <c r="R362" s="51" t="str">
        <f t="shared" si="363"/>
        <v/>
      </c>
      <c r="S362" s="51" t="str">
        <f t="shared" si="363"/>
        <v/>
      </c>
      <c r="T362" s="51" t="str">
        <f t="shared" si="363"/>
        <v/>
      </c>
      <c r="U362" s="52"/>
      <c r="V362" s="52" t="str">
        <f>IFERROR(__xludf.DUMMYFUNCTION("""COMPUTED_VALUE"""),"")</f>
        <v/>
      </c>
      <c r="W362" s="52" t="str">
        <f>IFERROR(__xludf.DUMMYFUNCTION("""COMPUTED_VALUE"""),"")</f>
        <v/>
      </c>
      <c r="X362" s="52" t="str">
        <f>IFERROR(__xludf.DUMMYFUNCTION("""COMPUTED_VALUE"""),"")</f>
        <v/>
      </c>
      <c r="Y362" s="52" t="str">
        <f>IFERROR(__xludf.DUMMYFUNCTION("""COMPUTED_VALUE"""),"")</f>
        <v/>
      </c>
      <c r="Z362" s="52" t="str">
        <f>IFERROR(__xludf.DUMMYFUNCTION("""COMPUTED_VALUE"""),"")</f>
        <v/>
      </c>
      <c r="AA362" s="52" t="str">
        <f>IFERROR(__xludf.DUMMYFUNCTION("""COMPUTED_VALUE"""),"")</f>
        <v/>
      </c>
      <c r="AB362" s="52" t="str">
        <f>IFERROR(__xludf.DUMMYFUNCTION("""COMPUTED_VALUE"""),"")</f>
        <v/>
      </c>
      <c r="AC362" s="52" t="str">
        <f>IFERROR(__xludf.DUMMYFUNCTION("""COMPUTED_VALUE"""),"")</f>
        <v/>
      </c>
      <c r="AD362" s="52" t="str">
        <f>IFERROR(__xludf.DUMMYFUNCTION("""COMPUTED_VALUE"""),"")</f>
        <v/>
      </c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</row>
    <row r="363">
      <c r="B363" s="49"/>
      <c r="C363" s="49" t="str">
        <f t="shared" si="2"/>
        <v/>
      </c>
      <c r="D363" s="50" t="str">
        <f t="shared" si="3"/>
        <v/>
      </c>
      <c r="E363" s="51" t="str">
        <f t="shared" ref="E363:T363" si="364">IFERROR(VLOOKUP($A363,INDIRECT("'" &amp; E$1 &amp; "'!$C:$G"), 5, FALSE),"")</f>
        <v/>
      </c>
      <c r="F363" s="51" t="str">
        <f t="shared" si="364"/>
        <v/>
      </c>
      <c r="G363" s="51" t="str">
        <f t="shared" si="364"/>
        <v/>
      </c>
      <c r="H363" s="51" t="str">
        <f t="shared" si="364"/>
        <v/>
      </c>
      <c r="I363" s="51" t="str">
        <f t="shared" si="364"/>
        <v/>
      </c>
      <c r="J363" s="51" t="str">
        <f t="shared" si="364"/>
        <v/>
      </c>
      <c r="K363" s="51" t="str">
        <f t="shared" si="364"/>
        <v/>
      </c>
      <c r="L363" s="51" t="str">
        <f t="shared" si="364"/>
        <v/>
      </c>
      <c r="M363" s="51" t="str">
        <f t="shared" si="364"/>
        <v/>
      </c>
      <c r="N363" s="51" t="str">
        <f t="shared" si="364"/>
        <v/>
      </c>
      <c r="O363" s="51" t="str">
        <f t="shared" si="364"/>
        <v/>
      </c>
      <c r="P363" s="51" t="str">
        <f t="shared" si="364"/>
        <v/>
      </c>
      <c r="Q363" s="51" t="str">
        <f t="shared" si="364"/>
        <v/>
      </c>
      <c r="R363" s="51" t="str">
        <f t="shared" si="364"/>
        <v/>
      </c>
      <c r="S363" s="51" t="str">
        <f t="shared" si="364"/>
        <v/>
      </c>
      <c r="T363" s="51" t="str">
        <f t="shared" si="364"/>
        <v/>
      </c>
      <c r="U363" s="52"/>
      <c r="V363" s="52" t="str">
        <f>IFERROR(__xludf.DUMMYFUNCTION("""COMPUTED_VALUE"""),"")</f>
        <v/>
      </c>
      <c r="W363" s="52" t="str">
        <f>IFERROR(__xludf.DUMMYFUNCTION("""COMPUTED_VALUE"""),"")</f>
        <v/>
      </c>
      <c r="X363" s="52" t="str">
        <f>IFERROR(__xludf.DUMMYFUNCTION("""COMPUTED_VALUE"""),"")</f>
        <v/>
      </c>
      <c r="Y363" s="52" t="str">
        <f>IFERROR(__xludf.DUMMYFUNCTION("""COMPUTED_VALUE"""),"")</f>
        <v/>
      </c>
      <c r="Z363" s="52" t="str">
        <f>IFERROR(__xludf.DUMMYFUNCTION("""COMPUTED_VALUE"""),"")</f>
        <v/>
      </c>
      <c r="AA363" s="52" t="str">
        <f>IFERROR(__xludf.DUMMYFUNCTION("""COMPUTED_VALUE"""),"")</f>
        <v/>
      </c>
      <c r="AB363" s="52" t="str">
        <f>IFERROR(__xludf.DUMMYFUNCTION("""COMPUTED_VALUE"""),"")</f>
        <v/>
      </c>
      <c r="AC363" s="52" t="str">
        <f>IFERROR(__xludf.DUMMYFUNCTION("""COMPUTED_VALUE"""),"")</f>
        <v/>
      </c>
      <c r="AD363" s="52" t="str">
        <f>IFERROR(__xludf.DUMMYFUNCTION("""COMPUTED_VALUE"""),"")</f>
        <v/>
      </c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</row>
    <row r="364">
      <c r="B364" s="49"/>
      <c r="C364" s="49" t="str">
        <f t="shared" si="2"/>
        <v/>
      </c>
      <c r="D364" s="50" t="str">
        <f t="shared" si="3"/>
        <v/>
      </c>
      <c r="E364" s="51" t="str">
        <f t="shared" ref="E364:T364" si="365">IFERROR(VLOOKUP($A364,INDIRECT("'" &amp; E$1 &amp; "'!$C:$G"), 5, FALSE),"")</f>
        <v/>
      </c>
      <c r="F364" s="51" t="str">
        <f t="shared" si="365"/>
        <v/>
      </c>
      <c r="G364" s="51" t="str">
        <f t="shared" si="365"/>
        <v/>
      </c>
      <c r="H364" s="51" t="str">
        <f t="shared" si="365"/>
        <v/>
      </c>
      <c r="I364" s="51" t="str">
        <f t="shared" si="365"/>
        <v/>
      </c>
      <c r="J364" s="51" t="str">
        <f t="shared" si="365"/>
        <v/>
      </c>
      <c r="K364" s="51" t="str">
        <f t="shared" si="365"/>
        <v/>
      </c>
      <c r="L364" s="51" t="str">
        <f t="shared" si="365"/>
        <v/>
      </c>
      <c r="M364" s="51" t="str">
        <f t="shared" si="365"/>
        <v/>
      </c>
      <c r="N364" s="51" t="str">
        <f t="shared" si="365"/>
        <v/>
      </c>
      <c r="O364" s="51" t="str">
        <f t="shared" si="365"/>
        <v/>
      </c>
      <c r="P364" s="51" t="str">
        <f t="shared" si="365"/>
        <v/>
      </c>
      <c r="Q364" s="51" t="str">
        <f t="shared" si="365"/>
        <v/>
      </c>
      <c r="R364" s="51" t="str">
        <f t="shared" si="365"/>
        <v/>
      </c>
      <c r="S364" s="51" t="str">
        <f t="shared" si="365"/>
        <v/>
      </c>
      <c r="T364" s="51" t="str">
        <f t="shared" si="365"/>
        <v/>
      </c>
      <c r="U364" s="52"/>
      <c r="V364" s="52" t="str">
        <f>IFERROR(__xludf.DUMMYFUNCTION("""COMPUTED_VALUE"""),"")</f>
        <v/>
      </c>
      <c r="W364" s="52" t="str">
        <f>IFERROR(__xludf.DUMMYFUNCTION("""COMPUTED_VALUE"""),"")</f>
        <v/>
      </c>
      <c r="X364" s="52" t="str">
        <f>IFERROR(__xludf.DUMMYFUNCTION("""COMPUTED_VALUE"""),"")</f>
        <v/>
      </c>
      <c r="Y364" s="52" t="str">
        <f>IFERROR(__xludf.DUMMYFUNCTION("""COMPUTED_VALUE"""),"")</f>
        <v/>
      </c>
      <c r="Z364" s="52" t="str">
        <f>IFERROR(__xludf.DUMMYFUNCTION("""COMPUTED_VALUE"""),"")</f>
        <v/>
      </c>
      <c r="AA364" s="52" t="str">
        <f>IFERROR(__xludf.DUMMYFUNCTION("""COMPUTED_VALUE"""),"")</f>
        <v/>
      </c>
      <c r="AB364" s="52" t="str">
        <f>IFERROR(__xludf.DUMMYFUNCTION("""COMPUTED_VALUE"""),"")</f>
        <v/>
      </c>
      <c r="AC364" s="52" t="str">
        <f>IFERROR(__xludf.DUMMYFUNCTION("""COMPUTED_VALUE"""),"")</f>
        <v/>
      </c>
      <c r="AD364" s="52" t="str">
        <f>IFERROR(__xludf.DUMMYFUNCTION("""COMPUTED_VALUE"""),"")</f>
        <v/>
      </c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</row>
    <row r="365">
      <c r="B365" s="49"/>
      <c r="C365" s="49" t="str">
        <f t="shared" si="2"/>
        <v/>
      </c>
      <c r="D365" s="50" t="str">
        <f t="shared" si="3"/>
        <v/>
      </c>
      <c r="E365" s="51" t="str">
        <f t="shared" ref="E365:T365" si="366">IFERROR(VLOOKUP($A365,INDIRECT("'" &amp; E$1 &amp; "'!$C:$G"), 5, FALSE),"")</f>
        <v/>
      </c>
      <c r="F365" s="51" t="str">
        <f t="shared" si="366"/>
        <v/>
      </c>
      <c r="G365" s="51" t="str">
        <f t="shared" si="366"/>
        <v/>
      </c>
      <c r="H365" s="51" t="str">
        <f t="shared" si="366"/>
        <v/>
      </c>
      <c r="I365" s="51" t="str">
        <f t="shared" si="366"/>
        <v/>
      </c>
      <c r="J365" s="51" t="str">
        <f t="shared" si="366"/>
        <v/>
      </c>
      <c r="K365" s="51" t="str">
        <f t="shared" si="366"/>
        <v/>
      </c>
      <c r="L365" s="51" t="str">
        <f t="shared" si="366"/>
        <v/>
      </c>
      <c r="M365" s="51" t="str">
        <f t="shared" si="366"/>
        <v/>
      </c>
      <c r="N365" s="51" t="str">
        <f t="shared" si="366"/>
        <v/>
      </c>
      <c r="O365" s="51" t="str">
        <f t="shared" si="366"/>
        <v/>
      </c>
      <c r="P365" s="51" t="str">
        <f t="shared" si="366"/>
        <v/>
      </c>
      <c r="Q365" s="51" t="str">
        <f t="shared" si="366"/>
        <v/>
      </c>
      <c r="R365" s="51" t="str">
        <f t="shared" si="366"/>
        <v/>
      </c>
      <c r="S365" s="51" t="str">
        <f t="shared" si="366"/>
        <v/>
      </c>
      <c r="T365" s="51" t="str">
        <f t="shared" si="366"/>
        <v/>
      </c>
      <c r="U365" s="52"/>
      <c r="V365" s="52" t="str">
        <f>IFERROR(__xludf.DUMMYFUNCTION("""COMPUTED_VALUE"""),"")</f>
        <v/>
      </c>
      <c r="W365" s="52" t="str">
        <f>IFERROR(__xludf.DUMMYFUNCTION("""COMPUTED_VALUE"""),"")</f>
        <v/>
      </c>
      <c r="X365" s="52" t="str">
        <f>IFERROR(__xludf.DUMMYFUNCTION("""COMPUTED_VALUE"""),"")</f>
        <v/>
      </c>
      <c r="Y365" s="52" t="str">
        <f>IFERROR(__xludf.DUMMYFUNCTION("""COMPUTED_VALUE"""),"")</f>
        <v/>
      </c>
      <c r="Z365" s="52" t="str">
        <f>IFERROR(__xludf.DUMMYFUNCTION("""COMPUTED_VALUE"""),"")</f>
        <v/>
      </c>
      <c r="AA365" s="52" t="str">
        <f>IFERROR(__xludf.DUMMYFUNCTION("""COMPUTED_VALUE"""),"")</f>
        <v/>
      </c>
      <c r="AB365" s="52" t="str">
        <f>IFERROR(__xludf.DUMMYFUNCTION("""COMPUTED_VALUE"""),"")</f>
        <v/>
      </c>
      <c r="AC365" s="52" t="str">
        <f>IFERROR(__xludf.DUMMYFUNCTION("""COMPUTED_VALUE"""),"")</f>
        <v/>
      </c>
      <c r="AD365" s="52" t="str">
        <f>IFERROR(__xludf.DUMMYFUNCTION("""COMPUTED_VALUE"""),"")</f>
        <v/>
      </c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</row>
    <row r="366">
      <c r="B366" s="49"/>
      <c r="C366" s="49" t="str">
        <f t="shared" si="2"/>
        <v/>
      </c>
      <c r="D366" s="50" t="str">
        <f t="shared" si="3"/>
        <v/>
      </c>
      <c r="E366" s="51" t="str">
        <f t="shared" ref="E366:T366" si="367">IFERROR(VLOOKUP($A366,INDIRECT("'" &amp; E$1 &amp; "'!$C:$G"), 5, FALSE),"")</f>
        <v/>
      </c>
      <c r="F366" s="51" t="str">
        <f t="shared" si="367"/>
        <v/>
      </c>
      <c r="G366" s="51" t="str">
        <f t="shared" si="367"/>
        <v/>
      </c>
      <c r="H366" s="51" t="str">
        <f t="shared" si="367"/>
        <v/>
      </c>
      <c r="I366" s="51" t="str">
        <f t="shared" si="367"/>
        <v/>
      </c>
      <c r="J366" s="51" t="str">
        <f t="shared" si="367"/>
        <v/>
      </c>
      <c r="K366" s="51" t="str">
        <f t="shared" si="367"/>
        <v/>
      </c>
      <c r="L366" s="51" t="str">
        <f t="shared" si="367"/>
        <v/>
      </c>
      <c r="M366" s="51" t="str">
        <f t="shared" si="367"/>
        <v/>
      </c>
      <c r="N366" s="51" t="str">
        <f t="shared" si="367"/>
        <v/>
      </c>
      <c r="O366" s="51" t="str">
        <f t="shared" si="367"/>
        <v/>
      </c>
      <c r="P366" s="51" t="str">
        <f t="shared" si="367"/>
        <v/>
      </c>
      <c r="Q366" s="51" t="str">
        <f t="shared" si="367"/>
        <v/>
      </c>
      <c r="R366" s="51" t="str">
        <f t="shared" si="367"/>
        <v/>
      </c>
      <c r="S366" s="51" t="str">
        <f t="shared" si="367"/>
        <v/>
      </c>
      <c r="T366" s="51" t="str">
        <f t="shared" si="367"/>
        <v/>
      </c>
      <c r="U366" s="52"/>
      <c r="V366" s="52" t="str">
        <f>IFERROR(__xludf.DUMMYFUNCTION("""COMPUTED_VALUE"""),"")</f>
        <v/>
      </c>
      <c r="W366" s="52" t="str">
        <f>IFERROR(__xludf.DUMMYFUNCTION("""COMPUTED_VALUE"""),"")</f>
        <v/>
      </c>
      <c r="X366" s="52" t="str">
        <f>IFERROR(__xludf.DUMMYFUNCTION("""COMPUTED_VALUE"""),"")</f>
        <v/>
      </c>
      <c r="Y366" s="52" t="str">
        <f>IFERROR(__xludf.DUMMYFUNCTION("""COMPUTED_VALUE"""),"")</f>
        <v/>
      </c>
      <c r="Z366" s="52" t="str">
        <f>IFERROR(__xludf.DUMMYFUNCTION("""COMPUTED_VALUE"""),"")</f>
        <v/>
      </c>
      <c r="AA366" s="52" t="str">
        <f>IFERROR(__xludf.DUMMYFUNCTION("""COMPUTED_VALUE"""),"")</f>
        <v/>
      </c>
      <c r="AB366" s="52" t="str">
        <f>IFERROR(__xludf.DUMMYFUNCTION("""COMPUTED_VALUE"""),"")</f>
        <v/>
      </c>
      <c r="AC366" s="52" t="str">
        <f>IFERROR(__xludf.DUMMYFUNCTION("""COMPUTED_VALUE"""),"")</f>
        <v/>
      </c>
      <c r="AD366" s="52" t="str">
        <f>IFERROR(__xludf.DUMMYFUNCTION("""COMPUTED_VALUE"""),"")</f>
        <v/>
      </c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</row>
    <row r="367">
      <c r="B367" s="49"/>
      <c r="C367" s="49" t="str">
        <f t="shared" si="2"/>
        <v/>
      </c>
      <c r="D367" s="50" t="str">
        <f t="shared" si="3"/>
        <v/>
      </c>
      <c r="E367" s="51" t="str">
        <f t="shared" ref="E367:T367" si="368">IFERROR(VLOOKUP($A367,INDIRECT("'" &amp; E$1 &amp; "'!$C:$G"), 5, FALSE),"")</f>
        <v/>
      </c>
      <c r="F367" s="51" t="str">
        <f t="shared" si="368"/>
        <v/>
      </c>
      <c r="G367" s="51" t="str">
        <f t="shared" si="368"/>
        <v/>
      </c>
      <c r="H367" s="51" t="str">
        <f t="shared" si="368"/>
        <v/>
      </c>
      <c r="I367" s="51" t="str">
        <f t="shared" si="368"/>
        <v/>
      </c>
      <c r="J367" s="51" t="str">
        <f t="shared" si="368"/>
        <v/>
      </c>
      <c r="K367" s="51" t="str">
        <f t="shared" si="368"/>
        <v/>
      </c>
      <c r="L367" s="51" t="str">
        <f t="shared" si="368"/>
        <v/>
      </c>
      <c r="M367" s="51" t="str">
        <f t="shared" si="368"/>
        <v/>
      </c>
      <c r="N367" s="51" t="str">
        <f t="shared" si="368"/>
        <v/>
      </c>
      <c r="O367" s="51" t="str">
        <f t="shared" si="368"/>
        <v/>
      </c>
      <c r="P367" s="51" t="str">
        <f t="shared" si="368"/>
        <v/>
      </c>
      <c r="Q367" s="51" t="str">
        <f t="shared" si="368"/>
        <v/>
      </c>
      <c r="R367" s="51" t="str">
        <f t="shared" si="368"/>
        <v/>
      </c>
      <c r="S367" s="51" t="str">
        <f t="shared" si="368"/>
        <v/>
      </c>
      <c r="T367" s="51" t="str">
        <f t="shared" si="368"/>
        <v/>
      </c>
      <c r="U367" s="52"/>
      <c r="V367" s="52" t="str">
        <f>IFERROR(__xludf.DUMMYFUNCTION("""COMPUTED_VALUE"""),"")</f>
        <v/>
      </c>
      <c r="W367" s="52" t="str">
        <f>IFERROR(__xludf.DUMMYFUNCTION("""COMPUTED_VALUE"""),"")</f>
        <v/>
      </c>
      <c r="X367" s="52" t="str">
        <f>IFERROR(__xludf.DUMMYFUNCTION("""COMPUTED_VALUE"""),"")</f>
        <v/>
      </c>
      <c r="Y367" s="52" t="str">
        <f>IFERROR(__xludf.DUMMYFUNCTION("""COMPUTED_VALUE"""),"")</f>
        <v/>
      </c>
      <c r="Z367" s="52" t="str">
        <f>IFERROR(__xludf.DUMMYFUNCTION("""COMPUTED_VALUE"""),"")</f>
        <v/>
      </c>
      <c r="AA367" s="52" t="str">
        <f>IFERROR(__xludf.DUMMYFUNCTION("""COMPUTED_VALUE"""),"")</f>
        <v/>
      </c>
      <c r="AB367" s="52" t="str">
        <f>IFERROR(__xludf.DUMMYFUNCTION("""COMPUTED_VALUE"""),"")</f>
        <v/>
      </c>
      <c r="AC367" s="52" t="str">
        <f>IFERROR(__xludf.DUMMYFUNCTION("""COMPUTED_VALUE"""),"")</f>
        <v/>
      </c>
      <c r="AD367" s="52" t="str">
        <f>IFERROR(__xludf.DUMMYFUNCTION("""COMPUTED_VALUE"""),"")</f>
        <v/>
      </c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</row>
    <row r="368">
      <c r="B368" s="49"/>
      <c r="C368" s="49" t="str">
        <f t="shared" si="2"/>
        <v/>
      </c>
      <c r="D368" s="50" t="str">
        <f t="shared" si="3"/>
        <v/>
      </c>
      <c r="E368" s="51" t="str">
        <f t="shared" ref="E368:T368" si="369">IFERROR(VLOOKUP($A368,INDIRECT("'" &amp; E$1 &amp; "'!$C:$G"), 5, FALSE),"")</f>
        <v/>
      </c>
      <c r="F368" s="51" t="str">
        <f t="shared" si="369"/>
        <v/>
      </c>
      <c r="G368" s="51" t="str">
        <f t="shared" si="369"/>
        <v/>
      </c>
      <c r="H368" s="51" t="str">
        <f t="shared" si="369"/>
        <v/>
      </c>
      <c r="I368" s="51" t="str">
        <f t="shared" si="369"/>
        <v/>
      </c>
      <c r="J368" s="51" t="str">
        <f t="shared" si="369"/>
        <v/>
      </c>
      <c r="K368" s="51" t="str">
        <f t="shared" si="369"/>
        <v/>
      </c>
      <c r="L368" s="51" t="str">
        <f t="shared" si="369"/>
        <v/>
      </c>
      <c r="M368" s="51" t="str">
        <f t="shared" si="369"/>
        <v/>
      </c>
      <c r="N368" s="51" t="str">
        <f t="shared" si="369"/>
        <v/>
      </c>
      <c r="O368" s="51" t="str">
        <f t="shared" si="369"/>
        <v/>
      </c>
      <c r="P368" s="51" t="str">
        <f t="shared" si="369"/>
        <v/>
      </c>
      <c r="Q368" s="51" t="str">
        <f t="shared" si="369"/>
        <v/>
      </c>
      <c r="R368" s="51" t="str">
        <f t="shared" si="369"/>
        <v/>
      </c>
      <c r="S368" s="51" t="str">
        <f t="shared" si="369"/>
        <v/>
      </c>
      <c r="T368" s="51" t="str">
        <f t="shared" si="369"/>
        <v/>
      </c>
      <c r="U368" s="52"/>
      <c r="V368" s="52" t="str">
        <f>IFERROR(__xludf.DUMMYFUNCTION("""COMPUTED_VALUE"""),"")</f>
        <v/>
      </c>
      <c r="W368" s="52" t="str">
        <f>IFERROR(__xludf.DUMMYFUNCTION("""COMPUTED_VALUE"""),"")</f>
        <v/>
      </c>
      <c r="X368" s="52" t="str">
        <f>IFERROR(__xludf.DUMMYFUNCTION("""COMPUTED_VALUE"""),"")</f>
        <v/>
      </c>
      <c r="Y368" s="52" t="str">
        <f>IFERROR(__xludf.DUMMYFUNCTION("""COMPUTED_VALUE"""),"")</f>
        <v/>
      </c>
      <c r="Z368" s="52" t="str">
        <f>IFERROR(__xludf.DUMMYFUNCTION("""COMPUTED_VALUE"""),"")</f>
        <v/>
      </c>
      <c r="AA368" s="52" t="str">
        <f>IFERROR(__xludf.DUMMYFUNCTION("""COMPUTED_VALUE"""),"")</f>
        <v/>
      </c>
      <c r="AB368" s="52" t="str">
        <f>IFERROR(__xludf.DUMMYFUNCTION("""COMPUTED_VALUE"""),"")</f>
        <v/>
      </c>
      <c r="AC368" s="52" t="str">
        <f>IFERROR(__xludf.DUMMYFUNCTION("""COMPUTED_VALUE"""),"")</f>
        <v/>
      </c>
      <c r="AD368" s="52" t="str">
        <f>IFERROR(__xludf.DUMMYFUNCTION("""COMPUTED_VALUE"""),"")</f>
        <v/>
      </c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</row>
    <row r="369">
      <c r="B369" s="49"/>
      <c r="C369" s="49" t="str">
        <f t="shared" si="2"/>
        <v/>
      </c>
      <c r="D369" s="50" t="str">
        <f t="shared" si="3"/>
        <v/>
      </c>
      <c r="E369" s="51" t="str">
        <f t="shared" ref="E369:T369" si="370">IFERROR(VLOOKUP($A369,INDIRECT("'" &amp; E$1 &amp; "'!$C:$G"), 5, FALSE),"")</f>
        <v/>
      </c>
      <c r="F369" s="51" t="str">
        <f t="shared" si="370"/>
        <v/>
      </c>
      <c r="G369" s="51" t="str">
        <f t="shared" si="370"/>
        <v/>
      </c>
      <c r="H369" s="51" t="str">
        <f t="shared" si="370"/>
        <v/>
      </c>
      <c r="I369" s="51" t="str">
        <f t="shared" si="370"/>
        <v/>
      </c>
      <c r="J369" s="51" t="str">
        <f t="shared" si="370"/>
        <v/>
      </c>
      <c r="K369" s="51" t="str">
        <f t="shared" si="370"/>
        <v/>
      </c>
      <c r="L369" s="51" t="str">
        <f t="shared" si="370"/>
        <v/>
      </c>
      <c r="M369" s="51" t="str">
        <f t="shared" si="370"/>
        <v/>
      </c>
      <c r="N369" s="51" t="str">
        <f t="shared" si="370"/>
        <v/>
      </c>
      <c r="O369" s="51" t="str">
        <f t="shared" si="370"/>
        <v/>
      </c>
      <c r="P369" s="51" t="str">
        <f t="shared" si="370"/>
        <v/>
      </c>
      <c r="Q369" s="51" t="str">
        <f t="shared" si="370"/>
        <v/>
      </c>
      <c r="R369" s="51" t="str">
        <f t="shared" si="370"/>
        <v/>
      </c>
      <c r="S369" s="51" t="str">
        <f t="shared" si="370"/>
        <v/>
      </c>
      <c r="T369" s="51" t="str">
        <f t="shared" si="370"/>
        <v/>
      </c>
      <c r="U369" s="52"/>
      <c r="V369" s="52" t="str">
        <f>IFERROR(__xludf.DUMMYFUNCTION("""COMPUTED_VALUE"""),"")</f>
        <v/>
      </c>
      <c r="W369" s="52" t="str">
        <f>IFERROR(__xludf.DUMMYFUNCTION("""COMPUTED_VALUE"""),"")</f>
        <v/>
      </c>
      <c r="X369" s="52" t="str">
        <f>IFERROR(__xludf.DUMMYFUNCTION("""COMPUTED_VALUE"""),"")</f>
        <v/>
      </c>
      <c r="Y369" s="52" t="str">
        <f>IFERROR(__xludf.DUMMYFUNCTION("""COMPUTED_VALUE"""),"")</f>
        <v/>
      </c>
      <c r="Z369" s="52" t="str">
        <f>IFERROR(__xludf.DUMMYFUNCTION("""COMPUTED_VALUE"""),"")</f>
        <v/>
      </c>
      <c r="AA369" s="52" t="str">
        <f>IFERROR(__xludf.DUMMYFUNCTION("""COMPUTED_VALUE"""),"")</f>
        <v/>
      </c>
      <c r="AB369" s="52" t="str">
        <f>IFERROR(__xludf.DUMMYFUNCTION("""COMPUTED_VALUE"""),"")</f>
        <v/>
      </c>
      <c r="AC369" s="52" t="str">
        <f>IFERROR(__xludf.DUMMYFUNCTION("""COMPUTED_VALUE"""),"")</f>
        <v/>
      </c>
      <c r="AD369" s="52" t="str">
        <f>IFERROR(__xludf.DUMMYFUNCTION("""COMPUTED_VALUE"""),"")</f>
        <v/>
      </c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</row>
    <row r="370">
      <c r="B370" s="49"/>
      <c r="C370" s="49" t="str">
        <f t="shared" si="2"/>
        <v/>
      </c>
      <c r="D370" s="50" t="str">
        <f t="shared" si="3"/>
        <v/>
      </c>
      <c r="E370" s="51" t="str">
        <f t="shared" ref="E370:T370" si="371">IFERROR(VLOOKUP($A370,INDIRECT("'" &amp; E$1 &amp; "'!$C:$G"), 5, FALSE),"")</f>
        <v/>
      </c>
      <c r="F370" s="51" t="str">
        <f t="shared" si="371"/>
        <v/>
      </c>
      <c r="G370" s="51" t="str">
        <f t="shared" si="371"/>
        <v/>
      </c>
      <c r="H370" s="51" t="str">
        <f t="shared" si="371"/>
        <v/>
      </c>
      <c r="I370" s="51" t="str">
        <f t="shared" si="371"/>
        <v/>
      </c>
      <c r="J370" s="51" t="str">
        <f t="shared" si="371"/>
        <v/>
      </c>
      <c r="K370" s="51" t="str">
        <f t="shared" si="371"/>
        <v/>
      </c>
      <c r="L370" s="51" t="str">
        <f t="shared" si="371"/>
        <v/>
      </c>
      <c r="M370" s="51" t="str">
        <f t="shared" si="371"/>
        <v/>
      </c>
      <c r="N370" s="51" t="str">
        <f t="shared" si="371"/>
        <v/>
      </c>
      <c r="O370" s="51" t="str">
        <f t="shared" si="371"/>
        <v/>
      </c>
      <c r="P370" s="51" t="str">
        <f t="shared" si="371"/>
        <v/>
      </c>
      <c r="Q370" s="51" t="str">
        <f t="shared" si="371"/>
        <v/>
      </c>
      <c r="R370" s="51" t="str">
        <f t="shared" si="371"/>
        <v/>
      </c>
      <c r="S370" s="51" t="str">
        <f t="shared" si="371"/>
        <v/>
      </c>
      <c r="T370" s="51" t="str">
        <f t="shared" si="371"/>
        <v/>
      </c>
      <c r="U370" s="52"/>
      <c r="V370" s="52" t="str">
        <f>IFERROR(__xludf.DUMMYFUNCTION("""COMPUTED_VALUE"""),"")</f>
        <v/>
      </c>
      <c r="W370" s="52" t="str">
        <f>IFERROR(__xludf.DUMMYFUNCTION("""COMPUTED_VALUE"""),"")</f>
        <v/>
      </c>
      <c r="X370" s="52" t="str">
        <f>IFERROR(__xludf.DUMMYFUNCTION("""COMPUTED_VALUE"""),"")</f>
        <v/>
      </c>
      <c r="Y370" s="52" t="str">
        <f>IFERROR(__xludf.DUMMYFUNCTION("""COMPUTED_VALUE"""),"")</f>
        <v/>
      </c>
      <c r="Z370" s="52" t="str">
        <f>IFERROR(__xludf.DUMMYFUNCTION("""COMPUTED_VALUE"""),"")</f>
        <v/>
      </c>
      <c r="AA370" s="52" t="str">
        <f>IFERROR(__xludf.DUMMYFUNCTION("""COMPUTED_VALUE"""),"")</f>
        <v/>
      </c>
      <c r="AB370" s="52" t="str">
        <f>IFERROR(__xludf.DUMMYFUNCTION("""COMPUTED_VALUE"""),"")</f>
        <v/>
      </c>
      <c r="AC370" s="52" t="str">
        <f>IFERROR(__xludf.DUMMYFUNCTION("""COMPUTED_VALUE"""),"")</f>
        <v/>
      </c>
      <c r="AD370" s="52" t="str">
        <f>IFERROR(__xludf.DUMMYFUNCTION("""COMPUTED_VALUE"""),"")</f>
        <v/>
      </c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</row>
    <row r="371">
      <c r="B371" s="49"/>
      <c r="C371" s="49" t="str">
        <f t="shared" si="2"/>
        <v/>
      </c>
      <c r="D371" s="50" t="str">
        <f t="shared" si="3"/>
        <v/>
      </c>
      <c r="E371" s="51" t="str">
        <f t="shared" ref="E371:T371" si="372">IFERROR(VLOOKUP($A371,INDIRECT("'" &amp; E$1 &amp; "'!$C:$G"), 5, FALSE),"")</f>
        <v/>
      </c>
      <c r="F371" s="51" t="str">
        <f t="shared" si="372"/>
        <v/>
      </c>
      <c r="G371" s="51" t="str">
        <f t="shared" si="372"/>
        <v/>
      </c>
      <c r="H371" s="51" t="str">
        <f t="shared" si="372"/>
        <v/>
      </c>
      <c r="I371" s="51" t="str">
        <f t="shared" si="372"/>
        <v/>
      </c>
      <c r="J371" s="51" t="str">
        <f t="shared" si="372"/>
        <v/>
      </c>
      <c r="K371" s="51" t="str">
        <f t="shared" si="372"/>
        <v/>
      </c>
      <c r="L371" s="51" t="str">
        <f t="shared" si="372"/>
        <v/>
      </c>
      <c r="M371" s="51" t="str">
        <f t="shared" si="372"/>
        <v/>
      </c>
      <c r="N371" s="51" t="str">
        <f t="shared" si="372"/>
        <v/>
      </c>
      <c r="O371" s="51" t="str">
        <f t="shared" si="372"/>
        <v/>
      </c>
      <c r="P371" s="51" t="str">
        <f t="shared" si="372"/>
        <v/>
      </c>
      <c r="Q371" s="51" t="str">
        <f t="shared" si="372"/>
        <v/>
      </c>
      <c r="R371" s="51" t="str">
        <f t="shared" si="372"/>
        <v/>
      </c>
      <c r="S371" s="51" t="str">
        <f t="shared" si="372"/>
        <v/>
      </c>
      <c r="T371" s="51" t="str">
        <f t="shared" si="372"/>
        <v/>
      </c>
      <c r="U371" s="52"/>
      <c r="V371" s="52" t="str">
        <f>IFERROR(__xludf.DUMMYFUNCTION("""COMPUTED_VALUE"""),"")</f>
        <v/>
      </c>
      <c r="W371" s="52" t="str">
        <f>IFERROR(__xludf.DUMMYFUNCTION("""COMPUTED_VALUE"""),"")</f>
        <v/>
      </c>
      <c r="X371" s="52" t="str">
        <f>IFERROR(__xludf.DUMMYFUNCTION("""COMPUTED_VALUE"""),"")</f>
        <v/>
      </c>
      <c r="Y371" s="52" t="str">
        <f>IFERROR(__xludf.DUMMYFUNCTION("""COMPUTED_VALUE"""),"")</f>
        <v/>
      </c>
      <c r="Z371" s="52" t="str">
        <f>IFERROR(__xludf.DUMMYFUNCTION("""COMPUTED_VALUE"""),"")</f>
        <v/>
      </c>
      <c r="AA371" s="52" t="str">
        <f>IFERROR(__xludf.DUMMYFUNCTION("""COMPUTED_VALUE"""),"")</f>
        <v/>
      </c>
      <c r="AB371" s="52" t="str">
        <f>IFERROR(__xludf.DUMMYFUNCTION("""COMPUTED_VALUE"""),"")</f>
        <v/>
      </c>
      <c r="AC371" s="52" t="str">
        <f>IFERROR(__xludf.DUMMYFUNCTION("""COMPUTED_VALUE"""),"")</f>
        <v/>
      </c>
      <c r="AD371" s="52" t="str">
        <f>IFERROR(__xludf.DUMMYFUNCTION("""COMPUTED_VALUE"""),"")</f>
        <v/>
      </c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</row>
    <row r="372">
      <c r="B372" s="49"/>
      <c r="C372" s="49" t="str">
        <f t="shared" si="2"/>
        <v/>
      </c>
      <c r="D372" s="50" t="str">
        <f t="shared" si="3"/>
        <v/>
      </c>
      <c r="E372" s="51" t="str">
        <f t="shared" ref="E372:T372" si="373">IFERROR(VLOOKUP($A372,INDIRECT("'" &amp; E$1 &amp; "'!$C:$G"), 5, FALSE),"")</f>
        <v/>
      </c>
      <c r="F372" s="51" t="str">
        <f t="shared" si="373"/>
        <v/>
      </c>
      <c r="G372" s="51" t="str">
        <f t="shared" si="373"/>
        <v/>
      </c>
      <c r="H372" s="51" t="str">
        <f t="shared" si="373"/>
        <v/>
      </c>
      <c r="I372" s="51" t="str">
        <f t="shared" si="373"/>
        <v/>
      </c>
      <c r="J372" s="51" t="str">
        <f t="shared" si="373"/>
        <v/>
      </c>
      <c r="K372" s="51" t="str">
        <f t="shared" si="373"/>
        <v/>
      </c>
      <c r="L372" s="51" t="str">
        <f t="shared" si="373"/>
        <v/>
      </c>
      <c r="M372" s="51" t="str">
        <f t="shared" si="373"/>
        <v/>
      </c>
      <c r="N372" s="51" t="str">
        <f t="shared" si="373"/>
        <v/>
      </c>
      <c r="O372" s="51" t="str">
        <f t="shared" si="373"/>
        <v/>
      </c>
      <c r="P372" s="51" t="str">
        <f t="shared" si="373"/>
        <v/>
      </c>
      <c r="Q372" s="51" t="str">
        <f t="shared" si="373"/>
        <v/>
      </c>
      <c r="R372" s="51" t="str">
        <f t="shared" si="373"/>
        <v/>
      </c>
      <c r="S372" s="51" t="str">
        <f t="shared" si="373"/>
        <v/>
      </c>
      <c r="T372" s="51" t="str">
        <f t="shared" si="373"/>
        <v/>
      </c>
      <c r="U372" s="52"/>
      <c r="V372" s="52" t="str">
        <f>IFERROR(__xludf.DUMMYFUNCTION("""COMPUTED_VALUE"""),"")</f>
        <v/>
      </c>
      <c r="W372" s="52" t="str">
        <f>IFERROR(__xludf.DUMMYFUNCTION("""COMPUTED_VALUE"""),"")</f>
        <v/>
      </c>
      <c r="X372" s="52" t="str">
        <f>IFERROR(__xludf.DUMMYFUNCTION("""COMPUTED_VALUE"""),"")</f>
        <v/>
      </c>
      <c r="Y372" s="52" t="str">
        <f>IFERROR(__xludf.DUMMYFUNCTION("""COMPUTED_VALUE"""),"")</f>
        <v/>
      </c>
      <c r="Z372" s="52" t="str">
        <f>IFERROR(__xludf.DUMMYFUNCTION("""COMPUTED_VALUE"""),"")</f>
        <v/>
      </c>
      <c r="AA372" s="52" t="str">
        <f>IFERROR(__xludf.DUMMYFUNCTION("""COMPUTED_VALUE"""),"")</f>
        <v/>
      </c>
      <c r="AB372" s="52" t="str">
        <f>IFERROR(__xludf.DUMMYFUNCTION("""COMPUTED_VALUE"""),"")</f>
        <v/>
      </c>
      <c r="AC372" s="52" t="str">
        <f>IFERROR(__xludf.DUMMYFUNCTION("""COMPUTED_VALUE"""),"")</f>
        <v/>
      </c>
      <c r="AD372" s="52" t="str">
        <f>IFERROR(__xludf.DUMMYFUNCTION("""COMPUTED_VALUE"""),"")</f>
        <v/>
      </c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</row>
    <row r="373">
      <c r="B373" s="49"/>
      <c r="C373" s="49" t="str">
        <f t="shared" si="2"/>
        <v/>
      </c>
      <c r="D373" s="50" t="str">
        <f t="shared" si="3"/>
        <v/>
      </c>
      <c r="E373" s="51" t="str">
        <f t="shared" ref="E373:T373" si="374">IFERROR(VLOOKUP($A373,INDIRECT("'" &amp; E$1 &amp; "'!$C:$G"), 5, FALSE),"")</f>
        <v/>
      </c>
      <c r="F373" s="51" t="str">
        <f t="shared" si="374"/>
        <v/>
      </c>
      <c r="G373" s="51" t="str">
        <f t="shared" si="374"/>
        <v/>
      </c>
      <c r="H373" s="51" t="str">
        <f t="shared" si="374"/>
        <v/>
      </c>
      <c r="I373" s="51" t="str">
        <f t="shared" si="374"/>
        <v/>
      </c>
      <c r="J373" s="51" t="str">
        <f t="shared" si="374"/>
        <v/>
      </c>
      <c r="K373" s="51" t="str">
        <f t="shared" si="374"/>
        <v/>
      </c>
      <c r="L373" s="51" t="str">
        <f t="shared" si="374"/>
        <v/>
      </c>
      <c r="M373" s="51" t="str">
        <f t="shared" si="374"/>
        <v/>
      </c>
      <c r="N373" s="51" t="str">
        <f t="shared" si="374"/>
        <v/>
      </c>
      <c r="O373" s="51" t="str">
        <f t="shared" si="374"/>
        <v/>
      </c>
      <c r="P373" s="51" t="str">
        <f t="shared" si="374"/>
        <v/>
      </c>
      <c r="Q373" s="51" t="str">
        <f t="shared" si="374"/>
        <v/>
      </c>
      <c r="R373" s="51" t="str">
        <f t="shared" si="374"/>
        <v/>
      </c>
      <c r="S373" s="51" t="str">
        <f t="shared" si="374"/>
        <v/>
      </c>
      <c r="T373" s="51" t="str">
        <f t="shared" si="374"/>
        <v/>
      </c>
      <c r="U373" s="52"/>
      <c r="V373" s="52" t="str">
        <f>IFERROR(__xludf.DUMMYFUNCTION("""COMPUTED_VALUE"""),"")</f>
        <v/>
      </c>
      <c r="W373" s="52" t="str">
        <f>IFERROR(__xludf.DUMMYFUNCTION("""COMPUTED_VALUE"""),"")</f>
        <v/>
      </c>
      <c r="X373" s="52" t="str">
        <f>IFERROR(__xludf.DUMMYFUNCTION("""COMPUTED_VALUE"""),"")</f>
        <v/>
      </c>
      <c r="Y373" s="52" t="str">
        <f>IFERROR(__xludf.DUMMYFUNCTION("""COMPUTED_VALUE"""),"")</f>
        <v/>
      </c>
      <c r="Z373" s="52" t="str">
        <f>IFERROR(__xludf.DUMMYFUNCTION("""COMPUTED_VALUE"""),"")</f>
        <v/>
      </c>
      <c r="AA373" s="52" t="str">
        <f>IFERROR(__xludf.DUMMYFUNCTION("""COMPUTED_VALUE"""),"")</f>
        <v/>
      </c>
      <c r="AB373" s="52" t="str">
        <f>IFERROR(__xludf.DUMMYFUNCTION("""COMPUTED_VALUE"""),"")</f>
        <v/>
      </c>
      <c r="AC373" s="52" t="str">
        <f>IFERROR(__xludf.DUMMYFUNCTION("""COMPUTED_VALUE"""),"")</f>
        <v/>
      </c>
      <c r="AD373" s="52" t="str">
        <f>IFERROR(__xludf.DUMMYFUNCTION("""COMPUTED_VALUE"""),"")</f>
        <v/>
      </c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</row>
    <row r="374">
      <c r="B374" s="49"/>
      <c r="C374" s="49" t="str">
        <f t="shared" si="2"/>
        <v/>
      </c>
      <c r="D374" s="50" t="str">
        <f t="shared" si="3"/>
        <v/>
      </c>
      <c r="E374" s="51" t="str">
        <f t="shared" ref="E374:T374" si="375">IFERROR(VLOOKUP($A374,INDIRECT("'" &amp; E$1 &amp; "'!$C:$G"), 5, FALSE),"")</f>
        <v/>
      </c>
      <c r="F374" s="51" t="str">
        <f t="shared" si="375"/>
        <v/>
      </c>
      <c r="G374" s="51" t="str">
        <f t="shared" si="375"/>
        <v/>
      </c>
      <c r="H374" s="51" t="str">
        <f t="shared" si="375"/>
        <v/>
      </c>
      <c r="I374" s="51" t="str">
        <f t="shared" si="375"/>
        <v/>
      </c>
      <c r="J374" s="51" t="str">
        <f t="shared" si="375"/>
        <v/>
      </c>
      <c r="K374" s="51" t="str">
        <f t="shared" si="375"/>
        <v/>
      </c>
      <c r="L374" s="51" t="str">
        <f t="shared" si="375"/>
        <v/>
      </c>
      <c r="M374" s="51" t="str">
        <f t="shared" si="375"/>
        <v/>
      </c>
      <c r="N374" s="51" t="str">
        <f t="shared" si="375"/>
        <v/>
      </c>
      <c r="O374" s="51" t="str">
        <f t="shared" si="375"/>
        <v/>
      </c>
      <c r="P374" s="51" t="str">
        <f t="shared" si="375"/>
        <v/>
      </c>
      <c r="Q374" s="51" t="str">
        <f t="shared" si="375"/>
        <v/>
      </c>
      <c r="R374" s="51" t="str">
        <f t="shared" si="375"/>
        <v/>
      </c>
      <c r="S374" s="51" t="str">
        <f t="shared" si="375"/>
        <v/>
      </c>
      <c r="T374" s="51" t="str">
        <f t="shared" si="375"/>
        <v/>
      </c>
      <c r="U374" s="52"/>
      <c r="V374" s="52" t="str">
        <f>IFERROR(__xludf.DUMMYFUNCTION("""COMPUTED_VALUE"""),"")</f>
        <v/>
      </c>
      <c r="W374" s="52" t="str">
        <f>IFERROR(__xludf.DUMMYFUNCTION("""COMPUTED_VALUE"""),"")</f>
        <v/>
      </c>
      <c r="X374" s="52" t="str">
        <f>IFERROR(__xludf.DUMMYFUNCTION("""COMPUTED_VALUE"""),"")</f>
        <v/>
      </c>
      <c r="Y374" s="52" t="str">
        <f>IFERROR(__xludf.DUMMYFUNCTION("""COMPUTED_VALUE"""),"")</f>
        <v/>
      </c>
      <c r="Z374" s="52" t="str">
        <f>IFERROR(__xludf.DUMMYFUNCTION("""COMPUTED_VALUE"""),"")</f>
        <v/>
      </c>
      <c r="AA374" s="52" t="str">
        <f>IFERROR(__xludf.DUMMYFUNCTION("""COMPUTED_VALUE"""),"")</f>
        <v/>
      </c>
      <c r="AB374" s="52" t="str">
        <f>IFERROR(__xludf.DUMMYFUNCTION("""COMPUTED_VALUE"""),"")</f>
        <v/>
      </c>
      <c r="AC374" s="52" t="str">
        <f>IFERROR(__xludf.DUMMYFUNCTION("""COMPUTED_VALUE"""),"")</f>
        <v/>
      </c>
      <c r="AD374" s="52" t="str">
        <f>IFERROR(__xludf.DUMMYFUNCTION("""COMPUTED_VALUE"""),"")</f>
        <v/>
      </c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</row>
    <row r="375">
      <c r="B375" s="49"/>
      <c r="C375" s="49" t="str">
        <f t="shared" si="2"/>
        <v/>
      </c>
      <c r="D375" s="50" t="str">
        <f t="shared" si="3"/>
        <v/>
      </c>
      <c r="E375" s="51" t="str">
        <f t="shared" ref="E375:T375" si="376">IFERROR(VLOOKUP($A375,INDIRECT("'" &amp; E$1 &amp; "'!$C:$G"), 5, FALSE),"")</f>
        <v/>
      </c>
      <c r="F375" s="51" t="str">
        <f t="shared" si="376"/>
        <v/>
      </c>
      <c r="G375" s="51" t="str">
        <f t="shared" si="376"/>
        <v/>
      </c>
      <c r="H375" s="51" t="str">
        <f t="shared" si="376"/>
        <v/>
      </c>
      <c r="I375" s="51" t="str">
        <f t="shared" si="376"/>
        <v/>
      </c>
      <c r="J375" s="51" t="str">
        <f t="shared" si="376"/>
        <v/>
      </c>
      <c r="K375" s="51" t="str">
        <f t="shared" si="376"/>
        <v/>
      </c>
      <c r="L375" s="51" t="str">
        <f t="shared" si="376"/>
        <v/>
      </c>
      <c r="M375" s="51" t="str">
        <f t="shared" si="376"/>
        <v/>
      </c>
      <c r="N375" s="51" t="str">
        <f t="shared" si="376"/>
        <v/>
      </c>
      <c r="O375" s="51" t="str">
        <f t="shared" si="376"/>
        <v/>
      </c>
      <c r="P375" s="51" t="str">
        <f t="shared" si="376"/>
        <v/>
      </c>
      <c r="Q375" s="51" t="str">
        <f t="shared" si="376"/>
        <v/>
      </c>
      <c r="R375" s="51" t="str">
        <f t="shared" si="376"/>
        <v/>
      </c>
      <c r="S375" s="51" t="str">
        <f t="shared" si="376"/>
        <v/>
      </c>
      <c r="T375" s="51" t="str">
        <f t="shared" si="376"/>
        <v/>
      </c>
      <c r="U375" s="52"/>
      <c r="V375" s="52" t="str">
        <f>IFERROR(__xludf.DUMMYFUNCTION("""COMPUTED_VALUE"""),"")</f>
        <v/>
      </c>
      <c r="W375" s="52" t="str">
        <f>IFERROR(__xludf.DUMMYFUNCTION("""COMPUTED_VALUE"""),"")</f>
        <v/>
      </c>
      <c r="X375" s="52" t="str">
        <f>IFERROR(__xludf.DUMMYFUNCTION("""COMPUTED_VALUE"""),"")</f>
        <v/>
      </c>
      <c r="Y375" s="52" t="str">
        <f>IFERROR(__xludf.DUMMYFUNCTION("""COMPUTED_VALUE"""),"")</f>
        <v/>
      </c>
      <c r="Z375" s="52" t="str">
        <f>IFERROR(__xludf.DUMMYFUNCTION("""COMPUTED_VALUE"""),"")</f>
        <v/>
      </c>
      <c r="AA375" s="52" t="str">
        <f>IFERROR(__xludf.DUMMYFUNCTION("""COMPUTED_VALUE"""),"")</f>
        <v/>
      </c>
      <c r="AB375" s="52" t="str">
        <f>IFERROR(__xludf.DUMMYFUNCTION("""COMPUTED_VALUE"""),"")</f>
        <v/>
      </c>
      <c r="AC375" s="52" t="str">
        <f>IFERROR(__xludf.DUMMYFUNCTION("""COMPUTED_VALUE"""),"")</f>
        <v/>
      </c>
      <c r="AD375" s="52" t="str">
        <f>IFERROR(__xludf.DUMMYFUNCTION("""COMPUTED_VALUE"""),"")</f>
        <v/>
      </c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</row>
    <row r="376">
      <c r="B376" s="49"/>
      <c r="C376" s="49" t="str">
        <f t="shared" si="2"/>
        <v/>
      </c>
      <c r="D376" s="50" t="str">
        <f t="shared" si="3"/>
        <v/>
      </c>
      <c r="E376" s="51" t="str">
        <f t="shared" ref="E376:T376" si="377">IFERROR(VLOOKUP($A376,INDIRECT("'" &amp; E$1 &amp; "'!$C:$G"), 5, FALSE),"")</f>
        <v/>
      </c>
      <c r="F376" s="51" t="str">
        <f t="shared" si="377"/>
        <v/>
      </c>
      <c r="G376" s="51" t="str">
        <f t="shared" si="377"/>
        <v/>
      </c>
      <c r="H376" s="51" t="str">
        <f t="shared" si="377"/>
        <v/>
      </c>
      <c r="I376" s="51" t="str">
        <f t="shared" si="377"/>
        <v/>
      </c>
      <c r="J376" s="51" t="str">
        <f t="shared" si="377"/>
        <v/>
      </c>
      <c r="K376" s="51" t="str">
        <f t="shared" si="377"/>
        <v/>
      </c>
      <c r="L376" s="51" t="str">
        <f t="shared" si="377"/>
        <v/>
      </c>
      <c r="M376" s="51" t="str">
        <f t="shared" si="377"/>
        <v/>
      </c>
      <c r="N376" s="51" t="str">
        <f t="shared" si="377"/>
        <v/>
      </c>
      <c r="O376" s="51" t="str">
        <f t="shared" si="377"/>
        <v/>
      </c>
      <c r="P376" s="51" t="str">
        <f t="shared" si="377"/>
        <v/>
      </c>
      <c r="Q376" s="51" t="str">
        <f t="shared" si="377"/>
        <v/>
      </c>
      <c r="R376" s="51" t="str">
        <f t="shared" si="377"/>
        <v/>
      </c>
      <c r="S376" s="51" t="str">
        <f t="shared" si="377"/>
        <v/>
      </c>
      <c r="T376" s="51" t="str">
        <f t="shared" si="377"/>
        <v/>
      </c>
      <c r="U376" s="52"/>
      <c r="V376" s="52" t="str">
        <f>IFERROR(__xludf.DUMMYFUNCTION("""COMPUTED_VALUE"""),"")</f>
        <v/>
      </c>
      <c r="W376" s="52" t="str">
        <f>IFERROR(__xludf.DUMMYFUNCTION("""COMPUTED_VALUE"""),"")</f>
        <v/>
      </c>
      <c r="X376" s="52" t="str">
        <f>IFERROR(__xludf.DUMMYFUNCTION("""COMPUTED_VALUE"""),"")</f>
        <v/>
      </c>
      <c r="Y376" s="52" t="str">
        <f>IFERROR(__xludf.DUMMYFUNCTION("""COMPUTED_VALUE"""),"")</f>
        <v/>
      </c>
      <c r="Z376" s="52" t="str">
        <f>IFERROR(__xludf.DUMMYFUNCTION("""COMPUTED_VALUE"""),"")</f>
        <v/>
      </c>
      <c r="AA376" s="52" t="str">
        <f>IFERROR(__xludf.DUMMYFUNCTION("""COMPUTED_VALUE"""),"")</f>
        <v/>
      </c>
      <c r="AB376" s="52" t="str">
        <f>IFERROR(__xludf.DUMMYFUNCTION("""COMPUTED_VALUE"""),"")</f>
        <v/>
      </c>
      <c r="AC376" s="52" t="str">
        <f>IFERROR(__xludf.DUMMYFUNCTION("""COMPUTED_VALUE"""),"")</f>
        <v/>
      </c>
      <c r="AD376" s="52" t="str">
        <f>IFERROR(__xludf.DUMMYFUNCTION("""COMPUTED_VALUE"""),"")</f>
        <v/>
      </c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</row>
    <row r="377">
      <c r="B377" s="49"/>
      <c r="C377" s="49" t="str">
        <f t="shared" si="2"/>
        <v/>
      </c>
      <c r="D377" s="50" t="str">
        <f t="shared" si="3"/>
        <v/>
      </c>
      <c r="E377" s="51" t="str">
        <f t="shared" ref="E377:T377" si="378">IFERROR(VLOOKUP($A377,INDIRECT("'" &amp; E$1 &amp; "'!$C:$G"), 5, FALSE),"")</f>
        <v/>
      </c>
      <c r="F377" s="51" t="str">
        <f t="shared" si="378"/>
        <v/>
      </c>
      <c r="G377" s="51" t="str">
        <f t="shared" si="378"/>
        <v/>
      </c>
      <c r="H377" s="51" t="str">
        <f t="shared" si="378"/>
        <v/>
      </c>
      <c r="I377" s="51" t="str">
        <f t="shared" si="378"/>
        <v/>
      </c>
      <c r="J377" s="51" t="str">
        <f t="shared" si="378"/>
        <v/>
      </c>
      <c r="K377" s="51" t="str">
        <f t="shared" si="378"/>
        <v/>
      </c>
      <c r="L377" s="51" t="str">
        <f t="shared" si="378"/>
        <v/>
      </c>
      <c r="M377" s="51" t="str">
        <f t="shared" si="378"/>
        <v/>
      </c>
      <c r="N377" s="51" t="str">
        <f t="shared" si="378"/>
        <v/>
      </c>
      <c r="O377" s="51" t="str">
        <f t="shared" si="378"/>
        <v/>
      </c>
      <c r="P377" s="51" t="str">
        <f t="shared" si="378"/>
        <v/>
      </c>
      <c r="Q377" s="51" t="str">
        <f t="shared" si="378"/>
        <v/>
      </c>
      <c r="R377" s="51" t="str">
        <f t="shared" si="378"/>
        <v/>
      </c>
      <c r="S377" s="51" t="str">
        <f t="shared" si="378"/>
        <v/>
      </c>
      <c r="T377" s="51" t="str">
        <f t="shared" si="378"/>
        <v/>
      </c>
      <c r="U377" s="52"/>
      <c r="V377" s="52" t="str">
        <f>IFERROR(__xludf.DUMMYFUNCTION("""COMPUTED_VALUE"""),"")</f>
        <v/>
      </c>
      <c r="W377" s="52" t="str">
        <f>IFERROR(__xludf.DUMMYFUNCTION("""COMPUTED_VALUE"""),"")</f>
        <v/>
      </c>
      <c r="X377" s="52" t="str">
        <f>IFERROR(__xludf.DUMMYFUNCTION("""COMPUTED_VALUE"""),"")</f>
        <v/>
      </c>
      <c r="Y377" s="52" t="str">
        <f>IFERROR(__xludf.DUMMYFUNCTION("""COMPUTED_VALUE"""),"")</f>
        <v/>
      </c>
      <c r="Z377" s="52" t="str">
        <f>IFERROR(__xludf.DUMMYFUNCTION("""COMPUTED_VALUE"""),"")</f>
        <v/>
      </c>
      <c r="AA377" s="52" t="str">
        <f>IFERROR(__xludf.DUMMYFUNCTION("""COMPUTED_VALUE"""),"")</f>
        <v/>
      </c>
      <c r="AB377" s="52" t="str">
        <f>IFERROR(__xludf.DUMMYFUNCTION("""COMPUTED_VALUE"""),"")</f>
        <v/>
      </c>
      <c r="AC377" s="52" t="str">
        <f>IFERROR(__xludf.DUMMYFUNCTION("""COMPUTED_VALUE"""),"")</f>
        <v/>
      </c>
      <c r="AD377" s="52" t="str">
        <f>IFERROR(__xludf.DUMMYFUNCTION("""COMPUTED_VALUE"""),"")</f>
        <v/>
      </c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</row>
    <row r="378">
      <c r="B378" s="49"/>
      <c r="C378" s="49" t="str">
        <f t="shared" si="2"/>
        <v/>
      </c>
      <c r="D378" s="50" t="str">
        <f t="shared" si="3"/>
        <v/>
      </c>
      <c r="E378" s="51" t="str">
        <f t="shared" ref="E378:T378" si="379">IFERROR(VLOOKUP($A378,INDIRECT("'" &amp; E$1 &amp; "'!$C:$G"), 5, FALSE),"")</f>
        <v/>
      </c>
      <c r="F378" s="51" t="str">
        <f t="shared" si="379"/>
        <v/>
      </c>
      <c r="G378" s="51" t="str">
        <f t="shared" si="379"/>
        <v/>
      </c>
      <c r="H378" s="51" t="str">
        <f t="shared" si="379"/>
        <v/>
      </c>
      <c r="I378" s="51" t="str">
        <f t="shared" si="379"/>
        <v/>
      </c>
      <c r="J378" s="51" t="str">
        <f t="shared" si="379"/>
        <v/>
      </c>
      <c r="K378" s="51" t="str">
        <f t="shared" si="379"/>
        <v/>
      </c>
      <c r="L378" s="51" t="str">
        <f t="shared" si="379"/>
        <v/>
      </c>
      <c r="M378" s="51" t="str">
        <f t="shared" si="379"/>
        <v/>
      </c>
      <c r="N378" s="51" t="str">
        <f t="shared" si="379"/>
        <v/>
      </c>
      <c r="O378" s="51" t="str">
        <f t="shared" si="379"/>
        <v/>
      </c>
      <c r="P378" s="51" t="str">
        <f t="shared" si="379"/>
        <v/>
      </c>
      <c r="Q378" s="51" t="str">
        <f t="shared" si="379"/>
        <v/>
      </c>
      <c r="R378" s="51" t="str">
        <f t="shared" si="379"/>
        <v/>
      </c>
      <c r="S378" s="51" t="str">
        <f t="shared" si="379"/>
        <v/>
      </c>
      <c r="T378" s="51" t="str">
        <f t="shared" si="379"/>
        <v/>
      </c>
      <c r="U378" s="52"/>
      <c r="V378" s="52" t="str">
        <f>IFERROR(__xludf.DUMMYFUNCTION("""COMPUTED_VALUE"""),"")</f>
        <v/>
      </c>
      <c r="W378" s="52" t="str">
        <f>IFERROR(__xludf.DUMMYFUNCTION("""COMPUTED_VALUE"""),"")</f>
        <v/>
      </c>
      <c r="X378" s="52" t="str">
        <f>IFERROR(__xludf.DUMMYFUNCTION("""COMPUTED_VALUE"""),"")</f>
        <v/>
      </c>
      <c r="Y378" s="52" t="str">
        <f>IFERROR(__xludf.DUMMYFUNCTION("""COMPUTED_VALUE"""),"")</f>
        <v/>
      </c>
      <c r="Z378" s="52" t="str">
        <f>IFERROR(__xludf.DUMMYFUNCTION("""COMPUTED_VALUE"""),"")</f>
        <v/>
      </c>
      <c r="AA378" s="52" t="str">
        <f>IFERROR(__xludf.DUMMYFUNCTION("""COMPUTED_VALUE"""),"")</f>
        <v/>
      </c>
      <c r="AB378" s="52" t="str">
        <f>IFERROR(__xludf.DUMMYFUNCTION("""COMPUTED_VALUE"""),"")</f>
        <v/>
      </c>
      <c r="AC378" s="52" t="str">
        <f>IFERROR(__xludf.DUMMYFUNCTION("""COMPUTED_VALUE"""),"")</f>
        <v/>
      </c>
      <c r="AD378" s="52" t="str">
        <f>IFERROR(__xludf.DUMMYFUNCTION("""COMPUTED_VALUE"""),"")</f>
        <v/>
      </c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</row>
    <row r="379">
      <c r="B379" s="49"/>
      <c r="C379" s="49" t="str">
        <f t="shared" si="2"/>
        <v/>
      </c>
      <c r="D379" s="50" t="str">
        <f t="shared" si="3"/>
        <v/>
      </c>
      <c r="E379" s="51" t="str">
        <f t="shared" ref="E379:T379" si="380">IFERROR(VLOOKUP($A379,INDIRECT("'" &amp; E$1 &amp; "'!$C:$G"), 5, FALSE),"")</f>
        <v/>
      </c>
      <c r="F379" s="51" t="str">
        <f t="shared" si="380"/>
        <v/>
      </c>
      <c r="G379" s="51" t="str">
        <f t="shared" si="380"/>
        <v/>
      </c>
      <c r="H379" s="51" t="str">
        <f t="shared" si="380"/>
        <v/>
      </c>
      <c r="I379" s="51" t="str">
        <f t="shared" si="380"/>
        <v/>
      </c>
      <c r="J379" s="51" t="str">
        <f t="shared" si="380"/>
        <v/>
      </c>
      <c r="K379" s="51" t="str">
        <f t="shared" si="380"/>
        <v/>
      </c>
      <c r="L379" s="51" t="str">
        <f t="shared" si="380"/>
        <v/>
      </c>
      <c r="M379" s="51" t="str">
        <f t="shared" si="380"/>
        <v/>
      </c>
      <c r="N379" s="51" t="str">
        <f t="shared" si="380"/>
        <v/>
      </c>
      <c r="O379" s="51" t="str">
        <f t="shared" si="380"/>
        <v/>
      </c>
      <c r="P379" s="51" t="str">
        <f t="shared" si="380"/>
        <v/>
      </c>
      <c r="Q379" s="51" t="str">
        <f t="shared" si="380"/>
        <v/>
      </c>
      <c r="R379" s="51" t="str">
        <f t="shared" si="380"/>
        <v/>
      </c>
      <c r="S379" s="51" t="str">
        <f t="shared" si="380"/>
        <v/>
      </c>
      <c r="T379" s="51" t="str">
        <f t="shared" si="380"/>
        <v/>
      </c>
      <c r="U379" s="52"/>
      <c r="V379" s="52" t="str">
        <f>IFERROR(__xludf.DUMMYFUNCTION("""COMPUTED_VALUE"""),"")</f>
        <v/>
      </c>
      <c r="W379" s="52" t="str">
        <f>IFERROR(__xludf.DUMMYFUNCTION("""COMPUTED_VALUE"""),"")</f>
        <v/>
      </c>
      <c r="X379" s="52" t="str">
        <f>IFERROR(__xludf.DUMMYFUNCTION("""COMPUTED_VALUE"""),"")</f>
        <v/>
      </c>
      <c r="Y379" s="52" t="str">
        <f>IFERROR(__xludf.DUMMYFUNCTION("""COMPUTED_VALUE"""),"")</f>
        <v/>
      </c>
      <c r="Z379" s="52" t="str">
        <f>IFERROR(__xludf.DUMMYFUNCTION("""COMPUTED_VALUE"""),"")</f>
        <v/>
      </c>
      <c r="AA379" s="52" t="str">
        <f>IFERROR(__xludf.DUMMYFUNCTION("""COMPUTED_VALUE"""),"")</f>
        <v/>
      </c>
      <c r="AB379" s="52" t="str">
        <f>IFERROR(__xludf.DUMMYFUNCTION("""COMPUTED_VALUE"""),"")</f>
        <v/>
      </c>
      <c r="AC379" s="52" t="str">
        <f>IFERROR(__xludf.DUMMYFUNCTION("""COMPUTED_VALUE"""),"")</f>
        <v/>
      </c>
      <c r="AD379" s="52" t="str">
        <f>IFERROR(__xludf.DUMMYFUNCTION("""COMPUTED_VALUE"""),"")</f>
        <v/>
      </c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</row>
    <row r="380">
      <c r="B380" s="49"/>
      <c r="C380" s="49" t="str">
        <f t="shared" si="2"/>
        <v/>
      </c>
      <c r="D380" s="50" t="str">
        <f t="shared" si="3"/>
        <v/>
      </c>
      <c r="E380" s="51" t="str">
        <f t="shared" ref="E380:T380" si="381">IFERROR(VLOOKUP($A380,INDIRECT("'" &amp; E$1 &amp; "'!$C:$G"), 5, FALSE),"")</f>
        <v/>
      </c>
      <c r="F380" s="51" t="str">
        <f t="shared" si="381"/>
        <v/>
      </c>
      <c r="G380" s="51" t="str">
        <f t="shared" si="381"/>
        <v/>
      </c>
      <c r="H380" s="51" t="str">
        <f t="shared" si="381"/>
        <v/>
      </c>
      <c r="I380" s="51" t="str">
        <f t="shared" si="381"/>
        <v/>
      </c>
      <c r="J380" s="51" t="str">
        <f t="shared" si="381"/>
        <v/>
      </c>
      <c r="K380" s="51" t="str">
        <f t="shared" si="381"/>
        <v/>
      </c>
      <c r="L380" s="51" t="str">
        <f t="shared" si="381"/>
        <v/>
      </c>
      <c r="M380" s="51" t="str">
        <f t="shared" si="381"/>
        <v/>
      </c>
      <c r="N380" s="51" t="str">
        <f t="shared" si="381"/>
        <v/>
      </c>
      <c r="O380" s="51" t="str">
        <f t="shared" si="381"/>
        <v/>
      </c>
      <c r="P380" s="51" t="str">
        <f t="shared" si="381"/>
        <v/>
      </c>
      <c r="Q380" s="51" t="str">
        <f t="shared" si="381"/>
        <v/>
      </c>
      <c r="R380" s="51" t="str">
        <f t="shared" si="381"/>
        <v/>
      </c>
      <c r="S380" s="51" t="str">
        <f t="shared" si="381"/>
        <v/>
      </c>
      <c r="T380" s="51" t="str">
        <f t="shared" si="381"/>
        <v/>
      </c>
      <c r="U380" s="52"/>
      <c r="V380" s="52" t="str">
        <f>IFERROR(__xludf.DUMMYFUNCTION("""COMPUTED_VALUE"""),"")</f>
        <v/>
      </c>
      <c r="W380" s="52" t="str">
        <f>IFERROR(__xludf.DUMMYFUNCTION("""COMPUTED_VALUE"""),"")</f>
        <v/>
      </c>
      <c r="X380" s="52" t="str">
        <f>IFERROR(__xludf.DUMMYFUNCTION("""COMPUTED_VALUE"""),"")</f>
        <v/>
      </c>
      <c r="Y380" s="52" t="str">
        <f>IFERROR(__xludf.DUMMYFUNCTION("""COMPUTED_VALUE"""),"")</f>
        <v/>
      </c>
      <c r="Z380" s="52" t="str">
        <f>IFERROR(__xludf.DUMMYFUNCTION("""COMPUTED_VALUE"""),"")</f>
        <v/>
      </c>
      <c r="AA380" s="52" t="str">
        <f>IFERROR(__xludf.DUMMYFUNCTION("""COMPUTED_VALUE"""),"")</f>
        <v/>
      </c>
      <c r="AB380" s="52" t="str">
        <f>IFERROR(__xludf.DUMMYFUNCTION("""COMPUTED_VALUE"""),"")</f>
        <v/>
      </c>
      <c r="AC380" s="52" t="str">
        <f>IFERROR(__xludf.DUMMYFUNCTION("""COMPUTED_VALUE"""),"")</f>
        <v/>
      </c>
      <c r="AD380" s="52" t="str">
        <f>IFERROR(__xludf.DUMMYFUNCTION("""COMPUTED_VALUE"""),"")</f>
        <v/>
      </c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</row>
    <row r="381">
      <c r="B381" s="49"/>
      <c r="C381" s="49" t="str">
        <f t="shared" si="2"/>
        <v/>
      </c>
      <c r="D381" s="50" t="str">
        <f t="shared" si="3"/>
        <v/>
      </c>
      <c r="E381" s="51" t="str">
        <f t="shared" ref="E381:T381" si="382">IFERROR(VLOOKUP($A381,INDIRECT("'" &amp; E$1 &amp; "'!$C:$G"), 5, FALSE),"")</f>
        <v/>
      </c>
      <c r="F381" s="51" t="str">
        <f t="shared" si="382"/>
        <v/>
      </c>
      <c r="G381" s="51" t="str">
        <f t="shared" si="382"/>
        <v/>
      </c>
      <c r="H381" s="51" t="str">
        <f t="shared" si="382"/>
        <v/>
      </c>
      <c r="I381" s="51" t="str">
        <f t="shared" si="382"/>
        <v/>
      </c>
      <c r="J381" s="51" t="str">
        <f t="shared" si="382"/>
        <v/>
      </c>
      <c r="K381" s="51" t="str">
        <f t="shared" si="382"/>
        <v/>
      </c>
      <c r="L381" s="51" t="str">
        <f t="shared" si="382"/>
        <v/>
      </c>
      <c r="M381" s="51" t="str">
        <f t="shared" si="382"/>
        <v/>
      </c>
      <c r="N381" s="51" t="str">
        <f t="shared" si="382"/>
        <v/>
      </c>
      <c r="O381" s="51" t="str">
        <f t="shared" si="382"/>
        <v/>
      </c>
      <c r="P381" s="51" t="str">
        <f t="shared" si="382"/>
        <v/>
      </c>
      <c r="Q381" s="51" t="str">
        <f t="shared" si="382"/>
        <v/>
      </c>
      <c r="R381" s="51" t="str">
        <f t="shared" si="382"/>
        <v/>
      </c>
      <c r="S381" s="51" t="str">
        <f t="shared" si="382"/>
        <v/>
      </c>
      <c r="T381" s="51" t="str">
        <f t="shared" si="382"/>
        <v/>
      </c>
      <c r="U381" s="52"/>
      <c r="V381" s="52" t="str">
        <f>IFERROR(__xludf.DUMMYFUNCTION("""COMPUTED_VALUE"""),"")</f>
        <v/>
      </c>
      <c r="W381" s="52" t="str">
        <f>IFERROR(__xludf.DUMMYFUNCTION("""COMPUTED_VALUE"""),"")</f>
        <v/>
      </c>
      <c r="X381" s="52" t="str">
        <f>IFERROR(__xludf.DUMMYFUNCTION("""COMPUTED_VALUE"""),"")</f>
        <v/>
      </c>
      <c r="Y381" s="52" t="str">
        <f>IFERROR(__xludf.DUMMYFUNCTION("""COMPUTED_VALUE"""),"")</f>
        <v/>
      </c>
      <c r="Z381" s="52" t="str">
        <f>IFERROR(__xludf.DUMMYFUNCTION("""COMPUTED_VALUE"""),"")</f>
        <v/>
      </c>
      <c r="AA381" s="52" t="str">
        <f>IFERROR(__xludf.DUMMYFUNCTION("""COMPUTED_VALUE"""),"")</f>
        <v/>
      </c>
      <c r="AB381" s="52" t="str">
        <f>IFERROR(__xludf.DUMMYFUNCTION("""COMPUTED_VALUE"""),"")</f>
        <v/>
      </c>
      <c r="AC381" s="52" t="str">
        <f>IFERROR(__xludf.DUMMYFUNCTION("""COMPUTED_VALUE"""),"")</f>
        <v/>
      </c>
      <c r="AD381" s="52" t="str">
        <f>IFERROR(__xludf.DUMMYFUNCTION("""COMPUTED_VALUE"""),"")</f>
        <v/>
      </c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</row>
    <row r="382">
      <c r="B382" s="49"/>
      <c r="C382" s="49" t="str">
        <f t="shared" si="2"/>
        <v/>
      </c>
      <c r="D382" s="50" t="str">
        <f t="shared" si="3"/>
        <v/>
      </c>
      <c r="E382" s="51" t="str">
        <f t="shared" ref="E382:T382" si="383">IFERROR(VLOOKUP($A382,INDIRECT("'" &amp; E$1 &amp; "'!$C:$G"), 5, FALSE),"")</f>
        <v/>
      </c>
      <c r="F382" s="51" t="str">
        <f t="shared" si="383"/>
        <v/>
      </c>
      <c r="G382" s="51" t="str">
        <f t="shared" si="383"/>
        <v/>
      </c>
      <c r="H382" s="51" t="str">
        <f t="shared" si="383"/>
        <v/>
      </c>
      <c r="I382" s="51" t="str">
        <f t="shared" si="383"/>
        <v/>
      </c>
      <c r="J382" s="51" t="str">
        <f t="shared" si="383"/>
        <v/>
      </c>
      <c r="K382" s="51" t="str">
        <f t="shared" si="383"/>
        <v/>
      </c>
      <c r="L382" s="51" t="str">
        <f t="shared" si="383"/>
        <v/>
      </c>
      <c r="M382" s="51" t="str">
        <f t="shared" si="383"/>
        <v/>
      </c>
      <c r="N382" s="51" t="str">
        <f t="shared" si="383"/>
        <v/>
      </c>
      <c r="O382" s="51" t="str">
        <f t="shared" si="383"/>
        <v/>
      </c>
      <c r="P382" s="51" t="str">
        <f t="shared" si="383"/>
        <v/>
      </c>
      <c r="Q382" s="51" t="str">
        <f t="shared" si="383"/>
        <v/>
      </c>
      <c r="R382" s="51" t="str">
        <f t="shared" si="383"/>
        <v/>
      </c>
      <c r="S382" s="51" t="str">
        <f t="shared" si="383"/>
        <v/>
      </c>
      <c r="T382" s="51" t="str">
        <f t="shared" si="383"/>
        <v/>
      </c>
      <c r="U382" s="52"/>
      <c r="V382" s="52" t="str">
        <f>IFERROR(__xludf.DUMMYFUNCTION("""COMPUTED_VALUE"""),"")</f>
        <v/>
      </c>
      <c r="W382" s="52" t="str">
        <f>IFERROR(__xludf.DUMMYFUNCTION("""COMPUTED_VALUE"""),"")</f>
        <v/>
      </c>
      <c r="X382" s="52" t="str">
        <f>IFERROR(__xludf.DUMMYFUNCTION("""COMPUTED_VALUE"""),"")</f>
        <v/>
      </c>
      <c r="Y382" s="52" t="str">
        <f>IFERROR(__xludf.DUMMYFUNCTION("""COMPUTED_VALUE"""),"")</f>
        <v/>
      </c>
      <c r="Z382" s="52" t="str">
        <f>IFERROR(__xludf.DUMMYFUNCTION("""COMPUTED_VALUE"""),"")</f>
        <v/>
      </c>
      <c r="AA382" s="52" t="str">
        <f>IFERROR(__xludf.DUMMYFUNCTION("""COMPUTED_VALUE"""),"")</f>
        <v/>
      </c>
      <c r="AB382" s="52" t="str">
        <f>IFERROR(__xludf.DUMMYFUNCTION("""COMPUTED_VALUE"""),"")</f>
        <v/>
      </c>
      <c r="AC382" s="52" t="str">
        <f>IFERROR(__xludf.DUMMYFUNCTION("""COMPUTED_VALUE"""),"")</f>
        <v/>
      </c>
      <c r="AD382" s="52" t="str">
        <f>IFERROR(__xludf.DUMMYFUNCTION("""COMPUTED_VALUE"""),"")</f>
        <v/>
      </c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</row>
    <row r="383">
      <c r="B383" s="49"/>
      <c r="C383" s="49" t="str">
        <f t="shared" si="2"/>
        <v/>
      </c>
      <c r="D383" s="50" t="str">
        <f t="shared" si="3"/>
        <v/>
      </c>
      <c r="E383" s="51" t="str">
        <f t="shared" ref="E383:T383" si="384">IFERROR(VLOOKUP($A383,INDIRECT("'" &amp; E$1 &amp; "'!$C:$G"), 5, FALSE),"")</f>
        <v/>
      </c>
      <c r="F383" s="51" t="str">
        <f t="shared" si="384"/>
        <v/>
      </c>
      <c r="G383" s="51" t="str">
        <f t="shared" si="384"/>
        <v/>
      </c>
      <c r="H383" s="51" t="str">
        <f t="shared" si="384"/>
        <v/>
      </c>
      <c r="I383" s="51" t="str">
        <f t="shared" si="384"/>
        <v/>
      </c>
      <c r="J383" s="51" t="str">
        <f t="shared" si="384"/>
        <v/>
      </c>
      <c r="K383" s="51" t="str">
        <f t="shared" si="384"/>
        <v/>
      </c>
      <c r="L383" s="51" t="str">
        <f t="shared" si="384"/>
        <v/>
      </c>
      <c r="M383" s="51" t="str">
        <f t="shared" si="384"/>
        <v/>
      </c>
      <c r="N383" s="51" t="str">
        <f t="shared" si="384"/>
        <v/>
      </c>
      <c r="O383" s="51" t="str">
        <f t="shared" si="384"/>
        <v/>
      </c>
      <c r="P383" s="51" t="str">
        <f t="shared" si="384"/>
        <v/>
      </c>
      <c r="Q383" s="51" t="str">
        <f t="shared" si="384"/>
        <v/>
      </c>
      <c r="R383" s="51" t="str">
        <f t="shared" si="384"/>
        <v/>
      </c>
      <c r="S383" s="51" t="str">
        <f t="shared" si="384"/>
        <v/>
      </c>
      <c r="T383" s="51" t="str">
        <f t="shared" si="384"/>
        <v/>
      </c>
      <c r="U383" s="52"/>
      <c r="V383" s="52" t="str">
        <f>IFERROR(__xludf.DUMMYFUNCTION("""COMPUTED_VALUE"""),"")</f>
        <v/>
      </c>
      <c r="W383" s="52" t="str">
        <f>IFERROR(__xludf.DUMMYFUNCTION("""COMPUTED_VALUE"""),"")</f>
        <v/>
      </c>
      <c r="X383" s="52" t="str">
        <f>IFERROR(__xludf.DUMMYFUNCTION("""COMPUTED_VALUE"""),"")</f>
        <v/>
      </c>
      <c r="Y383" s="52" t="str">
        <f>IFERROR(__xludf.DUMMYFUNCTION("""COMPUTED_VALUE"""),"")</f>
        <v/>
      </c>
      <c r="Z383" s="52" t="str">
        <f>IFERROR(__xludf.DUMMYFUNCTION("""COMPUTED_VALUE"""),"")</f>
        <v/>
      </c>
      <c r="AA383" s="52" t="str">
        <f>IFERROR(__xludf.DUMMYFUNCTION("""COMPUTED_VALUE"""),"")</f>
        <v/>
      </c>
      <c r="AB383" s="52" t="str">
        <f>IFERROR(__xludf.DUMMYFUNCTION("""COMPUTED_VALUE"""),"")</f>
        <v/>
      </c>
      <c r="AC383" s="52" t="str">
        <f>IFERROR(__xludf.DUMMYFUNCTION("""COMPUTED_VALUE"""),"")</f>
        <v/>
      </c>
      <c r="AD383" s="52" t="str">
        <f>IFERROR(__xludf.DUMMYFUNCTION("""COMPUTED_VALUE"""),"")</f>
        <v/>
      </c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</row>
    <row r="384">
      <c r="B384" s="49"/>
      <c r="C384" s="49" t="str">
        <f t="shared" si="2"/>
        <v/>
      </c>
      <c r="D384" s="50" t="str">
        <f t="shared" si="3"/>
        <v/>
      </c>
      <c r="E384" s="51" t="str">
        <f t="shared" ref="E384:T384" si="385">IFERROR(VLOOKUP($A384,INDIRECT("'" &amp; E$1 &amp; "'!$C:$G"), 5, FALSE),"")</f>
        <v/>
      </c>
      <c r="F384" s="51" t="str">
        <f t="shared" si="385"/>
        <v/>
      </c>
      <c r="G384" s="51" t="str">
        <f t="shared" si="385"/>
        <v/>
      </c>
      <c r="H384" s="51" t="str">
        <f t="shared" si="385"/>
        <v/>
      </c>
      <c r="I384" s="51" t="str">
        <f t="shared" si="385"/>
        <v/>
      </c>
      <c r="J384" s="51" t="str">
        <f t="shared" si="385"/>
        <v/>
      </c>
      <c r="K384" s="51" t="str">
        <f t="shared" si="385"/>
        <v/>
      </c>
      <c r="L384" s="51" t="str">
        <f t="shared" si="385"/>
        <v/>
      </c>
      <c r="M384" s="51" t="str">
        <f t="shared" si="385"/>
        <v/>
      </c>
      <c r="N384" s="51" t="str">
        <f t="shared" si="385"/>
        <v/>
      </c>
      <c r="O384" s="51" t="str">
        <f t="shared" si="385"/>
        <v/>
      </c>
      <c r="P384" s="51" t="str">
        <f t="shared" si="385"/>
        <v/>
      </c>
      <c r="Q384" s="51" t="str">
        <f t="shared" si="385"/>
        <v/>
      </c>
      <c r="R384" s="51" t="str">
        <f t="shared" si="385"/>
        <v/>
      </c>
      <c r="S384" s="51" t="str">
        <f t="shared" si="385"/>
        <v/>
      </c>
      <c r="T384" s="51" t="str">
        <f t="shared" si="385"/>
        <v/>
      </c>
      <c r="U384" s="52"/>
      <c r="V384" s="52" t="str">
        <f>IFERROR(__xludf.DUMMYFUNCTION("""COMPUTED_VALUE"""),"")</f>
        <v/>
      </c>
      <c r="W384" s="52" t="str">
        <f>IFERROR(__xludf.DUMMYFUNCTION("""COMPUTED_VALUE"""),"")</f>
        <v/>
      </c>
      <c r="X384" s="52" t="str">
        <f>IFERROR(__xludf.DUMMYFUNCTION("""COMPUTED_VALUE"""),"")</f>
        <v/>
      </c>
      <c r="Y384" s="52" t="str">
        <f>IFERROR(__xludf.DUMMYFUNCTION("""COMPUTED_VALUE"""),"")</f>
        <v/>
      </c>
      <c r="Z384" s="52" t="str">
        <f>IFERROR(__xludf.DUMMYFUNCTION("""COMPUTED_VALUE"""),"")</f>
        <v/>
      </c>
      <c r="AA384" s="52" t="str">
        <f>IFERROR(__xludf.DUMMYFUNCTION("""COMPUTED_VALUE"""),"")</f>
        <v/>
      </c>
      <c r="AB384" s="52" t="str">
        <f>IFERROR(__xludf.DUMMYFUNCTION("""COMPUTED_VALUE"""),"")</f>
        <v/>
      </c>
      <c r="AC384" s="52" t="str">
        <f>IFERROR(__xludf.DUMMYFUNCTION("""COMPUTED_VALUE"""),"")</f>
        <v/>
      </c>
      <c r="AD384" s="52" t="str">
        <f>IFERROR(__xludf.DUMMYFUNCTION("""COMPUTED_VALUE"""),"")</f>
        <v/>
      </c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</row>
    <row r="385">
      <c r="B385" s="49"/>
      <c r="C385" s="49" t="str">
        <f t="shared" si="2"/>
        <v/>
      </c>
      <c r="D385" s="50" t="str">
        <f t="shared" si="3"/>
        <v/>
      </c>
      <c r="E385" s="51" t="str">
        <f t="shared" ref="E385:T385" si="386">IFERROR(VLOOKUP($A385,INDIRECT("'" &amp; E$1 &amp; "'!$C:$G"), 5, FALSE),"")</f>
        <v/>
      </c>
      <c r="F385" s="51" t="str">
        <f t="shared" si="386"/>
        <v/>
      </c>
      <c r="G385" s="51" t="str">
        <f t="shared" si="386"/>
        <v/>
      </c>
      <c r="H385" s="51" t="str">
        <f t="shared" si="386"/>
        <v/>
      </c>
      <c r="I385" s="51" t="str">
        <f t="shared" si="386"/>
        <v/>
      </c>
      <c r="J385" s="51" t="str">
        <f t="shared" si="386"/>
        <v/>
      </c>
      <c r="K385" s="51" t="str">
        <f t="shared" si="386"/>
        <v/>
      </c>
      <c r="L385" s="51" t="str">
        <f t="shared" si="386"/>
        <v/>
      </c>
      <c r="M385" s="51" t="str">
        <f t="shared" si="386"/>
        <v/>
      </c>
      <c r="N385" s="51" t="str">
        <f t="shared" si="386"/>
        <v/>
      </c>
      <c r="O385" s="51" t="str">
        <f t="shared" si="386"/>
        <v/>
      </c>
      <c r="P385" s="51" t="str">
        <f t="shared" si="386"/>
        <v/>
      </c>
      <c r="Q385" s="51" t="str">
        <f t="shared" si="386"/>
        <v/>
      </c>
      <c r="R385" s="51" t="str">
        <f t="shared" si="386"/>
        <v/>
      </c>
      <c r="S385" s="51" t="str">
        <f t="shared" si="386"/>
        <v/>
      </c>
      <c r="T385" s="51" t="str">
        <f t="shared" si="386"/>
        <v/>
      </c>
      <c r="U385" s="52"/>
      <c r="V385" s="52" t="str">
        <f>IFERROR(__xludf.DUMMYFUNCTION("""COMPUTED_VALUE"""),"")</f>
        <v/>
      </c>
      <c r="W385" s="52" t="str">
        <f>IFERROR(__xludf.DUMMYFUNCTION("""COMPUTED_VALUE"""),"")</f>
        <v/>
      </c>
      <c r="X385" s="52" t="str">
        <f>IFERROR(__xludf.DUMMYFUNCTION("""COMPUTED_VALUE"""),"")</f>
        <v/>
      </c>
      <c r="Y385" s="52" t="str">
        <f>IFERROR(__xludf.DUMMYFUNCTION("""COMPUTED_VALUE"""),"")</f>
        <v/>
      </c>
      <c r="Z385" s="52" t="str">
        <f>IFERROR(__xludf.DUMMYFUNCTION("""COMPUTED_VALUE"""),"")</f>
        <v/>
      </c>
      <c r="AA385" s="52" t="str">
        <f>IFERROR(__xludf.DUMMYFUNCTION("""COMPUTED_VALUE"""),"")</f>
        <v/>
      </c>
      <c r="AB385" s="52" t="str">
        <f>IFERROR(__xludf.DUMMYFUNCTION("""COMPUTED_VALUE"""),"")</f>
        <v/>
      </c>
      <c r="AC385" s="52" t="str">
        <f>IFERROR(__xludf.DUMMYFUNCTION("""COMPUTED_VALUE"""),"")</f>
        <v/>
      </c>
      <c r="AD385" s="52" t="str">
        <f>IFERROR(__xludf.DUMMYFUNCTION("""COMPUTED_VALUE"""),"")</f>
        <v/>
      </c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</row>
    <row r="386">
      <c r="B386" s="49"/>
      <c r="C386" s="49" t="str">
        <f t="shared" si="2"/>
        <v/>
      </c>
      <c r="D386" s="50" t="str">
        <f t="shared" si="3"/>
        <v/>
      </c>
      <c r="E386" s="51" t="str">
        <f t="shared" ref="E386:T386" si="387">IFERROR(VLOOKUP($A386,INDIRECT("'" &amp; E$1 &amp; "'!$C:$G"), 5, FALSE),"")</f>
        <v/>
      </c>
      <c r="F386" s="51" t="str">
        <f t="shared" si="387"/>
        <v/>
      </c>
      <c r="G386" s="51" t="str">
        <f t="shared" si="387"/>
        <v/>
      </c>
      <c r="H386" s="51" t="str">
        <f t="shared" si="387"/>
        <v/>
      </c>
      <c r="I386" s="51" t="str">
        <f t="shared" si="387"/>
        <v/>
      </c>
      <c r="J386" s="51" t="str">
        <f t="shared" si="387"/>
        <v/>
      </c>
      <c r="K386" s="51" t="str">
        <f t="shared" si="387"/>
        <v/>
      </c>
      <c r="L386" s="51" t="str">
        <f t="shared" si="387"/>
        <v/>
      </c>
      <c r="M386" s="51" t="str">
        <f t="shared" si="387"/>
        <v/>
      </c>
      <c r="N386" s="51" t="str">
        <f t="shared" si="387"/>
        <v/>
      </c>
      <c r="O386" s="51" t="str">
        <f t="shared" si="387"/>
        <v/>
      </c>
      <c r="P386" s="51" t="str">
        <f t="shared" si="387"/>
        <v/>
      </c>
      <c r="Q386" s="51" t="str">
        <f t="shared" si="387"/>
        <v/>
      </c>
      <c r="R386" s="51" t="str">
        <f t="shared" si="387"/>
        <v/>
      </c>
      <c r="S386" s="51" t="str">
        <f t="shared" si="387"/>
        <v/>
      </c>
      <c r="T386" s="51" t="str">
        <f t="shared" si="387"/>
        <v/>
      </c>
      <c r="U386" s="52"/>
      <c r="V386" s="52" t="str">
        <f>IFERROR(__xludf.DUMMYFUNCTION("""COMPUTED_VALUE"""),"")</f>
        <v/>
      </c>
      <c r="W386" s="52" t="str">
        <f>IFERROR(__xludf.DUMMYFUNCTION("""COMPUTED_VALUE"""),"")</f>
        <v/>
      </c>
      <c r="X386" s="52" t="str">
        <f>IFERROR(__xludf.DUMMYFUNCTION("""COMPUTED_VALUE"""),"")</f>
        <v/>
      </c>
      <c r="Y386" s="52" t="str">
        <f>IFERROR(__xludf.DUMMYFUNCTION("""COMPUTED_VALUE"""),"")</f>
        <v/>
      </c>
      <c r="Z386" s="52" t="str">
        <f>IFERROR(__xludf.DUMMYFUNCTION("""COMPUTED_VALUE"""),"")</f>
        <v/>
      </c>
      <c r="AA386" s="52" t="str">
        <f>IFERROR(__xludf.DUMMYFUNCTION("""COMPUTED_VALUE"""),"")</f>
        <v/>
      </c>
      <c r="AB386" s="52" t="str">
        <f>IFERROR(__xludf.DUMMYFUNCTION("""COMPUTED_VALUE"""),"")</f>
        <v/>
      </c>
      <c r="AC386" s="52" t="str">
        <f>IFERROR(__xludf.DUMMYFUNCTION("""COMPUTED_VALUE"""),"")</f>
        <v/>
      </c>
      <c r="AD386" s="52" t="str">
        <f>IFERROR(__xludf.DUMMYFUNCTION("""COMPUTED_VALUE"""),"")</f>
        <v/>
      </c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</row>
    <row r="387">
      <c r="B387" s="49"/>
      <c r="C387" s="49" t="str">
        <f t="shared" si="2"/>
        <v/>
      </c>
      <c r="D387" s="50" t="str">
        <f t="shared" si="3"/>
        <v/>
      </c>
      <c r="E387" s="51" t="str">
        <f t="shared" ref="E387:T387" si="388">IFERROR(VLOOKUP($A387,INDIRECT("'" &amp; E$1 &amp; "'!$C:$G"), 5, FALSE),"")</f>
        <v/>
      </c>
      <c r="F387" s="51" t="str">
        <f t="shared" si="388"/>
        <v/>
      </c>
      <c r="G387" s="51" t="str">
        <f t="shared" si="388"/>
        <v/>
      </c>
      <c r="H387" s="51" t="str">
        <f t="shared" si="388"/>
        <v/>
      </c>
      <c r="I387" s="51" t="str">
        <f t="shared" si="388"/>
        <v/>
      </c>
      <c r="J387" s="51" t="str">
        <f t="shared" si="388"/>
        <v/>
      </c>
      <c r="K387" s="51" t="str">
        <f t="shared" si="388"/>
        <v/>
      </c>
      <c r="L387" s="51" t="str">
        <f t="shared" si="388"/>
        <v/>
      </c>
      <c r="M387" s="51" t="str">
        <f t="shared" si="388"/>
        <v/>
      </c>
      <c r="N387" s="51" t="str">
        <f t="shared" si="388"/>
        <v/>
      </c>
      <c r="O387" s="51" t="str">
        <f t="shared" si="388"/>
        <v/>
      </c>
      <c r="P387" s="51" t="str">
        <f t="shared" si="388"/>
        <v/>
      </c>
      <c r="Q387" s="51" t="str">
        <f t="shared" si="388"/>
        <v/>
      </c>
      <c r="R387" s="51" t="str">
        <f t="shared" si="388"/>
        <v/>
      </c>
      <c r="S387" s="51" t="str">
        <f t="shared" si="388"/>
        <v/>
      </c>
      <c r="T387" s="51" t="str">
        <f t="shared" si="388"/>
        <v/>
      </c>
      <c r="U387" s="52"/>
      <c r="V387" s="52" t="str">
        <f>IFERROR(__xludf.DUMMYFUNCTION("""COMPUTED_VALUE"""),"")</f>
        <v/>
      </c>
      <c r="W387" s="52" t="str">
        <f>IFERROR(__xludf.DUMMYFUNCTION("""COMPUTED_VALUE"""),"")</f>
        <v/>
      </c>
      <c r="X387" s="52" t="str">
        <f>IFERROR(__xludf.DUMMYFUNCTION("""COMPUTED_VALUE"""),"")</f>
        <v/>
      </c>
      <c r="Y387" s="52" t="str">
        <f>IFERROR(__xludf.DUMMYFUNCTION("""COMPUTED_VALUE"""),"")</f>
        <v/>
      </c>
      <c r="Z387" s="52" t="str">
        <f>IFERROR(__xludf.DUMMYFUNCTION("""COMPUTED_VALUE"""),"")</f>
        <v/>
      </c>
      <c r="AA387" s="52" t="str">
        <f>IFERROR(__xludf.DUMMYFUNCTION("""COMPUTED_VALUE"""),"")</f>
        <v/>
      </c>
      <c r="AB387" s="52" t="str">
        <f>IFERROR(__xludf.DUMMYFUNCTION("""COMPUTED_VALUE"""),"")</f>
        <v/>
      </c>
      <c r="AC387" s="52" t="str">
        <f>IFERROR(__xludf.DUMMYFUNCTION("""COMPUTED_VALUE"""),"")</f>
        <v/>
      </c>
      <c r="AD387" s="52" t="str">
        <f>IFERROR(__xludf.DUMMYFUNCTION("""COMPUTED_VALUE"""),"")</f>
        <v/>
      </c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</row>
    <row r="388">
      <c r="B388" s="49"/>
      <c r="C388" s="49" t="str">
        <f t="shared" si="2"/>
        <v/>
      </c>
      <c r="D388" s="50" t="str">
        <f t="shared" si="3"/>
        <v/>
      </c>
      <c r="E388" s="51" t="str">
        <f t="shared" ref="E388:T388" si="389">IFERROR(VLOOKUP($A388,INDIRECT("'" &amp; E$1 &amp; "'!$C:$G"), 5, FALSE),"")</f>
        <v/>
      </c>
      <c r="F388" s="51" t="str">
        <f t="shared" si="389"/>
        <v/>
      </c>
      <c r="G388" s="51" t="str">
        <f t="shared" si="389"/>
        <v/>
      </c>
      <c r="H388" s="51" t="str">
        <f t="shared" si="389"/>
        <v/>
      </c>
      <c r="I388" s="51" t="str">
        <f t="shared" si="389"/>
        <v/>
      </c>
      <c r="J388" s="51" t="str">
        <f t="shared" si="389"/>
        <v/>
      </c>
      <c r="K388" s="51" t="str">
        <f t="shared" si="389"/>
        <v/>
      </c>
      <c r="L388" s="51" t="str">
        <f t="shared" si="389"/>
        <v/>
      </c>
      <c r="M388" s="51" t="str">
        <f t="shared" si="389"/>
        <v/>
      </c>
      <c r="N388" s="51" t="str">
        <f t="shared" si="389"/>
        <v/>
      </c>
      <c r="O388" s="51" t="str">
        <f t="shared" si="389"/>
        <v/>
      </c>
      <c r="P388" s="51" t="str">
        <f t="shared" si="389"/>
        <v/>
      </c>
      <c r="Q388" s="51" t="str">
        <f t="shared" si="389"/>
        <v/>
      </c>
      <c r="R388" s="51" t="str">
        <f t="shared" si="389"/>
        <v/>
      </c>
      <c r="S388" s="51" t="str">
        <f t="shared" si="389"/>
        <v/>
      </c>
      <c r="T388" s="51" t="str">
        <f t="shared" si="389"/>
        <v/>
      </c>
      <c r="U388" s="52"/>
      <c r="V388" s="52" t="str">
        <f>IFERROR(__xludf.DUMMYFUNCTION("""COMPUTED_VALUE"""),"")</f>
        <v/>
      </c>
      <c r="W388" s="52" t="str">
        <f>IFERROR(__xludf.DUMMYFUNCTION("""COMPUTED_VALUE"""),"")</f>
        <v/>
      </c>
      <c r="X388" s="52" t="str">
        <f>IFERROR(__xludf.DUMMYFUNCTION("""COMPUTED_VALUE"""),"")</f>
        <v/>
      </c>
      <c r="Y388" s="52" t="str">
        <f>IFERROR(__xludf.DUMMYFUNCTION("""COMPUTED_VALUE"""),"")</f>
        <v/>
      </c>
      <c r="Z388" s="52" t="str">
        <f>IFERROR(__xludf.DUMMYFUNCTION("""COMPUTED_VALUE"""),"")</f>
        <v/>
      </c>
      <c r="AA388" s="52" t="str">
        <f>IFERROR(__xludf.DUMMYFUNCTION("""COMPUTED_VALUE"""),"")</f>
        <v/>
      </c>
      <c r="AB388" s="52" t="str">
        <f>IFERROR(__xludf.DUMMYFUNCTION("""COMPUTED_VALUE"""),"")</f>
        <v/>
      </c>
      <c r="AC388" s="52" t="str">
        <f>IFERROR(__xludf.DUMMYFUNCTION("""COMPUTED_VALUE"""),"")</f>
        <v/>
      </c>
      <c r="AD388" s="52" t="str">
        <f>IFERROR(__xludf.DUMMYFUNCTION("""COMPUTED_VALUE"""),"")</f>
        <v/>
      </c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</row>
    <row r="389">
      <c r="B389" s="49"/>
      <c r="C389" s="49" t="str">
        <f t="shared" si="2"/>
        <v/>
      </c>
      <c r="D389" s="50" t="str">
        <f t="shared" si="3"/>
        <v/>
      </c>
      <c r="E389" s="51" t="str">
        <f t="shared" ref="E389:T389" si="390">IFERROR(VLOOKUP($A389,INDIRECT("'" &amp; E$1 &amp; "'!$C:$G"), 5, FALSE),"")</f>
        <v/>
      </c>
      <c r="F389" s="51" t="str">
        <f t="shared" si="390"/>
        <v/>
      </c>
      <c r="G389" s="51" t="str">
        <f t="shared" si="390"/>
        <v/>
      </c>
      <c r="H389" s="51" t="str">
        <f t="shared" si="390"/>
        <v/>
      </c>
      <c r="I389" s="51" t="str">
        <f t="shared" si="390"/>
        <v/>
      </c>
      <c r="J389" s="51" t="str">
        <f t="shared" si="390"/>
        <v/>
      </c>
      <c r="K389" s="51" t="str">
        <f t="shared" si="390"/>
        <v/>
      </c>
      <c r="L389" s="51" t="str">
        <f t="shared" si="390"/>
        <v/>
      </c>
      <c r="M389" s="51" t="str">
        <f t="shared" si="390"/>
        <v/>
      </c>
      <c r="N389" s="51" t="str">
        <f t="shared" si="390"/>
        <v/>
      </c>
      <c r="O389" s="51" t="str">
        <f t="shared" si="390"/>
        <v/>
      </c>
      <c r="P389" s="51" t="str">
        <f t="shared" si="390"/>
        <v/>
      </c>
      <c r="Q389" s="51" t="str">
        <f t="shared" si="390"/>
        <v/>
      </c>
      <c r="R389" s="51" t="str">
        <f t="shared" si="390"/>
        <v/>
      </c>
      <c r="S389" s="51" t="str">
        <f t="shared" si="390"/>
        <v/>
      </c>
      <c r="T389" s="51" t="str">
        <f t="shared" si="390"/>
        <v/>
      </c>
      <c r="U389" s="52"/>
      <c r="V389" s="52" t="str">
        <f>IFERROR(__xludf.DUMMYFUNCTION("""COMPUTED_VALUE"""),"")</f>
        <v/>
      </c>
      <c r="W389" s="52" t="str">
        <f>IFERROR(__xludf.DUMMYFUNCTION("""COMPUTED_VALUE"""),"")</f>
        <v/>
      </c>
      <c r="X389" s="52" t="str">
        <f>IFERROR(__xludf.DUMMYFUNCTION("""COMPUTED_VALUE"""),"")</f>
        <v/>
      </c>
      <c r="Y389" s="52" t="str">
        <f>IFERROR(__xludf.DUMMYFUNCTION("""COMPUTED_VALUE"""),"")</f>
        <v/>
      </c>
      <c r="Z389" s="52" t="str">
        <f>IFERROR(__xludf.DUMMYFUNCTION("""COMPUTED_VALUE"""),"")</f>
        <v/>
      </c>
      <c r="AA389" s="52" t="str">
        <f>IFERROR(__xludf.DUMMYFUNCTION("""COMPUTED_VALUE"""),"")</f>
        <v/>
      </c>
      <c r="AB389" s="52" t="str">
        <f>IFERROR(__xludf.DUMMYFUNCTION("""COMPUTED_VALUE"""),"")</f>
        <v/>
      </c>
      <c r="AC389" s="52" t="str">
        <f>IFERROR(__xludf.DUMMYFUNCTION("""COMPUTED_VALUE"""),"")</f>
        <v/>
      </c>
      <c r="AD389" s="52" t="str">
        <f>IFERROR(__xludf.DUMMYFUNCTION("""COMPUTED_VALUE"""),"")</f>
        <v/>
      </c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</row>
    <row r="390">
      <c r="B390" s="49"/>
      <c r="C390" s="49" t="str">
        <f t="shared" si="2"/>
        <v/>
      </c>
      <c r="D390" s="50" t="str">
        <f t="shared" si="3"/>
        <v/>
      </c>
      <c r="E390" s="51" t="str">
        <f t="shared" ref="E390:T390" si="391">IFERROR(VLOOKUP($A390,INDIRECT("'" &amp; E$1 &amp; "'!$C:$G"), 5, FALSE),"")</f>
        <v/>
      </c>
      <c r="F390" s="51" t="str">
        <f t="shared" si="391"/>
        <v/>
      </c>
      <c r="G390" s="51" t="str">
        <f t="shared" si="391"/>
        <v/>
      </c>
      <c r="H390" s="51" t="str">
        <f t="shared" si="391"/>
        <v/>
      </c>
      <c r="I390" s="51" t="str">
        <f t="shared" si="391"/>
        <v/>
      </c>
      <c r="J390" s="51" t="str">
        <f t="shared" si="391"/>
        <v/>
      </c>
      <c r="K390" s="51" t="str">
        <f t="shared" si="391"/>
        <v/>
      </c>
      <c r="L390" s="51" t="str">
        <f t="shared" si="391"/>
        <v/>
      </c>
      <c r="M390" s="51" t="str">
        <f t="shared" si="391"/>
        <v/>
      </c>
      <c r="N390" s="51" t="str">
        <f t="shared" si="391"/>
        <v/>
      </c>
      <c r="O390" s="51" t="str">
        <f t="shared" si="391"/>
        <v/>
      </c>
      <c r="P390" s="51" t="str">
        <f t="shared" si="391"/>
        <v/>
      </c>
      <c r="Q390" s="51" t="str">
        <f t="shared" si="391"/>
        <v/>
      </c>
      <c r="R390" s="51" t="str">
        <f t="shared" si="391"/>
        <v/>
      </c>
      <c r="S390" s="51" t="str">
        <f t="shared" si="391"/>
        <v/>
      </c>
      <c r="T390" s="51" t="str">
        <f t="shared" si="391"/>
        <v/>
      </c>
      <c r="U390" s="52"/>
      <c r="V390" s="52" t="str">
        <f>IFERROR(__xludf.DUMMYFUNCTION("""COMPUTED_VALUE"""),"")</f>
        <v/>
      </c>
      <c r="W390" s="52" t="str">
        <f>IFERROR(__xludf.DUMMYFUNCTION("""COMPUTED_VALUE"""),"")</f>
        <v/>
      </c>
      <c r="X390" s="52" t="str">
        <f>IFERROR(__xludf.DUMMYFUNCTION("""COMPUTED_VALUE"""),"")</f>
        <v/>
      </c>
      <c r="Y390" s="52" t="str">
        <f>IFERROR(__xludf.DUMMYFUNCTION("""COMPUTED_VALUE"""),"")</f>
        <v/>
      </c>
      <c r="Z390" s="52" t="str">
        <f>IFERROR(__xludf.DUMMYFUNCTION("""COMPUTED_VALUE"""),"")</f>
        <v/>
      </c>
      <c r="AA390" s="52" t="str">
        <f>IFERROR(__xludf.DUMMYFUNCTION("""COMPUTED_VALUE"""),"")</f>
        <v/>
      </c>
      <c r="AB390" s="52" t="str">
        <f>IFERROR(__xludf.DUMMYFUNCTION("""COMPUTED_VALUE"""),"")</f>
        <v/>
      </c>
      <c r="AC390" s="52" t="str">
        <f>IFERROR(__xludf.DUMMYFUNCTION("""COMPUTED_VALUE"""),"")</f>
        <v/>
      </c>
      <c r="AD390" s="52" t="str">
        <f>IFERROR(__xludf.DUMMYFUNCTION("""COMPUTED_VALUE"""),"")</f>
        <v/>
      </c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</row>
    <row r="391">
      <c r="B391" s="49"/>
      <c r="C391" s="49" t="str">
        <f t="shared" si="2"/>
        <v/>
      </c>
      <c r="D391" s="50" t="str">
        <f t="shared" si="3"/>
        <v/>
      </c>
      <c r="E391" s="51" t="str">
        <f t="shared" ref="E391:T391" si="392">IFERROR(VLOOKUP($A391,INDIRECT("'" &amp; E$1 &amp; "'!$C:$G"), 5, FALSE),"")</f>
        <v/>
      </c>
      <c r="F391" s="51" t="str">
        <f t="shared" si="392"/>
        <v/>
      </c>
      <c r="G391" s="51" t="str">
        <f t="shared" si="392"/>
        <v/>
      </c>
      <c r="H391" s="51" t="str">
        <f t="shared" si="392"/>
        <v/>
      </c>
      <c r="I391" s="51" t="str">
        <f t="shared" si="392"/>
        <v/>
      </c>
      <c r="J391" s="51" t="str">
        <f t="shared" si="392"/>
        <v/>
      </c>
      <c r="K391" s="51" t="str">
        <f t="shared" si="392"/>
        <v/>
      </c>
      <c r="L391" s="51" t="str">
        <f t="shared" si="392"/>
        <v/>
      </c>
      <c r="M391" s="51" t="str">
        <f t="shared" si="392"/>
        <v/>
      </c>
      <c r="N391" s="51" t="str">
        <f t="shared" si="392"/>
        <v/>
      </c>
      <c r="O391" s="51" t="str">
        <f t="shared" si="392"/>
        <v/>
      </c>
      <c r="P391" s="51" t="str">
        <f t="shared" si="392"/>
        <v/>
      </c>
      <c r="Q391" s="51" t="str">
        <f t="shared" si="392"/>
        <v/>
      </c>
      <c r="R391" s="51" t="str">
        <f t="shared" si="392"/>
        <v/>
      </c>
      <c r="S391" s="51" t="str">
        <f t="shared" si="392"/>
        <v/>
      </c>
      <c r="T391" s="51" t="str">
        <f t="shared" si="392"/>
        <v/>
      </c>
      <c r="U391" s="52"/>
      <c r="V391" s="52" t="str">
        <f>IFERROR(__xludf.DUMMYFUNCTION("""COMPUTED_VALUE"""),"")</f>
        <v/>
      </c>
      <c r="W391" s="52" t="str">
        <f>IFERROR(__xludf.DUMMYFUNCTION("""COMPUTED_VALUE"""),"")</f>
        <v/>
      </c>
      <c r="X391" s="52" t="str">
        <f>IFERROR(__xludf.DUMMYFUNCTION("""COMPUTED_VALUE"""),"")</f>
        <v/>
      </c>
      <c r="Y391" s="52" t="str">
        <f>IFERROR(__xludf.DUMMYFUNCTION("""COMPUTED_VALUE"""),"")</f>
        <v/>
      </c>
      <c r="Z391" s="52" t="str">
        <f>IFERROR(__xludf.DUMMYFUNCTION("""COMPUTED_VALUE"""),"")</f>
        <v/>
      </c>
      <c r="AA391" s="52" t="str">
        <f>IFERROR(__xludf.DUMMYFUNCTION("""COMPUTED_VALUE"""),"")</f>
        <v/>
      </c>
      <c r="AB391" s="52" t="str">
        <f>IFERROR(__xludf.DUMMYFUNCTION("""COMPUTED_VALUE"""),"")</f>
        <v/>
      </c>
      <c r="AC391" s="52" t="str">
        <f>IFERROR(__xludf.DUMMYFUNCTION("""COMPUTED_VALUE"""),"")</f>
        <v/>
      </c>
      <c r="AD391" s="52" t="str">
        <f>IFERROR(__xludf.DUMMYFUNCTION("""COMPUTED_VALUE"""),"")</f>
        <v/>
      </c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</row>
    <row r="392">
      <c r="B392" s="49"/>
      <c r="C392" s="49" t="str">
        <f t="shared" si="2"/>
        <v/>
      </c>
      <c r="D392" s="50" t="str">
        <f t="shared" si="3"/>
        <v/>
      </c>
      <c r="E392" s="51" t="str">
        <f t="shared" ref="E392:T392" si="393">IFERROR(VLOOKUP($A392,INDIRECT("'" &amp; E$1 &amp; "'!$C:$G"), 5, FALSE),"")</f>
        <v/>
      </c>
      <c r="F392" s="51" t="str">
        <f t="shared" si="393"/>
        <v/>
      </c>
      <c r="G392" s="51" t="str">
        <f t="shared" si="393"/>
        <v/>
      </c>
      <c r="H392" s="51" t="str">
        <f t="shared" si="393"/>
        <v/>
      </c>
      <c r="I392" s="51" t="str">
        <f t="shared" si="393"/>
        <v/>
      </c>
      <c r="J392" s="51" t="str">
        <f t="shared" si="393"/>
        <v/>
      </c>
      <c r="K392" s="51" t="str">
        <f t="shared" si="393"/>
        <v/>
      </c>
      <c r="L392" s="51" t="str">
        <f t="shared" si="393"/>
        <v/>
      </c>
      <c r="M392" s="51" t="str">
        <f t="shared" si="393"/>
        <v/>
      </c>
      <c r="N392" s="51" t="str">
        <f t="shared" si="393"/>
        <v/>
      </c>
      <c r="O392" s="51" t="str">
        <f t="shared" si="393"/>
        <v/>
      </c>
      <c r="P392" s="51" t="str">
        <f t="shared" si="393"/>
        <v/>
      </c>
      <c r="Q392" s="51" t="str">
        <f t="shared" si="393"/>
        <v/>
      </c>
      <c r="R392" s="51" t="str">
        <f t="shared" si="393"/>
        <v/>
      </c>
      <c r="S392" s="51" t="str">
        <f t="shared" si="393"/>
        <v/>
      </c>
      <c r="T392" s="51" t="str">
        <f t="shared" si="393"/>
        <v/>
      </c>
      <c r="U392" s="52"/>
      <c r="V392" s="52" t="str">
        <f>IFERROR(__xludf.DUMMYFUNCTION("""COMPUTED_VALUE"""),"")</f>
        <v/>
      </c>
      <c r="W392" s="52" t="str">
        <f>IFERROR(__xludf.DUMMYFUNCTION("""COMPUTED_VALUE"""),"")</f>
        <v/>
      </c>
      <c r="X392" s="52" t="str">
        <f>IFERROR(__xludf.DUMMYFUNCTION("""COMPUTED_VALUE"""),"")</f>
        <v/>
      </c>
      <c r="Y392" s="52" t="str">
        <f>IFERROR(__xludf.DUMMYFUNCTION("""COMPUTED_VALUE"""),"")</f>
        <v/>
      </c>
      <c r="Z392" s="52" t="str">
        <f>IFERROR(__xludf.DUMMYFUNCTION("""COMPUTED_VALUE"""),"")</f>
        <v/>
      </c>
      <c r="AA392" s="52" t="str">
        <f>IFERROR(__xludf.DUMMYFUNCTION("""COMPUTED_VALUE"""),"")</f>
        <v/>
      </c>
      <c r="AB392" s="52" t="str">
        <f>IFERROR(__xludf.DUMMYFUNCTION("""COMPUTED_VALUE"""),"")</f>
        <v/>
      </c>
      <c r="AC392" s="52" t="str">
        <f>IFERROR(__xludf.DUMMYFUNCTION("""COMPUTED_VALUE"""),"")</f>
        <v/>
      </c>
      <c r="AD392" s="52" t="str">
        <f>IFERROR(__xludf.DUMMYFUNCTION("""COMPUTED_VALUE"""),"")</f>
        <v/>
      </c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</row>
    <row r="393">
      <c r="B393" s="49"/>
      <c r="C393" s="49" t="str">
        <f t="shared" si="2"/>
        <v/>
      </c>
      <c r="D393" s="50" t="str">
        <f t="shared" si="3"/>
        <v/>
      </c>
      <c r="E393" s="51" t="str">
        <f t="shared" ref="E393:T393" si="394">IFERROR(VLOOKUP($A393,INDIRECT("'" &amp; E$1 &amp; "'!$C:$G"), 5, FALSE),"")</f>
        <v/>
      </c>
      <c r="F393" s="51" t="str">
        <f t="shared" si="394"/>
        <v/>
      </c>
      <c r="G393" s="51" t="str">
        <f t="shared" si="394"/>
        <v/>
      </c>
      <c r="H393" s="51" t="str">
        <f t="shared" si="394"/>
        <v/>
      </c>
      <c r="I393" s="51" t="str">
        <f t="shared" si="394"/>
        <v/>
      </c>
      <c r="J393" s="51" t="str">
        <f t="shared" si="394"/>
        <v/>
      </c>
      <c r="K393" s="51" t="str">
        <f t="shared" si="394"/>
        <v/>
      </c>
      <c r="L393" s="51" t="str">
        <f t="shared" si="394"/>
        <v/>
      </c>
      <c r="M393" s="51" t="str">
        <f t="shared" si="394"/>
        <v/>
      </c>
      <c r="N393" s="51" t="str">
        <f t="shared" si="394"/>
        <v/>
      </c>
      <c r="O393" s="51" t="str">
        <f t="shared" si="394"/>
        <v/>
      </c>
      <c r="P393" s="51" t="str">
        <f t="shared" si="394"/>
        <v/>
      </c>
      <c r="Q393" s="51" t="str">
        <f t="shared" si="394"/>
        <v/>
      </c>
      <c r="R393" s="51" t="str">
        <f t="shared" si="394"/>
        <v/>
      </c>
      <c r="S393" s="51" t="str">
        <f t="shared" si="394"/>
        <v/>
      </c>
      <c r="T393" s="51" t="str">
        <f t="shared" si="394"/>
        <v/>
      </c>
      <c r="U393" s="52"/>
      <c r="V393" s="52" t="str">
        <f>IFERROR(__xludf.DUMMYFUNCTION("""COMPUTED_VALUE"""),"")</f>
        <v/>
      </c>
      <c r="W393" s="52" t="str">
        <f>IFERROR(__xludf.DUMMYFUNCTION("""COMPUTED_VALUE"""),"")</f>
        <v/>
      </c>
      <c r="X393" s="52" t="str">
        <f>IFERROR(__xludf.DUMMYFUNCTION("""COMPUTED_VALUE"""),"")</f>
        <v/>
      </c>
      <c r="Y393" s="52" t="str">
        <f>IFERROR(__xludf.DUMMYFUNCTION("""COMPUTED_VALUE"""),"")</f>
        <v/>
      </c>
      <c r="Z393" s="52" t="str">
        <f>IFERROR(__xludf.DUMMYFUNCTION("""COMPUTED_VALUE"""),"")</f>
        <v/>
      </c>
      <c r="AA393" s="52" t="str">
        <f>IFERROR(__xludf.DUMMYFUNCTION("""COMPUTED_VALUE"""),"")</f>
        <v/>
      </c>
      <c r="AB393" s="52" t="str">
        <f>IFERROR(__xludf.DUMMYFUNCTION("""COMPUTED_VALUE"""),"")</f>
        <v/>
      </c>
      <c r="AC393" s="52" t="str">
        <f>IFERROR(__xludf.DUMMYFUNCTION("""COMPUTED_VALUE"""),"")</f>
        <v/>
      </c>
      <c r="AD393" s="52" t="str">
        <f>IFERROR(__xludf.DUMMYFUNCTION("""COMPUTED_VALUE"""),"")</f>
        <v/>
      </c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</row>
    <row r="394">
      <c r="B394" s="49"/>
      <c r="C394" s="49" t="str">
        <f t="shared" si="2"/>
        <v/>
      </c>
      <c r="D394" s="50" t="str">
        <f t="shared" si="3"/>
        <v/>
      </c>
      <c r="E394" s="51" t="str">
        <f t="shared" ref="E394:T394" si="395">IFERROR(VLOOKUP($A394,INDIRECT("'" &amp; E$1 &amp; "'!$C:$G"), 5, FALSE),"")</f>
        <v/>
      </c>
      <c r="F394" s="51" t="str">
        <f t="shared" si="395"/>
        <v/>
      </c>
      <c r="G394" s="51" t="str">
        <f t="shared" si="395"/>
        <v/>
      </c>
      <c r="H394" s="51" t="str">
        <f t="shared" si="395"/>
        <v/>
      </c>
      <c r="I394" s="51" t="str">
        <f t="shared" si="395"/>
        <v/>
      </c>
      <c r="J394" s="51" t="str">
        <f t="shared" si="395"/>
        <v/>
      </c>
      <c r="K394" s="51" t="str">
        <f t="shared" si="395"/>
        <v/>
      </c>
      <c r="L394" s="51" t="str">
        <f t="shared" si="395"/>
        <v/>
      </c>
      <c r="M394" s="51" t="str">
        <f t="shared" si="395"/>
        <v/>
      </c>
      <c r="N394" s="51" t="str">
        <f t="shared" si="395"/>
        <v/>
      </c>
      <c r="O394" s="51" t="str">
        <f t="shared" si="395"/>
        <v/>
      </c>
      <c r="P394" s="51" t="str">
        <f t="shared" si="395"/>
        <v/>
      </c>
      <c r="Q394" s="51" t="str">
        <f t="shared" si="395"/>
        <v/>
      </c>
      <c r="R394" s="51" t="str">
        <f t="shared" si="395"/>
        <v/>
      </c>
      <c r="S394" s="51" t="str">
        <f t="shared" si="395"/>
        <v/>
      </c>
      <c r="T394" s="51" t="str">
        <f t="shared" si="395"/>
        <v/>
      </c>
      <c r="U394" s="52"/>
      <c r="V394" s="52" t="str">
        <f>IFERROR(__xludf.DUMMYFUNCTION("""COMPUTED_VALUE"""),"")</f>
        <v/>
      </c>
      <c r="W394" s="52" t="str">
        <f>IFERROR(__xludf.DUMMYFUNCTION("""COMPUTED_VALUE"""),"")</f>
        <v/>
      </c>
      <c r="X394" s="52" t="str">
        <f>IFERROR(__xludf.DUMMYFUNCTION("""COMPUTED_VALUE"""),"")</f>
        <v/>
      </c>
      <c r="Y394" s="52" t="str">
        <f>IFERROR(__xludf.DUMMYFUNCTION("""COMPUTED_VALUE"""),"")</f>
        <v/>
      </c>
      <c r="Z394" s="52" t="str">
        <f>IFERROR(__xludf.DUMMYFUNCTION("""COMPUTED_VALUE"""),"")</f>
        <v/>
      </c>
      <c r="AA394" s="52" t="str">
        <f>IFERROR(__xludf.DUMMYFUNCTION("""COMPUTED_VALUE"""),"")</f>
        <v/>
      </c>
      <c r="AB394" s="52" t="str">
        <f>IFERROR(__xludf.DUMMYFUNCTION("""COMPUTED_VALUE"""),"")</f>
        <v/>
      </c>
      <c r="AC394" s="52" t="str">
        <f>IFERROR(__xludf.DUMMYFUNCTION("""COMPUTED_VALUE"""),"")</f>
        <v/>
      </c>
      <c r="AD394" s="52" t="str">
        <f>IFERROR(__xludf.DUMMYFUNCTION("""COMPUTED_VALUE"""),"")</f>
        <v/>
      </c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</row>
    <row r="395">
      <c r="B395" s="49"/>
      <c r="C395" s="49" t="str">
        <f t="shared" si="2"/>
        <v/>
      </c>
      <c r="D395" s="50" t="str">
        <f t="shared" si="3"/>
        <v/>
      </c>
      <c r="E395" s="51" t="str">
        <f t="shared" ref="E395:T395" si="396">IFERROR(VLOOKUP($A395,INDIRECT("'" &amp; E$1 &amp; "'!$C:$G"), 5, FALSE),"")</f>
        <v/>
      </c>
      <c r="F395" s="51" t="str">
        <f t="shared" si="396"/>
        <v/>
      </c>
      <c r="G395" s="51" t="str">
        <f t="shared" si="396"/>
        <v/>
      </c>
      <c r="H395" s="51" t="str">
        <f t="shared" si="396"/>
        <v/>
      </c>
      <c r="I395" s="51" t="str">
        <f t="shared" si="396"/>
        <v/>
      </c>
      <c r="J395" s="51" t="str">
        <f t="shared" si="396"/>
        <v/>
      </c>
      <c r="K395" s="51" t="str">
        <f t="shared" si="396"/>
        <v/>
      </c>
      <c r="L395" s="51" t="str">
        <f t="shared" si="396"/>
        <v/>
      </c>
      <c r="M395" s="51" t="str">
        <f t="shared" si="396"/>
        <v/>
      </c>
      <c r="N395" s="51" t="str">
        <f t="shared" si="396"/>
        <v/>
      </c>
      <c r="O395" s="51" t="str">
        <f t="shared" si="396"/>
        <v/>
      </c>
      <c r="P395" s="51" t="str">
        <f t="shared" si="396"/>
        <v/>
      </c>
      <c r="Q395" s="51" t="str">
        <f t="shared" si="396"/>
        <v/>
      </c>
      <c r="R395" s="51" t="str">
        <f t="shared" si="396"/>
        <v/>
      </c>
      <c r="S395" s="51" t="str">
        <f t="shared" si="396"/>
        <v/>
      </c>
      <c r="T395" s="51" t="str">
        <f t="shared" si="396"/>
        <v/>
      </c>
      <c r="U395" s="52"/>
      <c r="V395" s="52" t="str">
        <f>IFERROR(__xludf.DUMMYFUNCTION("""COMPUTED_VALUE"""),"")</f>
        <v/>
      </c>
      <c r="W395" s="52" t="str">
        <f>IFERROR(__xludf.DUMMYFUNCTION("""COMPUTED_VALUE"""),"")</f>
        <v/>
      </c>
      <c r="X395" s="52" t="str">
        <f>IFERROR(__xludf.DUMMYFUNCTION("""COMPUTED_VALUE"""),"")</f>
        <v/>
      </c>
      <c r="Y395" s="52" t="str">
        <f>IFERROR(__xludf.DUMMYFUNCTION("""COMPUTED_VALUE"""),"")</f>
        <v/>
      </c>
      <c r="Z395" s="52" t="str">
        <f>IFERROR(__xludf.DUMMYFUNCTION("""COMPUTED_VALUE"""),"")</f>
        <v/>
      </c>
      <c r="AA395" s="52" t="str">
        <f>IFERROR(__xludf.DUMMYFUNCTION("""COMPUTED_VALUE"""),"")</f>
        <v/>
      </c>
      <c r="AB395" s="52" t="str">
        <f>IFERROR(__xludf.DUMMYFUNCTION("""COMPUTED_VALUE"""),"")</f>
        <v/>
      </c>
      <c r="AC395" s="52" t="str">
        <f>IFERROR(__xludf.DUMMYFUNCTION("""COMPUTED_VALUE"""),"")</f>
        <v/>
      </c>
      <c r="AD395" s="52" t="str">
        <f>IFERROR(__xludf.DUMMYFUNCTION("""COMPUTED_VALUE"""),"")</f>
        <v/>
      </c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</row>
    <row r="396">
      <c r="B396" s="49"/>
      <c r="C396" s="49" t="str">
        <f t="shared" si="2"/>
        <v/>
      </c>
      <c r="D396" s="50" t="str">
        <f t="shared" si="3"/>
        <v/>
      </c>
      <c r="E396" s="51" t="str">
        <f t="shared" ref="E396:T396" si="397">IFERROR(VLOOKUP($A396,INDIRECT("'" &amp; E$1 &amp; "'!$C:$G"), 5, FALSE),"")</f>
        <v/>
      </c>
      <c r="F396" s="51" t="str">
        <f t="shared" si="397"/>
        <v/>
      </c>
      <c r="G396" s="51" t="str">
        <f t="shared" si="397"/>
        <v/>
      </c>
      <c r="H396" s="51" t="str">
        <f t="shared" si="397"/>
        <v/>
      </c>
      <c r="I396" s="51" t="str">
        <f t="shared" si="397"/>
        <v/>
      </c>
      <c r="J396" s="51" t="str">
        <f t="shared" si="397"/>
        <v/>
      </c>
      <c r="K396" s="51" t="str">
        <f t="shared" si="397"/>
        <v/>
      </c>
      <c r="L396" s="51" t="str">
        <f t="shared" si="397"/>
        <v/>
      </c>
      <c r="M396" s="51" t="str">
        <f t="shared" si="397"/>
        <v/>
      </c>
      <c r="N396" s="51" t="str">
        <f t="shared" si="397"/>
        <v/>
      </c>
      <c r="O396" s="51" t="str">
        <f t="shared" si="397"/>
        <v/>
      </c>
      <c r="P396" s="51" t="str">
        <f t="shared" si="397"/>
        <v/>
      </c>
      <c r="Q396" s="51" t="str">
        <f t="shared" si="397"/>
        <v/>
      </c>
      <c r="R396" s="51" t="str">
        <f t="shared" si="397"/>
        <v/>
      </c>
      <c r="S396" s="51" t="str">
        <f t="shared" si="397"/>
        <v/>
      </c>
      <c r="T396" s="51" t="str">
        <f t="shared" si="397"/>
        <v/>
      </c>
      <c r="U396" s="52"/>
      <c r="V396" s="52" t="str">
        <f>IFERROR(__xludf.DUMMYFUNCTION("""COMPUTED_VALUE"""),"")</f>
        <v/>
      </c>
      <c r="W396" s="52" t="str">
        <f>IFERROR(__xludf.DUMMYFUNCTION("""COMPUTED_VALUE"""),"")</f>
        <v/>
      </c>
      <c r="X396" s="52" t="str">
        <f>IFERROR(__xludf.DUMMYFUNCTION("""COMPUTED_VALUE"""),"")</f>
        <v/>
      </c>
      <c r="Y396" s="52" t="str">
        <f>IFERROR(__xludf.DUMMYFUNCTION("""COMPUTED_VALUE"""),"")</f>
        <v/>
      </c>
      <c r="Z396" s="52" t="str">
        <f>IFERROR(__xludf.DUMMYFUNCTION("""COMPUTED_VALUE"""),"")</f>
        <v/>
      </c>
      <c r="AA396" s="52" t="str">
        <f>IFERROR(__xludf.DUMMYFUNCTION("""COMPUTED_VALUE"""),"")</f>
        <v/>
      </c>
      <c r="AB396" s="52" t="str">
        <f>IFERROR(__xludf.DUMMYFUNCTION("""COMPUTED_VALUE"""),"")</f>
        <v/>
      </c>
      <c r="AC396" s="52" t="str">
        <f>IFERROR(__xludf.DUMMYFUNCTION("""COMPUTED_VALUE"""),"")</f>
        <v/>
      </c>
      <c r="AD396" s="52" t="str">
        <f>IFERROR(__xludf.DUMMYFUNCTION("""COMPUTED_VALUE"""),"")</f>
        <v/>
      </c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</row>
    <row r="397">
      <c r="B397" s="49"/>
      <c r="C397" s="49" t="str">
        <f t="shared" si="2"/>
        <v/>
      </c>
      <c r="D397" s="50" t="str">
        <f t="shared" si="3"/>
        <v/>
      </c>
      <c r="E397" s="51" t="str">
        <f t="shared" ref="E397:T397" si="398">IFERROR(VLOOKUP($A397,INDIRECT("'" &amp; E$1 &amp; "'!$C:$G"), 5, FALSE),"")</f>
        <v/>
      </c>
      <c r="F397" s="51" t="str">
        <f t="shared" si="398"/>
        <v/>
      </c>
      <c r="G397" s="51" t="str">
        <f t="shared" si="398"/>
        <v/>
      </c>
      <c r="H397" s="51" t="str">
        <f t="shared" si="398"/>
        <v/>
      </c>
      <c r="I397" s="51" t="str">
        <f t="shared" si="398"/>
        <v/>
      </c>
      <c r="J397" s="51" t="str">
        <f t="shared" si="398"/>
        <v/>
      </c>
      <c r="K397" s="51" t="str">
        <f t="shared" si="398"/>
        <v/>
      </c>
      <c r="L397" s="51" t="str">
        <f t="shared" si="398"/>
        <v/>
      </c>
      <c r="M397" s="51" t="str">
        <f t="shared" si="398"/>
        <v/>
      </c>
      <c r="N397" s="51" t="str">
        <f t="shared" si="398"/>
        <v/>
      </c>
      <c r="O397" s="51" t="str">
        <f t="shared" si="398"/>
        <v/>
      </c>
      <c r="P397" s="51" t="str">
        <f t="shared" si="398"/>
        <v/>
      </c>
      <c r="Q397" s="51" t="str">
        <f t="shared" si="398"/>
        <v/>
      </c>
      <c r="R397" s="51" t="str">
        <f t="shared" si="398"/>
        <v/>
      </c>
      <c r="S397" s="51" t="str">
        <f t="shared" si="398"/>
        <v/>
      </c>
      <c r="T397" s="51" t="str">
        <f t="shared" si="398"/>
        <v/>
      </c>
      <c r="U397" s="52"/>
      <c r="V397" s="52" t="str">
        <f>IFERROR(__xludf.DUMMYFUNCTION("""COMPUTED_VALUE"""),"")</f>
        <v/>
      </c>
      <c r="W397" s="52" t="str">
        <f>IFERROR(__xludf.DUMMYFUNCTION("""COMPUTED_VALUE"""),"")</f>
        <v/>
      </c>
      <c r="X397" s="52" t="str">
        <f>IFERROR(__xludf.DUMMYFUNCTION("""COMPUTED_VALUE"""),"")</f>
        <v/>
      </c>
      <c r="Y397" s="52" t="str">
        <f>IFERROR(__xludf.DUMMYFUNCTION("""COMPUTED_VALUE"""),"")</f>
        <v/>
      </c>
      <c r="Z397" s="52" t="str">
        <f>IFERROR(__xludf.DUMMYFUNCTION("""COMPUTED_VALUE"""),"")</f>
        <v/>
      </c>
      <c r="AA397" s="52" t="str">
        <f>IFERROR(__xludf.DUMMYFUNCTION("""COMPUTED_VALUE"""),"")</f>
        <v/>
      </c>
      <c r="AB397" s="52" t="str">
        <f>IFERROR(__xludf.DUMMYFUNCTION("""COMPUTED_VALUE"""),"")</f>
        <v/>
      </c>
      <c r="AC397" s="52" t="str">
        <f>IFERROR(__xludf.DUMMYFUNCTION("""COMPUTED_VALUE"""),"")</f>
        <v/>
      </c>
      <c r="AD397" s="52" t="str">
        <f>IFERROR(__xludf.DUMMYFUNCTION("""COMPUTED_VALUE"""),"")</f>
        <v/>
      </c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</row>
    <row r="398">
      <c r="B398" s="49"/>
      <c r="C398" s="49" t="str">
        <f t="shared" si="2"/>
        <v/>
      </c>
      <c r="D398" s="50" t="str">
        <f t="shared" si="3"/>
        <v/>
      </c>
      <c r="E398" s="51" t="str">
        <f t="shared" ref="E398:T398" si="399">IFERROR(VLOOKUP($A398,INDIRECT("'" &amp; E$1 &amp; "'!$C:$G"), 5, FALSE),"")</f>
        <v/>
      </c>
      <c r="F398" s="51" t="str">
        <f t="shared" si="399"/>
        <v/>
      </c>
      <c r="G398" s="51" t="str">
        <f t="shared" si="399"/>
        <v/>
      </c>
      <c r="H398" s="51" t="str">
        <f t="shared" si="399"/>
        <v/>
      </c>
      <c r="I398" s="51" t="str">
        <f t="shared" si="399"/>
        <v/>
      </c>
      <c r="J398" s="51" t="str">
        <f t="shared" si="399"/>
        <v/>
      </c>
      <c r="K398" s="51" t="str">
        <f t="shared" si="399"/>
        <v/>
      </c>
      <c r="L398" s="51" t="str">
        <f t="shared" si="399"/>
        <v/>
      </c>
      <c r="M398" s="51" t="str">
        <f t="shared" si="399"/>
        <v/>
      </c>
      <c r="N398" s="51" t="str">
        <f t="shared" si="399"/>
        <v/>
      </c>
      <c r="O398" s="51" t="str">
        <f t="shared" si="399"/>
        <v/>
      </c>
      <c r="P398" s="51" t="str">
        <f t="shared" si="399"/>
        <v/>
      </c>
      <c r="Q398" s="51" t="str">
        <f t="shared" si="399"/>
        <v/>
      </c>
      <c r="R398" s="51" t="str">
        <f t="shared" si="399"/>
        <v/>
      </c>
      <c r="S398" s="51" t="str">
        <f t="shared" si="399"/>
        <v/>
      </c>
      <c r="T398" s="51" t="str">
        <f t="shared" si="399"/>
        <v/>
      </c>
      <c r="U398" s="52"/>
      <c r="V398" s="52" t="str">
        <f>IFERROR(__xludf.DUMMYFUNCTION("""COMPUTED_VALUE"""),"")</f>
        <v/>
      </c>
      <c r="W398" s="52" t="str">
        <f>IFERROR(__xludf.DUMMYFUNCTION("""COMPUTED_VALUE"""),"")</f>
        <v/>
      </c>
      <c r="X398" s="52" t="str">
        <f>IFERROR(__xludf.DUMMYFUNCTION("""COMPUTED_VALUE"""),"")</f>
        <v/>
      </c>
      <c r="Y398" s="52" t="str">
        <f>IFERROR(__xludf.DUMMYFUNCTION("""COMPUTED_VALUE"""),"")</f>
        <v/>
      </c>
      <c r="Z398" s="52" t="str">
        <f>IFERROR(__xludf.DUMMYFUNCTION("""COMPUTED_VALUE"""),"")</f>
        <v/>
      </c>
      <c r="AA398" s="52" t="str">
        <f>IFERROR(__xludf.DUMMYFUNCTION("""COMPUTED_VALUE"""),"")</f>
        <v/>
      </c>
      <c r="AB398" s="52" t="str">
        <f>IFERROR(__xludf.DUMMYFUNCTION("""COMPUTED_VALUE"""),"")</f>
        <v/>
      </c>
      <c r="AC398" s="52" t="str">
        <f>IFERROR(__xludf.DUMMYFUNCTION("""COMPUTED_VALUE"""),"")</f>
        <v/>
      </c>
      <c r="AD398" s="52" t="str">
        <f>IFERROR(__xludf.DUMMYFUNCTION("""COMPUTED_VALUE"""),"")</f>
        <v/>
      </c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</row>
    <row r="399">
      <c r="B399" s="49"/>
      <c r="C399" s="49" t="str">
        <f t="shared" si="2"/>
        <v/>
      </c>
      <c r="D399" s="50" t="str">
        <f t="shared" si="3"/>
        <v/>
      </c>
      <c r="E399" s="51" t="str">
        <f t="shared" ref="E399:T399" si="400">IFERROR(VLOOKUP($A399,INDIRECT("'" &amp; E$1 &amp; "'!$C:$G"), 5, FALSE),"")</f>
        <v/>
      </c>
      <c r="F399" s="51" t="str">
        <f t="shared" si="400"/>
        <v/>
      </c>
      <c r="G399" s="51" t="str">
        <f t="shared" si="400"/>
        <v/>
      </c>
      <c r="H399" s="51" t="str">
        <f t="shared" si="400"/>
        <v/>
      </c>
      <c r="I399" s="51" t="str">
        <f t="shared" si="400"/>
        <v/>
      </c>
      <c r="J399" s="51" t="str">
        <f t="shared" si="400"/>
        <v/>
      </c>
      <c r="K399" s="51" t="str">
        <f t="shared" si="400"/>
        <v/>
      </c>
      <c r="L399" s="51" t="str">
        <f t="shared" si="400"/>
        <v/>
      </c>
      <c r="M399" s="51" t="str">
        <f t="shared" si="400"/>
        <v/>
      </c>
      <c r="N399" s="51" t="str">
        <f t="shared" si="400"/>
        <v/>
      </c>
      <c r="O399" s="51" t="str">
        <f t="shared" si="400"/>
        <v/>
      </c>
      <c r="P399" s="51" t="str">
        <f t="shared" si="400"/>
        <v/>
      </c>
      <c r="Q399" s="51" t="str">
        <f t="shared" si="400"/>
        <v/>
      </c>
      <c r="R399" s="51" t="str">
        <f t="shared" si="400"/>
        <v/>
      </c>
      <c r="S399" s="51" t="str">
        <f t="shared" si="400"/>
        <v/>
      </c>
      <c r="T399" s="51" t="str">
        <f t="shared" si="400"/>
        <v/>
      </c>
      <c r="U399" s="52"/>
      <c r="V399" s="52" t="str">
        <f>IFERROR(__xludf.DUMMYFUNCTION("""COMPUTED_VALUE"""),"")</f>
        <v/>
      </c>
      <c r="W399" s="52" t="str">
        <f>IFERROR(__xludf.DUMMYFUNCTION("""COMPUTED_VALUE"""),"")</f>
        <v/>
      </c>
      <c r="X399" s="52" t="str">
        <f>IFERROR(__xludf.DUMMYFUNCTION("""COMPUTED_VALUE"""),"")</f>
        <v/>
      </c>
      <c r="Y399" s="52" t="str">
        <f>IFERROR(__xludf.DUMMYFUNCTION("""COMPUTED_VALUE"""),"")</f>
        <v/>
      </c>
      <c r="Z399" s="52" t="str">
        <f>IFERROR(__xludf.DUMMYFUNCTION("""COMPUTED_VALUE"""),"")</f>
        <v/>
      </c>
      <c r="AA399" s="52" t="str">
        <f>IFERROR(__xludf.DUMMYFUNCTION("""COMPUTED_VALUE"""),"")</f>
        <v/>
      </c>
      <c r="AB399" s="52" t="str">
        <f>IFERROR(__xludf.DUMMYFUNCTION("""COMPUTED_VALUE"""),"")</f>
        <v/>
      </c>
      <c r="AC399" s="52" t="str">
        <f>IFERROR(__xludf.DUMMYFUNCTION("""COMPUTED_VALUE"""),"")</f>
        <v/>
      </c>
      <c r="AD399" s="52" t="str">
        <f>IFERROR(__xludf.DUMMYFUNCTION("""COMPUTED_VALUE"""),"")</f>
        <v/>
      </c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</row>
    <row r="400">
      <c r="B400" s="49"/>
      <c r="C400" s="49" t="str">
        <f t="shared" si="2"/>
        <v/>
      </c>
      <c r="D400" s="50" t="str">
        <f t="shared" si="3"/>
        <v/>
      </c>
      <c r="E400" s="51" t="str">
        <f t="shared" ref="E400:T400" si="401">IFERROR(VLOOKUP($A400,INDIRECT("'" &amp; E$1 &amp; "'!$C:$G"), 5, FALSE),"")</f>
        <v/>
      </c>
      <c r="F400" s="51" t="str">
        <f t="shared" si="401"/>
        <v/>
      </c>
      <c r="G400" s="51" t="str">
        <f t="shared" si="401"/>
        <v/>
      </c>
      <c r="H400" s="51" t="str">
        <f t="shared" si="401"/>
        <v/>
      </c>
      <c r="I400" s="51" t="str">
        <f t="shared" si="401"/>
        <v/>
      </c>
      <c r="J400" s="51" t="str">
        <f t="shared" si="401"/>
        <v/>
      </c>
      <c r="K400" s="51" t="str">
        <f t="shared" si="401"/>
        <v/>
      </c>
      <c r="L400" s="51" t="str">
        <f t="shared" si="401"/>
        <v/>
      </c>
      <c r="M400" s="51" t="str">
        <f t="shared" si="401"/>
        <v/>
      </c>
      <c r="N400" s="51" t="str">
        <f t="shared" si="401"/>
        <v/>
      </c>
      <c r="O400" s="51" t="str">
        <f t="shared" si="401"/>
        <v/>
      </c>
      <c r="P400" s="51" t="str">
        <f t="shared" si="401"/>
        <v/>
      </c>
      <c r="Q400" s="51" t="str">
        <f t="shared" si="401"/>
        <v/>
      </c>
      <c r="R400" s="51" t="str">
        <f t="shared" si="401"/>
        <v/>
      </c>
      <c r="S400" s="51" t="str">
        <f t="shared" si="401"/>
        <v/>
      </c>
      <c r="T400" s="51" t="str">
        <f t="shared" si="401"/>
        <v/>
      </c>
      <c r="U400" s="52"/>
      <c r="V400" s="52" t="str">
        <f>IFERROR(__xludf.DUMMYFUNCTION("""COMPUTED_VALUE"""),"")</f>
        <v/>
      </c>
      <c r="W400" s="52" t="str">
        <f>IFERROR(__xludf.DUMMYFUNCTION("""COMPUTED_VALUE"""),"")</f>
        <v/>
      </c>
      <c r="X400" s="52" t="str">
        <f>IFERROR(__xludf.DUMMYFUNCTION("""COMPUTED_VALUE"""),"")</f>
        <v/>
      </c>
      <c r="Y400" s="52" t="str">
        <f>IFERROR(__xludf.DUMMYFUNCTION("""COMPUTED_VALUE"""),"")</f>
        <v/>
      </c>
      <c r="Z400" s="52" t="str">
        <f>IFERROR(__xludf.DUMMYFUNCTION("""COMPUTED_VALUE"""),"")</f>
        <v/>
      </c>
      <c r="AA400" s="52" t="str">
        <f>IFERROR(__xludf.DUMMYFUNCTION("""COMPUTED_VALUE"""),"")</f>
        <v/>
      </c>
      <c r="AB400" s="52" t="str">
        <f>IFERROR(__xludf.DUMMYFUNCTION("""COMPUTED_VALUE"""),"")</f>
        <v/>
      </c>
      <c r="AC400" s="52" t="str">
        <f>IFERROR(__xludf.DUMMYFUNCTION("""COMPUTED_VALUE"""),"")</f>
        <v/>
      </c>
      <c r="AD400" s="52" t="str">
        <f>IFERROR(__xludf.DUMMYFUNCTION("""COMPUTED_VALUE"""),"")</f>
        <v/>
      </c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</row>
    <row r="401">
      <c r="B401" s="49"/>
      <c r="C401" s="49" t="str">
        <f t="shared" si="2"/>
        <v/>
      </c>
      <c r="D401" s="50" t="str">
        <f t="shared" si="3"/>
        <v/>
      </c>
      <c r="E401" s="51" t="str">
        <f t="shared" ref="E401:T401" si="402">IFERROR(VLOOKUP($A401,INDIRECT("'" &amp; E$1 &amp; "'!$C:$G"), 5, FALSE),"")</f>
        <v/>
      </c>
      <c r="F401" s="51" t="str">
        <f t="shared" si="402"/>
        <v/>
      </c>
      <c r="G401" s="51" t="str">
        <f t="shared" si="402"/>
        <v/>
      </c>
      <c r="H401" s="51" t="str">
        <f t="shared" si="402"/>
        <v/>
      </c>
      <c r="I401" s="51" t="str">
        <f t="shared" si="402"/>
        <v/>
      </c>
      <c r="J401" s="51" t="str">
        <f t="shared" si="402"/>
        <v/>
      </c>
      <c r="K401" s="51" t="str">
        <f t="shared" si="402"/>
        <v/>
      </c>
      <c r="L401" s="51" t="str">
        <f t="shared" si="402"/>
        <v/>
      </c>
      <c r="M401" s="51" t="str">
        <f t="shared" si="402"/>
        <v/>
      </c>
      <c r="N401" s="51" t="str">
        <f t="shared" si="402"/>
        <v/>
      </c>
      <c r="O401" s="51" t="str">
        <f t="shared" si="402"/>
        <v/>
      </c>
      <c r="P401" s="51" t="str">
        <f t="shared" si="402"/>
        <v/>
      </c>
      <c r="Q401" s="51" t="str">
        <f t="shared" si="402"/>
        <v/>
      </c>
      <c r="R401" s="51" t="str">
        <f t="shared" si="402"/>
        <v/>
      </c>
      <c r="S401" s="51" t="str">
        <f t="shared" si="402"/>
        <v/>
      </c>
      <c r="T401" s="51" t="str">
        <f t="shared" si="402"/>
        <v/>
      </c>
      <c r="U401" s="52"/>
      <c r="V401" s="52" t="str">
        <f>IFERROR(__xludf.DUMMYFUNCTION("""COMPUTED_VALUE"""),"")</f>
        <v/>
      </c>
      <c r="W401" s="52" t="str">
        <f>IFERROR(__xludf.DUMMYFUNCTION("""COMPUTED_VALUE"""),"")</f>
        <v/>
      </c>
      <c r="X401" s="52" t="str">
        <f>IFERROR(__xludf.DUMMYFUNCTION("""COMPUTED_VALUE"""),"")</f>
        <v/>
      </c>
      <c r="Y401" s="52" t="str">
        <f>IFERROR(__xludf.DUMMYFUNCTION("""COMPUTED_VALUE"""),"")</f>
        <v/>
      </c>
      <c r="Z401" s="52" t="str">
        <f>IFERROR(__xludf.DUMMYFUNCTION("""COMPUTED_VALUE"""),"")</f>
        <v/>
      </c>
      <c r="AA401" s="52" t="str">
        <f>IFERROR(__xludf.DUMMYFUNCTION("""COMPUTED_VALUE"""),"")</f>
        <v/>
      </c>
      <c r="AB401" s="52" t="str">
        <f>IFERROR(__xludf.DUMMYFUNCTION("""COMPUTED_VALUE"""),"")</f>
        <v/>
      </c>
      <c r="AC401" s="52" t="str">
        <f>IFERROR(__xludf.DUMMYFUNCTION("""COMPUTED_VALUE"""),"")</f>
        <v/>
      </c>
      <c r="AD401" s="52" t="str">
        <f>IFERROR(__xludf.DUMMYFUNCTION("""COMPUTED_VALUE"""),"")</f>
        <v/>
      </c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</row>
    <row r="402">
      <c r="B402" s="49"/>
      <c r="C402" s="49" t="str">
        <f t="shared" si="2"/>
        <v/>
      </c>
      <c r="D402" s="50" t="str">
        <f t="shared" si="3"/>
        <v/>
      </c>
      <c r="E402" s="51" t="str">
        <f t="shared" ref="E402:T402" si="403">IFERROR(VLOOKUP($A402,INDIRECT("'" &amp; E$1 &amp; "'!$C:$G"), 5, FALSE),"")</f>
        <v/>
      </c>
      <c r="F402" s="51" t="str">
        <f t="shared" si="403"/>
        <v/>
      </c>
      <c r="G402" s="51" t="str">
        <f t="shared" si="403"/>
        <v/>
      </c>
      <c r="H402" s="51" t="str">
        <f t="shared" si="403"/>
        <v/>
      </c>
      <c r="I402" s="51" t="str">
        <f t="shared" si="403"/>
        <v/>
      </c>
      <c r="J402" s="51" t="str">
        <f t="shared" si="403"/>
        <v/>
      </c>
      <c r="K402" s="51" t="str">
        <f t="shared" si="403"/>
        <v/>
      </c>
      <c r="L402" s="51" t="str">
        <f t="shared" si="403"/>
        <v/>
      </c>
      <c r="M402" s="51" t="str">
        <f t="shared" si="403"/>
        <v/>
      </c>
      <c r="N402" s="51" t="str">
        <f t="shared" si="403"/>
        <v/>
      </c>
      <c r="O402" s="51" t="str">
        <f t="shared" si="403"/>
        <v/>
      </c>
      <c r="P402" s="51" t="str">
        <f t="shared" si="403"/>
        <v/>
      </c>
      <c r="Q402" s="51" t="str">
        <f t="shared" si="403"/>
        <v/>
      </c>
      <c r="R402" s="51" t="str">
        <f t="shared" si="403"/>
        <v/>
      </c>
      <c r="S402" s="51" t="str">
        <f t="shared" si="403"/>
        <v/>
      </c>
      <c r="T402" s="51" t="str">
        <f t="shared" si="403"/>
        <v/>
      </c>
      <c r="U402" s="52"/>
      <c r="V402" s="52" t="str">
        <f>IFERROR(__xludf.DUMMYFUNCTION("""COMPUTED_VALUE"""),"")</f>
        <v/>
      </c>
      <c r="W402" s="52" t="str">
        <f>IFERROR(__xludf.DUMMYFUNCTION("""COMPUTED_VALUE"""),"")</f>
        <v/>
      </c>
      <c r="X402" s="52" t="str">
        <f>IFERROR(__xludf.DUMMYFUNCTION("""COMPUTED_VALUE"""),"")</f>
        <v/>
      </c>
      <c r="Y402" s="52" t="str">
        <f>IFERROR(__xludf.DUMMYFUNCTION("""COMPUTED_VALUE"""),"")</f>
        <v/>
      </c>
      <c r="Z402" s="52" t="str">
        <f>IFERROR(__xludf.DUMMYFUNCTION("""COMPUTED_VALUE"""),"")</f>
        <v/>
      </c>
      <c r="AA402" s="52" t="str">
        <f>IFERROR(__xludf.DUMMYFUNCTION("""COMPUTED_VALUE"""),"")</f>
        <v/>
      </c>
      <c r="AB402" s="52" t="str">
        <f>IFERROR(__xludf.DUMMYFUNCTION("""COMPUTED_VALUE"""),"")</f>
        <v/>
      </c>
      <c r="AC402" s="52" t="str">
        <f>IFERROR(__xludf.DUMMYFUNCTION("""COMPUTED_VALUE"""),"")</f>
        <v/>
      </c>
      <c r="AD402" s="52" t="str">
        <f>IFERROR(__xludf.DUMMYFUNCTION("""COMPUTED_VALUE"""),"")</f>
        <v/>
      </c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</row>
    <row r="403">
      <c r="B403" s="49"/>
      <c r="C403" s="49" t="str">
        <f t="shared" si="2"/>
        <v/>
      </c>
      <c r="D403" s="50" t="str">
        <f t="shared" si="3"/>
        <v/>
      </c>
      <c r="E403" s="51" t="str">
        <f t="shared" ref="E403:T403" si="404">IFERROR(VLOOKUP($A403,INDIRECT("'" &amp; E$1 &amp; "'!$C:$G"), 5, FALSE),"")</f>
        <v/>
      </c>
      <c r="F403" s="51" t="str">
        <f t="shared" si="404"/>
        <v/>
      </c>
      <c r="G403" s="51" t="str">
        <f t="shared" si="404"/>
        <v/>
      </c>
      <c r="H403" s="51" t="str">
        <f t="shared" si="404"/>
        <v/>
      </c>
      <c r="I403" s="51" t="str">
        <f t="shared" si="404"/>
        <v/>
      </c>
      <c r="J403" s="51" t="str">
        <f t="shared" si="404"/>
        <v/>
      </c>
      <c r="K403" s="51" t="str">
        <f t="shared" si="404"/>
        <v/>
      </c>
      <c r="L403" s="51" t="str">
        <f t="shared" si="404"/>
        <v/>
      </c>
      <c r="M403" s="51" t="str">
        <f t="shared" si="404"/>
        <v/>
      </c>
      <c r="N403" s="51" t="str">
        <f t="shared" si="404"/>
        <v/>
      </c>
      <c r="O403" s="51" t="str">
        <f t="shared" si="404"/>
        <v/>
      </c>
      <c r="P403" s="51" t="str">
        <f t="shared" si="404"/>
        <v/>
      </c>
      <c r="Q403" s="51" t="str">
        <f t="shared" si="404"/>
        <v/>
      </c>
      <c r="R403" s="51" t="str">
        <f t="shared" si="404"/>
        <v/>
      </c>
      <c r="S403" s="51" t="str">
        <f t="shared" si="404"/>
        <v/>
      </c>
      <c r="T403" s="51" t="str">
        <f t="shared" si="404"/>
        <v/>
      </c>
      <c r="U403" s="52"/>
      <c r="V403" s="52" t="str">
        <f>IFERROR(__xludf.DUMMYFUNCTION("""COMPUTED_VALUE"""),"")</f>
        <v/>
      </c>
      <c r="W403" s="52" t="str">
        <f>IFERROR(__xludf.DUMMYFUNCTION("""COMPUTED_VALUE"""),"")</f>
        <v/>
      </c>
      <c r="X403" s="52" t="str">
        <f>IFERROR(__xludf.DUMMYFUNCTION("""COMPUTED_VALUE"""),"")</f>
        <v/>
      </c>
      <c r="Y403" s="52" t="str">
        <f>IFERROR(__xludf.DUMMYFUNCTION("""COMPUTED_VALUE"""),"")</f>
        <v/>
      </c>
      <c r="Z403" s="52" t="str">
        <f>IFERROR(__xludf.DUMMYFUNCTION("""COMPUTED_VALUE"""),"")</f>
        <v/>
      </c>
      <c r="AA403" s="52" t="str">
        <f>IFERROR(__xludf.DUMMYFUNCTION("""COMPUTED_VALUE"""),"")</f>
        <v/>
      </c>
      <c r="AB403" s="52" t="str">
        <f>IFERROR(__xludf.DUMMYFUNCTION("""COMPUTED_VALUE"""),"")</f>
        <v/>
      </c>
      <c r="AC403" s="52" t="str">
        <f>IFERROR(__xludf.DUMMYFUNCTION("""COMPUTED_VALUE"""),"")</f>
        <v/>
      </c>
      <c r="AD403" s="52" t="str">
        <f>IFERROR(__xludf.DUMMYFUNCTION("""COMPUTED_VALUE"""),"")</f>
        <v/>
      </c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</row>
    <row r="404">
      <c r="B404" s="49"/>
      <c r="C404" s="49" t="str">
        <f t="shared" si="2"/>
        <v/>
      </c>
      <c r="D404" s="50" t="str">
        <f t="shared" si="3"/>
        <v/>
      </c>
      <c r="E404" s="51" t="str">
        <f t="shared" ref="E404:T404" si="405">IFERROR(VLOOKUP($A404,INDIRECT("'" &amp; E$1 &amp; "'!$C:$G"), 5, FALSE),"")</f>
        <v/>
      </c>
      <c r="F404" s="51" t="str">
        <f t="shared" si="405"/>
        <v/>
      </c>
      <c r="G404" s="51" t="str">
        <f t="shared" si="405"/>
        <v/>
      </c>
      <c r="H404" s="51" t="str">
        <f t="shared" si="405"/>
        <v/>
      </c>
      <c r="I404" s="51" t="str">
        <f t="shared" si="405"/>
        <v/>
      </c>
      <c r="J404" s="51" t="str">
        <f t="shared" si="405"/>
        <v/>
      </c>
      <c r="K404" s="51" t="str">
        <f t="shared" si="405"/>
        <v/>
      </c>
      <c r="L404" s="51" t="str">
        <f t="shared" si="405"/>
        <v/>
      </c>
      <c r="M404" s="51" t="str">
        <f t="shared" si="405"/>
        <v/>
      </c>
      <c r="N404" s="51" t="str">
        <f t="shared" si="405"/>
        <v/>
      </c>
      <c r="O404" s="51" t="str">
        <f t="shared" si="405"/>
        <v/>
      </c>
      <c r="P404" s="51" t="str">
        <f t="shared" si="405"/>
        <v/>
      </c>
      <c r="Q404" s="51" t="str">
        <f t="shared" si="405"/>
        <v/>
      </c>
      <c r="R404" s="51" t="str">
        <f t="shared" si="405"/>
        <v/>
      </c>
      <c r="S404" s="51" t="str">
        <f t="shared" si="405"/>
        <v/>
      </c>
      <c r="T404" s="51" t="str">
        <f t="shared" si="405"/>
        <v/>
      </c>
      <c r="U404" s="52"/>
      <c r="V404" s="52" t="str">
        <f>IFERROR(__xludf.DUMMYFUNCTION("""COMPUTED_VALUE"""),"")</f>
        <v/>
      </c>
      <c r="W404" s="52" t="str">
        <f>IFERROR(__xludf.DUMMYFUNCTION("""COMPUTED_VALUE"""),"")</f>
        <v/>
      </c>
      <c r="X404" s="52" t="str">
        <f>IFERROR(__xludf.DUMMYFUNCTION("""COMPUTED_VALUE"""),"")</f>
        <v/>
      </c>
      <c r="Y404" s="52" t="str">
        <f>IFERROR(__xludf.DUMMYFUNCTION("""COMPUTED_VALUE"""),"")</f>
        <v/>
      </c>
      <c r="Z404" s="52" t="str">
        <f>IFERROR(__xludf.DUMMYFUNCTION("""COMPUTED_VALUE"""),"")</f>
        <v/>
      </c>
      <c r="AA404" s="52" t="str">
        <f>IFERROR(__xludf.DUMMYFUNCTION("""COMPUTED_VALUE"""),"")</f>
        <v/>
      </c>
      <c r="AB404" s="52" t="str">
        <f>IFERROR(__xludf.DUMMYFUNCTION("""COMPUTED_VALUE"""),"")</f>
        <v/>
      </c>
      <c r="AC404" s="52" t="str">
        <f>IFERROR(__xludf.DUMMYFUNCTION("""COMPUTED_VALUE"""),"")</f>
        <v/>
      </c>
      <c r="AD404" s="52" t="str">
        <f>IFERROR(__xludf.DUMMYFUNCTION("""COMPUTED_VALUE"""),"")</f>
        <v/>
      </c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</row>
    <row r="405">
      <c r="B405" s="49"/>
      <c r="C405" s="49" t="str">
        <f t="shared" si="2"/>
        <v/>
      </c>
      <c r="D405" s="50" t="str">
        <f t="shared" si="3"/>
        <v/>
      </c>
      <c r="E405" s="51" t="str">
        <f t="shared" ref="E405:T405" si="406">IFERROR(VLOOKUP($A405,INDIRECT("'" &amp; E$1 &amp; "'!$C:$G"), 5, FALSE),"")</f>
        <v/>
      </c>
      <c r="F405" s="51" t="str">
        <f t="shared" si="406"/>
        <v/>
      </c>
      <c r="G405" s="51" t="str">
        <f t="shared" si="406"/>
        <v/>
      </c>
      <c r="H405" s="51" t="str">
        <f t="shared" si="406"/>
        <v/>
      </c>
      <c r="I405" s="51" t="str">
        <f t="shared" si="406"/>
        <v/>
      </c>
      <c r="J405" s="51" t="str">
        <f t="shared" si="406"/>
        <v/>
      </c>
      <c r="K405" s="51" t="str">
        <f t="shared" si="406"/>
        <v/>
      </c>
      <c r="L405" s="51" t="str">
        <f t="shared" si="406"/>
        <v/>
      </c>
      <c r="M405" s="51" t="str">
        <f t="shared" si="406"/>
        <v/>
      </c>
      <c r="N405" s="51" t="str">
        <f t="shared" si="406"/>
        <v/>
      </c>
      <c r="O405" s="51" t="str">
        <f t="shared" si="406"/>
        <v/>
      </c>
      <c r="P405" s="51" t="str">
        <f t="shared" si="406"/>
        <v/>
      </c>
      <c r="Q405" s="51" t="str">
        <f t="shared" si="406"/>
        <v/>
      </c>
      <c r="R405" s="51" t="str">
        <f t="shared" si="406"/>
        <v/>
      </c>
      <c r="S405" s="51" t="str">
        <f t="shared" si="406"/>
        <v/>
      </c>
      <c r="T405" s="51" t="str">
        <f t="shared" si="406"/>
        <v/>
      </c>
      <c r="U405" s="52"/>
      <c r="V405" s="52" t="str">
        <f>IFERROR(__xludf.DUMMYFUNCTION("""COMPUTED_VALUE"""),"")</f>
        <v/>
      </c>
      <c r="W405" s="52" t="str">
        <f>IFERROR(__xludf.DUMMYFUNCTION("""COMPUTED_VALUE"""),"")</f>
        <v/>
      </c>
      <c r="X405" s="52" t="str">
        <f>IFERROR(__xludf.DUMMYFUNCTION("""COMPUTED_VALUE"""),"")</f>
        <v/>
      </c>
      <c r="Y405" s="52" t="str">
        <f>IFERROR(__xludf.DUMMYFUNCTION("""COMPUTED_VALUE"""),"")</f>
        <v/>
      </c>
      <c r="Z405" s="52" t="str">
        <f>IFERROR(__xludf.DUMMYFUNCTION("""COMPUTED_VALUE"""),"")</f>
        <v/>
      </c>
      <c r="AA405" s="52" t="str">
        <f>IFERROR(__xludf.DUMMYFUNCTION("""COMPUTED_VALUE"""),"")</f>
        <v/>
      </c>
      <c r="AB405" s="52" t="str">
        <f>IFERROR(__xludf.DUMMYFUNCTION("""COMPUTED_VALUE"""),"")</f>
        <v/>
      </c>
      <c r="AC405" s="52" t="str">
        <f>IFERROR(__xludf.DUMMYFUNCTION("""COMPUTED_VALUE"""),"")</f>
        <v/>
      </c>
      <c r="AD405" s="52" t="str">
        <f>IFERROR(__xludf.DUMMYFUNCTION("""COMPUTED_VALUE"""),"")</f>
        <v/>
      </c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</row>
    <row r="406">
      <c r="B406" s="49"/>
      <c r="C406" s="49" t="str">
        <f t="shared" si="2"/>
        <v/>
      </c>
      <c r="D406" s="50" t="str">
        <f t="shared" si="3"/>
        <v/>
      </c>
      <c r="E406" s="51" t="str">
        <f t="shared" ref="E406:T406" si="407">IFERROR(VLOOKUP($A406,INDIRECT("'" &amp; E$1 &amp; "'!$C:$G"), 5, FALSE),"")</f>
        <v/>
      </c>
      <c r="F406" s="51" t="str">
        <f t="shared" si="407"/>
        <v/>
      </c>
      <c r="G406" s="51" t="str">
        <f t="shared" si="407"/>
        <v/>
      </c>
      <c r="H406" s="51" t="str">
        <f t="shared" si="407"/>
        <v/>
      </c>
      <c r="I406" s="51" t="str">
        <f t="shared" si="407"/>
        <v/>
      </c>
      <c r="J406" s="51" t="str">
        <f t="shared" si="407"/>
        <v/>
      </c>
      <c r="K406" s="51" t="str">
        <f t="shared" si="407"/>
        <v/>
      </c>
      <c r="L406" s="51" t="str">
        <f t="shared" si="407"/>
        <v/>
      </c>
      <c r="M406" s="51" t="str">
        <f t="shared" si="407"/>
        <v/>
      </c>
      <c r="N406" s="51" t="str">
        <f t="shared" si="407"/>
        <v/>
      </c>
      <c r="O406" s="51" t="str">
        <f t="shared" si="407"/>
        <v/>
      </c>
      <c r="P406" s="51" t="str">
        <f t="shared" si="407"/>
        <v/>
      </c>
      <c r="Q406" s="51" t="str">
        <f t="shared" si="407"/>
        <v/>
      </c>
      <c r="R406" s="51" t="str">
        <f t="shared" si="407"/>
        <v/>
      </c>
      <c r="S406" s="51" t="str">
        <f t="shared" si="407"/>
        <v/>
      </c>
      <c r="T406" s="51" t="str">
        <f t="shared" si="407"/>
        <v/>
      </c>
      <c r="U406" s="52"/>
      <c r="V406" s="52" t="str">
        <f>IFERROR(__xludf.DUMMYFUNCTION("""COMPUTED_VALUE"""),"")</f>
        <v/>
      </c>
      <c r="W406" s="52" t="str">
        <f>IFERROR(__xludf.DUMMYFUNCTION("""COMPUTED_VALUE"""),"")</f>
        <v/>
      </c>
      <c r="X406" s="52" t="str">
        <f>IFERROR(__xludf.DUMMYFUNCTION("""COMPUTED_VALUE"""),"")</f>
        <v/>
      </c>
      <c r="Y406" s="52" t="str">
        <f>IFERROR(__xludf.DUMMYFUNCTION("""COMPUTED_VALUE"""),"")</f>
        <v/>
      </c>
      <c r="Z406" s="52" t="str">
        <f>IFERROR(__xludf.DUMMYFUNCTION("""COMPUTED_VALUE"""),"")</f>
        <v/>
      </c>
      <c r="AA406" s="52" t="str">
        <f>IFERROR(__xludf.DUMMYFUNCTION("""COMPUTED_VALUE"""),"")</f>
        <v/>
      </c>
      <c r="AB406" s="52" t="str">
        <f>IFERROR(__xludf.DUMMYFUNCTION("""COMPUTED_VALUE"""),"")</f>
        <v/>
      </c>
      <c r="AC406" s="52" t="str">
        <f>IFERROR(__xludf.DUMMYFUNCTION("""COMPUTED_VALUE"""),"")</f>
        <v/>
      </c>
      <c r="AD406" s="52" t="str">
        <f>IFERROR(__xludf.DUMMYFUNCTION("""COMPUTED_VALUE"""),"")</f>
        <v/>
      </c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</row>
    <row r="407">
      <c r="B407" s="49"/>
      <c r="C407" s="49" t="str">
        <f t="shared" si="2"/>
        <v/>
      </c>
      <c r="D407" s="50" t="str">
        <f t="shared" si="3"/>
        <v/>
      </c>
      <c r="E407" s="51" t="str">
        <f t="shared" ref="E407:T407" si="408">IFERROR(VLOOKUP($A407,INDIRECT("'" &amp; E$1 &amp; "'!$C:$G"), 5, FALSE),"")</f>
        <v/>
      </c>
      <c r="F407" s="51" t="str">
        <f t="shared" si="408"/>
        <v/>
      </c>
      <c r="G407" s="51" t="str">
        <f t="shared" si="408"/>
        <v/>
      </c>
      <c r="H407" s="51" t="str">
        <f t="shared" si="408"/>
        <v/>
      </c>
      <c r="I407" s="51" t="str">
        <f t="shared" si="408"/>
        <v/>
      </c>
      <c r="J407" s="51" t="str">
        <f t="shared" si="408"/>
        <v/>
      </c>
      <c r="K407" s="51" t="str">
        <f t="shared" si="408"/>
        <v/>
      </c>
      <c r="L407" s="51" t="str">
        <f t="shared" si="408"/>
        <v/>
      </c>
      <c r="M407" s="51" t="str">
        <f t="shared" si="408"/>
        <v/>
      </c>
      <c r="N407" s="51" t="str">
        <f t="shared" si="408"/>
        <v/>
      </c>
      <c r="O407" s="51" t="str">
        <f t="shared" si="408"/>
        <v/>
      </c>
      <c r="P407" s="51" t="str">
        <f t="shared" si="408"/>
        <v/>
      </c>
      <c r="Q407" s="51" t="str">
        <f t="shared" si="408"/>
        <v/>
      </c>
      <c r="R407" s="51" t="str">
        <f t="shared" si="408"/>
        <v/>
      </c>
      <c r="S407" s="51" t="str">
        <f t="shared" si="408"/>
        <v/>
      </c>
      <c r="T407" s="51" t="str">
        <f t="shared" si="408"/>
        <v/>
      </c>
      <c r="U407" s="52"/>
      <c r="V407" s="52" t="str">
        <f>IFERROR(__xludf.DUMMYFUNCTION("""COMPUTED_VALUE"""),"")</f>
        <v/>
      </c>
      <c r="W407" s="52" t="str">
        <f>IFERROR(__xludf.DUMMYFUNCTION("""COMPUTED_VALUE"""),"")</f>
        <v/>
      </c>
      <c r="X407" s="52" t="str">
        <f>IFERROR(__xludf.DUMMYFUNCTION("""COMPUTED_VALUE"""),"")</f>
        <v/>
      </c>
      <c r="Y407" s="52" t="str">
        <f>IFERROR(__xludf.DUMMYFUNCTION("""COMPUTED_VALUE"""),"")</f>
        <v/>
      </c>
      <c r="Z407" s="52" t="str">
        <f>IFERROR(__xludf.DUMMYFUNCTION("""COMPUTED_VALUE"""),"")</f>
        <v/>
      </c>
      <c r="AA407" s="52" t="str">
        <f>IFERROR(__xludf.DUMMYFUNCTION("""COMPUTED_VALUE"""),"")</f>
        <v/>
      </c>
      <c r="AB407" s="52" t="str">
        <f>IFERROR(__xludf.DUMMYFUNCTION("""COMPUTED_VALUE"""),"")</f>
        <v/>
      </c>
      <c r="AC407" s="52" t="str">
        <f>IFERROR(__xludf.DUMMYFUNCTION("""COMPUTED_VALUE"""),"")</f>
        <v/>
      </c>
      <c r="AD407" s="52" t="str">
        <f>IFERROR(__xludf.DUMMYFUNCTION("""COMPUTED_VALUE"""),"")</f>
        <v/>
      </c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</row>
    <row r="408">
      <c r="B408" s="49"/>
      <c r="C408" s="49" t="str">
        <f t="shared" si="2"/>
        <v/>
      </c>
      <c r="D408" s="50" t="str">
        <f t="shared" si="3"/>
        <v/>
      </c>
      <c r="E408" s="51" t="str">
        <f t="shared" ref="E408:T408" si="409">IFERROR(VLOOKUP($A408,INDIRECT("'" &amp; E$1 &amp; "'!$C:$G"), 5, FALSE),"")</f>
        <v/>
      </c>
      <c r="F408" s="51" t="str">
        <f t="shared" si="409"/>
        <v/>
      </c>
      <c r="G408" s="51" t="str">
        <f t="shared" si="409"/>
        <v/>
      </c>
      <c r="H408" s="51" t="str">
        <f t="shared" si="409"/>
        <v/>
      </c>
      <c r="I408" s="51" t="str">
        <f t="shared" si="409"/>
        <v/>
      </c>
      <c r="J408" s="51" t="str">
        <f t="shared" si="409"/>
        <v/>
      </c>
      <c r="K408" s="51" t="str">
        <f t="shared" si="409"/>
        <v/>
      </c>
      <c r="L408" s="51" t="str">
        <f t="shared" si="409"/>
        <v/>
      </c>
      <c r="M408" s="51" t="str">
        <f t="shared" si="409"/>
        <v/>
      </c>
      <c r="N408" s="51" t="str">
        <f t="shared" si="409"/>
        <v/>
      </c>
      <c r="O408" s="51" t="str">
        <f t="shared" si="409"/>
        <v/>
      </c>
      <c r="P408" s="51" t="str">
        <f t="shared" si="409"/>
        <v/>
      </c>
      <c r="Q408" s="51" t="str">
        <f t="shared" si="409"/>
        <v/>
      </c>
      <c r="R408" s="51" t="str">
        <f t="shared" si="409"/>
        <v/>
      </c>
      <c r="S408" s="51" t="str">
        <f t="shared" si="409"/>
        <v/>
      </c>
      <c r="T408" s="51" t="str">
        <f t="shared" si="409"/>
        <v/>
      </c>
      <c r="U408" s="52"/>
      <c r="V408" s="52" t="str">
        <f>IFERROR(__xludf.DUMMYFUNCTION("""COMPUTED_VALUE"""),"")</f>
        <v/>
      </c>
      <c r="W408" s="52" t="str">
        <f>IFERROR(__xludf.DUMMYFUNCTION("""COMPUTED_VALUE"""),"")</f>
        <v/>
      </c>
      <c r="X408" s="52" t="str">
        <f>IFERROR(__xludf.DUMMYFUNCTION("""COMPUTED_VALUE"""),"")</f>
        <v/>
      </c>
      <c r="Y408" s="52" t="str">
        <f>IFERROR(__xludf.DUMMYFUNCTION("""COMPUTED_VALUE"""),"")</f>
        <v/>
      </c>
      <c r="Z408" s="52" t="str">
        <f>IFERROR(__xludf.DUMMYFUNCTION("""COMPUTED_VALUE"""),"")</f>
        <v/>
      </c>
      <c r="AA408" s="52" t="str">
        <f>IFERROR(__xludf.DUMMYFUNCTION("""COMPUTED_VALUE"""),"")</f>
        <v/>
      </c>
      <c r="AB408" s="52" t="str">
        <f>IFERROR(__xludf.DUMMYFUNCTION("""COMPUTED_VALUE"""),"")</f>
        <v/>
      </c>
      <c r="AC408" s="52" t="str">
        <f>IFERROR(__xludf.DUMMYFUNCTION("""COMPUTED_VALUE"""),"")</f>
        <v/>
      </c>
      <c r="AD408" s="52" t="str">
        <f>IFERROR(__xludf.DUMMYFUNCTION("""COMPUTED_VALUE"""),"")</f>
        <v/>
      </c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</row>
    <row r="409">
      <c r="B409" s="49"/>
      <c r="C409" s="49" t="str">
        <f t="shared" si="2"/>
        <v/>
      </c>
      <c r="D409" s="50" t="str">
        <f t="shared" si="3"/>
        <v/>
      </c>
      <c r="E409" s="51" t="str">
        <f t="shared" ref="E409:T409" si="410">IFERROR(VLOOKUP($A409,INDIRECT("'" &amp; E$1 &amp; "'!$C:$G"), 5, FALSE),"")</f>
        <v/>
      </c>
      <c r="F409" s="51" t="str">
        <f t="shared" si="410"/>
        <v/>
      </c>
      <c r="G409" s="51" t="str">
        <f t="shared" si="410"/>
        <v/>
      </c>
      <c r="H409" s="51" t="str">
        <f t="shared" si="410"/>
        <v/>
      </c>
      <c r="I409" s="51" t="str">
        <f t="shared" si="410"/>
        <v/>
      </c>
      <c r="J409" s="51" t="str">
        <f t="shared" si="410"/>
        <v/>
      </c>
      <c r="K409" s="51" t="str">
        <f t="shared" si="410"/>
        <v/>
      </c>
      <c r="L409" s="51" t="str">
        <f t="shared" si="410"/>
        <v/>
      </c>
      <c r="M409" s="51" t="str">
        <f t="shared" si="410"/>
        <v/>
      </c>
      <c r="N409" s="51" t="str">
        <f t="shared" si="410"/>
        <v/>
      </c>
      <c r="O409" s="51" t="str">
        <f t="shared" si="410"/>
        <v/>
      </c>
      <c r="P409" s="51" t="str">
        <f t="shared" si="410"/>
        <v/>
      </c>
      <c r="Q409" s="51" t="str">
        <f t="shared" si="410"/>
        <v/>
      </c>
      <c r="R409" s="51" t="str">
        <f t="shared" si="410"/>
        <v/>
      </c>
      <c r="S409" s="51" t="str">
        <f t="shared" si="410"/>
        <v/>
      </c>
      <c r="T409" s="51" t="str">
        <f t="shared" si="410"/>
        <v/>
      </c>
      <c r="U409" s="52"/>
      <c r="V409" s="52" t="str">
        <f>IFERROR(__xludf.DUMMYFUNCTION("""COMPUTED_VALUE"""),"")</f>
        <v/>
      </c>
      <c r="W409" s="52" t="str">
        <f>IFERROR(__xludf.DUMMYFUNCTION("""COMPUTED_VALUE"""),"")</f>
        <v/>
      </c>
      <c r="X409" s="52" t="str">
        <f>IFERROR(__xludf.DUMMYFUNCTION("""COMPUTED_VALUE"""),"")</f>
        <v/>
      </c>
      <c r="Y409" s="52" t="str">
        <f>IFERROR(__xludf.DUMMYFUNCTION("""COMPUTED_VALUE"""),"")</f>
        <v/>
      </c>
      <c r="Z409" s="52" t="str">
        <f>IFERROR(__xludf.DUMMYFUNCTION("""COMPUTED_VALUE"""),"")</f>
        <v/>
      </c>
      <c r="AA409" s="52" t="str">
        <f>IFERROR(__xludf.DUMMYFUNCTION("""COMPUTED_VALUE"""),"")</f>
        <v/>
      </c>
      <c r="AB409" s="52" t="str">
        <f>IFERROR(__xludf.DUMMYFUNCTION("""COMPUTED_VALUE"""),"")</f>
        <v/>
      </c>
      <c r="AC409" s="52" t="str">
        <f>IFERROR(__xludf.DUMMYFUNCTION("""COMPUTED_VALUE"""),"")</f>
        <v/>
      </c>
      <c r="AD409" s="52" t="str">
        <f>IFERROR(__xludf.DUMMYFUNCTION("""COMPUTED_VALUE"""),"")</f>
        <v/>
      </c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</row>
    <row r="410">
      <c r="B410" s="49"/>
      <c r="C410" s="49" t="str">
        <f t="shared" si="2"/>
        <v/>
      </c>
      <c r="D410" s="50" t="str">
        <f t="shared" si="3"/>
        <v/>
      </c>
      <c r="E410" s="51" t="str">
        <f t="shared" ref="E410:T410" si="411">IFERROR(VLOOKUP($A410,INDIRECT("'" &amp; E$1 &amp; "'!$C:$G"), 5, FALSE),"")</f>
        <v/>
      </c>
      <c r="F410" s="51" t="str">
        <f t="shared" si="411"/>
        <v/>
      </c>
      <c r="G410" s="51" t="str">
        <f t="shared" si="411"/>
        <v/>
      </c>
      <c r="H410" s="51" t="str">
        <f t="shared" si="411"/>
        <v/>
      </c>
      <c r="I410" s="51" t="str">
        <f t="shared" si="411"/>
        <v/>
      </c>
      <c r="J410" s="51" t="str">
        <f t="shared" si="411"/>
        <v/>
      </c>
      <c r="K410" s="51" t="str">
        <f t="shared" si="411"/>
        <v/>
      </c>
      <c r="L410" s="51" t="str">
        <f t="shared" si="411"/>
        <v/>
      </c>
      <c r="M410" s="51" t="str">
        <f t="shared" si="411"/>
        <v/>
      </c>
      <c r="N410" s="51" t="str">
        <f t="shared" si="411"/>
        <v/>
      </c>
      <c r="O410" s="51" t="str">
        <f t="shared" si="411"/>
        <v/>
      </c>
      <c r="P410" s="51" t="str">
        <f t="shared" si="411"/>
        <v/>
      </c>
      <c r="Q410" s="51" t="str">
        <f t="shared" si="411"/>
        <v/>
      </c>
      <c r="R410" s="51" t="str">
        <f t="shared" si="411"/>
        <v/>
      </c>
      <c r="S410" s="51" t="str">
        <f t="shared" si="411"/>
        <v/>
      </c>
      <c r="T410" s="51" t="str">
        <f t="shared" si="411"/>
        <v/>
      </c>
      <c r="U410" s="52"/>
      <c r="V410" s="52" t="str">
        <f>IFERROR(__xludf.DUMMYFUNCTION("""COMPUTED_VALUE"""),"")</f>
        <v/>
      </c>
      <c r="W410" s="52" t="str">
        <f>IFERROR(__xludf.DUMMYFUNCTION("""COMPUTED_VALUE"""),"")</f>
        <v/>
      </c>
      <c r="X410" s="52" t="str">
        <f>IFERROR(__xludf.DUMMYFUNCTION("""COMPUTED_VALUE"""),"")</f>
        <v/>
      </c>
      <c r="Y410" s="52" t="str">
        <f>IFERROR(__xludf.DUMMYFUNCTION("""COMPUTED_VALUE"""),"")</f>
        <v/>
      </c>
      <c r="Z410" s="52" t="str">
        <f>IFERROR(__xludf.DUMMYFUNCTION("""COMPUTED_VALUE"""),"")</f>
        <v/>
      </c>
      <c r="AA410" s="52" t="str">
        <f>IFERROR(__xludf.DUMMYFUNCTION("""COMPUTED_VALUE"""),"")</f>
        <v/>
      </c>
      <c r="AB410" s="52" t="str">
        <f>IFERROR(__xludf.DUMMYFUNCTION("""COMPUTED_VALUE"""),"")</f>
        <v/>
      </c>
      <c r="AC410" s="52" t="str">
        <f>IFERROR(__xludf.DUMMYFUNCTION("""COMPUTED_VALUE"""),"")</f>
        <v/>
      </c>
      <c r="AD410" s="52" t="str">
        <f>IFERROR(__xludf.DUMMYFUNCTION("""COMPUTED_VALUE"""),"")</f>
        <v/>
      </c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</row>
    <row r="411">
      <c r="B411" s="49"/>
      <c r="C411" s="49" t="str">
        <f t="shared" si="2"/>
        <v/>
      </c>
      <c r="D411" s="50" t="str">
        <f t="shared" si="3"/>
        <v/>
      </c>
      <c r="E411" s="51" t="str">
        <f t="shared" ref="E411:T411" si="412">IFERROR(VLOOKUP($A411,INDIRECT("'" &amp; E$1 &amp; "'!$C:$G"), 5, FALSE),"")</f>
        <v/>
      </c>
      <c r="F411" s="51" t="str">
        <f t="shared" si="412"/>
        <v/>
      </c>
      <c r="G411" s="51" t="str">
        <f t="shared" si="412"/>
        <v/>
      </c>
      <c r="H411" s="51" t="str">
        <f t="shared" si="412"/>
        <v/>
      </c>
      <c r="I411" s="51" t="str">
        <f t="shared" si="412"/>
        <v/>
      </c>
      <c r="J411" s="51" t="str">
        <f t="shared" si="412"/>
        <v/>
      </c>
      <c r="K411" s="51" t="str">
        <f t="shared" si="412"/>
        <v/>
      </c>
      <c r="L411" s="51" t="str">
        <f t="shared" si="412"/>
        <v/>
      </c>
      <c r="M411" s="51" t="str">
        <f t="shared" si="412"/>
        <v/>
      </c>
      <c r="N411" s="51" t="str">
        <f t="shared" si="412"/>
        <v/>
      </c>
      <c r="O411" s="51" t="str">
        <f t="shared" si="412"/>
        <v/>
      </c>
      <c r="P411" s="51" t="str">
        <f t="shared" si="412"/>
        <v/>
      </c>
      <c r="Q411" s="51" t="str">
        <f t="shared" si="412"/>
        <v/>
      </c>
      <c r="R411" s="51" t="str">
        <f t="shared" si="412"/>
        <v/>
      </c>
      <c r="S411" s="51" t="str">
        <f t="shared" si="412"/>
        <v/>
      </c>
      <c r="T411" s="51" t="str">
        <f t="shared" si="412"/>
        <v/>
      </c>
      <c r="U411" s="52"/>
      <c r="V411" s="52" t="str">
        <f>IFERROR(__xludf.DUMMYFUNCTION("""COMPUTED_VALUE"""),"")</f>
        <v/>
      </c>
      <c r="W411" s="52" t="str">
        <f>IFERROR(__xludf.DUMMYFUNCTION("""COMPUTED_VALUE"""),"")</f>
        <v/>
      </c>
      <c r="X411" s="52" t="str">
        <f>IFERROR(__xludf.DUMMYFUNCTION("""COMPUTED_VALUE"""),"")</f>
        <v/>
      </c>
      <c r="Y411" s="52" t="str">
        <f>IFERROR(__xludf.DUMMYFUNCTION("""COMPUTED_VALUE"""),"")</f>
        <v/>
      </c>
      <c r="Z411" s="52" t="str">
        <f>IFERROR(__xludf.DUMMYFUNCTION("""COMPUTED_VALUE"""),"")</f>
        <v/>
      </c>
      <c r="AA411" s="52" t="str">
        <f>IFERROR(__xludf.DUMMYFUNCTION("""COMPUTED_VALUE"""),"")</f>
        <v/>
      </c>
      <c r="AB411" s="52" t="str">
        <f>IFERROR(__xludf.DUMMYFUNCTION("""COMPUTED_VALUE"""),"")</f>
        <v/>
      </c>
      <c r="AC411" s="52" t="str">
        <f>IFERROR(__xludf.DUMMYFUNCTION("""COMPUTED_VALUE"""),"")</f>
        <v/>
      </c>
      <c r="AD411" s="52" t="str">
        <f>IFERROR(__xludf.DUMMYFUNCTION("""COMPUTED_VALUE"""),"")</f>
        <v/>
      </c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</row>
    <row r="412">
      <c r="B412" s="49"/>
      <c r="C412" s="49" t="str">
        <f t="shared" si="2"/>
        <v/>
      </c>
      <c r="D412" s="50" t="str">
        <f t="shared" si="3"/>
        <v/>
      </c>
      <c r="E412" s="51" t="str">
        <f t="shared" ref="E412:T412" si="413">IFERROR(VLOOKUP($A412,INDIRECT("'" &amp; E$1 &amp; "'!$C:$G"), 5, FALSE),"")</f>
        <v/>
      </c>
      <c r="F412" s="51" t="str">
        <f t="shared" si="413"/>
        <v/>
      </c>
      <c r="G412" s="51" t="str">
        <f t="shared" si="413"/>
        <v/>
      </c>
      <c r="H412" s="51" t="str">
        <f t="shared" si="413"/>
        <v/>
      </c>
      <c r="I412" s="51" t="str">
        <f t="shared" si="413"/>
        <v/>
      </c>
      <c r="J412" s="51" t="str">
        <f t="shared" si="413"/>
        <v/>
      </c>
      <c r="K412" s="51" t="str">
        <f t="shared" si="413"/>
        <v/>
      </c>
      <c r="L412" s="51" t="str">
        <f t="shared" si="413"/>
        <v/>
      </c>
      <c r="M412" s="51" t="str">
        <f t="shared" si="413"/>
        <v/>
      </c>
      <c r="N412" s="51" t="str">
        <f t="shared" si="413"/>
        <v/>
      </c>
      <c r="O412" s="51" t="str">
        <f t="shared" si="413"/>
        <v/>
      </c>
      <c r="P412" s="51" t="str">
        <f t="shared" si="413"/>
        <v/>
      </c>
      <c r="Q412" s="51" t="str">
        <f t="shared" si="413"/>
        <v/>
      </c>
      <c r="R412" s="51" t="str">
        <f t="shared" si="413"/>
        <v/>
      </c>
      <c r="S412" s="51" t="str">
        <f t="shared" si="413"/>
        <v/>
      </c>
      <c r="T412" s="51" t="str">
        <f t="shared" si="413"/>
        <v/>
      </c>
      <c r="U412" s="52"/>
      <c r="V412" s="52" t="str">
        <f>IFERROR(__xludf.DUMMYFUNCTION("""COMPUTED_VALUE"""),"")</f>
        <v/>
      </c>
      <c r="W412" s="52" t="str">
        <f>IFERROR(__xludf.DUMMYFUNCTION("""COMPUTED_VALUE"""),"")</f>
        <v/>
      </c>
      <c r="X412" s="52" t="str">
        <f>IFERROR(__xludf.DUMMYFUNCTION("""COMPUTED_VALUE"""),"")</f>
        <v/>
      </c>
      <c r="Y412" s="52" t="str">
        <f>IFERROR(__xludf.DUMMYFUNCTION("""COMPUTED_VALUE"""),"")</f>
        <v/>
      </c>
      <c r="Z412" s="52" t="str">
        <f>IFERROR(__xludf.DUMMYFUNCTION("""COMPUTED_VALUE"""),"")</f>
        <v/>
      </c>
      <c r="AA412" s="52" t="str">
        <f>IFERROR(__xludf.DUMMYFUNCTION("""COMPUTED_VALUE"""),"")</f>
        <v/>
      </c>
      <c r="AB412" s="52" t="str">
        <f>IFERROR(__xludf.DUMMYFUNCTION("""COMPUTED_VALUE"""),"")</f>
        <v/>
      </c>
      <c r="AC412" s="52" t="str">
        <f>IFERROR(__xludf.DUMMYFUNCTION("""COMPUTED_VALUE"""),"")</f>
        <v/>
      </c>
      <c r="AD412" s="52" t="str">
        <f>IFERROR(__xludf.DUMMYFUNCTION("""COMPUTED_VALUE"""),"")</f>
        <v/>
      </c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</row>
    <row r="413">
      <c r="B413" s="49"/>
      <c r="C413" s="49" t="str">
        <f t="shared" si="2"/>
        <v/>
      </c>
      <c r="D413" s="50" t="str">
        <f t="shared" si="3"/>
        <v/>
      </c>
      <c r="E413" s="51" t="str">
        <f t="shared" ref="E413:T413" si="414">IFERROR(VLOOKUP($A413,INDIRECT("'" &amp; E$1 &amp; "'!$C:$G"), 5, FALSE),"")</f>
        <v/>
      </c>
      <c r="F413" s="51" t="str">
        <f t="shared" si="414"/>
        <v/>
      </c>
      <c r="G413" s="51" t="str">
        <f t="shared" si="414"/>
        <v/>
      </c>
      <c r="H413" s="51" t="str">
        <f t="shared" si="414"/>
        <v/>
      </c>
      <c r="I413" s="51" t="str">
        <f t="shared" si="414"/>
        <v/>
      </c>
      <c r="J413" s="51" t="str">
        <f t="shared" si="414"/>
        <v/>
      </c>
      <c r="K413" s="51" t="str">
        <f t="shared" si="414"/>
        <v/>
      </c>
      <c r="L413" s="51" t="str">
        <f t="shared" si="414"/>
        <v/>
      </c>
      <c r="M413" s="51" t="str">
        <f t="shared" si="414"/>
        <v/>
      </c>
      <c r="N413" s="51" t="str">
        <f t="shared" si="414"/>
        <v/>
      </c>
      <c r="O413" s="51" t="str">
        <f t="shared" si="414"/>
        <v/>
      </c>
      <c r="P413" s="51" t="str">
        <f t="shared" si="414"/>
        <v/>
      </c>
      <c r="Q413" s="51" t="str">
        <f t="shared" si="414"/>
        <v/>
      </c>
      <c r="R413" s="51" t="str">
        <f t="shared" si="414"/>
        <v/>
      </c>
      <c r="S413" s="51" t="str">
        <f t="shared" si="414"/>
        <v/>
      </c>
      <c r="T413" s="51" t="str">
        <f t="shared" si="414"/>
        <v/>
      </c>
      <c r="U413" s="52"/>
      <c r="V413" s="52" t="str">
        <f>IFERROR(__xludf.DUMMYFUNCTION("""COMPUTED_VALUE"""),"")</f>
        <v/>
      </c>
      <c r="W413" s="52" t="str">
        <f>IFERROR(__xludf.DUMMYFUNCTION("""COMPUTED_VALUE"""),"")</f>
        <v/>
      </c>
      <c r="X413" s="52" t="str">
        <f>IFERROR(__xludf.DUMMYFUNCTION("""COMPUTED_VALUE"""),"")</f>
        <v/>
      </c>
      <c r="Y413" s="52" t="str">
        <f>IFERROR(__xludf.DUMMYFUNCTION("""COMPUTED_VALUE"""),"")</f>
        <v/>
      </c>
      <c r="Z413" s="52" t="str">
        <f>IFERROR(__xludf.DUMMYFUNCTION("""COMPUTED_VALUE"""),"")</f>
        <v/>
      </c>
      <c r="AA413" s="52" t="str">
        <f>IFERROR(__xludf.DUMMYFUNCTION("""COMPUTED_VALUE"""),"")</f>
        <v/>
      </c>
      <c r="AB413" s="52" t="str">
        <f>IFERROR(__xludf.DUMMYFUNCTION("""COMPUTED_VALUE"""),"")</f>
        <v/>
      </c>
      <c r="AC413" s="52" t="str">
        <f>IFERROR(__xludf.DUMMYFUNCTION("""COMPUTED_VALUE"""),"")</f>
        <v/>
      </c>
      <c r="AD413" s="52" t="str">
        <f>IFERROR(__xludf.DUMMYFUNCTION("""COMPUTED_VALUE"""),"")</f>
        <v/>
      </c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</row>
    <row r="414">
      <c r="B414" s="49"/>
      <c r="C414" s="49" t="str">
        <f t="shared" si="2"/>
        <v/>
      </c>
      <c r="D414" s="50" t="str">
        <f t="shared" si="3"/>
        <v/>
      </c>
      <c r="E414" s="51" t="str">
        <f t="shared" ref="E414:T414" si="415">IFERROR(VLOOKUP($A414,INDIRECT("'" &amp; E$1 &amp; "'!$C:$G"), 5, FALSE),"")</f>
        <v/>
      </c>
      <c r="F414" s="51" t="str">
        <f t="shared" si="415"/>
        <v/>
      </c>
      <c r="G414" s="51" t="str">
        <f t="shared" si="415"/>
        <v/>
      </c>
      <c r="H414" s="51" t="str">
        <f t="shared" si="415"/>
        <v/>
      </c>
      <c r="I414" s="51" t="str">
        <f t="shared" si="415"/>
        <v/>
      </c>
      <c r="J414" s="51" t="str">
        <f t="shared" si="415"/>
        <v/>
      </c>
      <c r="K414" s="51" t="str">
        <f t="shared" si="415"/>
        <v/>
      </c>
      <c r="L414" s="51" t="str">
        <f t="shared" si="415"/>
        <v/>
      </c>
      <c r="M414" s="51" t="str">
        <f t="shared" si="415"/>
        <v/>
      </c>
      <c r="N414" s="51" t="str">
        <f t="shared" si="415"/>
        <v/>
      </c>
      <c r="O414" s="51" t="str">
        <f t="shared" si="415"/>
        <v/>
      </c>
      <c r="P414" s="51" t="str">
        <f t="shared" si="415"/>
        <v/>
      </c>
      <c r="Q414" s="51" t="str">
        <f t="shared" si="415"/>
        <v/>
      </c>
      <c r="R414" s="51" t="str">
        <f t="shared" si="415"/>
        <v/>
      </c>
      <c r="S414" s="51" t="str">
        <f t="shared" si="415"/>
        <v/>
      </c>
      <c r="T414" s="51" t="str">
        <f t="shared" si="415"/>
        <v/>
      </c>
      <c r="U414" s="52"/>
      <c r="V414" s="52" t="str">
        <f>IFERROR(__xludf.DUMMYFUNCTION("""COMPUTED_VALUE"""),"")</f>
        <v/>
      </c>
      <c r="W414" s="52" t="str">
        <f>IFERROR(__xludf.DUMMYFUNCTION("""COMPUTED_VALUE"""),"")</f>
        <v/>
      </c>
      <c r="X414" s="52" t="str">
        <f>IFERROR(__xludf.DUMMYFUNCTION("""COMPUTED_VALUE"""),"")</f>
        <v/>
      </c>
      <c r="Y414" s="52" t="str">
        <f>IFERROR(__xludf.DUMMYFUNCTION("""COMPUTED_VALUE"""),"")</f>
        <v/>
      </c>
      <c r="Z414" s="52" t="str">
        <f>IFERROR(__xludf.DUMMYFUNCTION("""COMPUTED_VALUE"""),"")</f>
        <v/>
      </c>
      <c r="AA414" s="52" t="str">
        <f>IFERROR(__xludf.DUMMYFUNCTION("""COMPUTED_VALUE"""),"")</f>
        <v/>
      </c>
      <c r="AB414" s="52" t="str">
        <f>IFERROR(__xludf.DUMMYFUNCTION("""COMPUTED_VALUE"""),"")</f>
        <v/>
      </c>
      <c r="AC414" s="52" t="str">
        <f>IFERROR(__xludf.DUMMYFUNCTION("""COMPUTED_VALUE"""),"")</f>
        <v/>
      </c>
      <c r="AD414" s="52" t="str">
        <f>IFERROR(__xludf.DUMMYFUNCTION("""COMPUTED_VALUE"""),"")</f>
        <v/>
      </c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</row>
    <row r="415">
      <c r="B415" s="49"/>
      <c r="C415" s="49" t="str">
        <f t="shared" si="2"/>
        <v/>
      </c>
      <c r="D415" s="50" t="str">
        <f t="shared" si="3"/>
        <v/>
      </c>
      <c r="E415" s="51" t="str">
        <f t="shared" ref="E415:T415" si="416">IFERROR(VLOOKUP($A415,INDIRECT("'" &amp; E$1 &amp; "'!$C:$G"), 5, FALSE),"")</f>
        <v/>
      </c>
      <c r="F415" s="51" t="str">
        <f t="shared" si="416"/>
        <v/>
      </c>
      <c r="G415" s="51" t="str">
        <f t="shared" si="416"/>
        <v/>
      </c>
      <c r="H415" s="51" t="str">
        <f t="shared" si="416"/>
        <v/>
      </c>
      <c r="I415" s="51" t="str">
        <f t="shared" si="416"/>
        <v/>
      </c>
      <c r="J415" s="51" t="str">
        <f t="shared" si="416"/>
        <v/>
      </c>
      <c r="K415" s="51" t="str">
        <f t="shared" si="416"/>
        <v/>
      </c>
      <c r="L415" s="51" t="str">
        <f t="shared" si="416"/>
        <v/>
      </c>
      <c r="M415" s="51" t="str">
        <f t="shared" si="416"/>
        <v/>
      </c>
      <c r="N415" s="51" t="str">
        <f t="shared" si="416"/>
        <v/>
      </c>
      <c r="O415" s="51" t="str">
        <f t="shared" si="416"/>
        <v/>
      </c>
      <c r="P415" s="51" t="str">
        <f t="shared" si="416"/>
        <v/>
      </c>
      <c r="Q415" s="51" t="str">
        <f t="shared" si="416"/>
        <v/>
      </c>
      <c r="R415" s="51" t="str">
        <f t="shared" si="416"/>
        <v/>
      </c>
      <c r="S415" s="51" t="str">
        <f t="shared" si="416"/>
        <v/>
      </c>
      <c r="T415" s="51" t="str">
        <f t="shared" si="416"/>
        <v/>
      </c>
      <c r="U415" s="52"/>
      <c r="V415" s="52" t="str">
        <f>IFERROR(__xludf.DUMMYFUNCTION("""COMPUTED_VALUE"""),"")</f>
        <v/>
      </c>
      <c r="W415" s="52" t="str">
        <f>IFERROR(__xludf.DUMMYFUNCTION("""COMPUTED_VALUE"""),"")</f>
        <v/>
      </c>
      <c r="X415" s="52" t="str">
        <f>IFERROR(__xludf.DUMMYFUNCTION("""COMPUTED_VALUE"""),"")</f>
        <v/>
      </c>
      <c r="Y415" s="52" t="str">
        <f>IFERROR(__xludf.DUMMYFUNCTION("""COMPUTED_VALUE"""),"")</f>
        <v/>
      </c>
      <c r="Z415" s="52" t="str">
        <f>IFERROR(__xludf.DUMMYFUNCTION("""COMPUTED_VALUE"""),"")</f>
        <v/>
      </c>
      <c r="AA415" s="52" t="str">
        <f>IFERROR(__xludf.DUMMYFUNCTION("""COMPUTED_VALUE"""),"")</f>
        <v/>
      </c>
      <c r="AB415" s="52" t="str">
        <f>IFERROR(__xludf.DUMMYFUNCTION("""COMPUTED_VALUE"""),"")</f>
        <v/>
      </c>
      <c r="AC415" s="52" t="str">
        <f>IFERROR(__xludf.DUMMYFUNCTION("""COMPUTED_VALUE"""),"")</f>
        <v/>
      </c>
      <c r="AD415" s="52" t="str">
        <f>IFERROR(__xludf.DUMMYFUNCTION("""COMPUTED_VALUE"""),"")</f>
        <v/>
      </c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</row>
    <row r="416">
      <c r="B416" s="49"/>
      <c r="C416" s="49" t="str">
        <f t="shared" si="2"/>
        <v/>
      </c>
      <c r="D416" s="50" t="str">
        <f t="shared" si="3"/>
        <v/>
      </c>
      <c r="E416" s="51" t="str">
        <f t="shared" ref="E416:T416" si="417">IFERROR(VLOOKUP($A416,INDIRECT("'" &amp; E$1 &amp; "'!$C:$G"), 5, FALSE),"")</f>
        <v/>
      </c>
      <c r="F416" s="51" t="str">
        <f t="shared" si="417"/>
        <v/>
      </c>
      <c r="G416" s="51" t="str">
        <f t="shared" si="417"/>
        <v/>
      </c>
      <c r="H416" s="51" t="str">
        <f t="shared" si="417"/>
        <v/>
      </c>
      <c r="I416" s="51" t="str">
        <f t="shared" si="417"/>
        <v/>
      </c>
      <c r="J416" s="51" t="str">
        <f t="shared" si="417"/>
        <v/>
      </c>
      <c r="K416" s="51" t="str">
        <f t="shared" si="417"/>
        <v/>
      </c>
      <c r="L416" s="51" t="str">
        <f t="shared" si="417"/>
        <v/>
      </c>
      <c r="M416" s="51" t="str">
        <f t="shared" si="417"/>
        <v/>
      </c>
      <c r="N416" s="51" t="str">
        <f t="shared" si="417"/>
        <v/>
      </c>
      <c r="O416" s="51" t="str">
        <f t="shared" si="417"/>
        <v/>
      </c>
      <c r="P416" s="51" t="str">
        <f t="shared" si="417"/>
        <v/>
      </c>
      <c r="Q416" s="51" t="str">
        <f t="shared" si="417"/>
        <v/>
      </c>
      <c r="R416" s="51" t="str">
        <f t="shared" si="417"/>
        <v/>
      </c>
      <c r="S416" s="51" t="str">
        <f t="shared" si="417"/>
        <v/>
      </c>
      <c r="T416" s="51" t="str">
        <f t="shared" si="417"/>
        <v/>
      </c>
      <c r="U416" s="52"/>
      <c r="V416" s="52" t="str">
        <f>IFERROR(__xludf.DUMMYFUNCTION("""COMPUTED_VALUE"""),"")</f>
        <v/>
      </c>
      <c r="W416" s="52" t="str">
        <f>IFERROR(__xludf.DUMMYFUNCTION("""COMPUTED_VALUE"""),"")</f>
        <v/>
      </c>
      <c r="X416" s="52" t="str">
        <f>IFERROR(__xludf.DUMMYFUNCTION("""COMPUTED_VALUE"""),"")</f>
        <v/>
      </c>
      <c r="Y416" s="52" t="str">
        <f>IFERROR(__xludf.DUMMYFUNCTION("""COMPUTED_VALUE"""),"")</f>
        <v/>
      </c>
      <c r="Z416" s="52" t="str">
        <f>IFERROR(__xludf.DUMMYFUNCTION("""COMPUTED_VALUE"""),"")</f>
        <v/>
      </c>
      <c r="AA416" s="52" t="str">
        <f>IFERROR(__xludf.DUMMYFUNCTION("""COMPUTED_VALUE"""),"")</f>
        <v/>
      </c>
      <c r="AB416" s="52" t="str">
        <f>IFERROR(__xludf.DUMMYFUNCTION("""COMPUTED_VALUE"""),"")</f>
        <v/>
      </c>
      <c r="AC416" s="52" t="str">
        <f>IFERROR(__xludf.DUMMYFUNCTION("""COMPUTED_VALUE"""),"")</f>
        <v/>
      </c>
      <c r="AD416" s="52" t="str">
        <f>IFERROR(__xludf.DUMMYFUNCTION("""COMPUTED_VALUE"""),"")</f>
        <v/>
      </c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</row>
    <row r="417">
      <c r="B417" s="49"/>
      <c r="C417" s="49" t="str">
        <f t="shared" si="2"/>
        <v/>
      </c>
      <c r="D417" s="50" t="str">
        <f t="shared" si="3"/>
        <v/>
      </c>
      <c r="E417" s="51" t="str">
        <f t="shared" ref="E417:T417" si="418">IFERROR(VLOOKUP($A417,INDIRECT("'" &amp; E$1 &amp; "'!$C:$G"), 5, FALSE),"")</f>
        <v/>
      </c>
      <c r="F417" s="51" t="str">
        <f t="shared" si="418"/>
        <v/>
      </c>
      <c r="G417" s="51" t="str">
        <f t="shared" si="418"/>
        <v/>
      </c>
      <c r="H417" s="51" t="str">
        <f t="shared" si="418"/>
        <v/>
      </c>
      <c r="I417" s="51" t="str">
        <f t="shared" si="418"/>
        <v/>
      </c>
      <c r="J417" s="51" t="str">
        <f t="shared" si="418"/>
        <v/>
      </c>
      <c r="K417" s="51" t="str">
        <f t="shared" si="418"/>
        <v/>
      </c>
      <c r="L417" s="51" t="str">
        <f t="shared" si="418"/>
        <v/>
      </c>
      <c r="M417" s="51" t="str">
        <f t="shared" si="418"/>
        <v/>
      </c>
      <c r="N417" s="51" t="str">
        <f t="shared" si="418"/>
        <v/>
      </c>
      <c r="O417" s="51" t="str">
        <f t="shared" si="418"/>
        <v/>
      </c>
      <c r="P417" s="51" t="str">
        <f t="shared" si="418"/>
        <v/>
      </c>
      <c r="Q417" s="51" t="str">
        <f t="shared" si="418"/>
        <v/>
      </c>
      <c r="R417" s="51" t="str">
        <f t="shared" si="418"/>
        <v/>
      </c>
      <c r="S417" s="51" t="str">
        <f t="shared" si="418"/>
        <v/>
      </c>
      <c r="T417" s="51" t="str">
        <f t="shared" si="418"/>
        <v/>
      </c>
      <c r="U417" s="52"/>
      <c r="V417" s="52" t="str">
        <f>IFERROR(__xludf.DUMMYFUNCTION("""COMPUTED_VALUE"""),"")</f>
        <v/>
      </c>
      <c r="W417" s="52" t="str">
        <f>IFERROR(__xludf.DUMMYFUNCTION("""COMPUTED_VALUE"""),"")</f>
        <v/>
      </c>
      <c r="X417" s="52" t="str">
        <f>IFERROR(__xludf.DUMMYFUNCTION("""COMPUTED_VALUE"""),"")</f>
        <v/>
      </c>
      <c r="Y417" s="52" t="str">
        <f>IFERROR(__xludf.DUMMYFUNCTION("""COMPUTED_VALUE"""),"")</f>
        <v/>
      </c>
      <c r="Z417" s="52" t="str">
        <f>IFERROR(__xludf.DUMMYFUNCTION("""COMPUTED_VALUE"""),"")</f>
        <v/>
      </c>
      <c r="AA417" s="52" t="str">
        <f>IFERROR(__xludf.DUMMYFUNCTION("""COMPUTED_VALUE"""),"")</f>
        <v/>
      </c>
      <c r="AB417" s="52" t="str">
        <f>IFERROR(__xludf.DUMMYFUNCTION("""COMPUTED_VALUE"""),"")</f>
        <v/>
      </c>
      <c r="AC417" s="52" t="str">
        <f>IFERROR(__xludf.DUMMYFUNCTION("""COMPUTED_VALUE"""),"")</f>
        <v/>
      </c>
      <c r="AD417" s="52" t="str">
        <f>IFERROR(__xludf.DUMMYFUNCTION("""COMPUTED_VALUE"""),"")</f>
        <v/>
      </c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</row>
    <row r="418">
      <c r="B418" s="49"/>
      <c r="C418" s="49" t="str">
        <f t="shared" si="2"/>
        <v/>
      </c>
      <c r="D418" s="50" t="str">
        <f t="shared" si="3"/>
        <v/>
      </c>
      <c r="E418" s="51" t="str">
        <f t="shared" ref="E418:T418" si="419">IFERROR(VLOOKUP($A418,INDIRECT("'" &amp; E$1 &amp; "'!$C:$G"), 5, FALSE),"")</f>
        <v/>
      </c>
      <c r="F418" s="51" t="str">
        <f t="shared" si="419"/>
        <v/>
      </c>
      <c r="G418" s="51" t="str">
        <f t="shared" si="419"/>
        <v/>
      </c>
      <c r="H418" s="51" t="str">
        <f t="shared" si="419"/>
        <v/>
      </c>
      <c r="I418" s="51" t="str">
        <f t="shared" si="419"/>
        <v/>
      </c>
      <c r="J418" s="51" t="str">
        <f t="shared" si="419"/>
        <v/>
      </c>
      <c r="K418" s="51" t="str">
        <f t="shared" si="419"/>
        <v/>
      </c>
      <c r="L418" s="51" t="str">
        <f t="shared" si="419"/>
        <v/>
      </c>
      <c r="M418" s="51" t="str">
        <f t="shared" si="419"/>
        <v/>
      </c>
      <c r="N418" s="51" t="str">
        <f t="shared" si="419"/>
        <v/>
      </c>
      <c r="O418" s="51" t="str">
        <f t="shared" si="419"/>
        <v/>
      </c>
      <c r="P418" s="51" t="str">
        <f t="shared" si="419"/>
        <v/>
      </c>
      <c r="Q418" s="51" t="str">
        <f t="shared" si="419"/>
        <v/>
      </c>
      <c r="R418" s="51" t="str">
        <f t="shared" si="419"/>
        <v/>
      </c>
      <c r="S418" s="51" t="str">
        <f t="shared" si="419"/>
        <v/>
      </c>
      <c r="T418" s="51" t="str">
        <f t="shared" si="419"/>
        <v/>
      </c>
      <c r="U418" s="52"/>
      <c r="V418" s="52" t="str">
        <f>IFERROR(__xludf.DUMMYFUNCTION("""COMPUTED_VALUE"""),"")</f>
        <v/>
      </c>
      <c r="W418" s="52" t="str">
        <f>IFERROR(__xludf.DUMMYFUNCTION("""COMPUTED_VALUE"""),"")</f>
        <v/>
      </c>
      <c r="X418" s="52" t="str">
        <f>IFERROR(__xludf.DUMMYFUNCTION("""COMPUTED_VALUE"""),"")</f>
        <v/>
      </c>
      <c r="Y418" s="52" t="str">
        <f>IFERROR(__xludf.DUMMYFUNCTION("""COMPUTED_VALUE"""),"")</f>
        <v/>
      </c>
      <c r="Z418" s="52" t="str">
        <f>IFERROR(__xludf.DUMMYFUNCTION("""COMPUTED_VALUE"""),"")</f>
        <v/>
      </c>
      <c r="AA418" s="52" t="str">
        <f>IFERROR(__xludf.DUMMYFUNCTION("""COMPUTED_VALUE"""),"")</f>
        <v/>
      </c>
      <c r="AB418" s="52" t="str">
        <f>IFERROR(__xludf.DUMMYFUNCTION("""COMPUTED_VALUE"""),"")</f>
        <v/>
      </c>
      <c r="AC418" s="52" t="str">
        <f>IFERROR(__xludf.DUMMYFUNCTION("""COMPUTED_VALUE"""),"")</f>
        <v/>
      </c>
      <c r="AD418" s="52" t="str">
        <f>IFERROR(__xludf.DUMMYFUNCTION("""COMPUTED_VALUE"""),"")</f>
        <v/>
      </c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</row>
    <row r="419">
      <c r="B419" s="49"/>
      <c r="C419" s="49" t="str">
        <f t="shared" si="2"/>
        <v/>
      </c>
      <c r="D419" s="50" t="str">
        <f t="shared" si="3"/>
        <v/>
      </c>
      <c r="E419" s="51" t="str">
        <f t="shared" ref="E419:T419" si="420">IFERROR(VLOOKUP($A419,INDIRECT("'" &amp; E$1 &amp; "'!$C:$G"), 5, FALSE),"")</f>
        <v/>
      </c>
      <c r="F419" s="51" t="str">
        <f t="shared" si="420"/>
        <v/>
      </c>
      <c r="G419" s="51" t="str">
        <f t="shared" si="420"/>
        <v/>
      </c>
      <c r="H419" s="51" t="str">
        <f t="shared" si="420"/>
        <v/>
      </c>
      <c r="I419" s="51" t="str">
        <f t="shared" si="420"/>
        <v/>
      </c>
      <c r="J419" s="51" t="str">
        <f t="shared" si="420"/>
        <v/>
      </c>
      <c r="K419" s="51" t="str">
        <f t="shared" si="420"/>
        <v/>
      </c>
      <c r="L419" s="51" t="str">
        <f t="shared" si="420"/>
        <v/>
      </c>
      <c r="M419" s="51" t="str">
        <f t="shared" si="420"/>
        <v/>
      </c>
      <c r="N419" s="51" t="str">
        <f t="shared" si="420"/>
        <v/>
      </c>
      <c r="O419" s="51" t="str">
        <f t="shared" si="420"/>
        <v/>
      </c>
      <c r="P419" s="51" t="str">
        <f t="shared" si="420"/>
        <v/>
      </c>
      <c r="Q419" s="51" t="str">
        <f t="shared" si="420"/>
        <v/>
      </c>
      <c r="R419" s="51" t="str">
        <f t="shared" si="420"/>
        <v/>
      </c>
      <c r="S419" s="51" t="str">
        <f t="shared" si="420"/>
        <v/>
      </c>
      <c r="T419" s="51" t="str">
        <f t="shared" si="420"/>
        <v/>
      </c>
      <c r="U419" s="52"/>
      <c r="V419" s="52" t="str">
        <f>IFERROR(__xludf.DUMMYFUNCTION("""COMPUTED_VALUE"""),"")</f>
        <v/>
      </c>
      <c r="W419" s="52" t="str">
        <f>IFERROR(__xludf.DUMMYFUNCTION("""COMPUTED_VALUE"""),"")</f>
        <v/>
      </c>
      <c r="X419" s="52" t="str">
        <f>IFERROR(__xludf.DUMMYFUNCTION("""COMPUTED_VALUE"""),"")</f>
        <v/>
      </c>
      <c r="Y419" s="52" t="str">
        <f>IFERROR(__xludf.DUMMYFUNCTION("""COMPUTED_VALUE"""),"")</f>
        <v/>
      </c>
      <c r="Z419" s="52" t="str">
        <f>IFERROR(__xludf.DUMMYFUNCTION("""COMPUTED_VALUE"""),"")</f>
        <v/>
      </c>
      <c r="AA419" s="52" t="str">
        <f>IFERROR(__xludf.DUMMYFUNCTION("""COMPUTED_VALUE"""),"")</f>
        <v/>
      </c>
      <c r="AB419" s="52" t="str">
        <f>IFERROR(__xludf.DUMMYFUNCTION("""COMPUTED_VALUE"""),"")</f>
        <v/>
      </c>
      <c r="AC419" s="52" t="str">
        <f>IFERROR(__xludf.DUMMYFUNCTION("""COMPUTED_VALUE"""),"")</f>
        <v/>
      </c>
      <c r="AD419" s="52" t="str">
        <f>IFERROR(__xludf.DUMMYFUNCTION("""COMPUTED_VALUE"""),"")</f>
        <v/>
      </c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</row>
    <row r="420">
      <c r="B420" s="49"/>
      <c r="C420" s="49" t="str">
        <f t="shared" si="2"/>
        <v/>
      </c>
      <c r="D420" s="50" t="str">
        <f t="shared" si="3"/>
        <v/>
      </c>
      <c r="E420" s="51" t="str">
        <f t="shared" ref="E420:T420" si="421">IFERROR(VLOOKUP($A420,INDIRECT("'" &amp; E$1 &amp; "'!$C:$G"), 5, FALSE),"")</f>
        <v/>
      </c>
      <c r="F420" s="51" t="str">
        <f t="shared" si="421"/>
        <v/>
      </c>
      <c r="G420" s="51" t="str">
        <f t="shared" si="421"/>
        <v/>
      </c>
      <c r="H420" s="51" t="str">
        <f t="shared" si="421"/>
        <v/>
      </c>
      <c r="I420" s="51" t="str">
        <f t="shared" si="421"/>
        <v/>
      </c>
      <c r="J420" s="51" t="str">
        <f t="shared" si="421"/>
        <v/>
      </c>
      <c r="K420" s="51" t="str">
        <f t="shared" si="421"/>
        <v/>
      </c>
      <c r="L420" s="51" t="str">
        <f t="shared" si="421"/>
        <v/>
      </c>
      <c r="M420" s="51" t="str">
        <f t="shared" si="421"/>
        <v/>
      </c>
      <c r="N420" s="51" t="str">
        <f t="shared" si="421"/>
        <v/>
      </c>
      <c r="O420" s="51" t="str">
        <f t="shared" si="421"/>
        <v/>
      </c>
      <c r="P420" s="51" t="str">
        <f t="shared" si="421"/>
        <v/>
      </c>
      <c r="Q420" s="51" t="str">
        <f t="shared" si="421"/>
        <v/>
      </c>
      <c r="R420" s="51" t="str">
        <f t="shared" si="421"/>
        <v/>
      </c>
      <c r="S420" s="51" t="str">
        <f t="shared" si="421"/>
        <v/>
      </c>
      <c r="T420" s="51" t="str">
        <f t="shared" si="421"/>
        <v/>
      </c>
      <c r="U420" s="52"/>
      <c r="V420" s="52" t="str">
        <f>IFERROR(__xludf.DUMMYFUNCTION("""COMPUTED_VALUE"""),"")</f>
        <v/>
      </c>
      <c r="W420" s="52" t="str">
        <f>IFERROR(__xludf.DUMMYFUNCTION("""COMPUTED_VALUE"""),"")</f>
        <v/>
      </c>
      <c r="X420" s="52" t="str">
        <f>IFERROR(__xludf.DUMMYFUNCTION("""COMPUTED_VALUE"""),"")</f>
        <v/>
      </c>
      <c r="Y420" s="52" t="str">
        <f>IFERROR(__xludf.DUMMYFUNCTION("""COMPUTED_VALUE"""),"")</f>
        <v/>
      </c>
      <c r="Z420" s="52" t="str">
        <f>IFERROR(__xludf.DUMMYFUNCTION("""COMPUTED_VALUE"""),"")</f>
        <v/>
      </c>
      <c r="AA420" s="52" t="str">
        <f>IFERROR(__xludf.DUMMYFUNCTION("""COMPUTED_VALUE"""),"")</f>
        <v/>
      </c>
      <c r="AB420" s="52" t="str">
        <f>IFERROR(__xludf.DUMMYFUNCTION("""COMPUTED_VALUE"""),"")</f>
        <v/>
      </c>
      <c r="AC420" s="52" t="str">
        <f>IFERROR(__xludf.DUMMYFUNCTION("""COMPUTED_VALUE"""),"")</f>
        <v/>
      </c>
      <c r="AD420" s="52" t="str">
        <f>IFERROR(__xludf.DUMMYFUNCTION("""COMPUTED_VALUE"""),"")</f>
        <v/>
      </c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</row>
    <row r="421">
      <c r="B421" s="49"/>
      <c r="C421" s="49" t="str">
        <f t="shared" si="2"/>
        <v/>
      </c>
      <c r="D421" s="50" t="str">
        <f t="shared" si="3"/>
        <v/>
      </c>
      <c r="E421" s="51" t="str">
        <f t="shared" ref="E421:T421" si="422">IFERROR(VLOOKUP($A421,INDIRECT("'" &amp; E$1 &amp; "'!$C:$G"), 5, FALSE),"")</f>
        <v/>
      </c>
      <c r="F421" s="51" t="str">
        <f t="shared" si="422"/>
        <v/>
      </c>
      <c r="G421" s="51" t="str">
        <f t="shared" si="422"/>
        <v/>
      </c>
      <c r="H421" s="51" t="str">
        <f t="shared" si="422"/>
        <v/>
      </c>
      <c r="I421" s="51" t="str">
        <f t="shared" si="422"/>
        <v/>
      </c>
      <c r="J421" s="51" t="str">
        <f t="shared" si="422"/>
        <v/>
      </c>
      <c r="K421" s="51" t="str">
        <f t="shared" si="422"/>
        <v/>
      </c>
      <c r="L421" s="51" t="str">
        <f t="shared" si="422"/>
        <v/>
      </c>
      <c r="M421" s="51" t="str">
        <f t="shared" si="422"/>
        <v/>
      </c>
      <c r="N421" s="51" t="str">
        <f t="shared" si="422"/>
        <v/>
      </c>
      <c r="O421" s="51" t="str">
        <f t="shared" si="422"/>
        <v/>
      </c>
      <c r="P421" s="51" t="str">
        <f t="shared" si="422"/>
        <v/>
      </c>
      <c r="Q421" s="51" t="str">
        <f t="shared" si="422"/>
        <v/>
      </c>
      <c r="R421" s="51" t="str">
        <f t="shared" si="422"/>
        <v/>
      </c>
      <c r="S421" s="51" t="str">
        <f t="shared" si="422"/>
        <v/>
      </c>
      <c r="T421" s="51" t="str">
        <f t="shared" si="422"/>
        <v/>
      </c>
      <c r="U421" s="52"/>
      <c r="V421" s="52" t="str">
        <f>IFERROR(__xludf.DUMMYFUNCTION("""COMPUTED_VALUE"""),"")</f>
        <v/>
      </c>
      <c r="W421" s="52" t="str">
        <f>IFERROR(__xludf.DUMMYFUNCTION("""COMPUTED_VALUE"""),"")</f>
        <v/>
      </c>
      <c r="X421" s="52" t="str">
        <f>IFERROR(__xludf.DUMMYFUNCTION("""COMPUTED_VALUE"""),"")</f>
        <v/>
      </c>
      <c r="Y421" s="52" t="str">
        <f>IFERROR(__xludf.DUMMYFUNCTION("""COMPUTED_VALUE"""),"")</f>
        <v/>
      </c>
      <c r="Z421" s="52" t="str">
        <f>IFERROR(__xludf.DUMMYFUNCTION("""COMPUTED_VALUE"""),"")</f>
        <v/>
      </c>
      <c r="AA421" s="52" t="str">
        <f>IFERROR(__xludf.DUMMYFUNCTION("""COMPUTED_VALUE"""),"")</f>
        <v/>
      </c>
      <c r="AB421" s="52" t="str">
        <f>IFERROR(__xludf.DUMMYFUNCTION("""COMPUTED_VALUE"""),"")</f>
        <v/>
      </c>
      <c r="AC421" s="52" t="str">
        <f>IFERROR(__xludf.DUMMYFUNCTION("""COMPUTED_VALUE"""),"")</f>
        <v/>
      </c>
      <c r="AD421" s="52" t="str">
        <f>IFERROR(__xludf.DUMMYFUNCTION("""COMPUTED_VALUE"""),"")</f>
        <v/>
      </c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</row>
    <row r="422">
      <c r="B422" s="49"/>
      <c r="C422" s="49" t="str">
        <f t="shared" si="2"/>
        <v/>
      </c>
      <c r="D422" s="50" t="str">
        <f t="shared" si="3"/>
        <v/>
      </c>
      <c r="E422" s="51" t="str">
        <f t="shared" ref="E422:T422" si="423">IFERROR(VLOOKUP($A422,INDIRECT("'" &amp; E$1 &amp; "'!$C:$G"), 5, FALSE),"")</f>
        <v/>
      </c>
      <c r="F422" s="51" t="str">
        <f t="shared" si="423"/>
        <v/>
      </c>
      <c r="G422" s="51" t="str">
        <f t="shared" si="423"/>
        <v/>
      </c>
      <c r="H422" s="51" t="str">
        <f t="shared" si="423"/>
        <v/>
      </c>
      <c r="I422" s="51" t="str">
        <f t="shared" si="423"/>
        <v/>
      </c>
      <c r="J422" s="51" t="str">
        <f t="shared" si="423"/>
        <v/>
      </c>
      <c r="K422" s="51" t="str">
        <f t="shared" si="423"/>
        <v/>
      </c>
      <c r="L422" s="51" t="str">
        <f t="shared" si="423"/>
        <v/>
      </c>
      <c r="M422" s="51" t="str">
        <f t="shared" si="423"/>
        <v/>
      </c>
      <c r="N422" s="51" t="str">
        <f t="shared" si="423"/>
        <v/>
      </c>
      <c r="O422" s="51" t="str">
        <f t="shared" si="423"/>
        <v/>
      </c>
      <c r="P422" s="51" t="str">
        <f t="shared" si="423"/>
        <v/>
      </c>
      <c r="Q422" s="51" t="str">
        <f t="shared" si="423"/>
        <v/>
      </c>
      <c r="R422" s="51" t="str">
        <f t="shared" si="423"/>
        <v/>
      </c>
      <c r="S422" s="51" t="str">
        <f t="shared" si="423"/>
        <v/>
      </c>
      <c r="T422" s="51" t="str">
        <f t="shared" si="423"/>
        <v/>
      </c>
      <c r="U422" s="52"/>
      <c r="V422" s="52" t="str">
        <f>IFERROR(__xludf.DUMMYFUNCTION("""COMPUTED_VALUE"""),"")</f>
        <v/>
      </c>
      <c r="W422" s="52" t="str">
        <f>IFERROR(__xludf.DUMMYFUNCTION("""COMPUTED_VALUE"""),"")</f>
        <v/>
      </c>
      <c r="X422" s="52" t="str">
        <f>IFERROR(__xludf.DUMMYFUNCTION("""COMPUTED_VALUE"""),"")</f>
        <v/>
      </c>
      <c r="Y422" s="52" t="str">
        <f>IFERROR(__xludf.DUMMYFUNCTION("""COMPUTED_VALUE"""),"")</f>
        <v/>
      </c>
      <c r="Z422" s="52" t="str">
        <f>IFERROR(__xludf.DUMMYFUNCTION("""COMPUTED_VALUE"""),"")</f>
        <v/>
      </c>
      <c r="AA422" s="52" t="str">
        <f>IFERROR(__xludf.DUMMYFUNCTION("""COMPUTED_VALUE"""),"")</f>
        <v/>
      </c>
      <c r="AB422" s="52" t="str">
        <f>IFERROR(__xludf.DUMMYFUNCTION("""COMPUTED_VALUE"""),"")</f>
        <v/>
      </c>
      <c r="AC422" s="52" t="str">
        <f>IFERROR(__xludf.DUMMYFUNCTION("""COMPUTED_VALUE"""),"")</f>
        <v/>
      </c>
      <c r="AD422" s="52" t="str">
        <f>IFERROR(__xludf.DUMMYFUNCTION("""COMPUTED_VALUE"""),"")</f>
        <v/>
      </c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</row>
    <row r="423">
      <c r="B423" s="49"/>
      <c r="C423" s="49" t="str">
        <f t="shared" si="2"/>
        <v/>
      </c>
      <c r="D423" s="50" t="str">
        <f t="shared" si="3"/>
        <v/>
      </c>
      <c r="E423" s="51" t="str">
        <f t="shared" ref="E423:T423" si="424">IFERROR(VLOOKUP($A423,INDIRECT("'" &amp; E$1 &amp; "'!$C:$G"), 5, FALSE),"")</f>
        <v/>
      </c>
      <c r="F423" s="51" t="str">
        <f t="shared" si="424"/>
        <v/>
      </c>
      <c r="G423" s="51" t="str">
        <f t="shared" si="424"/>
        <v/>
      </c>
      <c r="H423" s="51" t="str">
        <f t="shared" si="424"/>
        <v/>
      </c>
      <c r="I423" s="51" t="str">
        <f t="shared" si="424"/>
        <v/>
      </c>
      <c r="J423" s="51" t="str">
        <f t="shared" si="424"/>
        <v/>
      </c>
      <c r="K423" s="51" t="str">
        <f t="shared" si="424"/>
        <v/>
      </c>
      <c r="L423" s="51" t="str">
        <f t="shared" si="424"/>
        <v/>
      </c>
      <c r="M423" s="51" t="str">
        <f t="shared" si="424"/>
        <v/>
      </c>
      <c r="N423" s="51" t="str">
        <f t="shared" si="424"/>
        <v/>
      </c>
      <c r="O423" s="51" t="str">
        <f t="shared" si="424"/>
        <v/>
      </c>
      <c r="P423" s="51" t="str">
        <f t="shared" si="424"/>
        <v/>
      </c>
      <c r="Q423" s="51" t="str">
        <f t="shared" si="424"/>
        <v/>
      </c>
      <c r="R423" s="51" t="str">
        <f t="shared" si="424"/>
        <v/>
      </c>
      <c r="S423" s="51" t="str">
        <f t="shared" si="424"/>
        <v/>
      </c>
      <c r="T423" s="51" t="str">
        <f t="shared" si="424"/>
        <v/>
      </c>
      <c r="U423" s="52"/>
      <c r="V423" s="52" t="str">
        <f>IFERROR(__xludf.DUMMYFUNCTION("""COMPUTED_VALUE"""),"")</f>
        <v/>
      </c>
      <c r="W423" s="52" t="str">
        <f>IFERROR(__xludf.DUMMYFUNCTION("""COMPUTED_VALUE"""),"")</f>
        <v/>
      </c>
      <c r="X423" s="52" t="str">
        <f>IFERROR(__xludf.DUMMYFUNCTION("""COMPUTED_VALUE"""),"")</f>
        <v/>
      </c>
      <c r="Y423" s="52" t="str">
        <f>IFERROR(__xludf.DUMMYFUNCTION("""COMPUTED_VALUE"""),"")</f>
        <v/>
      </c>
      <c r="Z423" s="52" t="str">
        <f>IFERROR(__xludf.DUMMYFUNCTION("""COMPUTED_VALUE"""),"")</f>
        <v/>
      </c>
      <c r="AA423" s="52" t="str">
        <f>IFERROR(__xludf.DUMMYFUNCTION("""COMPUTED_VALUE"""),"")</f>
        <v/>
      </c>
      <c r="AB423" s="52" t="str">
        <f>IFERROR(__xludf.DUMMYFUNCTION("""COMPUTED_VALUE"""),"")</f>
        <v/>
      </c>
      <c r="AC423" s="52" t="str">
        <f>IFERROR(__xludf.DUMMYFUNCTION("""COMPUTED_VALUE"""),"")</f>
        <v/>
      </c>
      <c r="AD423" s="52" t="str">
        <f>IFERROR(__xludf.DUMMYFUNCTION("""COMPUTED_VALUE"""),"")</f>
        <v/>
      </c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</row>
    <row r="424">
      <c r="B424" s="49"/>
      <c r="C424" s="49" t="str">
        <f t="shared" si="2"/>
        <v/>
      </c>
      <c r="D424" s="50" t="str">
        <f t="shared" si="3"/>
        <v/>
      </c>
      <c r="E424" s="51" t="str">
        <f t="shared" ref="E424:T424" si="425">IFERROR(VLOOKUP($A424,INDIRECT("'" &amp; E$1 &amp; "'!$C:$G"), 5, FALSE),"")</f>
        <v/>
      </c>
      <c r="F424" s="51" t="str">
        <f t="shared" si="425"/>
        <v/>
      </c>
      <c r="G424" s="51" t="str">
        <f t="shared" si="425"/>
        <v/>
      </c>
      <c r="H424" s="51" t="str">
        <f t="shared" si="425"/>
        <v/>
      </c>
      <c r="I424" s="51" t="str">
        <f t="shared" si="425"/>
        <v/>
      </c>
      <c r="J424" s="51" t="str">
        <f t="shared" si="425"/>
        <v/>
      </c>
      <c r="K424" s="51" t="str">
        <f t="shared" si="425"/>
        <v/>
      </c>
      <c r="L424" s="51" t="str">
        <f t="shared" si="425"/>
        <v/>
      </c>
      <c r="M424" s="51" t="str">
        <f t="shared" si="425"/>
        <v/>
      </c>
      <c r="N424" s="51" t="str">
        <f t="shared" si="425"/>
        <v/>
      </c>
      <c r="O424" s="51" t="str">
        <f t="shared" si="425"/>
        <v/>
      </c>
      <c r="P424" s="51" t="str">
        <f t="shared" si="425"/>
        <v/>
      </c>
      <c r="Q424" s="51" t="str">
        <f t="shared" si="425"/>
        <v/>
      </c>
      <c r="R424" s="51" t="str">
        <f t="shared" si="425"/>
        <v/>
      </c>
      <c r="S424" s="51" t="str">
        <f t="shared" si="425"/>
        <v/>
      </c>
      <c r="T424" s="51" t="str">
        <f t="shared" si="425"/>
        <v/>
      </c>
      <c r="U424" s="52"/>
      <c r="V424" s="52" t="str">
        <f>IFERROR(__xludf.DUMMYFUNCTION("""COMPUTED_VALUE"""),"")</f>
        <v/>
      </c>
      <c r="W424" s="52" t="str">
        <f>IFERROR(__xludf.DUMMYFUNCTION("""COMPUTED_VALUE"""),"")</f>
        <v/>
      </c>
      <c r="X424" s="52" t="str">
        <f>IFERROR(__xludf.DUMMYFUNCTION("""COMPUTED_VALUE"""),"")</f>
        <v/>
      </c>
      <c r="Y424" s="52" t="str">
        <f>IFERROR(__xludf.DUMMYFUNCTION("""COMPUTED_VALUE"""),"")</f>
        <v/>
      </c>
      <c r="Z424" s="52" t="str">
        <f>IFERROR(__xludf.DUMMYFUNCTION("""COMPUTED_VALUE"""),"")</f>
        <v/>
      </c>
      <c r="AA424" s="52" t="str">
        <f>IFERROR(__xludf.DUMMYFUNCTION("""COMPUTED_VALUE"""),"")</f>
        <v/>
      </c>
      <c r="AB424" s="52" t="str">
        <f>IFERROR(__xludf.DUMMYFUNCTION("""COMPUTED_VALUE"""),"")</f>
        <v/>
      </c>
      <c r="AC424" s="52" t="str">
        <f>IFERROR(__xludf.DUMMYFUNCTION("""COMPUTED_VALUE"""),"")</f>
        <v/>
      </c>
      <c r="AD424" s="52" t="str">
        <f>IFERROR(__xludf.DUMMYFUNCTION("""COMPUTED_VALUE"""),"")</f>
        <v/>
      </c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</row>
    <row r="425">
      <c r="B425" s="49"/>
      <c r="C425" s="49" t="str">
        <f t="shared" si="2"/>
        <v/>
      </c>
      <c r="D425" s="50" t="str">
        <f t="shared" si="3"/>
        <v/>
      </c>
      <c r="E425" s="51" t="str">
        <f t="shared" ref="E425:T425" si="426">IFERROR(VLOOKUP($A425,INDIRECT("'" &amp; E$1 &amp; "'!$C:$G"), 5, FALSE),"")</f>
        <v/>
      </c>
      <c r="F425" s="51" t="str">
        <f t="shared" si="426"/>
        <v/>
      </c>
      <c r="G425" s="51" t="str">
        <f t="shared" si="426"/>
        <v/>
      </c>
      <c r="H425" s="51" t="str">
        <f t="shared" si="426"/>
        <v/>
      </c>
      <c r="I425" s="51" t="str">
        <f t="shared" si="426"/>
        <v/>
      </c>
      <c r="J425" s="51" t="str">
        <f t="shared" si="426"/>
        <v/>
      </c>
      <c r="K425" s="51" t="str">
        <f t="shared" si="426"/>
        <v/>
      </c>
      <c r="L425" s="51" t="str">
        <f t="shared" si="426"/>
        <v/>
      </c>
      <c r="M425" s="51" t="str">
        <f t="shared" si="426"/>
        <v/>
      </c>
      <c r="N425" s="51" t="str">
        <f t="shared" si="426"/>
        <v/>
      </c>
      <c r="O425" s="51" t="str">
        <f t="shared" si="426"/>
        <v/>
      </c>
      <c r="P425" s="51" t="str">
        <f t="shared" si="426"/>
        <v/>
      </c>
      <c r="Q425" s="51" t="str">
        <f t="shared" si="426"/>
        <v/>
      </c>
      <c r="R425" s="51" t="str">
        <f t="shared" si="426"/>
        <v/>
      </c>
      <c r="S425" s="51" t="str">
        <f t="shared" si="426"/>
        <v/>
      </c>
      <c r="T425" s="51" t="str">
        <f t="shared" si="426"/>
        <v/>
      </c>
      <c r="U425" s="52"/>
      <c r="V425" s="52" t="str">
        <f>IFERROR(__xludf.DUMMYFUNCTION("""COMPUTED_VALUE"""),"")</f>
        <v/>
      </c>
      <c r="W425" s="52" t="str">
        <f>IFERROR(__xludf.DUMMYFUNCTION("""COMPUTED_VALUE"""),"")</f>
        <v/>
      </c>
      <c r="X425" s="52" t="str">
        <f>IFERROR(__xludf.DUMMYFUNCTION("""COMPUTED_VALUE"""),"")</f>
        <v/>
      </c>
      <c r="Y425" s="52" t="str">
        <f>IFERROR(__xludf.DUMMYFUNCTION("""COMPUTED_VALUE"""),"")</f>
        <v/>
      </c>
      <c r="Z425" s="52" t="str">
        <f>IFERROR(__xludf.DUMMYFUNCTION("""COMPUTED_VALUE"""),"")</f>
        <v/>
      </c>
      <c r="AA425" s="52" t="str">
        <f>IFERROR(__xludf.DUMMYFUNCTION("""COMPUTED_VALUE"""),"")</f>
        <v/>
      </c>
      <c r="AB425" s="52" t="str">
        <f>IFERROR(__xludf.DUMMYFUNCTION("""COMPUTED_VALUE"""),"")</f>
        <v/>
      </c>
      <c r="AC425" s="52" t="str">
        <f>IFERROR(__xludf.DUMMYFUNCTION("""COMPUTED_VALUE"""),"")</f>
        <v/>
      </c>
      <c r="AD425" s="52" t="str">
        <f>IFERROR(__xludf.DUMMYFUNCTION("""COMPUTED_VALUE"""),"")</f>
        <v/>
      </c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</row>
    <row r="426">
      <c r="B426" s="49"/>
      <c r="C426" s="49" t="str">
        <f t="shared" si="2"/>
        <v/>
      </c>
      <c r="D426" s="50" t="str">
        <f t="shared" si="3"/>
        <v/>
      </c>
      <c r="E426" s="51" t="str">
        <f t="shared" ref="E426:T426" si="427">IFERROR(VLOOKUP($A426,INDIRECT("'" &amp; E$1 &amp; "'!$C:$G"), 5, FALSE),"")</f>
        <v/>
      </c>
      <c r="F426" s="51" t="str">
        <f t="shared" si="427"/>
        <v/>
      </c>
      <c r="G426" s="51" t="str">
        <f t="shared" si="427"/>
        <v/>
      </c>
      <c r="H426" s="51" t="str">
        <f t="shared" si="427"/>
        <v/>
      </c>
      <c r="I426" s="51" t="str">
        <f t="shared" si="427"/>
        <v/>
      </c>
      <c r="J426" s="51" t="str">
        <f t="shared" si="427"/>
        <v/>
      </c>
      <c r="K426" s="51" t="str">
        <f t="shared" si="427"/>
        <v/>
      </c>
      <c r="L426" s="51" t="str">
        <f t="shared" si="427"/>
        <v/>
      </c>
      <c r="M426" s="51" t="str">
        <f t="shared" si="427"/>
        <v/>
      </c>
      <c r="N426" s="51" t="str">
        <f t="shared" si="427"/>
        <v/>
      </c>
      <c r="O426" s="51" t="str">
        <f t="shared" si="427"/>
        <v/>
      </c>
      <c r="P426" s="51" t="str">
        <f t="shared" si="427"/>
        <v/>
      </c>
      <c r="Q426" s="51" t="str">
        <f t="shared" si="427"/>
        <v/>
      </c>
      <c r="R426" s="51" t="str">
        <f t="shared" si="427"/>
        <v/>
      </c>
      <c r="S426" s="51" t="str">
        <f t="shared" si="427"/>
        <v/>
      </c>
      <c r="T426" s="51" t="str">
        <f t="shared" si="427"/>
        <v/>
      </c>
      <c r="U426" s="52"/>
      <c r="V426" s="52" t="str">
        <f>IFERROR(__xludf.DUMMYFUNCTION("""COMPUTED_VALUE"""),"")</f>
        <v/>
      </c>
      <c r="W426" s="52" t="str">
        <f>IFERROR(__xludf.DUMMYFUNCTION("""COMPUTED_VALUE"""),"")</f>
        <v/>
      </c>
      <c r="X426" s="52" t="str">
        <f>IFERROR(__xludf.DUMMYFUNCTION("""COMPUTED_VALUE"""),"")</f>
        <v/>
      </c>
      <c r="Y426" s="52" t="str">
        <f>IFERROR(__xludf.DUMMYFUNCTION("""COMPUTED_VALUE"""),"")</f>
        <v/>
      </c>
      <c r="Z426" s="52" t="str">
        <f>IFERROR(__xludf.DUMMYFUNCTION("""COMPUTED_VALUE"""),"")</f>
        <v/>
      </c>
      <c r="AA426" s="52" t="str">
        <f>IFERROR(__xludf.DUMMYFUNCTION("""COMPUTED_VALUE"""),"")</f>
        <v/>
      </c>
      <c r="AB426" s="52" t="str">
        <f>IFERROR(__xludf.DUMMYFUNCTION("""COMPUTED_VALUE"""),"")</f>
        <v/>
      </c>
      <c r="AC426" s="52" t="str">
        <f>IFERROR(__xludf.DUMMYFUNCTION("""COMPUTED_VALUE"""),"")</f>
        <v/>
      </c>
      <c r="AD426" s="52" t="str">
        <f>IFERROR(__xludf.DUMMYFUNCTION("""COMPUTED_VALUE"""),"")</f>
        <v/>
      </c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</row>
    <row r="427">
      <c r="B427" s="49"/>
      <c r="C427" s="49" t="str">
        <f t="shared" si="2"/>
        <v/>
      </c>
      <c r="D427" s="50" t="str">
        <f t="shared" si="3"/>
        <v/>
      </c>
      <c r="E427" s="51" t="str">
        <f t="shared" ref="E427:T427" si="428">IFERROR(VLOOKUP($A427,INDIRECT("'" &amp; E$1 &amp; "'!$C:$G"), 5, FALSE),"")</f>
        <v/>
      </c>
      <c r="F427" s="51" t="str">
        <f t="shared" si="428"/>
        <v/>
      </c>
      <c r="G427" s="51" t="str">
        <f t="shared" si="428"/>
        <v/>
      </c>
      <c r="H427" s="51" t="str">
        <f t="shared" si="428"/>
        <v/>
      </c>
      <c r="I427" s="51" t="str">
        <f t="shared" si="428"/>
        <v/>
      </c>
      <c r="J427" s="51" t="str">
        <f t="shared" si="428"/>
        <v/>
      </c>
      <c r="K427" s="51" t="str">
        <f t="shared" si="428"/>
        <v/>
      </c>
      <c r="L427" s="51" t="str">
        <f t="shared" si="428"/>
        <v/>
      </c>
      <c r="M427" s="51" t="str">
        <f t="shared" si="428"/>
        <v/>
      </c>
      <c r="N427" s="51" t="str">
        <f t="shared" si="428"/>
        <v/>
      </c>
      <c r="O427" s="51" t="str">
        <f t="shared" si="428"/>
        <v/>
      </c>
      <c r="P427" s="51" t="str">
        <f t="shared" si="428"/>
        <v/>
      </c>
      <c r="Q427" s="51" t="str">
        <f t="shared" si="428"/>
        <v/>
      </c>
      <c r="R427" s="51" t="str">
        <f t="shared" si="428"/>
        <v/>
      </c>
      <c r="S427" s="51" t="str">
        <f t="shared" si="428"/>
        <v/>
      </c>
      <c r="T427" s="51" t="str">
        <f t="shared" si="428"/>
        <v/>
      </c>
      <c r="U427" s="52"/>
      <c r="V427" s="52" t="str">
        <f>IFERROR(__xludf.DUMMYFUNCTION("""COMPUTED_VALUE"""),"")</f>
        <v/>
      </c>
      <c r="W427" s="52" t="str">
        <f>IFERROR(__xludf.DUMMYFUNCTION("""COMPUTED_VALUE"""),"")</f>
        <v/>
      </c>
      <c r="X427" s="52" t="str">
        <f>IFERROR(__xludf.DUMMYFUNCTION("""COMPUTED_VALUE"""),"")</f>
        <v/>
      </c>
      <c r="Y427" s="52" t="str">
        <f>IFERROR(__xludf.DUMMYFUNCTION("""COMPUTED_VALUE"""),"")</f>
        <v/>
      </c>
      <c r="Z427" s="52" t="str">
        <f>IFERROR(__xludf.DUMMYFUNCTION("""COMPUTED_VALUE"""),"")</f>
        <v/>
      </c>
      <c r="AA427" s="52" t="str">
        <f>IFERROR(__xludf.DUMMYFUNCTION("""COMPUTED_VALUE"""),"")</f>
        <v/>
      </c>
      <c r="AB427" s="52" t="str">
        <f>IFERROR(__xludf.DUMMYFUNCTION("""COMPUTED_VALUE"""),"")</f>
        <v/>
      </c>
      <c r="AC427" s="52" t="str">
        <f>IFERROR(__xludf.DUMMYFUNCTION("""COMPUTED_VALUE"""),"")</f>
        <v/>
      </c>
      <c r="AD427" s="52" t="str">
        <f>IFERROR(__xludf.DUMMYFUNCTION("""COMPUTED_VALUE"""),"")</f>
        <v/>
      </c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</row>
    <row r="428">
      <c r="B428" s="49"/>
      <c r="C428" s="49" t="str">
        <f t="shared" si="2"/>
        <v/>
      </c>
      <c r="D428" s="50" t="str">
        <f t="shared" si="3"/>
        <v/>
      </c>
      <c r="E428" s="51" t="str">
        <f t="shared" ref="E428:T428" si="429">IFERROR(VLOOKUP($A428,INDIRECT("'" &amp; E$1 &amp; "'!$C:$G"), 5, FALSE),"")</f>
        <v/>
      </c>
      <c r="F428" s="51" t="str">
        <f t="shared" si="429"/>
        <v/>
      </c>
      <c r="G428" s="51" t="str">
        <f t="shared" si="429"/>
        <v/>
      </c>
      <c r="H428" s="51" t="str">
        <f t="shared" si="429"/>
        <v/>
      </c>
      <c r="I428" s="51" t="str">
        <f t="shared" si="429"/>
        <v/>
      </c>
      <c r="J428" s="51" t="str">
        <f t="shared" si="429"/>
        <v/>
      </c>
      <c r="K428" s="51" t="str">
        <f t="shared" si="429"/>
        <v/>
      </c>
      <c r="L428" s="51" t="str">
        <f t="shared" si="429"/>
        <v/>
      </c>
      <c r="M428" s="51" t="str">
        <f t="shared" si="429"/>
        <v/>
      </c>
      <c r="N428" s="51" t="str">
        <f t="shared" si="429"/>
        <v/>
      </c>
      <c r="O428" s="51" t="str">
        <f t="shared" si="429"/>
        <v/>
      </c>
      <c r="P428" s="51" t="str">
        <f t="shared" si="429"/>
        <v/>
      </c>
      <c r="Q428" s="51" t="str">
        <f t="shared" si="429"/>
        <v/>
      </c>
      <c r="R428" s="51" t="str">
        <f t="shared" si="429"/>
        <v/>
      </c>
      <c r="S428" s="51" t="str">
        <f t="shared" si="429"/>
        <v/>
      </c>
      <c r="T428" s="51" t="str">
        <f t="shared" si="429"/>
        <v/>
      </c>
      <c r="U428" s="52"/>
      <c r="V428" s="52" t="str">
        <f>IFERROR(__xludf.DUMMYFUNCTION("""COMPUTED_VALUE"""),"")</f>
        <v/>
      </c>
      <c r="W428" s="52" t="str">
        <f>IFERROR(__xludf.DUMMYFUNCTION("""COMPUTED_VALUE"""),"")</f>
        <v/>
      </c>
      <c r="X428" s="52" t="str">
        <f>IFERROR(__xludf.DUMMYFUNCTION("""COMPUTED_VALUE"""),"")</f>
        <v/>
      </c>
      <c r="Y428" s="52" t="str">
        <f>IFERROR(__xludf.DUMMYFUNCTION("""COMPUTED_VALUE"""),"")</f>
        <v/>
      </c>
      <c r="Z428" s="52" t="str">
        <f>IFERROR(__xludf.DUMMYFUNCTION("""COMPUTED_VALUE"""),"")</f>
        <v/>
      </c>
      <c r="AA428" s="52" t="str">
        <f>IFERROR(__xludf.DUMMYFUNCTION("""COMPUTED_VALUE"""),"")</f>
        <v/>
      </c>
      <c r="AB428" s="52" t="str">
        <f>IFERROR(__xludf.DUMMYFUNCTION("""COMPUTED_VALUE"""),"")</f>
        <v/>
      </c>
      <c r="AC428" s="52" t="str">
        <f>IFERROR(__xludf.DUMMYFUNCTION("""COMPUTED_VALUE"""),"")</f>
        <v/>
      </c>
      <c r="AD428" s="52" t="str">
        <f>IFERROR(__xludf.DUMMYFUNCTION("""COMPUTED_VALUE"""),"")</f>
        <v/>
      </c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</row>
    <row r="429">
      <c r="B429" s="49"/>
      <c r="C429" s="49" t="str">
        <f t="shared" si="2"/>
        <v/>
      </c>
      <c r="D429" s="50" t="str">
        <f t="shared" si="3"/>
        <v/>
      </c>
      <c r="E429" s="51" t="str">
        <f t="shared" ref="E429:T429" si="430">IFERROR(VLOOKUP($A429,INDIRECT("'" &amp; E$1 &amp; "'!$C:$G"), 5, FALSE),"")</f>
        <v/>
      </c>
      <c r="F429" s="51" t="str">
        <f t="shared" si="430"/>
        <v/>
      </c>
      <c r="G429" s="51" t="str">
        <f t="shared" si="430"/>
        <v/>
      </c>
      <c r="H429" s="51" t="str">
        <f t="shared" si="430"/>
        <v/>
      </c>
      <c r="I429" s="51" t="str">
        <f t="shared" si="430"/>
        <v/>
      </c>
      <c r="J429" s="51" t="str">
        <f t="shared" si="430"/>
        <v/>
      </c>
      <c r="K429" s="51" t="str">
        <f t="shared" si="430"/>
        <v/>
      </c>
      <c r="L429" s="51" t="str">
        <f t="shared" si="430"/>
        <v/>
      </c>
      <c r="M429" s="51" t="str">
        <f t="shared" si="430"/>
        <v/>
      </c>
      <c r="N429" s="51" t="str">
        <f t="shared" si="430"/>
        <v/>
      </c>
      <c r="O429" s="51" t="str">
        <f t="shared" si="430"/>
        <v/>
      </c>
      <c r="P429" s="51" t="str">
        <f t="shared" si="430"/>
        <v/>
      </c>
      <c r="Q429" s="51" t="str">
        <f t="shared" si="430"/>
        <v/>
      </c>
      <c r="R429" s="51" t="str">
        <f t="shared" si="430"/>
        <v/>
      </c>
      <c r="S429" s="51" t="str">
        <f t="shared" si="430"/>
        <v/>
      </c>
      <c r="T429" s="51" t="str">
        <f t="shared" si="430"/>
        <v/>
      </c>
      <c r="U429" s="52"/>
      <c r="V429" s="52" t="str">
        <f>IFERROR(__xludf.DUMMYFUNCTION("""COMPUTED_VALUE"""),"")</f>
        <v/>
      </c>
      <c r="W429" s="52" t="str">
        <f>IFERROR(__xludf.DUMMYFUNCTION("""COMPUTED_VALUE"""),"")</f>
        <v/>
      </c>
      <c r="X429" s="52" t="str">
        <f>IFERROR(__xludf.DUMMYFUNCTION("""COMPUTED_VALUE"""),"")</f>
        <v/>
      </c>
      <c r="Y429" s="52" t="str">
        <f>IFERROR(__xludf.DUMMYFUNCTION("""COMPUTED_VALUE"""),"")</f>
        <v/>
      </c>
      <c r="Z429" s="52" t="str">
        <f>IFERROR(__xludf.DUMMYFUNCTION("""COMPUTED_VALUE"""),"")</f>
        <v/>
      </c>
      <c r="AA429" s="52" t="str">
        <f>IFERROR(__xludf.DUMMYFUNCTION("""COMPUTED_VALUE"""),"")</f>
        <v/>
      </c>
      <c r="AB429" s="52" t="str">
        <f>IFERROR(__xludf.DUMMYFUNCTION("""COMPUTED_VALUE"""),"")</f>
        <v/>
      </c>
      <c r="AC429" s="52" t="str">
        <f>IFERROR(__xludf.DUMMYFUNCTION("""COMPUTED_VALUE"""),"")</f>
        <v/>
      </c>
      <c r="AD429" s="52" t="str">
        <f>IFERROR(__xludf.DUMMYFUNCTION("""COMPUTED_VALUE"""),"")</f>
        <v/>
      </c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</row>
    <row r="430">
      <c r="B430" s="49"/>
      <c r="C430" s="49" t="str">
        <f t="shared" si="2"/>
        <v/>
      </c>
      <c r="D430" s="50" t="str">
        <f t="shared" si="3"/>
        <v/>
      </c>
      <c r="E430" s="51" t="str">
        <f t="shared" ref="E430:T430" si="431">IFERROR(VLOOKUP($A430,INDIRECT("'" &amp; E$1 &amp; "'!$C:$G"), 5, FALSE),"")</f>
        <v/>
      </c>
      <c r="F430" s="51" t="str">
        <f t="shared" si="431"/>
        <v/>
      </c>
      <c r="G430" s="51" t="str">
        <f t="shared" si="431"/>
        <v/>
      </c>
      <c r="H430" s="51" t="str">
        <f t="shared" si="431"/>
        <v/>
      </c>
      <c r="I430" s="51" t="str">
        <f t="shared" si="431"/>
        <v/>
      </c>
      <c r="J430" s="51" t="str">
        <f t="shared" si="431"/>
        <v/>
      </c>
      <c r="K430" s="51" t="str">
        <f t="shared" si="431"/>
        <v/>
      </c>
      <c r="L430" s="51" t="str">
        <f t="shared" si="431"/>
        <v/>
      </c>
      <c r="M430" s="51" t="str">
        <f t="shared" si="431"/>
        <v/>
      </c>
      <c r="N430" s="51" t="str">
        <f t="shared" si="431"/>
        <v/>
      </c>
      <c r="O430" s="51" t="str">
        <f t="shared" si="431"/>
        <v/>
      </c>
      <c r="P430" s="51" t="str">
        <f t="shared" si="431"/>
        <v/>
      </c>
      <c r="Q430" s="51" t="str">
        <f t="shared" si="431"/>
        <v/>
      </c>
      <c r="R430" s="51" t="str">
        <f t="shared" si="431"/>
        <v/>
      </c>
      <c r="S430" s="51" t="str">
        <f t="shared" si="431"/>
        <v/>
      </c>
      <c r="T430" s="51" t="str">
        <f t="shared" si="431"/>
        <v/>
      </c>
      <c r="U430" s="52"/>
      <c r="V430" s="52" t="str">
        <f>IFERROR(__xludf.DUMMYFUNCTION("""COMPUTED_VALUE"""),"")</f>
        <v/>
      </c>
      <c r="W430" s="52" t="str">
        <f>IFERROR(__xludf.DUMMYFUNCTION("""COMPUTED_VALUE"""),"")</f>
        <v/>
      </c>
      <c r="X430" s="52" t="str">
        <f>IFERROR(__xludf.DUMMYFUNCTION("""COMPUTED_VALUE"""),"")</f>
        <v/>
      </c>
      <c r="Y430" s="52" t="str">
        <f>IFERROR(__xludf.DUMMYFUNCTION("""COMPUTED_VALUE"""),"")</f>
        <v/>
      </c>
      <c r="Z430" s="52" t="str">
        <f>IFERROR(__xludf.DUMMYFUNCTION("""COMPUTED_VALUE"""),"")</f>
        <v/>
      </c>
      <c r="AA430" s="52" t="str">
        <f>IFERROR(__xludf.DUMMYFUNCTION("""COMPUTED_VALUE"""),"")</f>
        <v/>
      </c>
      <c r="AB430" s="52" t="str">
        <f>IFERROR(__xludf.DUMMYFUNCTION("""COMPUTED_VALUE"""),"")</f>
        <v/>
      </c>
      <c r="AC430" s="52" t="str">
        <f>IFERROR(__xludf.DUMMYFUNCTION("""COMPUTED_VALUE"""),"")</f>
        <v/>
      </c>
      <c r="AD430" s="52" t="str">
        <f>IFERROR(__xludf.DUMMYFUNCTION("""COMPUTED_VALUE"""),"")</f>
        <v/>
      </c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</row>
    <row r="431">
      <c r="B431" s="49"/>
      <c r="C431" s="49" t="str">
        <f t="shared" si="2"/>
        <v/>
      </c>
      <c r="D431" s="50" t="str">
        <f t="shared" si="3"/>
        <v/>
      </c>
      <c r="E431" s="51" t="str">
        <f t="shared" ref="E431:T431" si="432">IFERROR(VLOOKUP($A431,INDIRECT("'" &amp; E$1 &amp; "'!$C:$G"), 5, FALSE),"")</f>
        <v/>
      </c>
      <c r="F431" s="51" t="str">
        <f t="shared" si="432"/>
        <v/>
      </c>
      <c r="G431" s="51" t="str">
        <f t="shared" si="432"/>
        <v/>
      </c>
      <c r="H431" s="51" t="str">
        <f t="shared" si="432"/>
        <v/>
      </c>
      <c r="I431" s="51" t="str">
        <f t="shared" si="432"/>
        <v/>
      </c>
      <c r="J431" s="51" t="str">
        <f t="shared" si="432"/>
        <v/>
      </c>
      <c r="K431" s="51" t="str">
        <f t="shared" si="432"/>
        <v/>
      </c>
      <c r="L431" s="51" t="str">
        <f t="shared" si="432"/>
        <v/>
      </c>
      <c r="M431" s="51" t="str">
        <f t="shared" si="432"/>
        <v/>
      </c>
      <c r="N431" s="51" t="str">
        <f t="shared" si="432"/>
        <v/>
      </c>
      <c r="O431" s="51" t="str">
        <f t="shared" si="432"/>
        <v/>
      </c>
      <c r="P431" s="51" t="str">
        <f t="shared" si="432"/>
        <v/>
      </c>
      <c r="Q431" s="51" t="str">
        <f t="shared" si="432"/>
        <v/>
      </c>
      <c r="R431" s="51" t="str">
        <f t="shared" si="432"/>
        <v/>
      </c>
      <c r="S431" s="51" t="str">
        <f t="shared" si="432"/>
        <v/>
      </c>
      <c r="T431" s="51" t="str">
        <f t="shared" si="432"/>
        <v/>
      </c>
      <c r="U431" s="52"/>
      <c r="V431" s="52" t="str">
        <f>IFERROR(__xludf.DUMMYFUNCTION("""COMPUTED_VALUE"""),"")</f>
        <v/>
      </c>
      <c r="W431" s="52" t="str">
        <f>IFERROR(__xludf.DUMMYFUNCTION("""COMPUTED_VALUE"""),"")</f>
        <v/>
      </c>
      <c r="X431" s="52" t="str">
        <f>IFERROR(__xludf.DUMMYFUNCTION("""COMPUTED_VALUE"""),"")</f>
        <v/>
      </c>
      <c r="Y431" s="52" t="str">
        <f>IFERROR(__xludf.DUMMYFUNCTION("""COMPUTED_VALUE"""),"")</f>
        <v/>
      </c>
      <c r="Z431" s="52" t="str">
        <f>IFERROR(__xludf.DUMMYFUNCTION("""COMPUTED_VALUE"""),"")</f>
        <v/>
      </c>
      <c r="AA431" s="52" t="str">
        <f>IFERROR(__xludf.DUMMYFUNCTION("""COMPUTED_VALUE"""),"")</f>
        <v/>
      </c>
      <c r="AB431" s="52" t="str">
        <f>IFERROR(__xludf.DUMMYFUNCTION("""COMPUTED_VALUE"""),"")</f>
        <v/>
      </c>
      <c r="AC431" s="52" t="str">
        <f>IFERROR(__xludf.DUMMYFUNCTION("""COMPUTED_VALUE"""),"")</f>
        <v/>
      </c>
      <c r="AD431" s="52" t="str">
        <f>IFERROR(__xludf.DUMMYFUNCTION("""COMPUTED_VALUE"""),"")</f>
        <v/>
      </c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</row>
    <row r="432">
      <c r="B432" s="49"/>
      <c r="C432" s="49" t="str">
        <f t="shared" si="2"/>
        <v/>
      </c>
      <c r="D432" s="50" t="str">
        <f t="shared" si="3"/>
        <v/>
      </c>
      <c r="E432" s="51" t="str">
        <f t="shared" ref="E432:T432" si="433">IFERROR(VLOOKUP($A432,INDIRECT("'" &amp; E$1 &amp; "'!$C:$G"), 5, FALSE),"")</f>
        <v/>
      </c>
      <c r="F432" s="51" t="str">
        <f t="shared" si="433"/>
        <v/>
      </c>
      <c r="G432" s="51" t="str">
        <f t="shared" si="433"/>
        <v/>
      </c>
      <c r="H432" s="51" t="str">
        <f t="shared" si="433"/>
        <v/>
      </c>
      <c r="I432" s="51" t="str">
        <f t="shared" si="433"/>
        <v/>
      </c>
      <c r="J432" s="51" t="str">
        <f t="shared" si="433"/>
        <v/>
      </c>
      <c r="K432" s="51" t="str">
        <f t="shared" si="433"/>
        <v/>
      </c>
      <c r="L432" s="51" t="str">
        <f t="shared" si="433"/>
        <v/>
      </c>
      <c r="M432" s="51" t="str">
        <f t="shared" si="433"/>
        <v/>
      </c>
      <c r="N432" s="51" t="str">
        <f t="shared" si="433"/>
        <v/>
      </c>
      <c r="O432" s="51" t="str">
        <f t="shared" si="433"/>
        <v/>
      </c>
      <c r="P432" s="51" t="str">
        <f t="shared" si="433"/>
        <v/>
      </c>
      <c r="Q432" s="51" t="str">
        <f t="shared" si="433"/>
        <v/>
      </c>
      <c r="R432" s="51" t="str">
        <f t="shared" si="433"/>
        <v/>
      </c>
      <c r="S432" s="51" t="str">
        <f t="shared" si="433"/>
        <v/>
      </c>
      <c r="T432" s="51" t="str">
        <f t="shared" si="433"/>
        <v/>
      </c>
      <c r="U432" s="52"/>
      <c r="V432" s="52" t="str">
        <f>IFERROR(__xludf.DUMMYFUNCTION("""COMPUTED_VALUE"""),"")</f>
        <v/>
      </c>
      <c r="W432" s="52" t="str">
        <f>IFERROR(__xludf.DUMMYFUNCTION("""COMPUTED_VALUE"""),"")</f>
        <v/>
      </c>
      <c r="X432" s="52" t="str">
        <f>IFERROR(__xludf.DUMMYFUNCTION("""COMPUTED_VALUE"""),"")</f>
        <v/>
      </c>
      <c r="Y432" s="52" t="str">
        <f>IFERROR(__xludf.DUMMYFUNCTION("""COMPUTED_VALUE"""),"")</f>
        <v/>
      </c>
      <c r="Z432" s="52" t="str">
        <f>IFERROR(__xludf.DUMMYFUNCTION("""COMPUTED_VALUE"""),"")</f>
        <v/>
      </c>
      <c r="AA432" s="52" t="str">
        <f>IFERROR(__xludf.DUMMYFUNCTION("""COMPUTED_VALUE"""),"")</f>
        <v/>
      </c>
      <c r="AB432" s="52" t="str">
        <f>IFERROR(__xludf.DUMMYFUNCTION("""COMPUTED_VALUE"""),"")</f>
        <v/>
      </c>
      <c r="AC432" s="52" t="str">
        <f>IFERROR(__xludf.DUMMYFUNCTION("""COMPUTED_VALUE"""),"")</f>
        <v/>
      </c>
      <c r="AD432" s="52" t="str">
        <f>IFERROR(__xludf.DUMMYFUNCTION("""COMPUTED_VALUE"""),"")</f>
        <v/>
      </c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</row>
    <row r="433">
      <c r="B433" s="49"/>
      <c r="C433" s="49" t="str">
        <f t="shared" si="2"/>
        <v/>
      </c>
      <c r="D433" s="50" t="str">
        <f t="shared" si="3"/>
        <v/>
      </c>
      <c r="E433" s="51" t="str">
        <f t="shared" ref="E433:T433" si="434">IFERROR(VLOOKUP($A433,INDIRECT("'" &amp; E$1 &amp; "'!$C:$G"), 5, FALSE),"")</f>
        <v/>
      </c>
      <c r="F433" s="51" t="str">
        <f t="shared" si="434"/>
        <v/>
      </c>
      <c r="G433" s="51" t="str">
        <f t="shared" si="434"/>
        <v/>
      </c>
      <c r="H433" s="51" t="str">
        <f t="shared" si="434"/>
        <v/>
      </c>
      <c r="I433" s="51" t="str">
        <f t="shared" si="434"/>
        <v/>
      </c>
      <c r="J433" s="51" t="str">
        <f t="shared" si="434"/>
        <v/>
      </c>
      <c r="K433" s="51" t="str">
        <f t="shared" si="434"/>
        <v/>
      </c>
      <c r="L433" s="51" t="str">
        <f t="shared" si="434"/>
        <v/>
      </c>
      <c r="M433" s="51" t="str">
        <f t="shared" si="434"/>
        <v/>
      </c>
      <c r="N433" s="51" t="str">
        <f t="shared" si="434"/>
        <v/>
      </c>
      <c r="O433" s="51" t="str">
        <f t="shared" si="434"/>
        <v/>
      </c>
      <c r="P433" s="51" t="str">
        <f t="shared" si="434"/>
        <v/>
      </c>
      <c r="Q433" s="51" t="str">
        <f t="shared" si="434"/>
        <v/>
      </c>
      <c r="R433" s="51" t="str">
        <f t="shared" si="434"/>
        <v/>
      </c>
      <c r="S433" s="51" t="str">
        <f t="shared" si="434"/>
        <v/>
      </c>
      <c r="T433" s="51" t="str">
        <f t="shared" si="434"/>
        <v/>
      </c>
      <c r="U433" s="52"/>
      <c r="V433" s="52" t="str">
        <f>IFERROR(__xludf.DUMMYFUNCTION("""COMPUTED_VALUE"""),"")</f>
        <v/>
      </c>
      <c r="W433" s="52" t="str">
        <f>IFERROR(__xludf.DUMMYFUNCTION("""COMPUTED_VALUE"""),"")</f>
        <v/>
      </c>
      <c r="X433" s="52" t="str">
        <f>IFERROR(__xludf.DUMMYFUNCTION("""COMPUTED_VALUE"""),"")</f>
        <v/>
      </c>
      <c r="Y433" s="52" t="str">
        <f>IFERROR(__xludf.DUMMYFUNCTION("""COMPUTED_VALUE"""),"")</f>
        <v/>
      </c>
      <c r="Z433" s="52" t="str">
        <f>IFERROR(__xludf.DUMMYFUNCTION("""COMPUTED_VALUE"""),"")</f>
        <v/>
      </c>
      <c r="AA433" s="52" t="str">
        <f>IFERROR(__xludf.DUMMYFUNCTION("""COMPUTED_VALUE"""),"")</f>
        <v/>
      </c>
      <c r="AB433" s="52" t="str">
        <f>IFERROR(__xludf.DUMMYFUNCTION("""COMPUTED_VALUE"""),"")</f>
        <v/>
      </c>
      <c r="AC433" s="52" t="str">
        <f>IFERROR(__xludf.DUMMYFUNCTION("""COMPUTED_VALUE"""),"")</f>
        <v/>
      </c>
      <c r="AD433" s="52" t="str">
        <f>IFERROR(__xludf.DUMMYFUNCTION("""COMPUTED_VALUE"""),"")</f>
        <v/>
      </c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</row>
    <row r="434">
      <c r="B434" s="49"/>
      <c r="C434" s="49" t="str">
        <f t="shared" si="2"/>
        <v/>
      </c>
      <c r="D434" s="50" t="str">
        <f t="shared" si="3"/>
        <v/>
      </c>
      <c r="E434" s="51" t="str">
        <f t="shared" ref="E434:T434" si="435">IFERROR(VLOOKUP($A434,INDIRECT("'" &amp; E$1 &amp; "'!$C:$G"), 5, FALSE),"")</f>
        <v/>
      </c>
      <c r="F434" s="51" t="str">
        <f t="shared" si="435"/>
        <v/>
      </c>
      <c r="G434" s="51" t="str">
        <f t="shared" si="435"/>
        <v/>
      </c>
      <c r="H434" s="51" t="str">
        <f t="shared" si="435"/>
        <v/>
      </c>
      <c r="I434" s="51" t="str">
        <f t="shared" si="435"/>
        <v/>
      </c>
      <c r="J434" s="51" t="str">
        <f t="shared" si="435"/>
        <v/>
      </c>
      <c r="K434" s="51" t="str">
        <f t="shared" si="435"/>
        <v/>
      </c>
      <c r="L434" s="51" t="str">
        <f t="shared" si="435"/>
        <v/>
      </c>
      <c r="M434" s="51" t="str">
        <f t="shared" si="435"/>
        <v/>
      </c>
      <c r="N434" s="51" t="str">
        <f t="shared" si="435"/>
        <v/>
      </c>
      <c r="O434" s="51" t="str">
        <f t="shared" si="435"/>
        <v/>
      </c>
      <c r="P434" s="51" t="str">
        <f t="shared" si="435"/>
        <v/>
      </c>
      <c r="Q434" s="51" t="str">
        <f t="shared" si="435"/>
        <v/>
      </c>
      <c r="R434" s="51" t="str">
        <f t="shared" si="435"/>
        <v/>
      </c>
      <c r="S434" s="51" t="str">
        <f t="shared" si="435"/>
        <v/>
      </c>
      <c r="T434" s="51" t="str">
        <f t="shared" si="435"/>
        <v/>
      </c>
      <c r="U434" s="52"/>
      <c r="V434" s="52" t="str">
        <f>IFERROR(__xludf.DUMMYFUNCTION("""COMPUTED_VALUE"""),"")</f>
        <v/>
      </c>
      <c r="W434" s="52" t="str">
        <f>IFERROR(__xludf.DUMMYFUNCTION("""COMPUTED_VALUE"""),"")</f>
        <v/>
      </c>
      <c r="X434" s="52" t="str">
        <f>IFERROR(__xludf.DUMMYFUNCTION("""COMPUTED_VALUE"""),"")</f>
        <v/>
      </c>
      <c r="Y434" s="52" t="str">
        <f>IFERROR(__xludf.DUMMYFUNCTION("""COMPUTED_VALUE"""),"")</f>
        <v/>
      </c>
      <c r="Z434" s="52" t="str">
        <f>IFERROR(__xludf.DUMMYFUNCTION("""COMPUTED_VALUE"""),"")</f>
        <v/>
      </c>
      <c r="AA434" s="52" t="str">
        <f>IFERROR(__xludf.DUMMYFUNCTION("""COMPUTED_VALUE"""),"")</f>
        <v/>
      </c>
      <c r="AB434" s="52" t="str">
        <f>IFERROR(__xludf.DUMMYFUNCTION("""COMPUTED_VALUE"""),"")</f>
        <v/>
      </c>
      <c r="AC434" s="52" t="str">
        <f>IFERROR(__xludf.DUMMYFUNCTION("""COMPUTED_VALUE"""),"")</f>
        <v/>
      </c>
      <c r="AD434" s="52" t="str">
        <f>IFERROR(__xludf.DUMMYFUNCTION("""COMPUTED_VALUE"""),"")</f>
        <v/>
      </c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</row>
    <row r="435">
      <c r="B435" s="49"/>
      <c r="C435" s="49" t="str">
        <f t="shared" si="2"/>
        <v/>
      </c>
      <c r="D435" s="50" t="str">
        <f t="shared" si="3"/>
        <v/>
      </c>
      <c r="E435" s="51" t="str">
        <f t="shared" ref="E435:T435" si="436">IFERROR(VLOOKUP($A435,INDIRECT("'" &amp; E$1 &amp; "'!$C:$G"), 5, FALSE),"")</f>
        <v/>
      </c>
      <c r="F435" s="51" t="str">
        <f t="shared" si="436"/>
        <v/>
      </c>
      <c r="G435" s="51" t="str">
        <f t="shared" si="436"/>
        <v/>
      </c>
      <c r="H435" s="51" t="str">
        <f t="shared" si="436"/>
        <v/>
      </c>
      <c r="I435" s="51" t="str">
        <f t="shared" si="436"/>
        <v/>
      </c>
      <c r="J435" s="51" t="str">
        <f t="shared" si="436"/>
        <v/>
      </c>
      <c r="K435" s="51" t="str">
        <f t="shared" si="436"/>
        <v/>
      </c>
      <c r="L435" s="51" t="str">
        <f t="shared" si="436"/>
        <v/>
      </c>
      <c r="M435" s="51" t="str">
        <f t="shared" si="436"/>
        <v/>
      </c>
      <c r="N435" s="51" t="str">
        <f t="shared" si="436"/>
        <v/>
      </c>
      <c r="O435" s="51" t="str">
        <f t="shared" si="436"/>
        <v/>
      </c>
      <c r="P435" s="51" t="str">
        <f t="shared" si="436"/>
        <v/>
      </c>
      <c r="Q435" s="51" t="str">
        <f t="shared" si="436"/>
        <v/>
      </c>
      <c r="R435" s="51" t="str">
        <f t="shared" si="436"/>
        <v/>
      </c>
      <c r="S435" s="51" t="str">
        <f t="shared" si="436"/>
        <v/>
      </c>
      <c r="T435" s="51" t="str">
        <f t="shared" si="436"/>
        <v/>
      </c>
      <c r="U435" s="52"/>
      <c r="V435" s="52" t="str">
        <f>IFERROR(__xludf.DUMMYFUNCTION("""COMPUTED_VALUE"""),"")</f>
        <v/>
      </c>
      <c r="W435" s="52" t="str">
        <f>IFERROR(__xludf.DUMMYFUNCTION("""COMPUTED_VALUE"""),"")</f>
        <v/>
      </c>
      <c r="X435" s="52" t="str">
        <f>IFERROR(__xludf.DUMMYFUNCTION("""COMPUTED_VALUE"""),"")</f>
        <v/>
      </c>
      <c r="Y435" s="52" t="str">
        <f>IFERROR(__xludf.DUMMYFUNCTION("""COMPUTED_VALUE"""),"")</f>
        <v/>
      </c>
      <c r="Z435" s="52" t="str">
        <f>IFERROR(__xludf.DUMMYFUNCTION("""COMPUTED_VALUE"""),"")</f>
        <v/>
      </c>
      <c r="AA435" s="52" t="str">
        <f>IFERROR(__xludf.DUMMYFUNCTION("""COMPUTED_VALUE"""),"")</f>
        <v/>
      </c>
      <c r="AB435" s="52" t="str">
        <f>IFERROR(__xludf.DUMMYFUNCTION("""COMPUTED_VALUE"""),"")</f>
        <v/>
      </c>
      <c r="AC435" s="52" t="str">
        <f>IFERROR(__xludf.DUMMYFUNCTION("""COMPUTED_VALUE"""),"")</f>
        <v/>
      </c>
      <c r="AD435" s="52" t="str">
        <f>IFERROR(__xludf.DUMMYFUNCTION("""COMPUTED_VALUE"""),"")</f>
        <v/>
      </c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</row>
    <row r="436">
      <c r="B436" s="49"/>
      <c r="C436" s="49" t="str">
        <f t="shared" si="2"/>
        <v/>
      </c>
      <c r="D436" s="50" t="str">
        <f t="shared" si="3"/>
        <v/>
      </c>
      <c r="E436" s="51" t="str">
        <f t="shared" ref="E436:T436" si="437">IFERROR(VLOOKUP($A436,INDIRECT("'" &amp; E$1 &amp; "'!$C:$G"), 5, FALSE),"")</f>
        <v/>
      </c>
      <c r="F436" s="51" t="str">
        <f t="shared" si="437"/>
        <v/>
      </c>
      <c r="G436" s="51" t="str">
        <f t="shared" si="437"/>
        <v/>
      </c>
      <c r="H436" s="51" t="str">
        <f t="shared" si="437"/>
        <v/>
      </c>
      <c r="I436" s="51" t="str">
        <f t="shared" si="437"/>
        <v/>
      </c>
      <c r="J436" s="51" t="str">
        <f t="shared" si="437"/>
        <v/>
      </c>
      <c r="K436" s="51" t="str">
        <f t="shared" si="437"/>
        <v/>
      </c>
      <c r="L436" s="51" t="str">
        <f t="shared" si="437"/>
        <v/>
      </c>
      <c r="M436" s="51" t="str">
        <f t="shared" si="437"/>
        <v/>
      </c>
      <c r="N436" s="51" t="str">
        <f t="shared" si="437"/>
        <v/>
      </c>
      <c r="O436" s="51" t="str">
        <f t="shared" si="437"/>
        <v/>
      </c>
      <c r="P436" s="51" t="str">
        <f t="shared" si="437"/>
        <v/>
      </c>
      <c r="Q436" s="51" t="str">
        <f t="shared" si="437"/>
        <v/>
      </c>
      <c r="R436" s="51" t="str">
        <f t="shared" si="437"/>
        <v/>
      </c>
      <c r="S436" s="51" t="str">
        <f t="shared" si="437"/>
        <v/>
      </c>
      <c r="T436" s="51" t="str">
        <f t="shared" si="437"/>
        <v/>
      </c>
      <c r="U436" s="52"/>
      <c r="V436" s="52" t="str">
        <f>IFERROR(__xludf.DUMMYFUNCTION("""COMPUTED_VALUE"""),"")</f>
        <v/>
      </c>
      <c r="W436" s="52" t="str">
        <f>IFERROR(__xludf.DUMMYFUNCTION("""COMPUTED_VALUE"""),"")</f>
        <v/>
      </c>
      <c r="X436" s="52" t="str">
        <f>IFERROR(__xludf.DUMMYFUNCTION("""COMPUTED_VALUE"""),"")</f>
        <v/>
      </c>
      <c r="Y436" s="52" t="str">
        <f>IFERROR(__xludf.DUMMYFUNCTION("""COMPUTED_VALUE"""),"")</f>
        <v/>
      </c>
      <c r="Z436" s="52" t="str">
        <f>IFERROR(__xludf.DUMMYFUNCTION("""COMPUTED_VALUE"""),"")</f>
        <v/>
      </c>
      <c r="AA436" s="52" t="str">
        <f>IFERROR(__xludf.DUMMYFUNCTION("""COMPUTED_VALUE"""),"")</f>
        <v/>
      </c>
      <c r="AB436" s="52" t="str">
        <f>IFERROR(__xludf.DUMMYFUNCTION("""COMPUTED_VALUE"""),"")</f>
        <v/>
      </c>
      <c r="AC436" s="52" t="str">
        <f>IFERROR(__xludf.DUMMYFUNCTION("""COMPUTED_VALUE"""),"")</f>
        <v/>
      </c>
      <c r="AD436" s="52" t="str">
        <f>IFERROR(__xludf.DUMMYFUNCTION("""COMPUTED_VALUE"""),"")</f>
        <v/>
      </c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</row>
    <row r="437">
      <c r="B437" s="49"/>
      <c r="C437" s="49" t="str">
        <f t="shared" si="2"/>
        <v/>
      </c>
      <c r="D437" s="50" t="str">
        <f t="shared" si="3"/>
        <v/>
      </c>
      <c r="E437" s="51" t="str">
        <f t="shared" ref="E437:T437" si="438">IFERROR(VLOOKUP($A437,INDIRECT("'" &amp; E$1 &amp; "'!$C:$G"), 5, FALSE),"")</f>
        <v/>
      </c>
      <c r="F437" s="51" t="str">
        <f t="shared" si="438"/>
        <v/>
      </c>
      <c r="G437" s="51" t="str">
        <f t="shared" si="438"/>
        <v/>
      </c>
      <c r="H437" s="51" t="str">
        <f t="shared" si="438"/>
        <v/>
      </c>
      <c r="I437" s="51" t="str">
        <f t="shared" si="438"/>
        <v/>
      </c>
      <c r="J437" s="51" t="str">
        <f t="shared" si="438"/>
        <v/>
      </c>
      <c r="K437" s="51" t="str">
        <f t="shared" si="438"/>
        <v/>
      </c>
      <c r="L437" s="51" t="str">
        <f t="shared" si="438"/>
        <v/>
      </c>
      <c r="M437" s="51" t="str">
        <f t="shared" si="438"/>
        <v/>
      </c>
      <c r="N437" s="51" t="str">
        <f t="shared" si="438"/>
        <v/>
      </c>
      <c r="O437" s="51" t="str">
        <f t="shared" si="438"/>
        <v/>
      </c>
      <c r="P437" s="51" t="str">
        <f t="shared" si="438"/>
        <v/>
      </c>
      <c r="Q437" s="51" t="str">
        <f t="shared" si="438"/>
        <v/>
      </c>
      <c r="R437" s="51" t="str">
        <f t="shared" si="438"/>
        <v/>
      </c>
      <c r="S437" s="51" t="str">
        <f t="shared" si="438"/>
        <v/>
      </c>
      <c r="T437" s="51" t="str">
        <f t="shared" si="438"/>
        <v/>
      </c>
      <c r="U437" s="52"/>
      <c r="V437" s="52" t="str">
        <f>IFERROR(__xludf.DUMMYFUNCTION("""COMPUTED_VALUE"""),"")</f>
        <v/>
      </c>
      <c r="W437" s="52" t="str">
        <f>IFERROR(__xludf.DUMMYFUNCTION("""COMPUTED_VALUE"""),"")</f>
        <v/>
      </c>
      <c r="X437" s="52" t="str">
        <f>IFERROR(__xludf.DUMMYFUNCTION("""COMPUTED_VALUE"""),"")</f>
        <v/>
      </c>
      <c r="Y437" s="52" t="str">
        <f>IFERROR(__xludf.DUMMYFUNCTION("""COMPUTED_VALUE"""),"")</f>
        <v/>
      </c>
      <c r="Z437" s="52" t="str">
        <f>IFERROR(__xludf.DUMMYFUNCTION("""COMPUTED_VALUE"""),"")</f>
        <v/>
      </c>
      <c r="AA437" s="52" t="str">
        <f>IFERROR(__xludf.DUMMYFUNCTION("""COMPUTED_VALUE"""),"")</f>
        <v/>
      </c>
      <c r="AB437" s="52" t="str">
        <f>IFERROR(__xludf.DUMMYFUNCTION("""COMPUTED_VALUE"""),"")</f>
        <v/>
      </c>
      <c r="AC437" s="52" t="str">
        <f>IFERROR(__xludf.DUMMYFUNCTION("""COMPUTED_VALUE"""),"")</f>
        <v/>
      </c>
      <c r="AD437" s="52" t="str">
        <f>IFERROR(__xludf.DUMMYFUNCTION("""COMPUTED_VALUE"""),"")</f>
        <v/>
      </c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</row>
    <row r="438">
      <c r="B438" s="49"/>
      <c r="C438" s="49" t="str">
        <f t="shared" si="2"/>
        <v/>
      </c>
      <c r="D438" s="50" t="str">
        <f t="shared" si="3"/>
        <v/>
      </c>
      <c r="E438" s="51" t="str">
        <f t="shared" ref="E438:T438" si="439">IFERROR(VLOOKUP($A438,INDIRECT("'" &amp; E$1 &amp; "'!$C:$G"), 5, FALSE),"")</f>
        <v/>
      </c>
      <c r="F438" s="51" t="str">
        <f t="shared" si="439"/>
        <v/>
      </c>
      <c r="G438" s="51" t="str">
        <f t="shared" si="439"/>
        <v/>
      </c>
      <c r="H438" s="51" t="str">
        <f t="shared" si="439"/>
        <v/>
      </c>
      <c r="I438" s="51" t="str">
        <f t="shared" si="439"/>
        <v/>
      </c>
      <c r="J438" s="51" t="str">
        <f t="shared" si="439"/>
        <v/>
      </c>
      <c r="K438" s="51" t="str">
        <f t="shared" si="439"/>
        <v/>
      </c>
      <c r="L438" s="51" t="str">
        <f t="shared" si="439"/>
        <v/>
      </c>
      <c r="M438" s="51" t="str">
        <f t="shared" si="439"/>
        <v/>
      </c>
      <c r="N438" s="51" t="str">
        <f t="shared" si="439"/>
        <v/>
      </c>
      <c r="O438" s="51" t="str">
        <f t="shared" si="439"/>
        <v/>
      </c>
      <c r="P438" s="51" t="str">
        <f t="shared" si="439"/>
        <v/>
      </c>
      <c r="Q438" s="51" t="str">
        <f t="shared" si="439"/>
        <v/>
      </c>
      <c r="R438" s="51" t="str">
        <f t="shared" si="439"/>
        <v/>
      </c>
      <c r="S438" s="51" t="str">
        <f t="shared" si="439"/>
        <v/>
      </c>
      <c r="T438" s="51" t="str">
        <f t="shared" si="439"/>
        <v/>
      </c>
      <c r="U438" s="52"/>
      <c r="V438" s="52" t="str">
        <f>IFERROR(__xludf.DUMMYFUNCTION("""COMPUTED_VALUE"""),"")</f>
        <v/>
      </c>
      <c r="W438" s="52" t="str">
        <f>IFERROR(__xludf.DUMMYFUNCTION("""COMPUTED_VALUE"""),"")</f>
        <v/>
      </c>
      <c r="X438" s="52" t="str">
        <f>IFERROR(__xludf.DUMMYFUNCTION("""COMPUTED_VALUE"""),"")</f>
        <v/>
      </c>
      <c r="Y438" s="52" t="str">
        <f>IFERROR(__xludf.DUMMYFUNCTION("""COMPUTED_VALUE"""),"")</f>
        <v/>
      </c>
      <c r="Z438" s="52" t="str">
        <f>IFERROR(__xludf.DUMMYFUNCTION("""COMPUTED_VALUE"""),"")</f>
        <v/>
      </c>
      <c r="AA438" s="52" t="str">
        <f>IFERROR(__xludf.DUMMYFUNCTION("""COMPUTED_VALUE"""),"")</f>
        <v/>
      </c>
      <c r="AB438" s="52" t="str">
        <f>IFERROR(__xludf.DUMMYFUNCTION("""COMPUTED_VALUE"""),"")</f>
        <v/>
      </c>
      <c r="AC438" s="52" t="str">
        <f>IFERROR(__xludf.DUMMYFUNCTION("""COMPUTED_VALUE"""),"")</f>
        <v/>
      </c>
      <c r="AD438" s="52" t="str">
        <f>IFERROR(__xludf.DUMMYFUNCTION("""COMPUTED_VALUE"""),"")</f>
        <v/>
      </c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</row>
    <row r="439">
      <c r="B439" s="49"/>
      <c r="C439" s="49" t="str">
        <f t="shared" si="2"/>
        <v/>
      </c>
      <c r="D439" s="50" t="str">
        <f t="shared" si="3"/>
        <v/>
      </c>
      <c r="E439" s="51" t="str">
        <f t="shared" ref="E439:T439" si="440">IFERROR(VLOOKUP($A439,INDIRECT("'" &amp; E$1 &amp; "'!$C:$G"), 5, FALSE),"")</f>
        <v/>
      </c>
      <c r="F439" s="51" t="str">
        <f t="shared" si="440"/>
        <v/>
      </c>
      <c r="G439" s="51" t="str">
        <f t="shared" si="440"/>
        <v/>
      </c>
      <c r="H439" s="51" t="str">
        <f t="shared" si="440"/>
        <v/>
      </c>
      <c r="I439" s="51" t="str">
        <f t="shared" si="440"/>
        <v/>
      </c>
      <c r="J439" s="51" t="str">
        <f t="shared" si="440"/>
        <v/>
      </c>
      <c r="K439" s="51" t="str">
        <f t="shared" si="440"/>
        <v/>
      </c>
      <c r="L439" s="51" t="str">
        <f t="shared" si="440"/>
        <v/>
      </c>
      <c r="M439" s="51" t="str">
        <f t="shared" si="440"/>
        <v/>
      </c>
      <c r="N439" s="51" t="str">
        <f t="shared" si="440"/>
        <v/>
      </c>
      <c r="O439" s="51" t="str">
        <f t="shared" si="440"/>
        <v/>
      </c>
      <c r="P439" s="51" t="str">
        <f t="shared" si="440"/>
        <v/>
      </c>
      <c r="Q439" s="51" t="str">
        <f t="shared" si="440"/>
        <v/>
      </c>
      <c r="R439" s="51" t="str">
        <f t="shared" si="440"/>
        <v/>
      </c>
      <c r="S439" s="51" t="str">
        <f t="shared" si="440"/>
        <v/>
      </c>
      <c r="T439" s="51" t="str">
        <f t="shared" si="440"/>
        <v/>
      </c>
      <c r="U439" s="52"/>
      <c r="V439" s="52" t="str">
        <f>IFERROR(__xludf.DUMMYFUNCTION("""COMPUTED_VALUE"""),"")</f>
        <v/>
      </c>
      <c r="W439" s="52" t="str">
        <f>IFERROR(__xludf.DUMMYFUNCTION("""COMPUTED_VALUE"""),"")</f>
        <v/>
      </c>
      <c r="X439" s="52" t="str">
        <f>IFERROR(__xludf.DUMMYFUNCTION("""COMPUTED_VALUE"""),"")</f>
        <v/>
      </c>
      <c r="Y439" s="52" t="str">
        <f>IFERROR(__xludf.DUMMYFUNCTION("""COMPUTED_VALUE"""),"")</f>
        <v/>
      </c>
      <c r="Z439" s="52" t="str">
        <f>IFERROR(__xludf.DUMMYFUNCTION("""COMPUTED_VALUE"""),"")</f>
        <v/>
      </c>
      <c r="AA439" s="52" t="str">
        <f>IFERROR(__xludf.DUMMYFUNCTION("""COMPUTED_VALUE"""),"")</f>
        <v/>
      </c>
      <c r="AB439" s="52" t="str">
        <f>IFERROR(__xludf.DUMMYFUNCTION("""COMPUTED_VALUE"""),"")</f>
        <v/>
      </c>
      <c r="AC439" s="52" t="str">
        <f>IFERROR(__xludf.DUMMYFUNCTION("""COMPUTED_VALUE"""),"")</f>
        <v/>
      </c>
      <c r="AD439" s="52" t="str">
        <f>IFERROR(__xludf.DUMMYFUNCTION("""COMPUTED_VALUE"""),"")</f>
        <v/>
      </c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</row>
    <row r="440">
      <c r="B440" s="49"/>
      <c r="C440" s="49" t="str">
        <f t="shared" si="2"/>
        <v/>
      </c>
      <c r="D440" s="50" t="str">
        <f t="shared" si="3"/>
        <v/>
      </c>
      <c r="E440" s="51" t="str">
        <f t="shared" ref="E440:T440" si="441">IFERROR(VLOOKUP($A440,INDIRECT("'" &amp; E$1 &amp; "'!$C:$G"), 5, FALSE),"")</f>
        <v/>
      </c>
      <c r="F440" s="51" t="str">
        <f t="shared" si="441"/>
        <v/>
      </c>
      <c r="G440" s="51" t="str">
        <f t="shared" si="441"/>
        <v/>
      </c>
      <c r="H440" s="51" t="str">
        <f t="shared" si="441"/>
        <v/>
      </c>
      <c r="I440" s="51" t="str">
        <f t="shared" si="441"/>
        <v/>
      </c>
      <c r="J440" s="51" t="str">
        <f t="shared" si="441"/>
        <v/>
      </c>
      <c r="K440" s="51" t="str">
        <f t="shared" si="441"/>
        <v/>
      </c>
      <c r="L440" s="51" t="str">
        <f t="shared" si="441"/>
        <v/>
      </c>
      <c r="M440" s="51" t="str">
        <f t="shared" si="441"/>
        <v/>
      </c>
      <c r="N440" s="51" t="str">
        <f t="shared" si="441"/>
        <v/>
      </c>
      <c r="O440" s="51" t="str">
        <f t="shared" si="441"/>
        <v/>
      </c>
      <c r="P440" s="51" t="str">
        <f t="shared" si="441"/>
        <v/>
      </c>
      <c r="Q440" s="51" t="str">
        <f t="shared" si="441"/>
        <v/>
      </c>
      <c r="R440" s="51" t="str">
        <f t="shared" si="441"/>
        <v/>
      </c>
      <c r="S440" s="51" t="str">
        <f t="shared" si="441"/>
        <v/>
      </c>
      <c r="T440" s="51" t="str">
        <f t="shared" si="441"/>
        <v/>
      </c>
      <c r="U440" s="52"/>
      <c r="V440" s="52" t="str">
        <f>IFERROR(__xludf.DUMMYFUNCTION("""COMPUTED_VALUE"""),"")</f>
        <v/>
      </c>
      <c r="W440" s="52" t="str">
        <f>IFERROR(__xludf.DUMMYFUNCTION("""COMPUTED_VALUE"""),"")</f>
        <v/>
      </c>
      <c r="X440" s="52" t="str">
        <f>IFERROR(__xludf.DUMMYFUNCTION("""COMPUTED_VALUE"""),"")</f>
        <v/>
      </c>
      <c r="Y440" s="52" t="str">
        <f>IFERROR(__xludf.DUMMYFUNCTION("""COMPUTED_VALUE"""),"")</f>
        <v/>
      </c>
      <c r="Z440" s="52" t="str">
        <f>IFERROR(__xludf.DUMMYFUNCTION("""COMPUTED_VALUE"""),"")</f>
        <v/>
      </c>
      <c r="AA440" s="52" t="str">
        <f>IFERROR(__xludf.DUMMYFUNCTION("""COMPUTED_VALUE"""),"")</f>
        <v/>
      </c>
      <c r="AB440" s="52" t="str">
        <f>IFERROR(__xludf.DUMMYFUNCTION("""COMPUTED_VALUE"""),"")</f>
        <v/>
      </c>
      <c r="AC440" s="52" t="str">
        <f>IFERROR(__xludf.DUMMYFUNCTION("""COMPUTED_VALUE"""),"")</f>
        <v/>
      </c>
      <c r="AD440" s="52" t="str">
        <f>IFERROR(__xludf.DUMMYFUNCTION("""COMPUTED_VALUE"""),"")</f>
        <v/>
      </c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</row>
    <row r="441">
      <c r="B441" s="49"/>
      <c r="C441" s="49" t="str">
        <f t="shared" si="2"/>
        <v/>
      </c>
      <c r="D441" s="50" t="str">
        <f t="shared" si="3"/>
        <v/>
      </c>
      <c r="E441" s="51" t="str">
        <f t="shared" ref="E441:T441" si="442">IFERROR(VLOOKUP($A441,INDIRECT("'" &amp; E$1 &amp; "'!$C:$G"), 5, FALSE),"")</f>
        <v/>
      </c>
      <c r="F441" s="51" t="str">
        <f t="shared" si="442"/>
        <v/>
      </c>
      <c r="G441" s="51" t="str">
        <f t="shared" si="442"/>
        <v/>
      </c>
      <c r="H441" s="51" t="str">
        <f t="shared" si="442"/>
        <v/>
      </c>
      <c r="I441" s="51" t="str">
        <f t="shared" si="442"/>
        <v/>
      </c>
      <c r="J441" s="51" t="str">
        <f t="shared" si="442"/>
        <v/>
      </c>
      <c r="K441" s="51" t="str">
        <f t="shared" si="442"/>
        <v/>
      </c>
      <c r="L441" s="51" t="str">
        <f t="shared" si="442"/>
        <v/>
      </c>
      <c r="M441" s="51" t="str">
        <f t="shared" si="442"/>
        <v/>
      </c>
      <c r="N441" s="51" t="str">
        <f t="shared" si="442"/>
        <v/>
      </c>
      <c r="O441" s="51" t="str">
        <f t="shared" si="442"/>
        <v/>
      </c>
      <c r="P441" s="51" t="str">
        <f t="shared" si="442"/>
        <v/>
      </c>
      <c r="Q441" s="51" t="str">
        <f t="shared" si="442"/>
        <v/>
      </c>
      <c r="R441" s="51" t="str">
        <f t="shared" si="442"/>
        <v/>
      </c>
      <c r="S441" s="51" t="str">
        <f t="shared" si="442"/>
        <v/>
      </c>
      <c r="T441" s="51" t="str">
        <f t="shared" si="442"/>
        <v/>
      </c>
      <c r="U441" s="52"/>
      <c r="V441" s="52" t="str">
        <f>IFERROR(__xludf.DUMMYFUNCTION("""COMPUTED_VALUE"""),"")</f>
        <v/>
      </c>
      <c r="W441" s="52" t="str">
        <f>IFERROR(__xludf.DUMMYFUNCTION("""COMPUTED_VALUE"""),"")</f>
        <v/>
      </c>
      <c r="X441" s="52" t="str">
        <f>IFERROR(__xludf.DUMMYFUNCTION("""COMPUTED_VALUE"""),"")</f>
        <v/>
      </c>
      <c r="Y441" s="52" t="str">
        <f>IFERROR(__xludf.DUMMYFUNCTION("""COMPUTED_VALUE"""),"")</f>
        <v/>
      </c>
      <c r="Z441" s="52" t="str">
        <f>IFERROR(__xludf.DUMMYFUNCTION("""COMPUTED_VALUE"""),"")</f>
        <v/>
      </c>
      <c r="AA441" s="52" t="str">
        <f>IFERROR(__xludf.DUMMYFUNCTION("""COMPUTED_VALUE"""),"")</f>
        <v/>
      </c>
      <c r="AB441" s="52" t="str">
        <f>IFERROR(__xludf.DUMMYFUNCTION("""COMPUTED_VALUE"""),"")</f>
        <v/>
      </c>
      <c r="AC441" s="52" t="str">
        <f>IFERROR(__xludf.DUMMYFUNCTION("""COMPUTED_VALUE"""),"")</f>
        <v/>
      </c>
      <c r="AD441" s="52" t="str">
        <f>IFERROR(__xludf.DUMMYFUNCTION("""COMPUTED_VALUE"""),"")</f>
        <v/>
      </c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</row>
    <row r="442">
      <c r="B442" s="49"/>
      <c r="C442" s="49" t="str">
        <f t="shared" si="2"/>
        <v/>
      </c>
      <c r="D442" s="50" t="str">
        <f t="shared" si="3"/>
        <v/>
      </c>
      <c r="E442" s="51" t="str">
        <f t="shared" ref="E442:T442" si="443">IFERROR(VLOOKUP($A442,INDIRECT("'" &amp; E$1 &amp; "'!$C:$G"), 5, FALSE),"")</f>
        <v/>
      </c>
      <c r="F442" s="51" t="str">
        <f t="shared" si="443"/>
        <v/>
      </c>
      <c r="G442" s="51" t="str">
        <f t="shared" si="443"/>
        <v/>
      </c>
      <c r="H442" s="51" t="str">
        <f t="shared" si="443"/>
        <v/>
      </c>
      <c r="I442" s="51" t="str">
        <f t="shared" si="443"/>
        <v/>
      </c>
      <c r="J442" s="51" t="str">
        <f t="shared" si="443"/>
        <v/>
      </c>
      <c r="K442" s="51" t="str">
        <f t="shared" si="443"/>
        <v/>
      </c>
      <c r="L442" s="51" t="str">
        <f t="shared" si="443"/>
        <v/>
      </c>
      <c r="M442" s="51" t="str">
        <f t="shared" si="443"/>
        <v/>
      </c>
      <c r="N442" s="51" t="str">
        <f t="shared" si="443"/>
        <v/>
      </c>
      <c r="O442" s="51" t="str">
        <f t="shared" si="443"/>
        <v/>
      </c>
      <c r="P442" s="51" t="str">
        <f t="shared" si="443"/>
        <v/>
      </c>
      <c r="Q442" s="51" t="str">
        <f t="shared" si="443"/>
        <v/>
      </c>
      <c r="R442" s="51" t="str">
        <f t="shared" si="443"/>
        <v/>
      </c>
      <c r="S442" s="51" t="str">
        <f t="shared" si="443"/>
        <v/>
      </c>
      <c r="T442" s="51" t="str">
        <f t="shared" si="443"/>
        <v/>
      </c>
      <c r="U442" s="52"/>
      <c r="V442" s="52" t="str">
        <f>IFERROR(__xludf.DUMMYFUNCTION("""COMPUTED_VALUE"""),"")</f>
        <v/>
      </c>
      <c r="W442" s="52" t="str">
        <f>IFERROR(__xludf.DUMMYFUNCTION("""COMPUTED_VALUE"""),"")</f>
        <v/>
      </c>
      <c r="X442" s="52" t="str">
        <f>IFERROR(__xludf.DUMMYFUNCTION("""COMPUTED_VALUE"""),"")</f>
        <v/>
      </c>
      <c r="Y442" s="52" t="str">
        <f>IFERROR(__xludf.DUMMYFUNCTION("""COMPUTED_VALUE"""),"")</f>
        <v/>
      </c>
      <c r="Z442" s="52" t="str">
        <f>IFERROR(__xludf.DUMMYFUNCTION("""COMPUTED_VALUE"""),"")</f>
        <v/>
      </c>
      <c r="AA442" s="52" t="str">
        <f>IFERROR(__xludf.DUMMYFUNCTION("""COMPUTED_VALUE"""),"")</f>
        <v/>
      </c>
      <c r="AB442" s="52" t="str">
        <f>IFERROR(__xludf.DUMMYFUNCTION("""COMPUTED_VALUE"""),"")</f>
        <v/>
      </c>
      <c r="AC442" s="52" t="str">
        <f>IFERROR(__xludf.DUMMYFUNCTION("""COMPUTED_VALUE"""),"")</f>
        <v/>
      </c>
      <c r="AD442" s="52" t="str">
        <f>IFERROR(__xludf.DUMMYFUNCTION("""COMPUTED_VALUE"""),"")</f>
        <v/>
      </c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</row>
    <row r="443">
      <c r="B443" s="49"/>
      <c r="C443" s="49" t="str">
        <f t="shared" si="2"/>
        <v/>
      </c>
      <c r="D443" s="50" t="str">
        <f t="shared" si="3"/>
        <v/>
      </c>
      <c r="E443" s="51" t="str">
        <f t="shared" ref="E443:T443" si="444">IFERROR(VLOOKUP($A443,INDIRECT("'" &amp; E$1 &amp; "'!$C:$G"), 5, FALSE),"")</f>
        <v/>
      </c>
      <c r="F443" s="51" t="str">
        <f t="shared" si="444"/>
        <v/>
      </c>
      <c r="G443" s="51" t="str">
        <f t="shared" si="444"/>
        <v/>
      </c>
      <c r="H443" s="51" t="str">
        <f t="shared" si="444"/>
        <v/>
      </c>
      <c r="I443" s="51" t="str">
        <f t="shared" si="444"/>
        <v/>
      </c>
      <c r="J443" s="51" t="str">
        <f t="shared" si="444"/>
        <v/>
      </c>
      <c r="K443" s="51" t="str">
        <f t="shared" si="444"/>
        <v/>
      </c>
      <c r="L443" s="51" t="str">
        <f t="shared" si="444"/>
        <v/>
      </c>
      <c r="M443" s="51" t="str">
        <f t="shared" si="444"/>
        <v/>
      </c>
      <c r="N443" s="51" t="str">
        <f t="shared" si="444"/>
        <v/>
      </c>
      <c r="O443" s="51" t="str">
        <f t="shared" si="444"/>
        <v/>
      </c>
      <c r="P443" s="51" t="str">
        <f t="shared" si="444"/>
        <v/>
      </c>
      <c r="Q443" s="51" t="str">
        <f t="shared" si="444"/>
        <v/>
      </c>
      <c r="R443" s="51" t="str">
        <f t="shared" si="444"/>
        <v/>
      </c>
      <c r="S443" s="51" t="str">
        <f t="shared" si="444"/>
        <v/>
      </c>
      <c r="T443" s="51" t="str">
        <f t="shared" si="444"/>
        <v/>
      </c>
      <c r="U443" s="52"/>
      <c r="V443" s="52" t="str">
        <f>IFERROR(__xludf.DUMMYFUNCTION("""COMPUTED_VALUE"""),"")</f>
        <v/>
      </c>
      <c r="W443" s="52" t="str">
        <f>IFERROR(__xludf.DUMMYFUNCTION("""COMPUTED_VALUE"""),"")</f>
        <v/>
      </c>
      <c r="X443" s="52" t="str">
        <f>IFERROR(__xludf.DUMMYFUNCTION("""COMPUTED_VALUE"""),"")</f>
        <v/>
      </c>
      <c r="Y443" s="52" t="str">
        <f>IFERROR(__xludf.DUMMYFUNCTION("""COMPUTED_VALUE"""),"")</f>
        <v/>
      </c>
      <c r="Z443" s="52" t="str">
        <f>IFERROR(__xludf.DUMMYFUNCTION("""COMPUTED_VALUE"""),"")</f>
        <v/>
      </c>
      <c r="AA443" s="52" t="str">
        <f>IFERROR(__xludf.DUMMYFUNCTION("""COMPUTED_VALUE"""),"")</f>
        <v/>
      </c>
      <c r="AB443" s="52" t="str">
        <f>IFERROR(__xludf.DUMMYFUNCTION("""COMPUTED_VALUE"""),"")</f>
        <v/>
      </c>
      <c r="AC443" s="52" t="str">
        <f>IFERROR(__xludf.DUMMYFUNCTION("""COMPUTED_VALUE"""),"")</f>
        <v/>
      </c>
      <c r="AD443" s="52" t="str">
        <f>IFERROR(__xludf.DUMMYFUNCTION("""COMPUTED_VALUE"""),"")</f>
        <v/>
      </c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</row>
    <row r="444">
      <c r="B444" s="49"/>
      <c r="C444" s="49" t="str">
        <f t="shared" si="2"/>
        <v/>
      </c>
      <c r="D444" s="50" t="str">
        <f t="shared" si="3"/>
        <v/>
      </c>
      <c r="E444" s="51" t="str">
        <f t="shared" ref="E444:T444" si="445">IFERROR(VLOOKUP($A444,INDIRECT("'" &amp; E$1 &amp; "'!$C:$G"), 5, FALSE),"")</f>
        <v/>
      </c>
      <c r="F444" s="51" t="str">
        <f t="shared" si="445"/>
        <v/>
      </c>
      <c r="G444" s="51" t="str">
        <f t="shared" si="445"/>
        <v/>
      </c>
      <c r="H444" s="51" t="str">
        <f t="shared" si="445"/>
        <v/>
      </c>
      <c r="I444" s="51" t="str">
        <f t="shared" si="445"/>
        <v/>
      </c>
      <c r="J444" s="51" t="str">
        <f t="shared" si="445"/>
        <v/>
      </c>
      <c r="K444" s="51" t="str">
        <f t="shared" si="445"/>
        <v/>
      </c>
      <c r="L444" s="51" t="str">
        <f t="shared" si="445"/>
        <v/>
      </c>
      <c r="M444" s="51" t="str">
        <f t="shared" si="445"/>
        <v/>
      </c>
      <c r="N444" s="51" t="str">
        <f t="shared" si="445"/>
        <v/>
      </c>
      <c r="O444" s="51" t="str">
        <f t="shared" si="445"/>
        <v/>
      </c>
      <c r="P444" s="51" t="str">
        <f t="shared" si="445"/>
        <v/>
      </c>
      <c r="Q444" s="51" t="str">
        <f t="shared" si="445"/>
        <v/>
      </c>
      <c r="R444" s="51" t="str">
        <f t="shared" si="445"/>
        <v/>
      </c>
      <c r="S444" s="51" t="str">
        <f t="shared" si="445"/>
        <v/>
      </c>
      <c r="T444" s="51" t="str">
        <f t="shared" si="445"/>
        <v/>
      </c>
      <c r="U444" s="52"/>
      <c r="V444" s="52" t="str">
        <f>IFERROR(__xludf.DUMMYFUNCTION("""COMPUTED_VALUE"""),"")</f>
        <v/>
      </c>
      <c r="W444" s="52" t="str">
        <f>IFERROR(__xludf.DUMMYFUNCTION("""COMPUTED_VALUE"""),"")</f>
        <v/>
      </c>
      <c r="X444" s="52" t="str">
        <f>IFERROR(__xludf.DUMMYFUNCTION("""COMPUTED_VALUE"""),"")</f>
        <v/>
      </c>
      <c r="Y444" s="52" t="str">
        <f>IFERROR(__xludf.DUMMYFUNCTION("""COMPUTED_VALUE"""),"")</f>
        <v/>
      </c>
      <c r="Z444" s="52" t="str">
        <f>IFERROR(__xludf.DUMMYFUNCTION("""COMPUTED_VALUE"""),"")</f>
        <v/>
      </c>
      <c r="AA444" s="52" t="str">
        <f>IFERROR(__xludf.DUMMYFUNCTION("""COMPUTED_VALUE"""),"")</f>
        <v/>
      </c>
      <c r="AB444" s="52" t="str">
        <f>IFERROR(__xludf.DUMMYFUNCTION("""COMPUTED_VALUE"""),"")</f>
        <v/>
      </c>
      <c r="AC444" s="52" t="str">
        <f>IFERROR(__xludf.DUMMYFUNCTION("""COMPUTED_VALUE"""),"")</f>
        <v/>
      </c>
      <c r="AD444" s="52" t="str">
        <f>IFERROR(__xludf.DUMMYFUNCTION("""COMPUTED_VALUE"""),"")</f>
        <v/>
      </c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</row>
    <row r="445">
      <c r="B445" s="49"/>
      <c r="C445" s="49" t="str">
        <f t="shared" si="2"/>
        <v/>
      </c>
      <c r="D445" s="50" t="str">
        <f t="shared" si="3"/>
        <v/>
      </c>
      <c r="E445" s="51" t="str">
        <f t="shared" ref="E445:T445" si="446">IFERROR(VLOOKUP($A445,INDIRECT("'" &amp; E$1 &amp; "'!$C:$G"), 5, FALSE),"")</f>
        <v/>
      </c>
      <c r="F445" s="51" t="str">
        <f t="shared" si="446"/>
        <v/>
      </c>
      <c r="G445" s="51" t="str">
        <f t="shared" si="446"/>
        <v/>
      </c>
      <c r="H445" s="51" t="str">
        <f t="shared" si="446"/>
        <v/>
      </c>
      <c r="I445" s="51" t="str">
        <f t="shared" si="446"/>
        <v/>
      </c>
      <c r="J445" s="51" t="str">
        <f t="shared" si="446"/>
        <v/>
      </c>
      <c r="K445" s="51" t="str">
        <f t="shared" si="446"/>
        <v/>
      </c>
      <c r="L445" s="51" t="str">
        <f t="shared" si="446"/>
        <v/>
      </c>
      <c r="M445" s="51" t="str">
        <f t="shared" si="446"/>
        <v/>
      </c>
      <c r="N445" s="51" t="str">
        <f t="shared" si="446"/>
        <v/>
      </c>
      <c r="O445" s="51" t="str">
        <f t="shared" si="446"/>
        <v/>
      </c>
      <c r="P445" s="51" t="str">
        <f t="shared" si="446"/>
        <v/>
      </c>
      <c r="Q445" s="51" t="str">
        <f t="shared" si="446"/>
        <v/>
      </c>
      <c r="R445" s="51" t="str">
        <f t="shared" si="446"/>
        <v/>
      </c>
      <c r="S445" s="51" t="str">
        <f t="shared" si="446"/>
        <v/>
      </c>
      <c r="T445" s="51" t="str">
        <f t="shared" si="446"/>
        <v/>
      </c>
      <c r="U445" s="52"/>
      <c r="V445" s="52" t="str">
        <f>IFERROR(__xludf.DUMMYFUNCTION("""COMPUTED_VALUE"""),"")</f>
        <v/>
      </c>
      <c r="W445" s="52" t="str">
        <f>IFERROR(__xludf.DUMMYFUNCTION("""COMPUTED_VALUE"""),"")</f>
        <v/>
      </c>
      <c r="X445" s="52" t="str">
        <f>IFERROR(__xludf.DUMMYFUNCTION("""COMPUTED_VALUE"""),"")</f>
        <v/>
      </c>
      <c r="Y445" s="52" t="str">
        <f>IFERROR(__xludf.DUMMYFUNCTION("""COMPUTED_VALUE"""),"")</f>
        <v/>
      </c>
      <c r="Z445" s="52" t="str">
        <f>IFERROR(__xludf.DUMMYFUNCTION("""COMPUTED_VALUE"""),"")</f>
        <v/>
      </c>
      <c r="AA445" s="52" t="str">
        <f>IFERROR(__xludf.DUMMYFUNCTION("""COMPUTED_VALUE"""),"")</f>
        <v/>
      </c>
      <c r="AB445" s="52" t="str">
        <f>IFERROR(__xludf.DUMMYFUNCTION("""COMPUTED_VALUE"""),"")</f>
        <v/>
      </c>
      <c r="AC445" s="52" t="str">
        <f>IFERROR(__xludf.DUMMYFUNCTION("""COMPUTED_VALUE"""),"")</f>
        <v/>
      </c>
      <c r="AD445" s="52" t="str">
        <f>IFERROR(__xludf.DUMMYFUNCTION("""COMPUTED_VALUE"""),"")</f>
        <v/>
      </c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</row>
    <row r="446">
      <c r="B446" s="49"/>
      <c r="C446" s="49" t="str">
        <f t="shared" si="2"/>
        <v/>
      </c>
      <c r="D446" s="50" t="str">
        <f t="shared" si="3"/>
        <v/>
      </c>
      <c r="E446" s="51" t="str">
        <f t="shared" ref="E446:T446" si="447">IFERROR(VLOOKUP($A446,INDIRECT("'" &amp; E$1 &amp; "'!$C:$G"), 5, FALSE),"")</f>
        <v/>
      </c>
      <c r="F446" s="51" t="str">
        <f t="shared" si="447"/>
        <v/>
      </c>
      <c r="G446" s="51" t="str">
        <f t="shared" si="447"/>
        <v/>
      </c>
      <c r="H446" s="51" t="str">
        <f t="shared" si="447"/>
        <v/>
      </c>
      <c r="I446" s="51" t="str">
        <f t="shared" si="447"/>
        <v/>
      </c>
      <c r="J446" s="51" t="str">
        <f t="shared" si="447"/>
        <v/>
      </c>
      <c r="K446" s="51" t="str">
        <f t="shared" si="447"/>
        <v/>
      </c>
      <c r="L446" s="51" t="str">
        <f t="shared" si="447"/>
        <v/>
      </c>
      <c r="M446" s="51" t="str">
        <f t="shared" si="447"/>
        <v/>
      </c>
      <c r="N446" s="51" t="str">
        <f t="shared" si="447"/>
        <v/>
      </c>
      <c r="O446" s="51" t="str">
        <f t="shared" si="447"/>
        <v/>
      </c>
      <c r="P446" s="51" t="str">
        <f t="shared" si="447"/>
        <v/>
      </c>
      <c r="Q446" s="51" t="str">
        <f t="shared" si="447"/>
        <v/>
      </c>
      <c r="R446" s="51" t="str">
        <f t="shared" si="447"/>
        <v/>
      </c>
      <c r="S446" s="51" t="str">
        <f t="shared" si="447"/>
        <v/>
      </c>
      <c r="T446" s="51" t="str">
        <f t="shared" si="447"/>
        <v/>
      </c>
      <c r="U446" s="52"/>
      <c r="V446" s="52" t="str">
        <f>IFERROR(__xludf.DUMMYFUNCTION("""COMPUTED_VALUE"""),"")</f>
        <v/>
      </c>
      <c r="W446" s="52" t="str">
        <f>IFERROR(__xludf.DUMMYFUNCTION("""COMPUTED_VALUE"""),"")</f>
        <v/>
      </c>
      <c r="X446" s="52" t="str">
        <f>IFERROR(__xludf.DUMMYFUNCTION("""COMPUTED_VALUE"""),"")</f>
        <v/>
      </c>
      <c r="Y446" s="52" t="str">
        <f>IFERROR(__xludf.DUMMYFUNCTION("""COMPUTED_VALUE"""),"")</f>
        <v/>
      </c>
      <c r="Z446" s="52" t="str">
        <f>IFERROR(__xludf.DUMMYFUNCTION("""COMPUTED_VALUE"""),"")</f>
        <v/>
      </c>
      <c r="AA446" s="52" t="str">
        <f>IFERROR(__xludf.DUMMYFUNCTION("""COMPUTED_VALUE"""),"")</f>
        <v/>
      </c>
      <c r="AB446" s="52" t="str">
        <f>IFERROR(__xludf.DUMMYFUNCTION("""COMPUTED_VALUE"""),"")</f>
        <v/>
      </c>
      <c r="AC446" s="52" t="str">
        <f>IFERROR(__xludf.DUMMYFUNCTION("""COMPUTED_VALUE"""),"")</f>
        <v/>
      </c>
      <c r="AD446" s="52" t="str">
        <f>IFERROR(__xludf.DUMMYFUNCTION("""COMPUTED_VALUE"""),"")</f>
        <v/>
      </c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</row>
    <row r="447">
      <c r="B447" s="49"/>
      <c r="C447" s="49" t="str">
        <f t="shared" si="2"/>
        <v/>
      </c>
      <c r="D447" s="50" t="str">
        <f t="shared" si="3"/>
        <v/>
      </c>
      <c r="E447" s="51" t="str">
        <f t="shared" ref="E447:T447" si="448">IFERROR(VLOOKUP($A447,INDIRECT("'" &amp; E$1 &amp; "'!$C:$G"), 5, FALSE),"")</f>
        <v/>
      </c>
      <c r="F447" s="51" t="str">
        <f t="shared" si="448"/>
        <v/>
      </c>
      <c r="G447" s="51" t="str">
        <f t="shared" si="448"/>
        <v/>
      </c>
      <c r="H447" s="51" t="str">
        <f t="shared" si="448"/>
        <v/>
      </c>
      <c r="I447" s="51" t="str">
        <f t="shared" si="448"/>
        <v/>
      </c>
      <c r="J447" s="51" t="str">
        <f t="shared" si="448"/>
        <v/>
      </c>
      <c r="K447" s="51" t="str">
        <f t="shared" si="448"/>
        <v/>
      </c>
      <c r="L447" s="51" t="str">
        <f t="shared" si="448"/>
        <v/>
      </c>
      <c r="M447" s="51" t="str">
        <f t="shared" si="448"/>
        <v/>
      </c>
      <c r="N447" s="51" t="str">
        <f t="shared" si="448"/>
        <v/>
      </c>
      <c r="O447" s="51" t="str">
        <f t="shared" si="448"/>
        <v/>
      </c>
      <c r="P447" s="51" t="str">
        <f t="shared" si="448"/>
        <v/>
      </c>
      <c r="Q447" s="51" t="str">
        <f t="shared" si="448"/>
        <v/>
      </c>
      <c r="R447" s="51" t="str">
        <f t="shared" si="448"/>
        <v/>
      </c>
      <c r="S447" s="51" t="str">
        <f t="shared" si="448"/>
        <v/>
      </c>
      <c r="T447" s="51" t="str">
        <f t="shared" si="448"/>
        <v/>
      </c>
      <c r="U447" s="52"/>
      <c r="V447" s="52" t="str">
        <f>IFERROR(__xludf.DUMMYFUNCTION("""COMPUTED_VALUE"""),"")</f>
        <v/>
      </c>
      <c r="W447" s="52" t="str">
        <f>IFERROR(__xludf.DUMMYFUNCTION("""COMPUTED_VALUE"""),"")</f>
        <v/>
      </c>
      <c r="X447" s="52" t="str">
        <f>IFERROR(__xludf.DUMMYFUNCTION("""COMPUTED_VALUE"""),"")</f>
        <v/>
      </c>
      <c r="Y447" s="52" t="str">
        <f>IFERROR(__xludf.DUMMYFUNCTION("""COMPUTED_VALUE"""),"")</f>
        <v/>
      </c>
      <c r="Z447" s="52" t="str">
        <f>IFERROR(__xludf.DUMMYFUNCTION("""COMPUTED_VALUE"""),"")</f>
        <v/>
      </c>
      <c r="AA447" s="52" t="str">
        <f>IFERROR(__xludf.DUMMYFUNCTION("""COMPUTED_VALUE"""),"")</f>
        <v/>
      </c>
      <c r="AB447" s="52" t="str">
        <f>IFERROR(__xludf.DUMMYFUNCTION("""COMPUTED_VALUE"""),"")</f>
        <v/>
      </c>
      <c r="AC447" s="52" t="str">
        <f>IFERROR(__xludf.DUMMYFUNCTION("""COMPUTED_VALUE"""),"")</f>
        <v/>
      </c>
      <c r="AD447" s="52" t="str">
        <f>IFERROR(__xludf.DUMMYFUNCTION("""COMPUTED_VALUE"""),"")</f>
        <v/>
      </c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</row>
    <row r="448">
      <c r="B448" s="49"/>
      <c r="C448" s="49" t="str">
        <f t="shared" si="2"/>
        <v/>
      </c>
      <c r="D448" s="50" t="str">
        <f t="shared" si="3"/>
        <v/>
      </c>
      <c r="E448" s="51" t="str">
        <f t="shared" ref="E448:T448" si="449">IFERROR(VLOOKUP($A448,INDIRECT("'" &amp; E$1 &amp; "'!$C:$G"), 5, FALSE),"")</f>
        <v/>
      </c>
      <c r="F448" s="51" t="str">
        <f t="shared" si="449"/>
        <v/>
      </c>
      <c r="G448" s="51" t="str">
        <f t="shared" si="449"/>
        <v/>
      </c>
      <c r="H448" s="51" t="str">
        <f t="shared" si="449"/>
        <v/>
      </c>
      <c r="I448" s="51" t="str">
        <f t="shared" si="449"/>
        <v/>
      </c>
      <c r="J448" s="51" t="str">
        <f t="shared" si="449"/>
        <v/>
      </c>
      <c r="K448" s="51" t="str">
        <f t="shared" si="449"/>
        <v/>
      </c>
      <c r="L448" s="51" t="str">
        <f t="shared" si="449"/>
        <v/>
      </c>
      <c r="M448" s="51" t="str">
        <f t="shared" si="449"/>
        <v/>
      </c>
      <c r="N448" s="51" t="str">
        <f t="shared" si="449"/>
        <v/>
      </c>
      <c r="O448" s="51" t="str">
        <f t="shared" si="449"/>
        <v/>
      </c>
      <c r="P448" s="51" t="str">
        <f t="shared" si="449"/>
        <v/>
      </c>
      <c r="Q448" s="51" t="str">
        <f t="shared" si="449"/>
        <v/>
      </c>
      <c r="R448" s="51" t="str">
        <f t="shared" si="449"/>
        <v/>
      </c>
      <c r="S448" s="51" t="str">
        <f t="shared" si="449"/>
        <v/>
      </c>
      <c r="T448" s="51" t="str">
        <f t="shared" si="449"/>
        <v/>
      </c>
      <c r="U448" s="52"/>
      <c r="V448" s="52" t="str">
        <f>IFERROR(__xludf.DUMMYFUNCTION("""COMPUTED_VALUE"""),"")</f>
        <v/>
      </c>
      <c r="W448" s="52" t="str">
        <f>IFERROR(__xludf.DUMMYFUNCTION("""COMPUTED_VALUE"""),"")</f>
        <v/>
      </c>
      <c r="X448" s="52" t="str">
        <f>IFERROR(__xludf.DUMMYFUNCTION("""COMPUTED_VALUE"""),"")</f>
        <v/>
      </c>
      <c r="Y448" s="52" t="str">
        <f>IFERROR(__xludf.DUMMYFUNCTION("""COMPUTED_VALUE"""),"")</f>
        <v/>
      </c>
      <c r="Z448" s="52" t="str">
        <f>IFERROR(__xludf.DUMMYFUNCTION("""COMPUTED_VALUE"""),"")</f>
        <v/>
      </c>
      <c r="AA448" s="52" t="str">
        <f>IFERROR(__xludf.DUMMYFUNCTION("""COMPUTED_VALUE"""),"")</f>
        <v/>
      </c>
      <c r="AB448" s="52" t="str">
        <f>IFERROR(__xludf.DUMMYFUNCTION("""COMPUTED_VALUE"""),"")</f>
        <v/>
      </c>
      <c r="AC448" s="52" t="str">
        <f>IFERROR(__xludf.DUMMYFUNCTION("""COMPUTED_VALUE"""),"")</f>
        <v/>
      </c>
      <c r="AD448" s="52" t="str">
        <f>IFERROR(__xludf.DUMMYFUNCTION("""COMPUTED_VALUE"""),"")</f>
        <v/>
      </c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</row>
    <row r="449">
      <c r="B449" s="49"/>
      <c r="C449" s="49" t="str">
        <f t="shared" si="2"/>
        <v/>
      </c>
      <c r="D449" s="50" t="str">
        <f t="shared" si="3"/>
        <v/>
      </c>
      <c r="E449" s="51" t="str">
        <f t="shared" ref="E449:T449" si="450">IFERROR(VLOOKUP($A449,INDIRECT("'" &amp; E$1 &amp; "'!$C:$G"), 5, FALSE),"")</f>
        <v/>
      </c>
      <c r="F449" s="51" t="str">
        <f t="shared" si="450"/>
        <v/>
      </c>
      <c r="G449" s="51" t="str">
        <f t="shared" si="450"/>
        <v/>
      </c>
      <c r="H449" s="51" t="str">
        <f t="shared" si="450"/>
        <v/>
      </c>
      <c r="I449" s="51" t="str">
        <f t="shared" si="450"/>
        <v/>
      </c>
      <c r="J449" s="51" t="str">
        <f t="shared" si="450"/>
        <v/>
      </c>
      <c r="K449" s="51" t="str">
        <f t="shared" si="450"/>
        <v/>
      </c>
      <c r="L449" s="51" t="str">
        <f t="shared" si="450"/>
        <v/>
      </c>
      <c r="M449" s="51" t="str">
        <f t="shared" si="450"/>
        <v/>
      </c>
      <c r="N449" s="51" t="str">
        <f t="shared" si="450"/>
        <v/>
      </c>
      <c r="O449" s="51" t="str">
        <f t="shared" si="450"/>
        <v/>
      </c>
      <c r="P449" s="51" t="str">
        <f t="shared" si="450"/>
        <v/>
      </c>
      <c r="Q449" s="51" t="str">
        <f t="shared" si="450"/>
        <v/>
      </c>
      <c r="R449" s="51" t="str">
        <f t="shared" si="450"/>
        <v/>
      </c>
      <c r="S449" s="51" t="str">
        <f t="shared" si="450"/>
        <v/>
      </c>
      <c r="T449" s="51" t="str">
        <f t="shared" si="450"/>
        <v/>
      </c>
      <c r="U449" s="52"/>
      <c r="V449" s="52" t="str">
        <f>IFERROR(__xludf.DUMMYFUNCTION("""COMPUTED_VALUE"""),"")</f>
        <v/>
      </c>
      <c r="W449" s="52" t="str">
        <f>IFERROR(__xludf.DUMMYFUNCTION("""COMPUTED_VALUE"""),"")</f>
        <v/>
      </c>
      <c r="X449" s="52" t="str">
        <f>IFERROR(__xludf.DUMMYFUNCTION("""COMPUTED_VALUE"""),"")</f>
        <v/>
      </c>
      <c r="Y449" s="52" t="str">
        <f>IFERROR(__xludf.DUMMYFUNCTION("""COMPUTED_VALUE"""),"")</f>
        <v/>
      </c>
      <c r="Z449" s="52" t="str">
        <f>IFERROR(__xludf.DUMMYFUNCTION("""COMPUTED_VALUE"""),"")</f>
        <v/>
      </c>
      <c r="AA449" s="52" t="str">
        <f>IFERROR(__xludf.DUMMYFUNCTION("""COMPUTED_VALUE"""),"")</f>
        <v/>
      </c>
      <c r="AB449" s="52" t="str">
        <f>IFERROR(__xludf.DUMMYFUNCTION("""COMPUTED_VALUE"""),"")</f>
        <v/>
      </c>
      <c r="AC449" s="52" t="str">
        <f>IFERROR(__xludf.DUMMYFUNCTION("""COMPUTED_VALUE"""),"")</f>
        <v/>
      </c>
      <c r="AD449" s="52" t="str">
        <f>IFERROR(__xludf.DUMMYFUNCTION("""COMPUTED_VALUE"""),"")</f>
        <v/>
      </c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</row>
    <row r="450">
      <c r="B450" s="49"/>
      <c r="C450" s="49" t="str">
        <f t="shared" si="2"/>
        <v/>
      </c>
      <c r="D450" s="50" t="str">
        <f t="shared" si="3"/>
        <v/>
      </c>
      <c r="E450" s="51" t="str">
        <f t="shared" ref="E450:T450" si="451">IFERROR(VLOOKUP($A450,INDIRECT("'" &amp; E$1 &amp; "'!$C:$G"), 5, FALSE),"")</f>
        <v/>
      </c>
      <c r="F450" s="51" t="str">
        <f t="shared" si="451"/>
        <v/>
      </c>
      <c r="G450" s="51" t="str">
        <f t="shared" si="451"/>
        <v/>
      </c>
      <c r="H450" s="51" t="str">
        <f t="shared" si="451"/>
        <v/>
      </c>
      <c r="I450" s="51" t="str">
        <f t="shared" si="451"/>
        <v/>
      </c>
      <c r="J450" s="51" t="str">
        <f t="shared" si="451"/>
        <v/>
      </c>
      <c r="K450" s="51" t="str">
        <f t="shared" si="451"/>
        <v/>
      </c>
      <c r="L450" s="51" t="str">
        <f t="shared" si="451"/>
        <v/>
      </c>
      <c r="M450" s="51" t="str">
        <f t="shared" si="451"/>
        <v/>
      </c>
      <c r="N450" s="51" t="str">
        <f t="shared" si="451"/>
        <v/>
      </c>
      <c r="O450" s="51" t="str">
        <f t="shared" si="451"/>
        <v/>
      </c>
      <c r="P450" s="51" t="str">
        <f t="shared" si="451"/>
        <v/>
      </c>
      <c r="Q450" s="51" t="str">
        <f t="shared" si="451"/>
        <v/>
      </c>
      <c r="R450" s="51" t="str">
        <f t="shared" si="451"/>
        <v/>
      </c>
      <c r="S450" s="51" t="str">
        <f t="shared" si="451"/>
        <v/>
      </c>
      <c r="T450" s="51" t="str">
        <f t="shared" si="451"/>
        <v/>
      </c>
      <c r="U450" s="52"/>
      <c r="V450" s="52" t="str">
        <f>IFERROR(__xludf.DUMMYFUNCTION("""COMPUTED_VALUE"""),"")</f>
        <v/>
      </c>
      <c r="W450" s="52" t="str">
        <f>IFERROR(__xludf.DUMMYFUNCTION("""COMPUTED_VALUE"""),"")</f>
        <v/>
      </c>
      <c r="X450" s="52" t="str">
        <f>IFERROR(__xludf.DUMMYFUNCTION("""COMPUTED_VALUE"""),"")</f>
        <v/>
      </c>
      <c r="Y450" s="52" t="str">
        <f>IFERROR(__xludf.DUMMYFUNCTION("""COMPUTED_VALUE"""),"")</f>
        <v/>
      </c>
      <c r="Z450" s="52" t="str">
        <f>IFERROR(__xludf.DUMMYFUNCTION("""COMPUTED_VALUE"""),"")</f>
        <v/>
      </c>
      <c r="AA450" s="52" t="str">
        <f>IFERROR(__xludf.DUMMYFUNCTION("""COMPUTED_VALUE"""),"")</f>
        <v/>
      </c>
      <c r="AB450" s="52" t="str">
        <f>IFERROR(__xludf.DUMMYFUNCTION("""COMPUTED_VALUE"""),"")</f>
        <v/>
      </c>
      <c r="AC450" s="52" t="str">
        <f>IFERROR(__xludf.DUMMYFUNCTION("""COMPUTED_VALUE"""),"")</f>
        <v/>
      </c>
      <c r="AD450" s="52" t="str">
        <f>IFERROR(__xludf.DUMMYFUNCTION("""COMPUTED_VALUE"""),"")</f>
        <v/>
      </c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</row>
    <row r="451">
      <c r="B451" s="49"/>
      <c r="C451" s="49" t="str">
        <f t="shared" si="2"/>
        <v/>
      </c>
      <c r="D451" s="50" t="str">
        <f t="shared" si="3"/>
        <v/>
      </c>
      <c r="E451" s="51" t="str">
        <f t="shared" ref="E451:T451" si="452">IFERROR(VLOOKUP($A451,INDIRECT("'" &amp; E$1 &amp; "'!$C:$G"), 5, FALSE),"")</f>
        <v/>
      </c>
      <c r="F451" s="51" t="str">
        <f t="shared" si="452"/>
        <v/>
      </c>
      <c r="G451" s="51" t="str">
        <f t="shared" si="452"/>
        <v/>
      </c>
      <c r="H451" s="51" t="str">
        <f t="shared" si="452"/>
        <v/>
      </c>
      <c r="I451" s="51" t="str">
        <f t="shared" si="452"/>
        <v/>
      </c>
      <c r="J451" s="51" t="str">
        <f t="shared" si="452"/>
        <v/>
      </c>
      <c r="K451" s="51" t="str">
        <f t="shared" si="452"/>
        <v/>
      </c>
      <c r="L451" s="51" t="str">
        <f t="shared" si="452"/>
        <v/>
      </c>
      <c r="M451" s="51" t="str">
        <f t="shared" si="452"/>
        <v/>
      </c>
      <c r="N451" s="51" t="str">
        <f t="shared" si="452"/>
        <v/>
      </c>
      <c r="O451" s="51" t="str">
        <f t="shared" si="452"/>
        <v/>
      </c>
      <c r="P451" s="51" t="str">
        <f t="shared" si="452"/>
        <v/>
      </c>
      <c r="Q451" s="51" t="str">
        <f t="shared" si="452"/>
        <v/>
      </c>
      <c r="R451" s="51" t="str">
        <f t="shared" si="452"/>
        <v/>
      </c>
      <c r="S451" s="51" t="str">
        <f t="shared" si="452"/>
        <v/>
      </c>
      <c r="T451" s="51" t="str">
        <f t="shared" si="452"/>
        <v/>
      </c>
      <c r="U451" s="52"/>
      <c r="V451" s="52" t="str">
        <f>IFERROR(__xludf.DUMMYFUNCTION("""COMPUTED_VALUE"""),"")</f>
        <v/>
      </c>
      <c r="W451" s="52" t="str">
        <f>IFERROR(__xludf.DUMMYFUNCTION("""COMPUTED_VALUE"""),"")</f>
        <v/>
      </c>
      <c r="X451" s="52" t="str">
        <f>IFERROR(__xludf.DUMMYFUNCTION("""COMPUTED_VALUE"""),"")</f>
        <v/>
      </c>
      <c r="Y451" s="52" t="str">
        <f>IFERROR(__xludf.DUMMYFUNCTION("""COMPUTED_VALUE"""),"")</f>
        <v/>
      </c>
      <c r="Z451" s="52" t="str">
        <f>IFERROR(__xludf.DUMMYFUNCTION("""COMPUTED_VALUE"""),"")</f>
        <v/>
      </c>
      <c r="AA451" s="52" t="str">
        <f>IFERROR(__xludf.DUMMYFUNCTION("""COMPUTED_VALUE"""),"")</f>
        <v/>
      </c>
      <c r="AB451" s="52" t="str">
        <f>IFERROR(__xludf.DUMMYFUNCTION("""COMPUTED_VALUE"""),"")</f>
        <v/>
      </c>
      <c r="AC451" s="52" t="str">
        <f>IFERROR(__xludf.DUMMYFUNCTION("""COMPUTED_VALUE"""),"")</f>
        <v/>
      </c>
      <c r="AD451" s="52" t="str">
        <f>IFERROR(__xludf.DUMMYFUNCTION("""COMPUTED_VALUE"""),"")</f>
        <v/>
      </c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</row>
    <row r="452">
      <c r="B452" s="49"/>
      <c r="C452" s="49" t="str">
        <f t="shared" si="2"/>
        <v/>
      </c>
      <c r="D452" s="50" t="str">
        <f t="shared" si="3"/>
        <v/>
      </c>
      <c r="E452" s="51" t="str">
        <f t="shared" ref="E452:T452" si="453">IFERROR(VLOOKUP($A452,INDIRECT("'" &amp; E$1 &amp; "'!$C:$G"), 5, FALSE),"")</f>
        <v/>
      </c>
      <c r="F452" s="51" t="str">
        <f t="shared" si="453"/>
        <v/>
      </c>
      <c r="G452" s="51" t="str">
        <f t="shared" si="453"/>
        <v/>
      </c>
      <c r="H452" s="51" t="str">
        <f t="shared" si="453"/>
        <v/>
      </c>
      <c r="I452" s="51" t="str">
        <f t="shared" si="453"/>
        <v/>
      </c>
      <c r="J452" s="51" t="str">
        <f t="shared" si="453"/>
        <v/>
      </c>
      <c r="K452" s="51" t="str">
        <f t="shared" si="453"/>
        <v/>
      </c>
      <c r="L452" s="51" t="str">
        <f t="shared" si="453"/>
        <v/>
      </c>
      <c r="M452" s="51" t="str">
        <f t="shared" si="453"/>
        <v/>
      </c>
      <c r="N452" s="51" t="str">
        <f t="shared" si="453"/>
        <v/>
      </c>
      <c r="O452" s="51" t="str">
        <f t="shared" si="453"/>
        <v/>
      </c>
      <c r="P452" s="51" t="str">
        <f t="shared" si="453"/>
        <v/>
      </c>
      <c r="Q452" s="51" t="str">
        <f t="shared" si="453"/>
        <v/>
      </c>
      <c r="R452" s="51" t="str">
        <f t="shared" si="453"/>
        <v/>
      </c>
      <c r="S452" s="51" t="str">
        <f t="shared" si="453"/>
        <v/>
      </c>
      <c r="T452" s="51" t="str">
        <f t="shared" si="453"/>
        <v/>
      </c>
      <c r="U452" s="52"/>
      <c r="V452" s="52" t="str">
        <f>IFERROR(__xludf.DUMMYFUNCTION("""COMPUTED_VALUE"""),"")</f>
        <v/>
      </c>
      <c r="W452" s="52" t="str">
        <f>IFERROR(__xludf.DUMMYFUNCTION("""COMPUTED_VALUE"""),"")</f>
        <v/>
      </c>
      <c r="X452" s="52" t="str">
        <f>IFERROR(__xludf.DUMMYFUNCTION("""COMPUTED_VALUE"""),"")</f>
        <v/>
      </c>
      <c r="Y452" s="52" t="str">
        <f>IFERROR(__xludf.DUMMYFUNCTION("""COMPUTED_VALUE"""),"")</f>
        <v/>
      </c>
      <c r="Z452" s="52" t="str">
        <f>IFERROR(__xludf.DUMMYFUNCTION("""COMPUTED_VALUE"""),"")</f>
        <v/>
      </c>
      <c r="AA452" s="52" t="str">
        <f>IFERROR(__xludf.DUMMYFUNCTION("""COMPUTED_VALUE"""),"")</f>
        <v/>
      </c>
      <c r="AB452" s="52" t="str">
        <f>IFERROR(__xludf.DUMMYFUNCTION("""COMPUTED_VALUE"""),"")</f>
        <v/>
      </c>
      <c r="AC452" s="52" t="str">
        <f>IFERROR(__xludf.DUMMYFUNCTION("""COMPUTED_VALUE"""),"")</f>
        <v/>
      </c>
      <c r="AD452" s="52" t="str">
        <f>IFERROR(__xludf.DUMMYFUNCTION("""COMPUTED_VALUE"""),"")</f>
        <v/>
      </c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</row>
    <row r="453">
      <c r="B453" s="49"/>
      <c r="C453" s="49" t="str">
        <f t="shared" si="2"/>
        <v/>
      </c>
      <c r="D453" s="50" t="str">
        <f t="shared" si="3"/>
        <v/>
      </c>
      <c r="E453" s="51" t="str">
        <f t="shared" ref="E453:T453" si="454">IFERROR(VLOOKUP($A453,INDIRECT("'" &amp; E$1 &amp; "'!$C:$G"), 5, FALSE),"")</f>
        <v/>
      </c>
      <c r="F453" s="51" t="str">
        <f t="shared" si="454"/>
        <v/>
      </c>
      <c r="G453" s="51" t="str">
        <f t="shared" si="454"/>
        <v/>
      </c>
      <c r="H453" s="51" t="str">
        <f t="shared" si="454"/>
        <v/>
      </c>
      <c r="I453" s="51" t="str">
        <f t="shared" si="454"/>
        <v/>
      </c>
      <c r="J453" s="51" t="str">
        <f t="shared" si="454"/>
        <v/>
      </c>
      <c r="K453" s="51" t="str">
        <f t="shared" si="454"/>
        <v/>
      </c>
      <c r="L453" s="51" t="str">
        <f t="shared" si="454"/>
        <v/>
      </c>
      <c r="M453" s="51" t="str">
        <f t="shared" si="454"/>
        <v/>
      </c>
      <c r="N453" s="51" t="str">
        <f t="shared" si="454"/>
        <v/>
      </c>
      <c r="O453" s="51" t="str">
        <f t="shared" si="454"/>
        <v/>
      </c>
      <c r="P453" s="51" t="str">
        <f t="shared" si="454"/>
        <v/>
      </c>
      <c r="Q453" s="51" t="str">
        <f t="shared" si="454"/>
        <v/>
      </c>
      <c r="R453" s="51" t="str">
        <f t="shared" si="454"/>
        <v/>
      </c>
      <c r="S453" s="51" t="str">
        <f t="shared" si="454"/>
        <v/>
      </c>
      <c r="T453" s="51" t="str">
        <f t="shared" si="454"/>
        <v/>
      </c>
      <c r="U453" s="52"/>
      <c r="V453" s="52" t="str">
        <f>IFERROR(__xludf.DUMMYFUNCTION("""COMPUTED_VALUE"""),"")</f>
        <v/>
      </c>
      <c r="W453" s="52" t="str">
        <f>IFERROR(__xludf.DUMMYFUNCTION("""COMPUTED_VALUE"""),"")</f>
        <v/>
      </c>
      <c r="X453" s="52" t="str">
        <f>IFERROR(__xludf.DUMMYFUNCTION("""COMPUTED_VALUE"""),"")</f>
        <v/>
      </c>
      <c r="Y453" s="52" t="str">
        <f>IFERROR(__xludf.DUMMYFUNCTION("""COMPUTED_VALUE"""),"")</f>
        <v/>
      </c>
      <c r="Z453" s="52" t="str">
        <f>IFERROR(__xludf.DUMMYFUNCTION("""COMPUTED_VALUE"""),"")</f>
        <v/>
      </c>
      <c r="AA453" s="52" t="str">
        <f>IFERROR(__xludf.DUMMYFUNCTION("""COMPUTED_VALUE"""),"")</f>
        <v/>
      </c>
      <c r="AB453" s="52" t="str">
        <f>IFERROR(__xludf.DUMMYFUNCTION("""COMPUTED_VALUE"""),"")</f>
        <v/>
      </c>
      <c r="AC453" s="52" t="str">
        <f>IFERROR(__xludf.DUMMYFUNCTION("""COMPUTED_VALUE"""),"")</f>
        <v/>
      </c>
      <c r="AD453" s="52" t="str">
        <f>IFERROR(__xludf.DUMMYFUNCTION("""COMPUTED_VALUE"""),"")</f>
        <v/>
      </c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</row>
    <row r="454">
      <c r="B454" s="49"/>
      <c r="C454" s="49" t="str">
        <f t="shared" si="2"/>
        <v/>
      </c>
      <c r="D454" s="50" t="str">
        <f t="shared" si="3"/>
        <v/>
      </c>
      <c r="E454" s="51" t="str">
        <f t="shared" ref="E454:T454" si="455">IFERROR(VLOOKUP($A454,INDIRECT("'" &amp; E$1 &amp; "'!$C:$G"), 5, FALSE),"")</f>
        <v/>
      </c>
      <c r="F454" s="51" t="str">
        <f t="shared" si="455"/>
        <v/>
      </c>
      <c r="G454" s="51" t="str">
        <f t="shared" si="455"/>
        <v/>
      </c>
      <c r="H454" s="51" t="str">
        <f t="shared" si="455"/>
        <v/>
      </c>
      <c r="I454" s="51" t="str">
        <f t="shared" si="455"/>
        <v/>
      </c>
      <c r="J454" s="51" t="str">
        <f t="shared" si="455"/>
        <v/>
      </c>
      <c r="K454" s="51" t="str">
        <f t="shared" si="455"/>
        <v/>
      </c>
      <c r="L454" s="51" t="str">
        <f t="shared" si="455"/>
        <v/>
      </c>
      <c r="M454" s="51" t="str">
        <f t="shared" si="455"/>
        <v/>
      </c>
      <c r="N454" s="51" t="str">
        <f t="shared" si="455"/>
        <v/>
      </c>
      <c r="O454" s="51" t="str">
        <f t="shared" si="455"/>
        <v/>
      </c>
      <c r="P454" s="51" t="str">
        <f t="shared" si="455"/>
        <v/>
      </c>
      <c r="Q454" s="51" t="str">
        <f t="shared" si="455"/>
        <v/>
      </c>
      <c r="R454" s="51" t="str">
        <f t="shared" si="455"/>
        <v/>
      </c>
      <c r="S454" s="51" t="str">
        <f t="shared" si="455"/>
        <v/>
      </c>
      <c r="T454" s="51" t="str">
        <f t="shared" si="455"/>
        <v/>
      </c>
      <c r="U454" s="52"/>
      <c r="V454" s="52" t="str">
        <f>IFERROR(__xludf.DUMMYFUNCTION("""COMPUTED_VALUE"""),"")</f>
        <v/>
      </c>
      <c r="W454" s="52" t="str">
        <f>IFERROR(__xludf.DUMMYFUNCTION("""COMPUTED_VALUE"""),"")</f>
        <v/>
      </c>
      <c r="X454" s="52" t="str">
        <f>IFERROR(__xludf.DUMMYFUNCTION("""COMPUTED_VALUE"""),"")</f>
        <v/>
      </c>
      <c r="Y454" s="52" t="str">
        <f>IFERROR(__xludf.DUMMYFUNCTION("""COMPUTED_VALUE"""),"")</f>
        <v/>
      </c>
      <c r="Z454" s="52" t="str">
        <f>IFERROR(__xludf.DUMMYFUNCTION("""COMPUTED_VALUE"""),"")</f>
        <v/>
      </c>
      <c r="AA454" s="52" t="str">
        <f>IFERROR(__xludf.DUMMYFUNCTION("""COMPUTED_VALUE"""),"")</f>
        <v/>
      </c>
      <c r="AB454" s="52" t="str">
        <f>IFERROR(__xludf.DUMMYFUNCTION("""COMPUTED_VALUE"""),"")</f>
        <v/>
      </c>
      <c r="AC454" s="52" t="str">
        <f>IFERROR(__xludf.DUMMYFUNCTION("""COMPUTED_VALUE"""),"")</f>
        <v/>
      </c>
      <c r="AD454" s="52" t="str">
        <f>IFERROR(__xludf.DUMMYFUNCTION("""COMPUTED_VALUE"""),"")</f>
        <v/>
      </c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</row>
    <row r="455">
      <c r="B455" s="49"/>
      <c r="C455" s="49" t="str">
        <f t="shared" si="2"/>
        <v/>
      </c>
      <c r="D455" s="50" t="str">
        <f t="shared" si="3"/>
        <v/>
      </c>
      <c r="E455" s="51" t="str">
        <f t="shared" ref="E455:T455" si="456">IFERROR(VLOOKUP($A455,INDIRECT("'" &amp; E$1 &amp; "'!$C:$G"), 5, FALSE),"")</f>
        <v/>
      </c>
      <c r="F455" s="51" t="str">
        <f t="shared" si="456"/>
        <v/>
      </c>
      <c r="G455" s="51" t="str">
        <f t="shared" si="456"/>
        <v/>
      </c>
      <c r="H455" s="51" t="str">
        <f t="shared" si="456"/>
        <v/>
      </c>
      <c r="I455" s="51" t="str">
        <f t="shared" si="456"/>
        <v/>
      </c>
      <c r="J455" s="51" t="str">
        <f t="shared" si="456"/>
        <v/>
      </c>
      <c r="K455" s="51" t="str">
        <f t="shared" si="456"/>
        <v/>
      </c>
      <c r="L455" s="51" t="str">
        <f t="shared" si="456"/>
        <v/>
      </c>
      <c r="M455" s="51" t="str">
        <f t="shared" si="456"/>
        <v/>
      </c>
      <c r="N455" s="51" t="str">
        <f t="shared" si="456"/>
        <v/>
      </c>
      <c r="O455" s="51" t="str">
        <f t="shared" si="456"/>
        <v/>
      </c>
      <c r="P455" s="51" t="str">
        <f t="shared" si="456"/>
        <v/>
      </c>
      <c r="Q455" s="51" t="str">
        <f t="shared" si="456"/>
        <v/>
      </c>
      <c r="R455" s="51" t="str">
        <f t="shared" si="456"/>
        <v/>
      </c>
      <c r="S455" s="51" t="str">
        <f t="shared" si="456"/>
        <v/>
      </c>
      <c r="T455" s="51" t="str">
        <f t="shared" si="456"/>
        <v/>
      </c>
      <c r="U455" s="52"/>
      <c r="V455" s="52" t="str">
        <f>IFERROR(__xludf.DUMMYFUNCTION("""COMPUTED_VALUE"""),"")</f>
        <v/>
      </c>
      <c r="W455" s="52" t="str">
        <f>IFERROR(__xludf.DUMMYFUNCTION("""COMPUTED_VALUE"""),"")</f>
        <v/>
      </c>
      <c r="X455" s="52" t="str">
        <f>IFERROR(__xludf.DUMMYFUNCTION("""COMPUTED_VALUE"""),"")</f>
        <v/>
      </c>
      <c r="Y455" s="52" t="str">
        <f>IFERROR(__xludf.DUMMYFUNCTION("""COMPUTED_VALUE"""),"")</f>
        <v/>
      </c>
      <c r="Z455" s="52" t="str">
        <f>IFERROR(__xludf.DUMMYFUNCTION("""COMPUTED_VALUE"""),"")</f>
        <v/>
      </c>
      <c r="AA455" s="52" t="str">
        <f>IFERROR(__xludf.DUMMYFUNCTION("""COMPUTED_VALUE"""),"")</f>
        <v/>
      </c>
      <c r="AB455" s="52" t="str">
        <f>IFERROR(__xludf.DUMMYFUNCTION("""COMPUTED_VALUE"""),"")</f>
        <v/>
      </c>
      <c r="AC455" s="52" t="str">
        <f>IFERROR(__xludf.DUMMYFUNCTION("""COMPUTED_VALUE"""),"")</f>
        <v/>
      </c>
      <c r="AD455" s="52" t="str">
        <f>IFERROR(__xludf.DUMMYFUNCTION("""COMPUTED_VALUE"""),"")</f>
        <v/>
      </c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</row>
    <row r="456">
      <c r="B456" s="49"/>
      <c r="C456" s="49" t="str">
        <f t="shared" si="2"/>
        <v/>
      </c>
      <c r="D456" s="50" t="str">
        <f t="shared" si="3"/>
        <v/>
      </c>
      <c r="E456" s="51" t="str">
        <f t="shared" ref="E456:T456" si="457">IFERROR(VLOOKUP($A456,INDIRECT("'" &amp; E$1 &amp; "'!$C:$G"), 5, FALSE),"")</f>
        <v/>
      </c>
      <c r="F456" s="51" t="str">
        <f t="shared" si="457"/>
        <v/>
      </c>
      <c r="G456" s="51" t="str">
        <f t="shared" si="457"/>
        <v/>
      </c>
      <c r="H456" s="51" t="str">
        <f t="shared" si="457"/>
        <v/>
      </c>
      <c r="I456" s="51" t="str">
        <f t="shared" si="457"/>
        <v/>
      </c>
      <c r="J456" s="51" t="str">
        <f t="shared" si="457"/>
        <v/>
      </c>
      <c r="K456" s="51" t="str">
        <f t="shared" si="457"/>
        <v/>
      </c>
      <c r="L456" s="51" t="str">
        <f t="shared" si="457"/>
        <v/>
      </c>
      <c r="M456" s="51" t="str">
        <f t="shared" si="457"/>
        <v/>
      </c>
      <c r="N456" s="51" t="str">
        <f t="shared" si="457"/>
        <v/>
      </c>
      <c r="O456" s="51" t="str">
        <f t="shared" si="457"/>
        <v/>
      </c>
      <c r="P456" s="51" t="str">
        <f t="shared" si="457"/>
        <v/>
      </c>
      <c r="Q456" s="51" t="str">
        <f t="shared" si="457"/>
        <v/>
      </c>
      <c r="R456" s="51" t="str">
        <f t="shared" si="457"/>
        <v/>
      </c>
      <c r="S456" s="51" t="str">
        <f t="shared" si="457"/>
        <v/>
      </c>
      <c r="T456" s="51" t="str">
        <f t="shared" si="457"/>
        <v/>
      </c>
      <c r="U456" s="52"/>
      <c r="V456" s="52" t="str">
        <f>IFERROR(__xludf.DUMMYFUNCTION("""COMPUTED_VALUE"""),"")</f>
        <v/>
      </c>
      <c r="W456" s="52" t="str">
        <f>IFERROR(__xludf.DUMMYFUNCTION("""COMPUTED_VALUE"""),"")</f>
        <v/>
      </c>
      <c r="X456" s="52" t="str">
        <f>IFERROR(__xludf.DUMMYFUNCTION("""COMPUTED_VALUE"""),"")</f>
        <v/>
      </c>
      <c r="Y456" s="52" t="str">
        <f>IFERROR(__xludf.DUMMYFUNCTION("""COMPUTED_VALUE"""),"")</f>
        <v/>
      </c>
      <c r="Z456" s="52" t="str">
        <f>IFERROR(__xludf.DUMMYFUNCTION("""COMPUTED_VALUE"""),"")</f>
        <v/>
      </c>
      <c r="AA456" s="52" t="str">
        <f>IFERROR(__xludf.DUMMYFUNCTION("""COMPUTED_VALUE"""),"")</f>
        <v/>
      </c>
      <c r="AB456" s="52" t="str">
        <f>IFERROR(__xludf.DUMMYFUNCTION("""COMPUTED_VALUE"""),"")</f>
        <v/>
      </c>
      <c r="AC456" s="52" t="str">
        <f>IFERROR(__xludf.DUMMYFUNCTION("""COMPUTED_VALUE"""),"")</f>
        <v/>
      </c>
      <c r="AD456" s="52" t="str">
        <f>IFERROR(__xludf.DUMMYFUNCTION("""COMPUTED_VALUE"""),"")</f>
        <v/>
      </c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</row>
    <row r="457">
      <c r="B457" s="49"/>
      <c r="C457" s="49" t="str">
        <f t="shared" si="2"/>
        <v/>
      </c>
      <c r="D457" s="50" t="str">
        <f t="shared" si="3"/>
        <v/>
      </c>
      <c r="E457" s="51" t="str">
        <f t="shared" ref="E457:T457" si="458">IFERROR(VLOOKUP($A457,INDIRECT("'" &amp; E$1 &amp; "'!$C:$G"), 5, FALSE),"")</f>
        <v/>
      </c>
      <c r="F457" s="51" t="str">
        <f t="shared" si="458"/>
        <v/>
      </c>
      <c r="G457" s="51" t="str">
        <f t="shared" si="458"/>
        <v/>
      </c>
      <c r="H457" s="51" t="str">
        <f t="shared" si="458"/>
        <v/>
      </c>
      <c r="I457" s="51" t="str">
        <f t="shared" si="458"/>
        <v/>
      </c>
      <c r="J457" s="51" t="str">
        <f t="shared" si="458"/>
        <v/>
      </c>
      <c r="K457" s="51" t="str">
        <f t="shared" si="458"/>
        <v/>
      </c>
      <c r="L457" s="51" t="str">
        <f t="shared" si="458"/>
        <v/>
      </c>
      <c r="M457" s="51" t="str">
        <f t="shared" si="458"/>
        <v/>
      </c>
      <c r="N457" s="51" t="str">
        <f t="shared" si="458"/>
        <v/>
      </c>
      <c r="O457" s="51" t="str">
        <f t="shared" si="458"/>
        <v/>
      </c>
      <c r="P457" s="51" t="str">
        <f t="shared" si="458"/>
        <v/>
      </c>
      <c r="Q457" s="51" t="str">
        <f t="shared" si="458"/>
        <v/>
      </c>
      <c r="R457" s="51" t="str">
        <f t="shared" si="458"/>
        <v/>
      </c>
      <c r="S457" s="51" t="str">
        <f t="shared" si="458"/>
        <v/>
      </c>
      <c r="T457" s="51" t="str">
        <f t="shared" si="458"/>
        <v/>
      </c>
      <c r="U457" s="52"/>
      <c r="V457" s="52" t="str">
        <f>IFERROR(__xludf.DUMMYFUNCTION("""COMPUTED_VALUE"""),"")</f>
        <v/>
      </c>
      <c r="W457" s="52" t="str">
        <f>IFERROR(__xludf.DUMMYFUNCTION("""COMPUTED_VALUE"""),"")</f>
        <v/>
      </c>
      <c r="X457" s="52" t="str">
        <f>IFERROR(__xludf.DUMMYFUNCTION("""COMPUTED_VALUE"""),"")</f>
        <v/>
      </c>
      <c r="Y457" s="52" t="str">
        <f>IFERROR(__xludf.DUMMYFUNCTION("""COMPUTED_VALUE"""),"")</f>
        <v/>
      </c>
      <c r="Z457" s="52" t="str">
        <f>IFERROR(__xludf.DUMMYFUNCTION("""COMPUTED_VALUE"""),"")</f>
        <v/>
      </c>
      <c r="AA457" s="52" t="str">
        <f>IFERROR(__xludf.DUMMYFUNCTION("""COMPUTED_VALUE"""),"")</f>
        <v/>
      </c>
      <c r="AB457" s="52" t="str">
        <f>IFERROR(__xludf.DUMMYFUNCTION("""COMPUTED_VALUE"""),"")</f>
        <v/>
      </c>
      <c r="AC457" s="52" t="str">
        <f>IFERROR(__xludf.DUMMYFUNCTION("""COMPUTED_VALUE"""),"")</f>
        <v/>
      </c>
      <c r="AD457" s="52" t="str">
        <f>IFERROR(__xludf.DUMMYFUNCTION("""COMPUTED_VALUE"""),"")</f>
        <v/>
      </c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</row>
    <row r="458">
      <c r="B458" s="49"/>
      <c r="C458" s="49" t="str">
        <f t="shared" si="2"/>
        <v/>
      </c>
      <c r="D458" s="50" t="str">
        <f t="shared" si="3"/>
        <v/>
      </c>
      <c r="E458" s="51" t="str">
        <f t="shared" ref="E458:T458" si="459">IFERROR(VLOOKUP($A458,INDIRECT("'" &amp; E$1 &amp; "'!$C:$G"), 5, FALSE),"")</f>
        <v/>
      </c>
      <c r="F458" s="51" t="str">
        <f t="shared" si="459"/>
        <v/>
      </c>
      <c r="G458" s="51" t="str">
        <f t="shared" si="459"/>
        <v/>
      </c>
      <c r="H458" s="51" t="str">
        <f t="shared" si="459"/>
        <v/>
      </c>
      <c r="I458" s="51" t="str">
        <f t="shared" si="459"/>
        <v/>
      </c>
      <c r="J458" s="51" t="str">
        <f t="shared" si="459"/>
        <v/>
      </c>
      <c r="K458" s="51" t="str">
        <f t="shared" si="459"/>
        <v/>
      </c>
      <c r="L458" s="51" t="str">
        <f t="shared" si="459"/>
        <v/>
      </c>
      <c r="M458" s="51" t="str">
        <f t="shared" si="459"/>
        <v/>
      </c>
      <c r="N458" s="51" t="str">
        <f t="shared" si="459"/>
        <v/>
      </c>
      <c r="O458" s="51" t="str">
        <f t="shared" si="459"/>
        <v/>
      </c>
      <c r="P458" s="51" t="str">
        <f t="shared" si="459"/>
        <v/>
      </c>
      <c r="Q458" s="51" t="str">
        <f t="shared" si="459"/>
        <v/>
      </c>
      <c r="R458" s="51" t="str">
        <f t="shared" si="459"/>
        <v/>
      </c>
      <c r="S458" s="51" t="str">
        <f t="shared" si="459"/>
        <v/>
      </c>
      <c r="T458" s="51" t="str">
        <f t="shared" si="459"/>
        <v/>
      </c>
      <c r="U458" s="52"/>
      <c r="V458" s="52" t="str">
        <f>IFERROR(__xludf.DUMMYFUNCTION("""COMPUTED_VALUE"""),"")</f>
        <v/>
      </c>
      <c r="W458" s="52" t="str">
        <f>IFERROR(__xludf.DUMMYFUNCTION("""COMPUTED_VALUE"""),"")</f>
        <v/>
      </c>
      <c r="X458" s="52" t="str">
        <f>IFERROR(__xludf.DUMMYFUNCTION("""COMPUTED_VALUE"""),"")</f>
        <v/>
      </c>
      <c r="Y458" s="52" t="str">
        <f>IFERROR(__xludf.DUMMYFUNCTION("""COMPUTED_VALUE"""),"")</f>
        <v/>
      </c>
      <c r="Z458" s="52" t="str">
        <f>IFERROR(__xludf.DUMMYFUNCTION("""COMPUTED_VALUE"""),"")</f>
        <v/>
      </c>
      <c r="AA458" s="52" t="str">
        <f>IFERROR(__xludf.DUMMYFUNCTION("""COMPUTED_VALUE"""),"")</f>
        <v/>
      </c>
      <c r="AB458" s="52" t="str">
        <f>IFERROR(__xludf.DUMMYFUNCTION("""COMPUTED_VALUE"""),"")</f>
        <v/>
      </c>
      <c r="AC458" s="52" t="str">
        <f>IFERROR(__xludf.DUMMYFUNCTION("""COMPUTED_VALUE"""),"")</f>
        <v/>
      </c>
      <c r="AD458" s="52" t="str">
        <f>IFERROR(__xludf.DUMMYFUNCTION("""COMPUTED_VALUE"""),"")</f>
        <v/>
      </c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</row>
    <row r="459">
      <c r="B459" s="49"/>
      <c r="C459" s="49" t="str">
        <f t="shared" si="2"/>
        <v/>
      </c>
      <c r="D459" s="50" t="str">
        <f t="shared" si="3"/>
        <v/>
      </c>
      <c r="E459" s="51" t="str">
        <f t="shared" ref="E459:T459" si="460">IFERROR(VLOOKUP($A459,INDIRECT("'" &amp; E$1 &amp; "'!$C:$G"), 5, FALSE),"")</f>
        <v/>
      </c>
      <c r="F459" s="51" t="str">
        <f t="shared" si="460"/>
        <v/>
      </c>
      <c r="G459" s="51" t="str">
        <f t="shared" si="460"/>
        <v/>
      </c>
      <c r="H459" s="51" t="str">
        <f t="shared" si="460"/>
        <v/>
      </c>
      <c r="I459" s="51" t="str">
        <f t="shared" si="460"/>
        <v/>
      </c>
      <c r="J459" s="51" t="str">
        <f t="shared" si="460"/>
        <v/>
      </c>
      <c r="K459" s="51" t="str">
        <f t="shared" si="460"/>
        <v/>
      </c>
      <c r="L459" s="51" t="str">
        <f t="shared" si="460"/>
        <v/>
      </c>
      <c r="M459" s="51" t="str">
        <f t="shared" si="460"/>
        <v/>
      </c>
      <c r="N459" s="51" t="str">
        <f t="shared" si="460"/>
        <v/>
      </c>
      <c r="O459" s="51" t="str">
        <f t="shared" si="460"/>
        <v/>
      </c>
      <c r="P459" s="51" t="str">
        <f t="shared" si="460"/>
        <v/>
      </c>
      <c r="Q459" s="51" t="str">
        <f t="shared" si="460"/>
        <v/>
      </c>
      <c r="R459" s="51" t="str">
        <f t="shared" si="460"/>
        <v/>
      </c>
      <c r="S459" s="51" t="str">
        <f t="shared" si="460"/>
        <v/>
      </c>
      <c r="T459" s="51" t="str">
        <f t="shared" si="460"/>
        <v/>
      </c>
      <c r="U459" s="52"/>
      <c r="V459" s="52" t="str">
        <f>IFERROR(__xludf.DUMMYFUNCTION("""COMPUTED_VALUE"""),"")</f>
        <v/>
      </c>
      <c r="W459" s="52" t="str">
        <f>IFERROR(__xludf.DUMMYFUNCTION("""COMPUTED_VALUE"""),"")</f>
        <v/>
      </c>
      <c r="X459" s="52" t="str">
        <f>IFERROR(__xludf.DUMMYFUNCTION("""COMPUTED_VALUE"""),"")</f>
        <v/>
      </c>
      <c r="Y459" s="52" t="str">
        <f>IFERROR(__xludf.DUMMYFUNCTION("""COMPUTED_VALUE"""),"")</f>
        <v/>
      </c>
      <c r="Z459" s="52" t="str">
        <f>IFERROR(__xludf.DUMMYFUNCTION("""COMPUTED_VALUE"""),"")</f>
        <v/>
      </c>
      <c r="AA459" s="52" t="str">
        <f>IFERROR(__xludf.DUMMYFUNCTION("""COMPUTED_VALUE"""),"")</f>
        <v/>
      </c>
      <c r="AB459" s="52" t="str">
        <f>IFERROR(__xludf.DUMMYFUNCTION("""COMPUTED_VALUE"""),"")</f>
        <v/>
      </c>
      <c r="AC459" s="52" t="str">
        <f>IFERROR(__xludf.DUMMYFUNCTION("""COMPUTED_VALUE"""),"")</f>
        <v/>
      </c>
      <c r="AD459" s="52" t="str">
        <f>IFERROR(__xludf.DUMMYFUNCTION("""COMPUTED_VALUE"""),"")</f>
        <v/>
      </c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</row>
    <row r="460">
      <c r="B460" s="49"/>
      <c r="C460" s="49" t="str">
        <f t="shared" si="2"/>
        <v/>
      </c>
      <c r="D460" s="50" t="str">
        <f t="shared" si="3"/>
        <v/>
      </c>
      <c r="E460" s="51" t="str">
        <f t="shared" ref="E460:T460" si="461">IFERROR(VLOOKUP($A460,INDIRECT("'" &amp; E$1 &amp; "'!$C:$G"), 5, FALSE),"")</f>
        <v/>
      </c>
      <c r="F460" s="51" t="str">
        <f t="shared" si="461"/>
        <v/>
      </c>
      <c r="G460" s="51" t="str">
        <f t="shared" si="461"/>
        <v/>
      </c>
      <c r="H460" s="51" t="str">
        <f t="shared" si="461"/>
        <v/>
      </c>
      <c r="I460" s="51" t="str">
        <f t="shared" si="461"/>
        <v/>
      </c>
      <c r="J460" s="51" t="str">
        <f t="shared" si="461"/>
        <v/>
      </c>
      <c r="K460" s="51" t="str">
        <f t="shared" si="461"/>
        <v/>
      </c>
      <c r="L460" s="51" t="str">
        <f t="shared" si="461"/>
        <v/>
      </c>
      <c r="M460" s="51" t="str">
        <f t="shared" si="461"/>
        <v/>
      </c>
      <c r="N460" s="51" t="str">
        <f t="shared" si="461"/>
        <v/>
      </c>
      <c r="O460" s="51" t="str">
        <f t="shared" si="461"/>
        <v/>
      </c>
      <c r="P460" s="51" t="str">
        <f t="shared" si="461"/>
        <v/>
      </c>
      <c r="Q460" s="51" t="str">
        <f t="shared" si="461"/>
        <v/>
      </c>
      <c r="R460" s="51" t="str">
        <f t="shared" si="461"/>
        <v/>
      </c>
      <c r="S460" s="51" t="str">
        <f t="shared" si="461"/>
        <v/>
      </c>
      <c r="T460" s="51" t="str">
        <f t="shared" si="461"/>
        <v/>
      </c>
      <c r="U460" s="52"/>
      <c r="V460" s="52" t="str">
        <f>IFERROR(__xludf.DUMMYFUNCTION("""COMPUTED_VALUE"""),"")</f>
        <v/>
      </c>
      <c r="W460" s="52" t="str">
        <f>IFERROR(__xludf.DUMMYFUNCTION("""COMPUTED_VALUE"""),"")</f>
        <v/>
      </c>
      <c r="X460" s="52" t="str">
        <f>IFERROR(__xludf.DUMMYFUNCTION("""COMPUTED_VALUE"""),"")</f>
        <v/>
      </c>
      <c r="Y460" s="52" t="str">
        <f>IFERROR(__xludf.DUMMYFUNCTION("""COMPUTED_VALUE"""),"")</f>
        <v/>
      </c>
      <c r="Z460" s="52" t="str">
        <f>IFERROR(__xludf.DUMMYFUNCTION("""COMPUTED_VALUE"""),"")</f>
        <v/>
      </c>
      <c r="AA460" s="52" t="str">
        <f>IFERROR(__xludf.DUMMYFUNCTION("""COMPUTED_VALUE"""),"")</f>
        <v/>
      </c>
      <c r="AB460" s="52" t="str">
        <f>IFERROR(__xludf.DUMMYFUNCTION("""COMPUTED_VALUE"""),"")</f>
        <v/>
      </c>
      <c r="AC460" s="52" t="str">
        <f>IFERROR(__xludf.DUMMYFUNCTION("""COMPUTED_VALUE"""),"")</f>
        <v/>
      </c>
      <c r="AD460" s="52" t="str">
        <f>IFERROR(__xludf.DUMMYFUNCTION("""COMPUTED_VALUE"""),"")</f>
        <v/>
      </c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</row>
    <row r="461">
      <c r="B461" s="49"/>
      <c r="C461" s="49" t="str">
        <f t="shared" si="2"/>
        <v/>
      </c>
      <c r="D461" s="50" t="str">
        <f t="shared" si="3"/>
        <v/>
      </c>
      <c r="E461" s="51" t="str">
        <f t="shared" ref="E461:T461" si="462">IFERROR(VLOOKUP($A461,INDIRECT("'" &amp; E$1 &amp; "'!$C:$G"), 5, FALSE),"")</f>
        <v/>
      </c>
      <c r="F461" s="51" t="str">
        <f t="shared" si="462"/>
        <v/>
      </c>
      <c r="G461" s="51" t="str">
        <f t="shared" si="462"/>
        <v/>
      </c>
      <c r="H461" s="51" t="str">
        <f t="shared" si="462"/>
        <v/>
      </c>
      <c r="I461" s="51" t="str">
        <f t="shared" si="462"/>
        <v/>
      </c>
      <c r="J461" s="51" t="str">
        <f t="shared" si="462"/>
        <v/>
      </c>
      <c r="K461" s="51" t="str">
        <f t="shared" si="462"/>
        <v/>
      </c>
      <c r="L461" s="51" t="str">
        <f t="shared" si="462"/>
        <v/>
      </c>
      <c r="M461" s="51" t="str">
        <f t="shared" si="462"/>
        <v/>
      </c>
      <c r="N461" s="51" t="str">
        <f t="shared" si="462"/>
        <v/>
      </c>
      <c r="O461" s="51" t="str">
        <f t="shared" si="462"/>
        <v/>
      </c>
      <c r="P461" s="51" t="str">
        <f t="shared" si="462"/>
        <v/>
      </c>
      <c r="Q461" s="51" t="str">
        <f t="shared" si="462"/>
        <v/>
      </c>
      <c r="R461" s="51" t="str">
        <f t="shared" si="462"/>
        <v/>
      </c>
      <c r="S461" s="51" t="str">
        <f t="shared" si="462"/>
        <v/>
      </c>
      <c r="T461" s="51" t="str">
        <f t="shared" si="462"/>
        <v/>
      </c>
      <c r="U461" s="52"/>
      <c r="V461" s="52" t="str">
        <f>IFERROR(__xludf.DUMMYFUNCTION("""COMPUTED_VALUE"""),"")</f>
        <v/>
      </c>
      <c r="W461" s="52" t="str">
        <f>IFERROR(__xludf.DUMMYFUNCTION("""COMPUTED_VALUE"""),"")</f>
        <v/>
      </c>
      <c r="X461" s="52" t="str">
        <f>IFERROR(__xludf.DUMMYFUNCTION("""COMPUTED_VALUE"""),"")</f>
        <v/>
      </c>
      <c r="Y461" s="52" t="str">
        <f>IFERROR(__xludf.DUMMYFUNCTION("""COMPUTED_VALUE"""),"")</f>
        <v/>
      </c>
      <c r="Z461" s="52" t="str">
        <f>IFERROR(__xludf.DUMMYFUNCTION("""COMPUTED_VALUE"""),"")</f>
        <v/>
      </c>
      <c r="AA461" s="52" t="str">
        <f>IFERROR(__xludf.DUMMYFUNCTION("""COMPUTED_VALUE"""),"")</f>
        <v/>
      </c>
      <c r="AB461" s="52" t="str">
        <f>IFERROR(__xludf.DUMMYFUNCTION("""COMPUTED_VALUE"""),"")</f>
        <v/>
      </c>
      <c r="AC461" s="52" t="str">
        <f>IFERROR(__xludf.DUMMYFUNCTION("""COMPUTED_VALUE"""),"")</f>
        <v/>
      </c>
      <c r="AD461" s="52" t="str">
        <f>IFERROR(__xludf.DUMMYFUNCTION("""COMPUTED_VALUE"""),"")</f>
        <v/>
      </c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</row>
    <row r="462">
      <c r="B462" s="49"/>
      <c r="C462" s="49" t="str">
        <f t="shared" si="2"/>
        <v/>
      </c>
      <c r="D462" s="50" t="str">
        <f t="shared" si="3"/>
        <v/>
      </c>
      <c r="E462" s="51" t="str">
        <f t="shared" ref="E462:T462" si="463">IFERROR(VLOOKUP($A462,INDIRECT("'" &amp; E$1 &amp; "'!$C:$G"), 5, FALSE),"")</f>
        <v/>
      </c>
      <c r="F462" s="51" t="str">
        <f t="shared" si="463"/>
        <v/>
      </c>
      <c r="G462" s="51" t="str">
        <f t="shared" si="463"/>
        <v/>
      </c>
      <c r="H462" s="51" t="str">
        <f t="shared" si="463"/>
        <v/>
      </c>
      <c r="I462" s="51" t="str">
        <f t="shared" si="463"/>
        <v/>
      </c>
      <c r="J462" s="51" t="str">
        <f t="shared" si="463"/>
        <v/>
      </c>
      <c r="K462" s="51" t="str">
        <f t="shared" si="463"/>
        <v/>
      </c>
      <c r="L462" s="51" t="str">
        <f t="shared" si="463"/>
        <v/>
      </c>
      <c r="M462" s="51" t="str">
        <f t="shared" si="463"/>
        <v/>
      </c>
      <c r="N462" s="51" t="str">
        <f t="shared" si="463"/>
        <v/>
      </c>
      <c r="O462" s="51" t="str">
        <f t="shared" si="463"/>
        <v/>
      </c>
      <c r="P462" s="51" t="str">
        <f t="shared" si="463"/>
        <v/>
      </c>
      <c r="Q462" s="51" t="str">
        <f t="shared" si="463"/>
        <v/>
      </c>
      <c r="R462" s="51" t="str">
        <f t="shared" si="463"/>
        <v/>
      </c>
      <c r="S462" s="51" t="str">
        <f t="shared" si="463"/>
        <v/>
      </c>
      <c r="T462" s="51" t="str">
        <f t="shared" si="463"/>
        <v/>
      </c>
      <c r="U462" s="52"/>
      <c r="V462" s="52" t="str">
        <f>IFERROR(__xludf.DUMMYFUNCTION("""COMPUTED_VALUE"""),"")</f>
        <v/>
      </c>
      <c r="W462" s="52" t="str">
        <f>IFERROR(__xludf.DUMMYFUNCTION("""COMPUTED_VALUE"""),"")</f>
        <v/>
      </c>
      <c r="X462" s="52" t="str">
        <f>IFERROR(__xludf.DUMMYFUNCTION("""COMPUTED_VALUE"""),"")</f>
        <v/>
      </c>
      <c r="Y462" s="52" t="str">
        <f>IFERROR(__xludf.DUMMYFUNCTION("""COMPUTED_VALUE"""),"")</f>
        <v/>
      </c>
      <c r="Z462" s="52" t="str">
        <f>IFERROR(__xludf.DUMMYFUNCTION("""COMPUTED_VALUE"""),"")</f>
        <v/>
      </c>
      <c r="AA462" s="52" t="str">
        <f>IFERROR(__xludf.DUMMYFUNCTION("""COMPUTED_VALUE"""),"")</f>
        <v/>
      </c>
      <c r="AB462" s="52" t="str">
        <f>IFERROR(__xludf.DUMMYFUNCTION("""COMPUTED_VALUE"""),"")</f>
        <v/>
      </c>
      <c r="AC462" s="52" t="str">
        <f>IFERROR(__xludf.DUMMYFUNCTION("""COMPUTED_VALUE"""),"")</f>
        <v/>
      </c>
      <c r="AD462" s="52" t="str">
        <f>IFERROR(__xludf.DUMMYFUNCTION("""COMPUTED_VALUE"""),"")</f>
        <v/>
      </c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</row>
    <row r="463">
      <c r="B463" s="49"/>
      <c r="C463" s="49" t="str">
        <f t="shared" si="2"/>
        <v/>
      </c>
      <c r="D463" s="50" t="str">
        <f t="shared" si="3"/>
        <v/>
      </c>
      <c r="E463" s="51" t="str">
        <f t="shared" ref="E463:T463" si="464">IFERROR(VLOOKUP($A463,INDIRECT("'" &amp; E$1 &amp; "'!$C:$G"), 5, FALSE),"")</f>
        <v/>
      </c>
      <c r="F463" s="51" t="str">
        <f t="shared" si="464"/>
        <v/>
      </c>
      <c r="G463" s="51" t="str">
        <f t="shared" si="464"/>
        <v/>
      </c>
      <c r="H463" s="51" t="str">
        <f t="shared" si="464"/>
        <v/>
      </c>
      <c r="I463" s="51" t="str">
        <f t="shared" si="464"/>
        <v/>
      </c>
      <c r="J463" s="51" t="str">
        <f t="shared" si="464"/>
        <v/>
      </c>
      <c r="K463" s="51" t="str">
        <f t="shared" si="464"/>
        <v/>
      </c>
      <c r="L463" s="51" t="str">
        <f t="shared" si="464"/>
        <v/>
      </c>
      <c r="M463" s="51" t="str">
        <f t="shared" si="464"/>
        <v/>
      </c>
      <c r="N463" s="51" t="str">
        <f t="shared" si="464"/>
        <v/>
      </c>
      <c r="O463" s="51" t="str">
        <f t="shared" si="464"/>
        <v/>
      </c>
      <c r="P463" s="51" t="str">
        <f t="shared" si="464"/>
        <v/>
      </c>
      <c r="Q463" s="51" t="str">
        <f t="shared" si="464"/>
        <v/>
      </c>
      <c r="R463" s="51" t="str">
        <f t="shared" si="464"/>
        <v/>
      </c>
      <c r="S463" s="51" t="str">
        <f t="shared" si="464"/>
        <v/>
      </c>
      <c r="T463" s="51" t="str">
        <f t="shared" si="464"/>
        <v/>
      </c>
      <c r="U463" s="52"/>
      <c r="V463" s="52" t="str">
        <f>IFERROR(__xludf.DUMMYFUNCTION("""COMPUTED_VALUE"""),"")</f>
        <v/>
      </c>
      <c r="W463" s="52" t="str">
        <f>IFERROR(__xludf.DUMMYFUNCTION("""COMPUTED_VALUE"""),"")</f>
        <v/>
      </c>
      <c r="X463" s="52" t="str">
        <f>IFERROR(__xludf.DUMMYFUNCTION("""COMPUTED_VALUE"""),"")</f>
        <v/>
      </c>
      <c r="Y463" s="52" t="str">
        <f>IFERROR(__xludf.DUMMYFUNCTION("""COMPUTED_VALUE"""),"")</f>
        <v/>
      </c>
      <c r="Z463" s="52" t="str">
        <f>IFERROR(__xludf.DUMMYFUNCTION("""COMPUTED_VALUE"""),"")</f>
        <v/>
      </c>
      <c r="AA463" s="52" t="str">
        <f>IFERROR(__xludf.DUMMYFUNCTION("""COMPUTED_VALUE"""),"")</f>
        <v/>
      </c>
      <c r="AB463" s="52" t="str">
        <f>IFERROR(__xludf.DUMMYFUNCTION("""COMPUTED_VALUE"""),"")</f>
        <v/>
      </c>
      <c r="AC463" s="52" t="str">
        <f>IFERROR(__xludf.DUMMYFUNCTION("""COMPUTED_VALUE"""),"")</f>
        <v/>
      </c>
      <c r="AD463" s="52" t="str">
        <f>IFERROR(__xludf.DUMMYFUNCTION("""COMPUTED_VALUE"""),"")</f>
        <v/>
      </c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</row>
    <row r="464">
      <c r="B464" s="49"/>
      <c r="C464" s="49" t="str">
        <f t="shared" si="2"/>
        <v/>
      </c>
      <c r="D464" s="50" t="str">
        <f t="shared" si="3"/>
        <v/>
      </c>
      <c r="E464" s="51" t="str">
        <f t="shared" ref="E464:T464" si="465">IFERROR(VLOOKUP($A464,INDIRECT("'" &amp; E$1 &amp; "'!$C:$G"), 5, FALSE),"")</f>
        <v/>
      </c>
      <c r="F464" s="51" t="str">
        <f t="shared" si="465"/>
        <v/>
      </c>
      <c r="G464" s="51" t="str">
        <f t="shared" si="465"/>
        <v/>
      </c>
      <c r="H464" s="51" t="str">
        <f t="shared" si="465"/>
        <v/>
      </c>
      <c r="I464" s="51" t="str">
        <f t="shared" si="465"/>
        <v/>
      </c>
      <c r="J464" s="51" t="str">
        <f t="shared" si="465"/>
        <v/>
      </c>
      <c r="K464" s="51" t="str">
        <f t="shared" si="465"/>
        <v/>
      </c>
      <c r="L464" s="51" t="str">
        <f t="shared" si="465"/>
        <v/>
      </c>
      <c r="M464" s="51" t="str">
        <f t="shared" si="465"/>
        <v/>
      </c>
      <c r="N464" s="51" t="str">
        <f t="shared" si="465"/>
        <v/>
      </c>
      <c r="O464" s="51" t="str">
        <f t="shared" si="465"/>
        <v/>
      </c>
      <c r="P464" s="51" t="str">
        <f t="shared" si="465"/>
        <v/>
      </c>
      <c r="Q464" s="51" t="str">
        <f t="shared" si="465"/>
        <v/>
      </c>
      <c r="R464" s="51" t="str">
        <f t="shared" si="465"/>
        <v/>
      </c>
      <c r="S464" s="51" t="str">
        <f t="shared" si="465"/>
        <v/>
      </c>
      <c r="T464" s="51" t="str">
        <f t="shared" si="465"/>
        <v/>
      </c>
      <c r="U464" s="52"/>
      <c r="V464" s="52" t="str">
        <f>IFERROR(__xludf.DUMMYFUNCTION("""COMPUTED_VALUE"""),"")</f>
        <v/>
      </c>
      <c r="W464" s="52" t="str">
        <f>IFERROR(__xludf.DUMMYFUNCTION("""COMPUTED_VALUE"""),"")</f>
        <v/>
      </c>
      <c r="X464" s="52" t="str">
        <f>IFERROR(__xludf.DUMMYFUNCTION("""COMPUTED_VALUE"""),"")</f>
        <v/>
      </c>
      <c r="Y464" s="52" t="str">
        <f>IFERROR(__xludf.DUMMYFUNCTION("""COMPUTED_VALUE"""),"")</f>
        <v/>
      </c>
      <c r="Z464" s="52" t="str">
        <f>IFERROR(__xludf.DUMMYFUNCTION("""COMPUTED_VALUE"""),"")</f>
        <v/>
      </c>
      <c r="AA464" s="52" t="str">
        <f>IFERROR(__xludf.DUMMYFUNCTION("""COMPUTED_VALUE"""),"")</f>
        <v/>
      </c>
      <c r="AB464" s="52" t="str">
        <f>IFERROR(__xludf.DUMMYFUNCTION("""COMPUTED_VALUE"""),"")</f>
        <v/>
      </c>
      <c r="AC464" s="52" t="str">
        <f>IFERROR(__xludf.DUMMYFUNCTION("""COMPUTED_VALUE"""),"")</f>
        <v/>
      </c>
      <c r="AD464" s="52" t="str">
        <f>IFERROR(__xludf.DUMMYFUNCTION("""COMPUTED_VALUE"""),"")</f>
        <v/>
      </c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</row>
    <row r="465">
      <c r="B465" s="49"/>
      <c r="C465" s="49" t="str">
        <f t="shared" si="2"/>
        <v/>
      </c>
      <c r="D465" s="50" t="str">
        <f t="shared" si="3"/>
        <v/>
      </c>
      <c r="E465" s="51" t="str">
        <f t="shared" ref="E465:T465" si="466">IFERROR(VLOOKUP($A465,INDIRECT("'" &amp; E$1 &amp; "'!$C:$G"), 5, FALSE),"")</f>
        <v/>
      </c>
      <c r="F465" s="51" t="str">
        <f t="shared" si="466"/>
        <v/>
      </c>
      <c r="G465" s="51" t="str">
        <f t="shared" si="466"/>
        <v/>
      </c>
      <c r="H465" s="51" t="str">
        <f t="shared" si="466"/>
        <v/>
      </c>
      <c r="I465" s="51" t="str">
        <f t="shared" si="466"/>
        <v/>
      </c>
      <c r="J465" s="51" t="str">
        <f t="shared" si="466"/>
        <v/>
      </c>
      <c r="K465" s="51" t="str">
        <f t="shared" si="466"/>
        <v/>
      </c>
      <c r="L465" s="51" t="str">
        <f t="shared" si="466"/>
        <v/>
      </c>
      <c r="M465" s="51" t="str">
        <f t="shared" si="466"/>
        <v/>
      </c>
      <c r="N465" s="51" t="str">
        <f t="shared" si="466"/>
        <v/>
      </c>
      <c r="O465" s="51" t="str">
        <f t="shared" si="466"/>
        <v/>
      </c>
      <c r="P465" s="51" t="str">
        <f t="shared" si="466"/>
        <v/>
      </c>
      <c r="Q465" s="51" t="str">
        <f t="shared" si="466"/>
        <v/>
      </c>
      <c r="R465" s="51" t="str">
        <f t="shared" si="466"/>
        <v/>
      </c>
      <c r="S465" s="51" t="str">
        <f t="shared" si="466"/>
        <v/>
      </c>
      <c r="T465" s="51" t="str">
        <f t="shared" si="466"/>
        <v/>
      </c>
      <c r="U465" s="52"/>
      <c r="V465" s="52" t="str">
        <f>IFERROR(__xludf.DUMMYFUNCTION("""COMPUTED_VALUE"""),"")</f>
        <v/>
      </c>
      <c r="W465" s="52" t="str">
        <f>IFERROR(__xludf.DUMMYFUNCTION("""COMPUTED_VALUE"""),"")</f>
        <v/>
      </c>
      <c r="X465" s="52" t="str">
        <f>IFERROR(__xludf.DUMMYFUNCTION("""COMPUTED_VALUE"""),"")</f>
        <v/>
      </c>
      <c r="Y465" s="52" t="str">
        <f>IFERROR(__xludf.DUMMYFUNCTION("""COMPUTED_VALUE"""),"")</f>
        <v/>
      </c>
      <c r="Z465" s="52" t="str">
        <f>IFERROR(__xludf.DUMMYFUNCTION("""COMPUTED_VALUE"""),"")</f>
        <v/>
      </c>
      <c r="AA465" s="52" t="str">
        <f>IFERROR(__xludf.DUMMYFUNCTION("""COMPUTED_VALUE"""),"")</f>
        <v/>
      </c>
      <c r="AB465" s="52" t="str">
        <f>IFERROR(__xludf.DUMMYFUNCTION("""COMPUTED_VALUE"""),"")</f>
        <v/>
      </c>
      <c r="AC465" s="52" t="str">
        <f>IFERROR(__xludf.DUMMYFUNCTION("""COMPUTED_VALUE"""),"")</f>
        <v/>
      </c>
      <c r="AD465" s="52" t="str">
        <f>IFERROR(__xludf.DUMMYFUNCTION("""COMPUTED_VALUE"""),"")</f>
        <v/>
      </c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</row>
    <row r="466">
      <c r="B466" s="49"/>
      <c r="C466" s="49" t="str">
        <f t="shared" si="2"/>
        <v/>
      </c>
      <c r="D466" s="50" t="str">
        <f t="shared" si="3"/>
        <v/>
      </c>
      <c r="E466" s="51" t="str">
        <f t="shared" ref="E466:T466" si="467">IFERROR(VLOOKUP($A466,INDIRECT("'" &amp; E$1 &amp; "'!$C:$G"), 5, FALSE),"")</f>
        <v/>
      </c>
      <c r="F466" s="51" t="str">
        <f t="shared" si="467"/>
        <v/>
      </c>
      <c r="G466" s="51" t="str">
        <f t="shared" si="467"/>
        <v/>
      </c>
      <c r="H466" s="51" t="str">
        <f t="shared" si="467"/>
        <v/>
      </c>
      <c r="I466" s="51" t="str">
        <f t="shared" si="467"/>
        <v/>
      </c>
      <c r="J466" s="51" t="str">
        <f t="shared" si="467"/>
        <v/>
      </c>
      <c r="K466" s="51" t="str">
        <f t="shared" si="467"/>
        <v/>
      </c>
      <c r="L466" s="51" t="str">
        <f t="shared" si="467"/>
        <v/>
      </c>
      <c r="M466" s="51" t="str">
        <f t="shared" si="467"/>
        <v/>
      </c>
      <c r="N466" s="51" t="str">
        <f t="shared" si="467"/>
        <v/>
      </c>
      <c r="O466" s="51" t="str">
        <f t="shared" si="467"/>
        <v/>
      </c>
      <c r="P466" s="51" t="str">
        <f t="shared" si="467"/>
        <v/>
      </c>
      <c r="Q466" s="51" t="str">
        <f t="shared" si="467"/>
        <v/>
      </c>
      <c r="R466" s="51" t="str">
        <f t="shared" si="467"/>
        <v/>
      </c>
      <c r="S466" s="51" t="str">
        <f t="shared" si="467"/>
        <v/>
      </c>
      <c r="T466" s="51" t="str">
        <f t="shared" si="467"/>
        <v/>
      </c>
      <c r="U466" s="52"/>
      <c r="V466" s="52" t="str">
        <f>IFERROR(__xludf.DUMMYFUNCTION("""COMPUTED_VALUE"""),"")</f>
        <v/>
      </c>
      <c r="W466" s="52" t="str">
        <f>IFERROR(__xludf.DUMMYFUNCTION("""COMPUTED_VALUE"""),"")</f>
        <v/>
      </c>
      <c r="X466" s="52" t="str">
        <f>IFERROR(__xludf.DUMMYFUNCTION("""COMPUTED_VALUE"""),"")</f>
        <v/>
      </c>
      <c r="Y466" s="52" t="str">
        <f>IFERROR(__xludf.DUMMYFUNCTION("""COMPUTED_VALUE"""),"")</f>
        <v/>
      </c>
      <c r="Z466" s="52" t="str">
        <f>IFERROR(__xludf.DUMMYFUNCTION("""COMPUTED_VALUE"""),"")</f>
        <v/>
      </c>
      <c r="AA466" s="52" t="str">
        <f>IFERROR(__xludf.DUMMYFUNCTION("""COMPUTED_VALUE"""),"")</f>
        <v/>
      </c>
      <c r="AB466" s="52" t="str">
        <f>IFERROR(__xludf.DUMMYFUNCTION("""COMPUTED_VALUE"""),"")</f>
        <v/>
      </c>
      <c r="AC466" s="52" t="str">
        <f>IFERROR(__xludf.DUMMYFUNCTION("""COMPUTED_VALUE"""),"")</f>
        <v/>
      </c>
      <c r="AD466" s="52" t="str">
        <f>IFERROR(__xludf.DUMMYFUNCTION("""COMPUTED_VALUE"""),"")</f>
        <v/>
      </c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</row>
    <row r="467">
      <c r="B467" s="49"/>
      <c r="C467" s="49" t="str">
        <f t="shared" si="2"/>
        <v/>
      </c>
      <c r="D467" s="50" t="str">
        <f t="shared" si="3"/>
        <v/>
      </c>
      <c r="E467" s="51" t="str">
        <f t="shared" ref="E467:T467" si="468">IFERROR(VLOOKUP($A467,INDIRECT("'" &amp; E$1 &amp; "'!$C:$G"), 5, FALSE),"")</f>
        <v/>
      </c>
      <c r="F467" s="51" t="str">
        <f t="shared" si="468"/>
        <v/>
      </c>
      <c r="G467" s="51" t="str">
        <f t="shared" si="468"/>
        <v/>
      </c>
      <c r="H467" s="51" t="str">
        <f t="shared" si="468"/>
        <v/>
      </c>
      <c r="I467" s="51" t="str">
        <f t="shared" si="468"/>
        <v/>
      </c>
      <c r="J467" s="51" t="str">
        <f t="shared" si="468"/>
        <v/>
      </c>
      <c r="K467" s="51" t="str">
        <f t="shared" si="468"/>
        <v/>
      </c>
      <c r="L467" s="51" t="str">
        <f t="shared" si="468"/>
        <v/>
      </c>
      <c r="M467" s="51" t="str">
        <f t="shared" si="468"/>
        <v/>
      </c>
      <c r="N467" s="51" t="str">
        <f t="shared" si="468"/>
        <v/>
      </c>
      <c r="O467" s="51" t="str">
        <f t="shared" si="468"/>
        <v/>
      </c>
      <c r="P467" s="51" t="str">
        <f t="shared" si="468"/>
        <v/>
      </c>
      <c r="Q467" s="51" t="str">
        <f t="shared" si="468"/>
        <v/>
      </c>
      <c r="R467" s="51" t="str">
        <f t="shared" si="468"/>
        <v/>
      </c>
      <c r="S467" s="51" t="str">
        <f t="shared" si="468"/>
        <v/>
      </c>
      <c r="T467" s="51" t="str">
        <f t="shared" si="468"/>
        <v/>
      </c>
      <c r="U467" s="52"/>
      <c r="V467" s="52" t="str">
        <f>IFERROR(__xludf.DUMMYFUNCTION("""COMPUTED_VALUE"""),"")</f>
        <v/>
      </c>
      <c r="W467" s="52" t="str">
        <f>IFERROR(__xludf.DUMMYFUNCTION("""COMPUTED_VALUE"""),"")</f>
        <v/>
      </c>
      <c r="X467" s="52" t="str">
        <f>IFERROR(__xludf.DUMMYFUNCTION("""COMPUTED_VALUE"""),"")</f>
        <v/>
      </c>
      <c r="Y467" s="52" t="str">
        <f>IFERROR(__xludf.DUMMYFUNCTION("""COMPUTED_VALUE"""),"")</f>
        <v/>
      </c>
      <c r="Z467" s="52" t="str">
        <f>IFERROR(__xludf.DUMMYFUNCTION("""COMPUTED_VALUE"""),"")</f>
        <v/>
      </c>
      <c r="AA467" s="52" t="str">
        <f>IFERROR(__xludf.DUMMYFUNCTION("""COMPUTED_VALUE"""),"")</f>
        <v/>
      </c>
      <c r="AB467" s="52" t="str">
        <f>IFERROR(__xludf.DUMMYFUNCTION("""COMPUTED_VALUE"""),"")</f>
        <v/>
      </c>
      <c r="AC467" s="52" t="str">
        <f>IFERROR(__xludf.DUMMYFUNCTION("""COMPUTED_VALUE"""),"")</f>
        <v/>
      </c>
      <c r="AD467" s="52" t="str">
        <f>IFERROR(__xludf.DUMMYFUNCTION("""COMPUTED_VALUE"""),"")</f>
        <v/>
      </c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</row>
    <row r="468">
      <c r="B468" s="49"/>
      <c r="C468" s="49" t="str">
        <f t="shared" si="2"/>
        <v/>
      </c>
      <c r="D468" s="50" t="str">
        <f t="shared" si="3"/>
        <v/>
      </c>
      <c r="E468" s="51" t="str">
        <f t="shared" ref="E468:T468" si="469">IFERROR(VLOOKUP($A468,INDIRECT("'" &amp; E$1 &amp; "'!$C:$G"), 5, FALSE),"")</f>
        <v/>
      </c>
      <c r="F468" s="51" t="str">
        <f t="shared" si="469"/>
        <v/>
      </c>
      <c r="G468" s="51" t="str">
        <f t="shared" si="469"/>
        <v/>
      </c>
      <c r="H468" s="51" t="str">
        <f t="shared" si="469"/>
        <v/>
      </c>
      <c r="I468" s="51" t="str">
        <f t="shared" si="469"/>
        <v/>
      </c>
      <c r="J468" s="51" t="str">
        <f t="shared" si="469"/>
        <v/>
      </c>
      <c r="K468" s="51" t="str">
        <f t="shared" si="469"/>
        <v/>
      </c>
      <c r="L468" s="51" t="str">
        <f t="shared" si="469"/>
        <v/>
      </c>
      <c r="M468" s="51" t="str">
        <f t="shared" si="469"/>
        <v/>
      </c>
      <c r="N468" s="51" t="str">
        <f t="shared" si="469"/>
        <v/>
      </c>
      <c r="O468" s="51" t="str">
        <f t="shared" si="469"/>
        <v/>
      </c>
      <c r="P468" s="51" t="str">
        <f t="shared" si="469"/>
        <v/>
      </c>
      <c r="Q468" s="51" t="str">
        <f t="shared" si="469"/>
        <v/>
      </c>
      <c r="R468" s="51" t="str">
        <f t="shared" si="469"/>
        <v/>
      </c>
      <c r="S468" s="51" t="str">
        <f t="shared" si="469"/>
        <v/>
      </c>
      <c r="T468" s="51" t="str">
        <f t="shared" si="469"/>
        <v/>
      </c>
      <c r="U468" s="52"/>
      <c r="V468" s="52" t="str">
        <f>IFERROR(__xludf.DUMMYFUNCTION("""COMPUTED_VALUE"""),"")</f>
        <v/>
      </c>
      <c r="W468" s="52" t="str">
        <f>IFERROR(__xludf.DUMMYFUNCTION("""COMPUTED_VALUE"""),"")</f>
        <v/>
      </c>
      <c r="X468" s="52" t="str">
        <f>IFERROR(__xludf.DUMMYFUNCTION("""COMPUTED_VALUE"""),"")</f>
        <v/>
      </c>
      <c r="Y468" s="52" t="str">
        <f>IFERROR(__xludf.DUMMYFUNCTION("""COMPUTED_VALUE"""),"")</f>
        <v/>
      </c>
      <c r="Z468" s="52" t="str">
        <f>IFERROR(__xludf.DUMMYFUNCTION("""COMPUTED_VALUE"""),"")</f>
        <v/>
      </c>
      <c r="AA468" s="52" t="str">
        <f>IFERROR(__xludf.DUMMYFUNCTION("""COMPUTED_VALUE"""),"")</f>
        <v/>
      </c>
      <c r="AB468" s="52" t="str">
        <f>IFERROR(__xludf.DUMMYFUNCTION("""COMPUTED_VALUE"""),"")</f>
        <v/>
      </c>
      <c r="AC468" s="52" t="str">
        <f>IFERROR(__xludf.DUMMYFUNCTION("""COMPUTED_VALUE"""),"")</f>
        <v/>
      </c>
      <c r="AD468" s="52" t="str">
        <f>IFERROR(__xludf.DUMMYFUNCTION("""COMPUTED_VALUE"""),"")</f>
        <v/>
      </c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</row>
    <row r="469">
      <c r="B469" s="49"/>
      <c r="C469" s="49" t="str">
        <f t="shared" si="2"/>
        <v/>
      </c>
      <c r="D469" s="50" t="str">
        <f t="shared" si="3"/>
        <v/>
      </c>
      <c r="E469" s="51" t="str">
        <f t="shared" ref="E469:T469" si="470">IFERROR(VLOOKUP($A469,INDIRECT("'" &amp; E$1 &amp; "'!$C:$G"), 5, FALSE),"")</f>
        <v/>
      </c>
      <c r="F469" s="51" t="str">
        <f t="shared" si="470"/>
        <v/>
      </c>
      <c r="G469" s="51" t="str">
        <f t="shared" si="470"/>
        <v/>
      </c>
      <c r="H469" s="51" t="str">
        <f t="shared" si="470"/>
        <v/>
      </c>
      <c r="I469" s="51" t="str">
        <f t="shared" si="470"/>
        <v/>
      </c>
      <c r="J469" s="51" t="str">
        <f t="shared" si="470"/>
        <v/>
      </c>
      <c r="K469" s="51" t="str">
        <f t="shared" si="470"/>
        <v/>
      </c>
      <c r="L469" s="51" t="str">
        <f t="shared" si="470"/>
        <v/>
      </c>
      <c r="M469" s="51" t="str">
        <f t="shared" si="470"/>
        <v/>
      </c>
      <c r="N469" s="51" t="str">
        <f t="shared" si="470"/>
        <v/>
      </c>
      <c r="O469" s="51" t="str">
        <f t="shared" si="470"/>
        <v/>
      </c>
      <c r="P469" s="51" t="str">
        <f t="shared" si="470"/>
        <v/>
      </c>
      <c r="Q469" s="51" t="str">
        <f t="shared" si="470"/>
        <v/>
      </c>
      <c r="R469" s="51" t="str">
        <f t="shared" si="470"/>
        <v/>
      </c>
      <c r="S469" s="51" t="str">
        <f t="shared" si="470"/>
        <v/>
      </c>
      <c r="T469" s="51" t="str">
        <f t="shared" si="470"/>
        <v/>
      </c>
      <c r="U469" s="52"/>
      <c r="V469" s="52" t="str">
        <f>IFERROR(__xludf.DUMMYFUNCTION("""COMPUTED_VALUE"""),"")</f>
        <v/>
      </c>
      <c r="W469" s="52" t="str">
        <f>IFERROR(__xludf.DUMMYFUNCTION("""COMPUTED_VALUE"""),"")</f>
        <v/>
      </c>
      <c r="X469" s="52" t="str">
        <f>IFERROR(__xludf.DUMMYFUNCTION("""COMPUTED_VALUE"""),"")</f>
        <v/>
      </c>
      <c r="Y469" s="52" t="str">
        <f>IFERROR(__xludf.DUMMYFUNCTION("""COMPUTED_VALUE"""),"")</f>
        <v/>
      </c>
      <c r="Z469" s="52" t="str">
        <f>IFERROR(__xludf.DUMMYFUNCTION("""COMPUTED_VALUE"""),"")</f>
        <v/>
      </c>
      <c r="AA469" s="52" t="str">
        <f>IFERROR(__xludf.DUMMYFUNCTION("""COMPUTED_VALUE"""),"")</f>
        <v/>
      </c>
      <c r="AB469" s="52" t="str">
        <f>IFERROR(__xludf.DUMMYFUNCTION("""COMPUTED_VALUE"""),"")</f>
        <v/>
      </c>
      <c r="AC469" s="52" t="str">
        <f>IFERROR(__xludf.DUMMYFUNCTION("""COMPUTED_VALUE"""),"")</f>
        <v/>
      </c>
      <c r="AD469" s="52" t="str">
        <f>IFERROR(__xludf.DUMMYFUNCTION("""COMPUTED_VALUE"""),"")</f>
        <v/>
      </c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</row>
    <row r="470">
      <c r="B470" s="49"/>
      <c r="C470" s="49" t="str">
        <f t="shared" si="2"/>
        <v/>
      </c>
      <c r="D470" s="50" t="str">
        <f t="shared" si="3"/>
        <v/>
      </c>
      <c r="E470" s="51" t="str">
        <f t="shared" ref="E470:T470" si="471">IFERROR(VLOOKUP($A470,INDIRECT("'" &amp; E$1 &amp; "'!$C:$G"), 5, FALSE),"")</f>
        <v/>
      </c>
      <c r="F470" s="51" t="str">
        <f t="shared" si="471"/>
        <v/>
      </c>
      <c r="G470" s="51" t="str">
        <f t="shared" si="471"/>
        <v/>
      </c>
      <c r="H470" s="51" t="str">
        <f t="shared" si="471"/>
        <v/>
      </c>
      <c r="I470" s="51" t="str">
        <f t="shared" si="471"/>
        <v/>
      </c>
      <c r="J470" s="51" t="str">
        <f t="shared" si="471"/>
        <v/>
      </c>
      <c r="K470" s="51" t="str">
        <f t="shared" si="471"/>
        <v/>
      </c>
      <c r="L470" s="51" t="str">
        <f t="shared" si="471"/>
        <v/>
      </c>
      <c r="M470" s="51" t="str">
        <f t="shared" si="471"/>
        <v/>
      </c>
      <c r="N470" s="51" t="str">
        <f t="shared" si="471"/>
        <v/>
      </c>
      <c r="O470" s="51" t="str">
        <f t="shared" si="471"/>
        <v/>
      </c>
      <c r="P470" s="51" t="str">
        <f t="shared" si="471"/>
        <v/>
      </c>
      <c r="Q470" s="51" t="str">
        <f t="shared" si="471"/>
        <v/>
      </c>
      <c r="R470" s="51" t="str">
        <f t="shared" si="471"/>
        <v/>
      </c>
      <c r="S470" s="51" t="str">
        <f t="shared" si="471"/>
        <v/>
      </c>
      <c r="T470" s="51" t="str">
        <f t="shared" si="471"/>
        <v/>
      </c>
      <c r="U470" s="52"/>
      <c r="V470" s="52" t="str">
        <f>IFERROR(__xludf.DUMMYFUNCTION("""COMPUTED_VALUE"""),"")</f>
        <v/>
      </c>
      <c r="W470" s="52" t="str">
        <f>IFERROR(__xludf.DUMMYFUNCTION("""COMPUTED_VALUE"""),"")</f>
        <v/>
      </c>
      <c r="X470" s="52" t="str">
        <f>IFERROR(__xludf.DUMMYFUNCTION("""COMPUTED_VALUE"""),"")</f>
        <v/>
      </c>
      <c r="Y470" s="52" t="str">
        <f>IFERROR(__xludf.DUMMYFUNCTION("""COMPUTED_VALUE"""),"")</f>
        <v/>
      </c>
      <c r="Z470" s="52" t="str">
        <f>IFERROR(__xludf.DUMMYFUNCTION("""COMPUTED_VALUE"""),"")</f>
        <v/>
      </c>
      <c r="AA470" s="52" t="str">
        <f>IFERROR(__xludf.DUMMYFUNCTION("""COMPUTED_VALUE"""),"")</f>
        <v/>
      </c>
      <c r="AB470" s="52" t="str">
        <f>IFERROR(__xludf.DUMMYFUNCTION("""COMPUTED_VALUE"""),"")</f>
        <v/>
      </c>
      <c r="AC470" s="52" t="str">
        <f>IFERROR(__xludf.DUMMYFUNCTION("""COMPUTED_VALUE"""),"")</f>
        <v/>
      </c>
      <c r="AD470" s="52" t="str">
        <f>IFERROR(__xludf.DUMMYFUNCTION("""COMPUTED_VALUE"""),"")</f>
        <v/>
      </c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</row>
    <row r="471">
      <c r="B471" s="49"/>
      <c r="C471" s="49" t="str">
        <f t="shared" si="2"/>
        <v/>
      </c>
      <c r="D471" s="50" t="str">
        <f t="shared" si="3"/>
        <v/>
      </c>
      <c r="E471" s="51" t="str">
        <f t="shared" ref="E471:T471" si="472">IFERROR(VLOOKUP($A471,INDIRECT("'" &amp; E$1 &amp; "'!$C:$G"), 5, FALSE),"")</f>
        <v/>
      </c>
      <c r="F471" s="51" t="str">
        <f t="shared" si="472"/>
        <v/>
      </c>
      <c r="G471" s="51" t="str">
        <f t="shared" si="472"/>
        <v/>
      </c>
      <c r="H471" s="51" t="str">
        <f t="shared" si="472"/>
        <v/>
      </c>
      <c r="I471" s="51" t="str">
        <f t="shared" si="472"/>
        <v/>
      </c>
      <c r="J471" s="51" t="str">
        <f t="shared" si="472"/>
        <v/>
      </c>
      <c r="K471" s="51" t="str">
        <f t="shared" si="472"/>
        <v/>
      </c>
      <c r="L471" s="51" t="str">
        <f t="shared" si="472"/>
        <v/>
      </c>
      <c r="M471" s="51" t="str">
        <f t="shared" si="472"/>
        <v/>
      </c>
      <c r="N471" s="51" t="str">
        <f t="shared" si="472"/>
        <v/>
      </c>
      <c r="O471" s="51" t="str">
        <f t="shared" si="472"/>
        <v/>
      </c>
      <c r="P471" s="51" t="str">
        <f t="shared" si="472"/>
        <v/>
      </c>
      <c r="Q471" s="51" t="str">
        <f t="shared" si="472"/>
        <v/>
      </c>
      <c r="R471" s="51" t="str">
        <f t="shared" si="472"/>
        <v/>
      </c>
      <c r="S471" s="51" t="str">
        <f t="shared" si="472"/>
        <v/>
      </c>
      <c r="T471" s="51" t="str">
        <f t="shared" si="472"/>
        <v/>
      </c>
      <c r="U471" s="52"/>
      <c r="V471" s="52" t="str">
        <f>IFERROR(__xludf.DUMMYFUNCTION("""COMPUTED_VALUE"""),"")</f>
        <v/>
      </c>
      <c r="W471" s="52" t="str">
        <f>IFERROR(__xludf.DUMMYFUNCTION("""COMPUTED_VALUE"""),"")</f>
        <v/>
      </c>
      <c r="X471" s="52" t="str">
        <f>IFERROR(__xludf.DUMMYFUNCTION("""COMPUTED_VALUE"""),"")</f>
        <v/>
      </c>
      <c r="Y471" s="52" t="str">
        <f>IFERROR(__xludf.DUMMYFUNCTION("""COMPUTED_VALUE"""),"")</f>
        <v/>
      </c>
      <c r="Z471" s="52" t="str">
        <f>IFERROR(__xludf.DUMMYFUNCTION("""COMPUTED_VALUE"""),"")</f>
        <v/>
      </c>
      <c r="AA471" s="52" t="str">
        <f>IFERROR(__xludf.DUMMYFUNCTION("""COMPUTED_VALUE"""),"")</f>
        <v/>
      </c>
      <c r="AB471" s="52" t="str">
        <f>IFERROR(__xludf.DUMMYFUNCTION("""COMPUTED_VALUE"""),"")</f>
        <v/>
      </c>
      <c r="AC471" s="52" t="str">
        <f>IFERROR(__xludf.DUMMYFUNCTION("""COMPUTED_VALUE"""),"")</f>
        <v/>
      </c>
      <c r="AD471" s="52" t="str">
        <f>IFERROR(__xludf.DUMMYFUNCTION("""COMPUTED_VALUE"""),"")</f>
        <v/>
      </c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</row>
    <row r="472">
      <c r="B472" s="49"/>
      <c r="C472" s="49" t="str">
        <f t="shared" si="2"/>
        <v/>
      </c>
      <c r="D472" s="50" t="str">
        <f t="shared" si="3"/>
        <v/>
      </c>
      <c r="E472" s="51" t="str">
        <f t="shared" ref="E472:T472" si="473">IFERROR(VLOOKUP($A472,INDIRECT("'" &amp; E$1 &amp; "'!$C:$G"), 5, FALSE),"")</f>
        <v/>
      </c>
      <c r="F472" s="51" t="str">
        <f t="shared" si="473"/>
        <v/>
      </c>
      <c r="G472" s="51" t="str">
        <f t="shared" si="473"/>
        <v/>
      </c>
      <c r="H472" s="51" t="str">
        <f t="shared" si="473"/>
        <v/>
      </c>
      <c r="I472" s="51" t="str">
        <f t="shared" si="473"/>
        <v/>
      </c>
      <c r="J472" s="51" t="str">
        <f t="shared" si="473"/>
        <v/>
      </c>
      <c r="K472" s="51" t="str">
        <f t="shared" si="473"/>
        <v/>
      </c>
      <c r="L472" s="51" t="str">
        <f t="shared" si="473"/>
        <v/>
      </c>
      <c r="M472" s="51" t="str">
        <f t="shared" si="473"/>
        <v/>
      </c>
      <c r="N472" s="51" t="str">
        <f t="shared" si="473"/>
        <v/>
      </c>
      <c r="O472" s="51" t="str">
        <f t="shared" si="473"/>
        <v/>
      </c>
      <c r="P472" s="51" t="str">
        <f t="shared" si="473"/>
        <v/>
      </c>
      <c r="Q472" s="51" t="str">
        <f t="shared" si="473"/>
        <v/>
      </c>
      <c r="R472" s="51" t="str">
        <f t="shared" si="473"/>
        <v/>
      </c>
      <c r="S472" s="51" t="str">
        <f t="shared" si="473"/>
        <v/>
      </c>
      <c r="T472" s="51" t="str">
        <f t="shared" si="473"/>
        <v/>
      </c>
      <c r="U472" s="52"/>
      <c r="V472" s="52" t="str">
        <f>IFERROR(__xludf.DUMMYFUNCTION("""COMPUTED_VALUE"""),"")</f>
        <v/>
      </c>
      <c r="W472" s="52" t="str">
        <f>IFERROR(__xludf.DUMMYFUNCTION("""COMPUTED_VALUE"""),"")</f>
        <v/>
      </c>
      <c r="X472" s="52" t="str">
        <f>IFERROR(__xludf.DUMMYFUNCTION("""COMPUTED_VALUE"""),"")</f>
        <v/>
      </c>
      <c r="Y472" s="52" t="str">
        <f>IFERROR(__xludf.DUMMYFUNCTION("""COMPUTED_VALUE"""),"")</f>
        <v/>
      </c>
      <c r="Z472" s="52" t="str">
        <f>IFERROR(__xludf.DUMMYFUNCTION("""COMPUTED_VALUE"""),"")</f>
        <v/>
      </c>
      <c r="AA472" s="52" t="str">
        <f>IFERROR(__xludf.DUMMYFUNCTION("""COMPUTED_VALUE"""),"")</f>
        <v/>
      </c>
      <c r="AB472" s="52" t="str">
        <f>IFERROR(__xludf.DUMMYFUNCTION("""COMPUTED_VALUE"""),"")</f>
        <v/>
      </c>
      <c r="AC472" s="52" t="str">
        <f>IFERROR(__xludf.DUMMYFUNCTION("""COMPUTED_VALUE"""),"")</f>
        <v/>
      </c>
      <c r="AD472" s="52" t="str">
        <f>IFERROR(__xludf.DUMMYFUNCTION("""COMPUTED_VALUE"""),"")</f>
        <v/>
      </c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</row>
    <row r="473">
      <c r="B473" s="49"/>
      <c r="C473" s="49" t="str">
        <f t="shared" si="2"/>
        <v/>
      </c>
      <c r="D473" s="50" t="str">
        <f t="shared" si="3"/>
        <v/>
      </c>
      <c r="E473" s="51" t="str">
        <f t="shared" ref="E473:T473" si="474">IFERROR(VLOOKUP($A473,INDIRECT("'" &amp; E$1 &amp; "'!$C:$G"), 5, FALSE),"")</f>
        <v/>
      </c>
      <c r="F473" s="51" t="str">
        <f t="shared" si="474"/>
        <v/>
      </c>
      <c r="G473" s="51" t="str">
        <f t="shared" si="474"/>
        <v/>
      </c>
      <c r="H473" s="51" t="str">
        <f t="shared" si="474"/>
        <v/>
      </c>
      <c r="I473" s="51" t="str">
        <f t="shared" si="474"/>
        <v/>
      </c>
      <c r="J473" s="51" t="str">
        <f t="shared" si="474"/>
        <v/>
      </c>
      <c r="K473" s="51" t="str">
        <f t="shared" si="474"/>
        <v/>
      </c>
      <c r="L473" s="51" t="str">
        <f t="shared" si="474"/>
        <v/>
      </c>
      <c r="M473" s="51" t="str">
        <f t="shared" si="474"/>
        <v/>
      </c>
      <c r="N473" s="51" t="str">
        <f t="shared" si="474"/>
        <v/>
      </c>
      <c r="O473" s="51" t="str">
        <f t="shared" si="474"/>
        <v/>
      </c>
      <c r="P473" s="51" t="str">
        <f t="shared" si="474"/>
        <v/>
      </c>
      <c r="Q473" s="51" t="str">
        <f t="shared" si="474"/>
        <v/>
      </c>
      <c r="R473" s="51" t="str">
        <f t="shared" si="474"/>
        <v/>
      </c>
      <c r="S473" s="51" t="str">
        <f t="shared" si="474"/>
        <v/>
      </c>
      <c r="T473" s="51" t="str">
        <f t="shared" si="474"/>
        <v/>
      </c>
      <c r="U473" s="52"/>
      <c r="V473" s="52" t="str">
        <f>IFERROR(__xludf.DUMMYFUNCTION("""COMPUTED_VALUE"""),"")</f>
        <v/>
      </c>
      <c r="W473" s="52" t="str">
        <f>IFERROR(__xludf.DUMMYFUNCTION("""COMPUTED_VALUE"""),"")</f>
        <v/>
      </c>
      <c r="X473" s="52" t="str">
        <f>IFERROR(__xludf.DUMMYFUNCTION("""COMPUTED_VALUE"""),"")</f>
        <v/>
      </c>
      <c r="Y473" s="52" t="str">
        <f>IFERROR(__xludf.DUMMYFUNCTION("""COMPUTED_VALUE"""),"")</f>
        <v/>
      </c>
      <c r="Z473" s="52" t="str">
        <f>IFERROR(__xludf.DUMMYFUNCTION("""COMPUTED_VALUE"""),"")</f>
        <v/>
      </c>
      <c r="AA473" s="52" t="str">
        <f>IFERROR(__xludf.DUMMYFUNCTION("""COMPUTED_VALUE"""),"")</f>
        <v/>
      </c>
      <c r="AB473" s="52" t="str">
        <f>IFERROR(__xludf.DUMMYFUNCTION("""COMPUTED_VALUE"""),"")</f>
        <v/>
      </c>
      <c r="AC473" s="52" t="str">
        <f>IFERROR(__xludf.DUMMYFUNCTION("""COMPUTED_VALUE"""),"")</f>
        <v/>
      </c>
      <c r="AD473" s="52" t="str">
        <f>IFERROR(__xludf.DUMMYFUNCTION("""COMPUTED_VALUE"""),"")</f>
        <v/>
      </c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</row>
    <row r="474">
      <c r="B474" s="49"/>
      <c r="C474" s="49" t="str">
        <f t="shared" si="2"/>
        <v/>
      </c>
      <c r="D474" s="50" t="str">
        <f t="shared" si="3"/>
        <v/>
      </c>
      <c r="E474" s="51" t="str">
        <f t="shared" ref="E474:T474" si="475">IFERROR(VLOOKUP($A474,INDIRECT("'" &amp; E$1 &amp; "'!$C:$G"), 5, FALSE),"")</f>
        <v/>
      </c>
      <c r="F474" s="51" t="str">
        <f t="shared" si="475"/>
        <v/>
      </c>
      <c r="G474" s="51" t="str">
        <f t="shared" si="475"/>
        <v/>
      </c>
      <c r="H474" s="51" t="str">
        <f t="shared" si="475"/>
        <v/>
      </c>
      <c r="I474" s="51" t="str">
        <f t="shared" si="475"/>
        <v/>
      </c>
      <c r="J474" s="51" t="str">
        <f t="shared" si="475"/>
        <v/>
      </c>
      <c r="K474" s="51" t="str">
        <f t="shared" si="475"/>
        <v/>
      </c>
      <c r="L474" s="51" t="str">
        <f t="shared" si="475"/>
        <v/>
      </c>
      <c r="M474" s="51" t="str">
        <f t="shared" si="475"/>
        <v/>
      </c>
      <c r="N474" s="51" t="str">
        <f t="shared" si="475"/>
        <v/>
      </c>
      <c r="O474" s="51" t="str">
        <f t="shared" si="475"/>
        <v/>
      </c>
      <c r="P474" s="51" t="str">
        <f t="shared" si="475"/>
        <v/>
      </c>
      <c r="Q474" s="51" t="str">
        <f t="shared" si="475"/>
        <v/>
      </c>
      <c r="R474" s="51" t="str">
        <f t="shared" si="475"/>
        <v/>
      </c>
      <c r="S474" s="51" t="str">
        <f t="shared" si="475"/>
        <v/>
      </c>
      <c r="T474" s="51" t="str">
        <f t="shared" si="475"/>
        <v/>
      </c>
      <c r="U474" s="52"/>
      <c r="V474" s="52" t="str">
        <f>IFERROR(__xludf.DUMMYFUNCTION("""COMPUTED_VALUE"""),"")</f>
        <v/>
      </c>
      <c r="W474" s="52" t="str">
        <f>IFERROR(__xludf.DUMMYFUNCTION("""COMPUTED_VALUE"""),"")</f>
        <v/>
      </c>
      <c r="X474" s="52" t="str">
        <f>IFERROR(__xludf.DUMMYFUNCTION("""COMPUTED_VALUE"""),"")</f>
        <v/>
      </c>
      <c r="Y474" s="52" t="str">
        <f>IFERROR(__xludf.DUMMYFUNCTION("""COMPUTED_VALUE"""),"")</f>
        <v/>
      </c>
      <c r="Z474" s="52" t="str">
        <f>IFERROR(__xludf.DUMMYFUNCTION("""COMPUTED_VALUE"""),"")</f>
        <v/>
      </c>
      <c r="AA474" s="52" t="str">
        <f>IFERROR(__xludf.DUMMYFUNCTION("""COMPUTED_VALUE"""),"")</f>
        <v/>
      </c>
      <c r="AB474" s="52" t="str">
        <f>IFERROR(__xludf.DUMMYFUNCTION("""COMPUTED_VALUE"""),"")</f>
        <v/>
      </c>
      <c r="AC474" s="52" t="str">
        <f>IFERROR(__xludf.DUMMYFUNCTION("""COMPUTED_VALUE"""),"")</f>
        <v/>
      </c>
      <c r="AD474" s="52" t="str">
        <f>IFERROR(__xludf.DUMMYFUNCTION("""COMPUTED_VALUE"""),"")</f>
        <v/>
      </c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</row>
    <row r="475">
      <c r="B475" s="49"/>
      <c r="C475" s="49" t="str">
        <f t="shared" si="2"/>
        <v/>
      </c>
      <c r="D475" s="50" t="str">
        <f t="shared" si="3"/>
        <v/>
      </c>
      <c r="E475" s="51" t="str">
        <f t="shared" ref="E475:T475" si="476">IFERROR(VLOOKUP($A475,INDIRECT("'" &amp; E$1 &amp; "'!$C:$G"), 5, FALSE),"")</f>
        <v/>
      </c>
      <c r="F475" s="51" t="str">
        <f t="shared" si="476"/>
        <v/>
      </c>
      <c r="G475" s="51" t="str">
        <f t="shared" si="476"/>
        <v/>
      </c>
      <c r="H475" s="51" t="str">
        <f t="shared" si="476"/>
        <v/>
      </c>
      <c r="I475" s="51" t="str">
        <f t="shared" si="476"/>
        <v/>
      </c>
      <c r="J475" s="51" t="str">
        <f t="shared" si="476"/>
        <v/>
      </c>
      <c r="K475" s="51" t="str">
        <f t="shared" si="476"/>
        <v/>
      </c>
      <c r="L475" s="51" t="str">
        <f t="shared" si="476"/>
        <v/>
      </c>
      <c r="M475" s="51" t="str">
        <f t="shared" si="476"/>
        <v/>
      </c>
      <c r="N475" s="51" t="str">
        <f t="shared" si="476"/>
        <v/>
      </c>
      <c r="O475" s="51" t="str">
        <f t="shared" si="476"/>
        <v/>
      </c>
      <c r="P475" s="51" t="str">
        <f t="shared" si="476"/>
        <v/>
      </c>
      <c r="Q475" s="51" t="str">
        <f t="shared" si="476"/>
        <v/>
      </c>
      <c r="R475" s="51" t="str">
        <f t="shared" si="476"/>
        <v/>
      </c>
      <c r="S475" s="51" t="str">
        <f t="shared" si="476"/>
        <v/>
      </c>
      <c r="T475" s="51" t="str">
        <f t="shared" si="476"/>
        <v/>
      </c>
      <c r="U475" s="52"/>
      <c r="V475" s="52" t="str">
        <f>IFERROR(__xludf.DUMMYFUNCTION("""COMPUTED_VALUE"""),"")</f>
        <v/>
      </c>
      <c r="W475" s="52" t="str">
        <f>IFERROR(__xludf.DUMMYFUNCTION("""COMPUTED_VALUE"""),"")</f>
        <v/>
      </c>
      <c r="X475" s="52" t="str">
        <f>IFERROR(__xludf.DUMMYFUNCTION("""COMPUTED_VALUE"""),"")</f>
        <v/>
      </c>
      <c r="Y475" s="52" t="str">
        <f>IFERROR(__xludf.DUMMYFUNCTION("""COMPUTED_VALUE"""),"")</f>
        <v/>
      </c>
      <c r="Z475" s="52" t="str">
        <f>IFERROR(__xludf.DUMMYFUNCTION("""COMPUTED_VALUE"""),"")</f>
        <v/>
      </c>
      <c r="AA475" s="52" t="str">
        <f>IFERROR(__xludf.DUMMYFUNCTION("""COMPUTED_VALUE"""),"")</f>
        <v/>
      </c>
      <c r="AB475" s="52" t="str">
        <f>IFERROR(__xludf.DUMMYFUNCTION("""COMPUTED_VALUE"""),"")</f>
        <v/>
      </c>
      <c r="AC475" s="52" t="str">
        <f>IFERROR(__xludf.DUMMYFUNCTION("""COMPUTED_VALUE"""),"")</f>
        <v/>
      </c>
      <c r="AD475" s="52" t="str">
        <f>IFERROR(__xludf.DUMMYFUNCTION("""COMPUTED_VALUE"""),"")</f>
        <v/>
      </c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</row>
    <row r="476">
      <c r="B476" s="49"/>
      <c r="C476" s="49" t="str">
        <f t="shared" si="2"/>
        <v/>
      </c>
      <c r="D476" s="50" t="str">
        <f t="shared" si="3"/>
        <v/>
      </c>
      <c r="E476" s="51" t="str">
        <f t="shared" ref="E476:T476" si="477">IFERROR(VLOOKUP($A476,INDIRECT("'" &amp; E$1 &amp; "'!$C:$G"), 5, FALSE),"")</f>
        <v/>
      </c>
      <c r="F476" s="51" t="str">
        <f t="shared" si="477"/>
        <v/>
      </c>
      <c r="G476" s="51" t="str">
        <f t="shared" si="477"/>
        <v/>
      </c>
      <c r="H476" s="51" t="str">
        <f t="shared" si="477"/>
        <v/>
      </c>
      <c r="I476" s="51" t="str">
        <f t="shared" si="477"/>
        <v/>
      </c>
      <c r="J476" s="51" t="str">
        <f t="shared" si="477"/>
        <v/>
      </c>
      <c r="K476" s="51" t="str">
        <f t="shared" si="477"/>
        <v/>
      </c>
      <c r="L476" s="51" t="str">
        <f t="shared" si="477"/>
        <v/>
      </c>
      <c r="M476" s="51" t="str">
        <f t="shared" si="477"/>
        <v/>
      </c>
      <c r="N476" s="51" t="str">
        <f t="shared" si="477"/>
        <v/>
      </c>
      <c r="O476" s="51" t="str">
        <f t="shared" si="477"/>
        <v/>
      </c>
      <c r="P476" s="51" t="str">
        <f t="shared" si="477"/>
        <v/>
      </c>
      <c r="Q476" s="51" t="str">
        <f t="shared" si="477"/>
        <v/>
      </c>
      <c r="R476" s="51" t="str">
        <f t="shared" si="477"/>
        <v/>
      </c>
      <c r="S476" s="51" t="str">
        <f t="shared" si="477"/>
        <v/>
      </c>
      <c r="T476" s="51" t="str">
        <f t="shared" si="477"/>
        <v/>
      </c>
      <c r="U476" s="52"/>
      <c r="V476" s="52" t="str">
        <f>IFERROR(__xludf.DUMMYFUNCTION("""COMPUTED_VALUE"""),"")</f>
        <v/>
      </c>
      <c r="W476" s="52" t="str">
        <f>IFERROR(__xludf.DUMMYFUNCTION("""COMPUTED_VALUE"""),"")</f>
        <v/>
      </c>
      <c r="X476" s="52" t="str">
        <f>IFERROR(__xludf.DUMMYFUNCTION("""COMPUTED_VALUE"""),"")</f>
        <v/>
      </c>
      <c r="Y476" s="52" t="str">
        <f>IFERROR(__xludf.DUMMYFUNCTION("""COMPUTED_VALUE"""),"")</f>
        <v/>
      </c>
      <c r="Z476" s="52" t="str">
        <f>IFERROR(__xludf.DUMMYFUNCTION("""COMPUTED_VALUE"""),"")</f>
        <v/>
      </c>
      <c r="AA476" s="52" t="str">
        <f>IFERROR(__xludf.DUMMYFUNCTION("""COMPUTED_VALUE"""),"")</f>
        <v/>
      </c>
      <c r="AB476" s="52" t="str">
        <f>IFERROR(__xludf.DUMMYFUNCTION("""COMPUTED_VALUE"""),"")</f>
        <v/>
      </c>
      <c r="AC476" s="52" t="str">
        <f>IFERROR(__xludf.DUMMYFUNCTION("""COMPUTED_VALUE"""),"")</f>
        <v/>
      </c>
      <c r="AD476" s="52" t="str">
        <f>IFERROR(__xludf.DUMMYFUNCTION("""COMPUTED_VALUE"""),"")</f>
        <v/>
      </c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</row>
    <row r="477">
      <c r="B477" s="49"/>
      <c r="C477" s="49" t="str">
        <f t="shared" si="2"/>
        <v/>
      </c>
      <c r="D477" s="50" t="str">
        <f t="shared" si="3"/>
        <v/>
      </c>
      <c r="E477" s="51" t="str">
        <f t="shared" ref="E477:T477" si="478">IFERROR(VLOOKUP($A477,INDIRECT("'" &amp; E$1 &amp; "'!$C:$G"), 5, FALSE),"")</f>
        <v/>
      </c>
      <c r="F477" s="51" t="str">
        <f t="shared" si="478"/>
        <v/>
      </c>
      <c r="G477" s="51" t="str">
        <f t="shared" si="478"/>
        <v/>
      </c>
      <c r="H477" s="51" t="str">
        <f t="shared" si="478"/>
        <v/>
      </c>
      <c r="I477" s="51" t="str">
        <f t="shared" si="478"/>
        <v/>
      </c>
      <c r="J477" s="51" t="str">
        <f t="shared" si="478"/>
        <v/>
      </c>
      <c r="K477" s="51" t="str">
        <f t="shared" si="478"/>
        <v/>
      </c>
      <c r="L477" s="51" t="str">
        <f t="shared" si="478"/>
        <v/>
      </c>
      <c r="M477" s="51" t="str">
        <f t="shared" si="478"/>
        <v/>
      </c>
      <c r="N477" s="51" t="str">
        <f t="shared" si="478"/>
        <v/>
      </c>
      <c r="O477" s="51" t="str">
        <f t="shared" si="478"/>
        <v/>
      </c>
      <c r="P477" s="51" t="str">
        <f t="shared" si="478"/>
        <v/>
      </c>
      <c r="Q477" s="51" t="str">
        <f t="shared" si="478"/>
        <v/>
      </c>
      <c r="R477" s="51" t="str">
        <f t="shared" si="478"/>
        <v/>
      </c>
      <c r="S477" s="51" t="str">
        <f t="shared" si="478"/>
        <v/>
      </c>
      <c r="T477" s="51" t="str">
        <f t="shared" si="478"/>
        <v/>
      </c>
      <c r="U477" s="52"/>
      <c r="V477" s="52" t="str">
        <f>IFERROR(__xludf.DUMMYFUNCTION("""COMPUTED_VALUE"""),"")</f>
        <v/>
      </c>
      <c r="W477" s="52" t="str">
        <f>IFERROR(__xludf.DUMMYFUNCTION("""COMPUTED_VALUE"""),"")</f>
        <v/>
      </c>
      <c r="X477" s="52" t="str">
        <f>IFERROR(__xludf.DUMMYFUNCTION("""COMPUTED_VALUE"""),"")</f>
        <v/>
      </c>
      <c r="Y477" s="52" t="str">
        <f>IFERROR(__xludf.DUMMYFUNCTION("""COMPUTED_VALUE"""),"")</f>
        <v/>
      </c>
      <c r="Z477" s="52" t="str">
        <f>IFERROR(__xludf.DUMMYFUNCTION("""COMPUTED_VALUE"""),"")</f>
        <v/>
      </c>
      <c r="AA477" s="52" t="str">
        <f>IFERROR(__xludf.DUMMYFUNCTION("""COMPUTED_VALUE"""),"")</f>
        <v/>
      </c>
      <c r="AB477" s="52" t="str">
        <f>IFERROR(__xludf.DUMMYFUNCTION("""COMPUTED_VALUE"""),"")</f>
        <v/>
      </c>
      <c r="AC477" s="52" t="str">
        <f>IFERROR(__xludf.DUMMYFUNCTION("""COMPUTED_VALUE"""),"")</f>
        <v/>
      </c>
      <c r="AD477" s="52" t="str">
        <f>IFERROR(__xludf.DUMMYFUNCTION("""COMPUTED_VALUE"""),"")</f>
        <v/>
      </c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</row>
    <row r="478">
      <c r="B478" s="49"/>
      <c r="C478" s="49" t="str">
        <f t="shared" si="2"/>
        <v/>
      </c>
      <c r="D478" s="50" t="str">
        <f t="shared" si="3"/>
        <v/>
      </c>
      <c r="E478" s="51" t="str">
        <f t="shared" ref="E478:T478" si="479">IFERROR(VLOOKUP($A478,INDIRECT("'" &amp; E$1 &amp; "'!$C:$G"), 5, FALSE),"")</f>
        <v/>
      </c>
      <c r="F478" s="51" t="str">
        <f t="shared" si="479"/>
        <v/>
      </c>
      <c r="G478" s="51" t="str">
        <f t="shared" si="479"/>
        <v/>
      </c>
      <c r="H478" s="51" t="str">
        <f t="shared" si="479"/>
        <v/>
      </c>
      <c r="I478" s="51" t="str">
        <f t="shared" si="479"/>
        <v/>
      </c>
      <c r="J478" s="51" t="str">
        <f t="shared" si="479"/>
        <v/>
      </c>
      <c r="K478" s="51" t="str">
        <f t="shared" si="479"/>
        <v/>
      </c>
      <c r="L478" s="51" t="str">
        <f t="shared" si="479"/>
        <v/>
      </c>
      <c r="M478" s="51" t="str">
        <f t="shared" si="479"/>
        <v/>
      </c>
      <c r="N478" s="51" t="str">
        <f t="shared" si="479"/>
        <v/>
      </c>
      <c r="O478" s="51" t="str">
        <f t="shared" si="479"/>
        <v/>
      </c>
      <c r="P478" s="51" t="str">
        <f t="shared" si="479"/>
        <v/>
      </c>
      <c r="Q478" s="51" t="str">
        <f t="shared" si="479"/>
        <v/>
      </c>
      <c r="R478" s="51" t="str">
        <f t="shared" si="479"/>
        <v/>
      </c>
      <c r="S478" s="51" t="str">
        <f t="shared" si="479"/>
        <v/>
      </c>
      <c r="T478" s="51" t="str">
        <f t="shared" si="479"/>
        <v/>
      </c>
      <c r="U478" s="52"/>
      <c r="V478" s="52" t="str">
        <f>IFERROR(__xludf.DUMMYFUNCTION("""COMPUTED_VALUE"""),"")</f>
        <v/>
      </c>
      <c r="W478" s="52" t="str">
        <f>IFERROR(__xludf.DUMMYFUNCTION("""COMPUTED_VALUE"""),"")</f>
        <v/>
      </c>
      <c r="X478" s="52" t="str">
        <f>IFERROR(__xludf.DUMMYFUNCTION("""COMPUTED_VALUE"""),"")</f>
        <v/>
      </c>
      <c r="Y478" s="52" t="str">
        <f>IFERROR(__xludf.DUMMYFUNCTION("""COMPUTED_VALUE"""),"")</f>
        <v/>
      </c>
      <c r="Z478" s="52" t="str">
        <f>IFERROR(__xludf.DUMMYFUNCTION("""COMPUTED_VALUE"""),"")</f>
        <v/>
      </c>
      <c r="AA478" s="52" t="str">
        <f>IFERROR(__xludf.DUMMYFUNCTION("""COMPUTED_VALUE"""),"")</f>
        <v/>
      </c>
      <c r="AB478" s="52" t="str">
        <f>IFERROR(__xludf.DUMMYFUNCTION("""COMPUTED_VALUE"""),"")</f>
        <v/>
      </c>
      <c r="AC478" s="52" t="str">
        <f>IFERROR(__xludf.DUMMYFUNCTION("""COMPUTED_VALUE"""),"")</f>
        <v/>
      </c>
      <c r="AD478" s="52" t="str">
        <f>IFERROR(__xludf.DUMMYFUNCTION("""COMPUTED_VALUE"""),"")</f>
        <v/>
      </c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</row>
    <row r="479">
      <c r="B479" s="49"/>
      <c r="C479" s="49" t="str">
        <f t="shared" si="2"/>
        <v/>
      </c>
      <c r="D479" s="50" t="str">
        <f t="shared" si="3"/>
        <v/>
      </c>
      <c r="E479" s="51" t="str">
        <f t="shared" ref="E479:T479" si="480">IFERROR(VLOOKUP($A479,INDIRECT("'" &amp; E$1 &amp; "'!$C:$G"), 5, FALSE),"")</f>
        <v/>
      </c>
      <c r="F479" s="51" t="str">
        <f t="shared" si="480"/>
        <v/>
      </c>
      <c r="G479" s="51" t="str">
        <f t="shared" si="480"/>
        <v/>
      </c>
      <c r="H479" s="51" t="str">
        <f t="shared" si="480"/>
        <v/>
      </c>
      <c r="I479" s="51" t="str">
        <f t="shared" si="480"/>
        <v/>
      </c>
      <c r="J479" s="51" t="str">
        <f t="shared" si="480"/>
        <v/>
      </c>
      <c r="K479" s="51" t="str">
        <f t="shared" si="480"/>
        <v/>
      </c>
      <c r="L479" s="51" t="str">
        <f t="shared" si="480"/>
        <v/>
      </c>
      <c r="M479" s="51" t="str">
        <f t="shared" si="480"/>
        <v/>
      </c>
      <c r="N479" s="51" t="str">
        <f t="shared" si="480"/>
        <v/>
      </c>
      <c r="O479" s="51" t="str">
        <f t="shared" si="480"/>
        <v/>
      </c>
      <c r="P479" s="51" t="str">
        <f t="shared" si="480"/>
        <v/>
      </c>
      <c r="Q479" s="51" t="str">
        <f t="shared" si="480"/>
        <v/>
      </c>
      <c r="R479" s="51" t="str">
        <f t="shared" si="480"/>
        <v/>
      </c>
      <c r="S479" s="51" t="str">
        <f t="shared" si="480"/>
        <v/>
      </c>
      <c r="T479" s="51" t="str">
        <f t="shared" si="480"/>
        <v/>
      </c>
      <c r="U479" s="52"/>
      <c r="V479" s="52" t="str">
        <f>IFERROR(__xludf.DUMMYFUNCTION("""COMPUTED_VALUE"""),"")</f>
        <v/>
      </c>
      <c r="W479" s="52" t="str">
        <f>IFERROR(__xludf.DUMMYFUNCTION("""COMPUTED_VALUE"""),"")</f>
        <v/>
      </c>
      <c r="X479" s="52" t="str">
        <f>IFERROR(__xludf.DUMMYFUNCTION("""COMPUTED_VALUE"""),"")</f>
        <v/>
      </c>
      <c r="Y479" s="52" t="str">
        <f>IFERROR(__xludf.DUMMYFUNCTION("""COMPUTED_VALUE"""),"")</f>
        <v/>
      </c>
      <c r="Z479" s="52" t="str">
        <f>IFERROR(__xludf.DUMMYFUNCTION("""COMPUTED_VALUE"""),"")</f>
        <v/>
      </c>
      <c r="AA479" s="52" t="str">
        <f>IFERROR(__xludf.DUMMYFUNCTION("""COMPUTED_VALUE"""),"")</f>
        <v/>
      </c>
      <c r="AB479" s="52" t="str">
        <f>IFERROR(__xludf.DUMMYFUNCTION("""COMPUTED_VALUE"""),"")</f>
        <v/>
      </c>
      <c r="AC479" s="52" t="str">
        <f>IFERROR(__xludf.DUMMYFUNCTION("""COMPUTED_VALUE"""),"")</f>
        <v/>
      </c>
      <c r="AD479" s="52" t="str">
        <f>IFERROR(__xludf.DUMMYFUNCTION("""COMPUTED_VALUE"""),"")</f>
        <v/>
      </c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</row>
    <row r="480">
      <c r="B480" s="49"/>
      <c r="C480" s="49" t="str">
        <f t="shared" si="2"/>
        <v/>
      </c>
      <c r="D480" s="50" t="str">
        <f t="shared" si="3"/>
        <v/>
      </c>
      <c r="E480" s="51" t="str">
        <f t="shared" ref="E480:T480" si="481">IFERROR(VLOOKUP($A480,INDIRECT("'" &amp; E$1 &amp; "'!$C:$G"), 5, FALSE),"")</f>
        <v/>
      </c>
      <c r="F480" s="51" t="str">
        <f t="shared" si="481"/>
        <v/>
      </c>
      <c r="G480" s="51" t="str">
        <f t="shared" si="481"/>
        <v/>
      </c>
      <c r="H480" s="51" t="str">
        <f t="shared" si="481"/>
        <v/>
      </c>
      <c r="I480" s="51" t="str">
        <f t="shared" si="481"/>
        <v/>
      </c>
      <c r="J480" s="51" t="str">
        <f t="shared" si="481"/>
        <v/>
      </c>
      <c r="K480" s="51" t="str">
        <f t="shared" si="481"/>
        <v/>
      </c>
      <c r="L480" s="51" t="str">
        <f t="shared" si="481"/>
        <v/>
      </c>
      <c r="M480" s="51" t="str">
        <f t="shared" si="481"/>
        <v/>
      </c>
      <c r="N480" s="51" t="str">
        <f t="shared" si="481"/>
        <v/>
      </c>
      <c r="O480" s="51" t="str">
        <f t="shared" si="481"/>
        <v/>
      </c>
      <c r="P480" s="51" t="str">
        <f t="shared" si="481"/>
        <v/>
      </c>
      <c r="Q480" s="51" t="str">
        <f t="shared" si="481"/>
        <v/>
      </c>
      <c r="R480" s="51" t="str">
        <f t="shared" si="481"/>
        <v/>
      </c>
      <c r="S480" s="51" t="str">
        <f t="shared" si="481"/>
        <v/>
      </c>
      <c r="T480" s="51" t="str">
        <f t="shared" si="481"/>
        <v/>
      </c>
      <c r="U480" s="52"/>
      <c r="V480" s="52" t="str">
        <f>IFERROR(__xludf.DUMMYFUNCTION("""COMPUTED_VALUE"""),"")</f>
        <v/>
      </c>
      <c r="W480" s="52" t="str">
        <f>IFERROR(__xludf.DUMMYFUNCTION("""COMPUTED_VALUE"""),"")</f>
        <v/>
      </c>
      <c r="X480" s="52" t="str">
        <f>IFERROR(__xludf.DUMMYFUNCTION("""COMPUTED_VALUE"""),"")</f>
        <v/>
      </c>
      <c r="Y480" s="52" t="str">
        <f>IFERROR(__xludf.DUMMYFUNCTION("""COMPUTED_VALUE"""),"")</f>
        <v/>
      </c>
      <c r="Z480" s="52" t="str">
        <f>IFERROR(__xludf.DUMMYFUNCTION("""COMPUTED_VALUE"""),"")</f>
        <v/>
      </c>
      <c r="AA480" s="52" t="str">
        <f>IFERROR(__xludf.DUMMYFUNCTION("""COMPUTED_VALUE"""),"")</f>
        <v/>
      </c>
      <c r="AB480" s="52" t="str">
        <f>IFERROR(__xludf.DUMMYFUNCTION("""COMPUTED_VALUE"""),"")</f>
        <v/>
      </c>
      <c r="AC480" s="52" t="str">
        <f>IFERROR(__xludf.DUMMYFUNCTION("""COMPUTED_VALUE"""),"")</f>
        <v/>
      </c>
      <c r="AD480" s="52" t="str">
        <f>IFERROR(__xludf.DUMMYFUNCTION("""COMPUTED_VALUE"""),"")</f>
        <v/>
      </c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</row>
    <row r="481">
      <c r="B481" s="49"/>
      <c r="C481" s="49" t="str">
        <f t="shared" si="2"/>
        <v/>
      </c>
      <c r="D481" s="50" t="str">
        <f t="shared" si="3"/>
        <v/>
      </c>
      <c r="E481" s="51" t="str">
        <f t="shared" ref="E481:T481" si="482">IFERROR(VLOOKUP($A481,INDIRECT("'" &amp; E$1 &amp; "'!$C:$G"), 5, FALSE),"")</f>
        <v/>
      </c>
      <c r="F481" s="51" t="str">
        <f t="shared" si="482"/>
        <v/>
      </c>
      <c r="G481" s="51" t="str">
        <f t="shared" si="482"/>
        <v/>
      </c>
      <c r="H481" s="51" t="str">
        <f t="shared" si="482"/>
        <v/>
      </c>
      <c r="I481" s="51" t="str">
        <f t="shared" si="482"/>
        <v/>
      </c>
      <c r="J481" s="51" t="str">
        <f t="shared" si="482"/>
        <v/>
      </c>
      <c r="K481" s="51" t="str">
        <f t="shared" si="482"/>
        <v/>
      </c>
      <c r="L481" s="51" t="str">
        <f t="shared" si="482"/>
        <v/>
      </c>
      <c r="M481" s="51" t="str">
        <f t="shared" si="482"/>
        <v/>
      </c>
      <c r="N481" s="51" t="str">
        <f t="shared" si="482"/>
        <v/>
      </c>
      <c r="O481" s="51" t="str">
        <f t="shared" si="482"/>
        <v/>
      </c>
      <c r="P481" s="51" t="str">
        <f t="shared" si="482"/>
        <v/>
      </c>
      <c r="Q481" s="51" t="str">
        <f t="shared" si="482"/>
        <v/>
      </c>
      <c r="R481" s="51" t="str">
        <f t="shared" si="482"/>
        <v/>
      </c>
      <c r="S481" s="51" t="str">
        <f t="shared" si="482"/>
        <v/>
      </c>
      <c r="T481" s="51" t="str">
        <f t="shared" si="482"/>
        <v/>
      </c>
      <c r="U481" s="52"/>
      <c r="V481" s="52" t="str">
        <f>IFERROR(__xludf.DUMMYFUNCTION("""COMPUTED_VALUE"""),"")</f>
        <v/>
      </c>
      <c r="W481" s="52" t="str">
        <f>IFERROR(__xludf.DUMMYFUNCTION("""COMPUTED_VALUE"""),"")</f>
        <v/>
      </c>
      <c r="X481" s="52" t="str">
        <f>IFERROR(__xludf.DUMMYFUNCTION("""COMPUTED_VALUE"""),"")</f>
        <v/>
      </c>
      <c r="Y481" s="52" t="str">
        <f>IFERROR(__xludf.DUMMYFUNCTION("""COMPUTED_VALUE"""),"")</f>
        <v/>
      </c>
      <c r="Z481" s="52" t="str">
        <f>IFERROR(__xludf.DUMMYFUNCTION("""COMPUTED_VALUE"""),"")</f>
        <v/>
      </c>
      <c r="AA481" s="52" t="str">
        <f>IFERROR(__xludf.DUMMYFUNCTION("""COMPUTED_VALUE"""),"")</f>
        <v/>
      </c>
      <c r="AB481" s="52" t="str">
        <f>IFERROR(__xludf.DUMMYFUNCTION("""COMPUTED_VALUE"""),"")</f>
        <v/>
      </c>
      <c r="AC481" s="52" t="str">
        <f>IFERROR(__xludf.DUMMYFUNCTION("""COMPUTED_VALUE"""),"")</f>
        <v/>
      </c>
      <c r="AD481" s="52" t="str">
        <f>IFERROR(__xludf.DUMMYFUNCTION("""COMPUTED_VALUE"""),"")</f>
        <v/>
      </c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</row>
    <row r="482">
      <c r="B482" s="49"/>
      <c r="C482" s="49" t="str">
        <f t="shared" si="2"/>
        <v/>
      </c>
      <c r="D482" s="50" t="str">
        <f t="shared" si="3"/>
        <v/>
      </c>
      <c r="E482" s="51" t="str">
        <f t="shared" ref="E482:T482" si="483">IFERROR(VLOOKUP($A482,INDIRECT("'" &amp; E$1 &amp; "'!$C:$G"), 5, FALSE),"")</f>
        <v/>
      </c>
      <c r="F482" s="51" t="str">
        <f t="shared" si="483"/>
        <v/>
      </c>
      <c r="G482" s="51" t="str">
        <f t="shared" si="483"/>
        <v/>
      </c>
      <c r="H482" s="51" t="str">
        <f t="shared" si="483"/>
        <v/>
      </c>
      <c r="I482" s="51" t="str">
        <f t="shared" si="483"/>
        <v/>
      </c>
      <c r="J482" s="51" t="str">
        <f t="shared" si="483"/>
        <v/>
      </c>
      <c r="K482" s="51" t="str">
        <f t="shared" si="483"/>
        <v/>
      </c>
      <c r="L482" s="51" t="str">
        <f t="shared" si="483"/>
        <v/>
      </c>
      <c r="M482" s="51" t="str">
        <f t="shared" si="483"/>
        <v/>
      </c>
      <c r="N482" s="51" t="str">
        <f t="shared" si="483"/>
        <v/>
      </c>
      <c r="O482" s="51" t="str">
        <f t="shared" si="483"/>
        <v/>
      </c>
      <c r="P482" s="51" t="str">
        <f t="shared" si="483"/>
        <v/>
      </c>
      <c r="Q482" s="51" t="str">
        <f t="shared" si="483"/>
        <v/>
      </c>
      <c r="R482" s="51" t="str">
        <f t="shared" si="483"/>
        <v/>
      </c>
      <c r="S482" s="51" t="str">
        <f t="shared" si="483"/>
        <v/>
      </c>
      <c r="T482" s="51" t="str">
        <f t="shared" si="483"/>
        <v/>
      </c>
      <c r="U482" s="52"/>
      <c r="V482" s="52" t="str">
        <f>IFERROR(__xludf.DUMMYFUNCTION("""COMPUTED_VALUE"""),"")</f>
        <v/>
      </c>
      <c r="W482" s="52" t="str">
        <f>IFERROR(__xludf.DUMMYFUNCTION("""COMPUTED_VALUE"""),"")</f>
        <v/>
      </c>
      <c r="X482" s="52" t="str">
        <f>IFERROR(__xludf.DUMMYFUNCTION("""COMPUTED_VALUE"""),"")</f>
        <v/>
      </c>
      <c r="Y482" s="52" t="str">
        <f>IFERROR(__xludf.DUMMYFUNCTION("""COMPUTED_VALUE"""),"")</f>
        <v/>
      </c>
      <c r="Z482" s="52" t="str">
        <f>IFERROR(__xludf.DUMMYFUNCTION("""COMPUTED_VALUE"""),"")</f>
        <v/>
      </c>
      <c r="AA482" s="52" t="str">
        <f>IFERROR(__xludf.DUMMYFUNCTION("""COMPUTED_VALUE"""),"")</f>
        <v/>
      </c>
      <c r="AB482" s="52" t="str">
        <f>IFERROR(__xludf.DUMMYFUNCTION("""COMPUTED_VALUE"""),"")</f>
        <v/>
      </c>
      <c r="AC482" s="52" t="str">
        <f>IFERROR(__xludf.DUMMYFUNCTION("""COMPUTED_VALUE"""),"")</f>
        <v/>
      </c>
      <c r="AD482" s="52" t="str">
        <f>IFERROR(__xludf.DUMMYFUNCTION("""COMPUTED_VALUE"""),"")</f>
        <v/>
      </c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</row>
    <row r="483">
      <c r="B483" s="49"/>
      <c r="C483" s="49" t="str">
        <f t="shared" si="2"/>
        <v/>
      </c>
      <c r="D483" s="50" t="str">
        <f t="shared" si="3"/>
        <v/>
      </c>
      <c r="E483" s="51" t="str">
        <f t="shared" ref="E483:T483" si="484">IFERROR(VLOOKUP($A483,INDIRECT("'" &amp; E$1 &amp; "'!$C:$G"), 5, FALSE),"")</f>
        <v/>
      </c>
      <c r="F483" s="51" t="str">
        <f t="shared" si="484"/>
        <v/>
      </c>
      <c r="G483" s="51" t="str">
        <f t="shared" si="484"/>
        <v/>
      </c>
      <c r="H483" s="51" t="str">
        <f t="shared" si="484"/>
        <v/>
      </c>
      <c r="I483" s="51" t="str">
        <f t="shared" si="484"/>
        <v/>
      </c>
      <c r="J483" s="51" t="str">
        <f t="shared" si="484"/>
        <v/>
      </c>
      <c r="K483" s="51" t="str">
        <f t="shared" si="484"/>
        <v/>
      </c>
      <c r="L483" s="51" t="str">
        <f t="shared" si="484"/>
        <v/>
      </c>
      <c r="M483" s="51" t="str">
        <f t="shared" si="484"/>
        <v/>
      </c>
      <c r="N483" s="51" t="str">
        <f t="shared" si="484"/>
        <v/>
      </c>
      <c r="O483" s="51" t="str">
        <f t="shared" si="484"/>
        <v/>
      </c>
      <c r="P483" s="51" t="str">
        <f t="shared" si="484"/>
        <v/>
      </c>
      <c r="Q483" s="51" t="str">
        <f t="shared" si="484"/>
        <v/>
      </c>
      <c r="R483" s="51" t="str">
        <f t="shared" si="484"/>
        <v/>
      </c>
      <c r="S483" s="51" t="str">
        <f t="shared" si="484"/>
        <v/>
      </c>
      <c r="T483" s="51" t="str">
        <f t="shared" si="484"/>
        <v/>
      </c>
      <c r="U483" s="52"/>
      <c r="V483" s="52" t="str">
        <f>IFERROR(__xludf.DUMMYFUNCTION("""COMPUTED_VALUE"""),"")</f>
        <v/>
      </c>
      <c r="W483" s="52" t="str">
        <f>IFERROR(__xludf.DUMMYFUNCTION("""COMPUTED_VALUE"""),"")</f>
        <v/>
      </c>
      <c r="X483" s="52" t="str">
        <f>IFERROR(__xludf.DUMMYFUNCTION("""COMPUTED_VALUE"""),"")</f>
        <v/>
      </c>
      <c r="Y483" s="52" t="str">
        <f>IFERROR(__xludf.DUMMYFUNCTION("""COMPUTED_VALUE"""),"")</f>
        <v/>
      </c>
      <c r="Z483" s="52" t="str">
        <f>IFERROR(__xludf.DUMMYFUNCTION("""COMPUTED_VALUE"""),"")</f>
        <v/>
      </c>
      <c r="AA483" s="52" t="str">
        <f>IFERROR(__xludf.DUMMYFUNCTION("""COMPUTED_VALUE"""),"")</f>
        <v/>
      </c>
      <c r="AB483" s="52" t="str">
        <f>IFERROR(__xludf.DUMMYFUNCTION("""COMPUTED_VALUE"""),"")</f>
        <v/>
      </c>
      <c r="AC483" s="52" t="str">
        <f>IFERROR(__xludf.DUMMYFUNCTION("""COMPUTED_VALUE"""),"")</f>
        <v/>
      </c>
      <c r="AD483" s="52" t="str">
        <f>IFERROR(__xludf.DUMMYFUNCTION("""COMPUTED_VALUE"""),"")</f>
        <v/>
      </c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</row>
    <row r="484">
      <c r="B484" s="49"/>
      <c r="C484" s="49" t="str">
        <f t="shared" si="2"/>
        <v/>
      </c>
      <c r="D484" s="50" t="str">
        <f t="shared" si="3"/>
        <v/>
      </c>
      <c r="E484" s="51" t="str">
        <f t="shared" ref="E484:T484" si="485">IFERROR(VLOOKUP($A484,INDIRECT("'" &amp; E$1 &amp; "'!$C:$G"), 5, FALSE),"")</f>
        <v/>
      </c>
      <c r="F484" s="51" t="str">
        <f t="shared" si="485"/>
        <v/>
      </c>
      <c r="G484" s="51" t="str">
        <f t="shared" si="485"/>
        <v/>
      </c>
      <c r="H484" s="51" t="str">
        <f t="shared" si="485"/>
        <v/>
      </c>
      <c r="I484" s="51" t="str">
        <f t="shared" si="485"/>
        <v/>
      </c>
      <c r="J484" s="51" t="str">
        <f t="shared" si="485"/>
        <v/>
      </c>
      <c r="K484" s="51" t="str">
        <f t="shared" si="485"/>
        <v/>
      </c>
      <c r="L484" s="51" t="str">
        <f t="shared" si="485"/>
        <v/>
      </c>
      <c r="M484" s="51" t="str">
        <f t="shared" si="485"/>
        <v/>
      </c>
      <c r="N484" s="51" t="str">
        <f t="shared" si="485"/>
        <v/>
      </c>
      <c r="O484" s="51" t="str">
        <f t="shared" si="485"/>
        <v/>
      </c>
      <c r="P484" s="51" t="str">
        <f t="shared" si="485"/>
        <v/>
      </c>
      <c r="Q484" s="51" t="str">
        <f t="shared" si="485"/>
        <v/>
      </c>
      <c r="R484" s="51" t="str">
        <f t="shared" si="485"/>
        <v/>
      </c>
      <c r="S484" s="51" t="str">
        <f t="shared" si="485"/>
        <v/>
      </c>
      <c r="T484" s="51" t="str">
        <f t="shared" si="485"/>
        <v/>
      </c>
      <c r="U484" s="52"/>
      <c r="V484" s="52" t="str">
        <f>IFERROR(__xludf.DUMMYFUNCTION("""COMPUTED_VALUE"""),"")</f>
        <v/>
      </c>
      <c r="W484" s="52" t="str">
        <f>IFERROR(__xludf.DUMMYFUNCTION("""COMPUTED_VALUE"""),"")</f>
        <v/>
      </c>
      <c r="X484" s="52" t="str">
        <f>IFERROR(__xludf.DUMMYFUNCTION("""COMPUTED_VALUE"""),"")</f>
        <v/>
      </c>
      <c r="Y484" s="52" t="str">
        <f>IFERROR(__xludf.DUMMYFUNCTION("""COMPUTED_VALUE"""),"")</f>
        <v/>
      </c>
      <c r="Z484" s="52" t="str">
        <f>IFERROR(__xludf.DUMMYFUNCTION("""COMPUTED_VALUE"""),"")</f>
        <v/>
      </c>
      <c r="AA484" s="52" t="str">
        <f>IFERROR(__xludf.DUMMYFUNCTION("""COMPUTED_VALUE"""),"")</f>
        <v/>
      </c>
      <c r="AB484" s="52" t="str">
        <f>IFERROR(__xludf.DUMMYFUNCTION("""COMPUTED_VALUE"""),"")</f>
        <v/>
      </c>
      <c r="AC484" s="52" t="str">
        <f>IFERROR(__xludf.DUMMYFUNCTION("""COMPUTED_VALUE"""),"")</f>
        <v/>
      </c>
      <c r="AD484" s="52" t="str">
        <f>IFERROR(__xludf.DUMMYFUNCTION("""COMPUTED_VALUE"""),"")</f>
        <v/>
      </c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</row>
    <row r="485">
      <c r="B485" s="49"/>
      <c r="C485" s="49" t="str">
        <f t="shared" si="2"/>
        <v/>
      </c>
      <c r="D485" s="50" t="str">
        <f t="shared" si="3"/>
        <v/>
      </c>
      <c r="E485" s="51" t="str">
        <f t="shared" ref="E485:T485" si="486">IFERROR(VLOOKUP($A485,INDIRECT("'" &amp; E$1 &amp; "'!$C:$G"), 5, FALSE),"")</f>
        <v/>
      </c>
      <c r="F485" s="51" t="str">
        <f t="shared" si="486"/>
        <v/>
      </c>
      <c r="G485" s="51" t="str">
        <f t="shared" si="486"/>
        <v/>
      </c>
      <c r="H485" s="51" t="str">
        <f t="shared" si="486"/>
        <v/>
      </c>
      <c r="I485" s="51" t="str">
        <f t="shared" si="486"/>
        <v/>
      </c>
      <c r="J485" s="51" t="str">
        <f t="shared" si="486"/>
        <v/>
      </c>
      <c r="K485" s="51" t="str">
        <f t="shared" si="486"/>
        <v/>
      </c>
      <c r="L485" s="51" t="str">
        <f t="shared" si="486"/>
        <v/>
      </c>
      <c r="M485" s="51" t="str">
        <f t="shared" si="486"/>
        <v/>
      </c>
      <c r="N485" s="51" t="str">
        <f t="shared" si="486"/>
        <v/>
      </c>
      <c r="O485" s="51" t="str">
        <f t="shared" si="486"/>
        <v/>
      </c>
      <c r="P485" s="51" t="str">
        <f t="shared" si="486"/>
        <v/>
      </c>
      <c r="Q485" s="51" t="str">
        <f t="shared" si="486"/>
        <v/>
      </c>
      <c r="R485" s="51" t="str">
        <f t="shared" si="486"/>
        <v/>
      </c>
      <c r="S485" s="51" t="str">
        <f t="shared" si="486"/>
        <v/>
      </c>
      <c r="T485" s="51" t="str">
        <f t="shared" si="486"/>
        <v/>
      </c>
      <c r="U485" s="52"/>
      <c r="V485" s="52" t="str">
        <f>IFERROR(__xludf.DUMMYFUNCTION("""COMPUTED_VALUE"""),"")</f>
        <v/>
      </c>
      <c r="W485" s="52" t="str">
        <f>IFERROR(__xludf.DUMMYFUNCTION("""COMPUTED_VALUE"""),"")</f>
        <v/>
      </c>
      <c r="X485" s="52" t="str">
        <f>IFERROR(__xludf.DUMMYFUNCTION("""COMPUTED_VALUE"""),"")</f>
        <v/>
      </c>
      <c r="Y485" s="52" t="str">
        <f>IFERROR(__xludf.DUMMYFUNCTION("""COMPUTED_VALUE"""),"")</f>
        <v/>
      </c>
      <c r="Z485" s="52" t="str">
        <f>IFERROR(__xludf.DUMMYFUNCTION("""COMPUTED_VALUE"""),"")</f>
        <v/>
      </c>
      <c r="AA485" s="52" t="str">
        <f>IFERROR(__xludf.DUMMYFUNCTION("""COMPUTED_VALUE"""),"")</f>
        <v/>
      </c>
      <c r="AB485" s="52" t="str">
        <f>IFERROR(__xludf.DUMMYFUNCTION("""COMPUTED_VALUE"""),"")</f>
        <v/>
      </c>
      <c r="AC485" s="52" t="str">
        <f>IFERROR(__xludf.DUMMYFUNCTION("""COMPUTED_VALUE"""),"")</f>
        <v/>
      </c>
      <c r="AD485" s="52" t="str">
        <f>IFERROR(__xludf.DUMMYFUNCTION("""COMPUTED_VALUE"""),"")</f>
        <v/>
      </c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</row>
    <row r="486">
      <c r="B486" s="49"/>
      <c r="C486" s="49" t="str">
        <f t="shared" si="2"/>
        <v/>
      </c>
      <c r="D486" s="50" t="str">
        <f t="shared" si="3"/>
        <v/>
      </c>
      <c r="E486" s="51" t="str">
        <f t="shared" ref="E486:T486" si="487">IFERROR(VLOOKUP($A486,INDIRECT("'" &amp; E$1 &amp; "'!$C:$G"), 5, FALSE),"")</f>
        <v/>
      </c>
      <c r="F486" s="51" t="str">
        <f t="shared" si="487"/>
        <v/>
      </c>
      <c r="G486" s="51" t="str">
        <f t="shared" si="487"/>
        <v/>
      </c>
      <c r="H486" s="51" t="str">
        <f t="shared" si="487"/>
        <v/>
      </c>
      <c r="I486" s="51" t="str">
        <f t="shared" si="487"/>
        <v/>
      </c>
      <c r="J486" s="51" t="str">
        <f t="shared" si="487"/>
        <v/>
      </c>
      <c r="K486" s="51" t="str">
        <f t="shared" si="487"/>
        <v/>
      </c>
      <c r="L486" s="51" t="str">
        <f t="shared" si="487"/>
        <v/>
      </c>
      <c r="M486" s="51" t="str">
        <f t="shared" si="487"/>
        <v/>
      </c>
      <c r="N486" s="51" t="str">
        <f t="shared" si="487"/>
        <v/>
      </c>
      <c r="O486" s="51" t="str">
        <f t="shared" si="487"/>
        <v/>
      </c>
      <c r="P486" s="51" t="str">
        <f t="shared" si="487"/>
        <v/>
      </c>
      <c r="Q486" s="51" t="str">
        <f t="shared" si="487"/>
        <v/>
      </c>
      <c r="R486" s="51" t="str">
        <f t="shared" si="487"/>
        <v/>
      </c>
      <c r="S486" s="51" t="str">
        <f t="shared" si="487"/>
        <v/>
      </c>
      <c r="T486" s="51" t="str">
        <f t="shared" si="487"/>
        <v/>
      </c>
      <c r="U486" s="52"/>
      <c r="V486" s="52" t="str">
        <f>IFERROR(__xludf.DUMMYFUNCTION("""COMPUTED_VALUE"""),"")</f>
        <v/>
      </c>
      <c r="W486" s="52" t="str">
        <f>IFERROR(__xludf.DUMMYFUNCTION("""COMPUTED_VALUE"""),"")</f>
        <v/>
      </c>
      <c r="X486" s="52" t="str">
        <f>IFERROR(__xludf.DUMMYFUNCTION("""COMPUTED_VALUE"""),"")</f>
        <v/>
      </c>
      <c r="Y486" s="52" t="str">
        <f>IFERROR(__xludf.DUMMYFUNCTION("""COMPUTED_VALUE"""),"")</f>
        <v/>
      </c>
      <c r="Z486" s="52" t="str">
        <f>IFERROR(__xludf.DUMMYFUNCTION("""COMPUTED_VALUE"""),"")</f>
        <v/>
      </c>
      <c r="AA486" s="52" t="str">
        <f>IFERROR(__xludf.DUMMYFUNCTION("""COMPUTED_VALUE"""),"")</f>
        <v/>
      </c>
      <c r="AB486" s="52" t="str">
        <f>IFERROR(__xludf.DUMMYFUNCTION("""COMPUTED_VALUE"""),"")</f>
        <v/>
      </c>
      <c r="AC486" s="52" t="str">
        <f>IFERROR(__xludf.DUMMYFUNCTION("""COMPUTED_VALUE"""),"")</f>
        <v/>
      </c>
      <c r="AD486" s="52" t="str">
        <f>IFERROR(__xludf.DUMMYFUNCTION("""COMPUTED_VALUE"""),"")</f>
        <v/>
      </c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</row>
    <row r="487">
      <c r="B487" s="49"/>
      <c r="C487" s="49" t="str">
        <f t="shared" si="2"/>
        <v/>
      </c>
      <c r="D487" s="50" t="str">
        <f t="shared" si="3"/>
        <v/>
      </c>
      <c r="E487" s="51" t="str">
        <f t="shared" ref="E487:T487" si="488">IFERROR(VLOOKUP($A487,INDIRECT("'" &amp; E$1 &amp; "'!$C:$G"), 5, FALSE),"")</f>
        <v/>
      </c>
      <c r="F487" s="51" t="str">
        <f t="shared" si="488"/>
        <v/>
      </c>
      <c r="G487" s="51" t="str">
        <f t="shared" si="488"/>
        <v/>
      </c>
      <c r="H487" s="51" t="str">
        <f t="shared" si="488"/>
        <v/>
      </c>
      <c r="I487" s="51" t="str">
        <f t="shared" si="488"/>
        <v/>
      </c>
      <c r="J487" s="51" t="str">
        <f t="shared" si="488"/>
        <v/>
      </c>
      <c r="K487" s="51" t="str">
        <f t="shared" si="488"/>
        <v/>
      </c>
      <c r="L487" s="51" t="str">
        <f t="shared" si="488"/>
        <v/>
      </c>
      <c r="M487" s="51" t="str">
        <f t="shared" si="488"/>
        <v/>
      </c>
      <c r="N487" s="51" t="str">
        <f t="shared" si="488"/>
        <v/>
      </c>
      <c r="O487" s="51" t="str">
        <f t="shared" si="488"/>
        <v/>
      </c>
      <c r="P487" s="51" t="str">
        <f t="shared" si="488"/>
        <v/>
      </c>
      <c r="Q487" s="51" t="str">
        <f t="shared" si="488"/>
        <v/>
      </c>
      <c r="R487" s="51" t="str">
        <f t="shared" si="488"/>
        <v/>
      </c>
      <c r="S487" s="51" t="str">
        <f t="shared" si="488"/>
        <v/>
      </c>
      <c r="T487" s="51" t="str">
        <f t="shared" si="488"/>
        <v/>
      </c>
      <c r="U487" s="52"/>
      <c r="V487" s="52" t="str">
        <f>IFERROR(__xludf.DUMMYFUNCTION("""COMPUTED_VALUE"""),"")</f>
        <v/>
      </c>
      <c r="W487" s="52" t="str">
        <f>IFERROR(__xludf.DUMMYFUNCTION("""COMPUTED_VALUE"""),"")</f>
        <v/>
      </c>
      <c r="X487" s="52" t="str">
        <f>IFERROR(__xludf.DUMMYFUNCTION("""COMPUTED_VALUE"""),"")</f>
        <v/>
      </c>
      <c r="Y487" s="52" t="str">
        <f>IFERROR(__xludf.DUMMYFUNCTION("""COMPUTED_VALUE"""),"")</f>
        <v/>
      </c>
      <c r="Z487" s="52" t="str">
        <f>IFERROR(__xludf.DUMMYFUNCTION("""COMPUTED_VALUE"""),"")</f>
        <v/>
      </c>
      <c r="AA487" s="52" t="str">
        <f>IFERROR(__xludf.DUMMYFUNCTION("""COMPUTED_VALUE"""),"")</f>
        <v/>
      </c>
      <c r="AB487" s="52" t="str">
        <f>IFERROR(__xludf.DUMMYFUNCTION("""COMPUTED_VALUE"""),"")</f>
        <v/>
      </c>
      <c r="AC487" s="52" t="str">
        <f>IFERROR(__xludf.DUMMYFUNCTION("""COMPUTED_VALUE"""),"")</f>
        <v/>
      </c>
      <c r="AD487" s="52" t="str">
        <f>IFERROR(__xludf.DUMMYFUNCTION("""COMPUTED_VALUE"""),"")</f>
        <v/>
      </c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</row>
    <row r="488">
      <c r="B488" s="49"/>
      <c r="C488" s="49" t="str">
        <f t="shared" si="2"/>
        <v/>
      </c>
      <c r="D488" s="50" t="str">
        <f t="shared" si="3"/>
        <v/>
      </c>
      <c r="E488" s="51" t="str">
        <f t="shared" ref="E488:T488" si="489">IFERROR(VLOOKUP($A488,INDIRECT("'" &amp; E$1 &amp; "'!$C:$G"), 5, FALSE),"")</f>
        <v/>
      </c>
      <c r="F488" s="51" t="str">
        <f t="shared" si="489"/>
        <v/>
      </c>
      <c r="G488" s="51" t="str">
        <f t="shared" si="489"/>
        <v/>
      </c>
      <c r="H488" s="51" t="str">
        <f t="shared" si="489"/>
        <v/>
      </c>
      <c r="I488" s="51" t="str">
        <f t="shared" si="489"/>
        <v/>
      </c>
      <c r="J488" s="51" t="str">
        <f t="shared" si="489"/>
        <v/>
      </c>
      <c r="K488" s="51" t="str">
        <f t="shared" si="489"/>
        <v/>
      </c>
      <c r="L488" s="51" t="str">
        <f t="shared" si="489"/>
        <v/>
      </c>
      <c r="M488" s="51" t="str">
        <f t="shared" si="489"/>
        <v/>
      </c>
      <c r="N488" s="51" t="str">
        <f t="shared" si="489"/>
        <v/>
      </c>
      <c r="O488" s="51" t="str">
        <f t="shared" si="489"/>
        <v/>
      </c>
      <c r="P488" s="51" t="str">
        <f t="shared" si="489"/>
        <v/>
      </c>
      <c r="Q488" s="51" t="str">
        <f t="shared" si="489"/>
        <v/>
      </c>
      <c r="R488" s="51" t="str">
        <f t="shared" si="489"/>
        <v/>
      </c>
      <c r="S488" s="51" t="str">
        <f t="shared" si="489"/>
        <v/>
      </c>
      <c r="T488" s="51" t="str">
        <f t="shared" si="489"/>
        <v/>
      </c>
      <c r="U488" s="52"/>
      <c r="V488" s="52" t="str">
        <f>IFERROR(__xludf.DUMMYFUNCTION("""COMPUTED_VALUE"""),"")</f>
        <v/>
      </c>
      <c r="W488" s="52" t="str">
        <f>IFERROR(__xludf.DUMMYFUNCTION("""COMPUTED_VALUE"""),"")</f>
        <v/>
      </c>
      <c r="X488" s="52" t="str">
        <f>IFERROR(__xludf.DUMMYFUNCTION("""COMPUTED_VALUE"""),"")</f>
        <v/>
      </c>
      <c r="Y488" s="52" t="str">
        <f>IFERROR(__xludf.DUMMYFUNCTION("""COMPUTED_VALUE"""),"")</f>
        <v/>
      </c>
      <c r="Z488" s="52" t="str">
        <f>IFERROR(__xludf.DUMMYFUNCTION("""COMPUTED_VALUE"""),"")</f>
        <v/>
      </c>
      <c r="AA488" s="52" t="str">
        <f>IFERROR(__xludf.DUMMYFUNCTION("""COMPUTED_VALUE"""),"")</f>
        <v/>
      </c>
      <c r="AB488" s="52" t="str">
        <f>IFERROR(__xludf.DUMMYFUNCTION("""COMPUTED_VALUE"""),"")</f>
        <v/>
      </c>
      <c r="AC488" s="52" t="str">
        <f>IFERROR(__xludf.DUMMYFUNCTION("""COMPUTED_VALUE"""),"")</f>
        <v/>
      </c>
      <c r="AD488" s="52" t="str">
        <f>IFERROR(__xludf.DUMMYFUNCTION("""COMPUTED_VALUE"""),"")</f>
        <v/>
      </c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</row>
    <row r="489">
      <c r="B489" s="49"/>
      <c r="C489" s="49" t="str">
        <f t="shared" si="2"/>
        <v/>
      </c>
      <c r="D489" s="50" t="str">
        <f t="shared" si="3"/>
        <v/>
      </c>
      <c r="E489" s="51" t="str">
        <f t="shared" ref="E489:T489" si="490">IFERROR(VLOOKUP($A489,INDIRECT("'" &amp; E$1 &amp; "'!$C:$G"), 5, FALSE),"")</f>
        <v/>
      </c>
      <c r="F489" s="51" t="str">
        <f t="shared" si="490"/>
        <v/>
      </c>
      <c r="G489" s="51" t="str">
        <f t="shared" si="490"/>
        <v/>
      </c>
      <c r="H489" s="51" t="str">
        <f t="shared" si="490"/>
        <v/>
      </c>
      <c r="I489" s="51" t="str">
        <f t="shared" si="490"/>
        <v/>
      </c>
      <c r="J489" s="51" t="str">
        <f t="shared" si="490"/>
        <v/>
      </c>
      <c r="K489" s="51" t="str">
        <f t="shared" si="490"/>
        <v/>
      </c>
      <c r="L489" s="51" t="str">
        <f t="shared" si="490"/>
        <v/>
      </c>
      <c r="M489" s="51" t="str">
        <f t="shared" si="490"/>
        <v/>
      </c>
      <c r="N489" s="51" t="str">
        <f t="shared" si="490"/>
        <v/>
      </c>
      <c r="O489" s="51" t="str">
        <f t="shared" si="490"/>
        <v/>
      </c>
      <c r="P489" s="51" t="str">
        <f t="shared" si="490"/>
        <v/>
      </c>
      <c r="Q489" s="51" t="str">
        <f t="shared" si="490"/>
        <v/>
      </c>
      <c r="R489" s="51" t="str">
        <f t="shared" si="490"/>
        <v/>
      </c>
      <c r="S489" s="51" t="str">
        <f t="shared" si="490"/>
        <v/>
      </c>
      <c r="T489" s="51" t="str">
        <f t="shared" si="490"/>
        <v/>
      </c>
      <c r="U489" s="52"/>
      <c r="V489" s="52" t="str">
        <f>IFERROR(__xludf.DUMMYFUNCTION("""COMPUTED_VALUE"""),"")</f>
        <v/>
      </c>
      <c r="W489" s="52" t="str">
        <f>IFERROR(__xludf.DUMMYFUNCTION("""COMPUTED_VALUE"""),"")</f>
        <v/>
      </c>
      <c r="X489" s="52" t="str">
        <f>IFERROR(__xludf.DUMMYFUNCTION("""COMPUTED_VALUE"""),"")</f>
        <v/>
      </c>
      <c r="Y489" s="52" t="str">
        <f>IFERROR(__xludf.DUMMYFUNCTION("""COMPUTED_VALUE"""),"")</f>
        <v/>
      </c>
      <c r="Z489" s="52" t="str">
        <f>IFERROR(__xludf.DUMMYFUNCTION("""COMPUTED_VALUE"""),"")</f>
        <v/>
      </c>
      <c r="AA489" s="52" t="str">
        <f>IFERROR(__xludf.DUMMYFUNCTION("""COMPUTED_VALUE"""),"")</f>
        <v/>
      </c>
      <c r="AB489" s="52" t="str">
        <f>IFERROR(__xludf.DUMMYFUNCTION("""COMPUTED_VALUE"""),"")</f>
        <v/>
      </c>
      <c r="AC489" s="52" t="str">
        <f>IFERROR(__xludf.DUMMYFUNCTION("""COMPUTED_VALUE"""),"")</f>
        <v/>
      </c>
      <c r="AD489" s="52" t="str">
        <f>IFERROR(__xludf.DUMMYFUNCTION("""COMPUTED_VALUE"""),"")</f>
        <v/>
      </c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</row>
    <row r="490">
      <c r="B490" s="49"/>
      <c r="C490" s="49" t="str">
        <f t="shared" si="2"/>
        <v/>
      </c>
      <c r="D490" s="50" t="str">
        <f t="shared" si="3"/>
        <v/>
      </c>
      <c r="E490" s="51" t="str">
        <f t="shared" ref="E490:T490" si="491">IFERROR(VLOOKUP($A490,INDIRECT("'" &amp; E$1 &amp; "'!$C:$G"), 5, FALSE),"")</f>
        <v/>
      </c>
      <c r="F490" s="51" t="str">
        <f t="shared" si="491"/>
        <v/>
      </c>
      <c r="G490" s="51" t="str">
        <f t="shared" si="491"/>
        <v/>
      </c>
      <c r="H490" s="51" t="str">
        <f t="shared" si="491"/>
        <v/>
      </c>
      <c r="I490" s="51" t="str">
        <f t="shared" si="491"/>
        <v/>
      </c>
      <c r="J490" s="51" t="str">
        <f t="shared" si="491"/>
        <v/>
      </c>
      <c r="K490" s="51" t="str">
        <f t="shared" si="491"/>
        <v/>
      </c>
      <c r="L490" s="51" t="str">
        <f t="shared" si="491"/>
        <v/>
      </c>
      <c r="M490" s="51" t="str">
        <f t="shared" si="491"/>
        <v/>
      </c>
      <c r="N490" s="51" t="str">
        <f t="shared" si="491"/>
        <v/>
      </c>
      <c r="O490" s="51" t="str">
        <f t="shared" si="491"/>
        <v/>
      </c>
      <c r="P490" s="51" t="str">
        <f t="shared" si="491"/>
        <v/>
      </c>
      <c r="Q490" s="51" t="str">
        <f t="shared" si="491"/>
        <v/>
      </c>
      <c r="R490" s="51" t="str">
        <f t="shared" si="491"/>
        <v/>
      </c>
      <c r="S490" s="51" t="str">
        <f t="shared" si="491"/>
        <v/>
      </c>
      <c r="T490" s="51" t="str">
        <f t="shared" si="491"/>
        <v/>
      </c>
      <c r="U490" s="52"/>
      <c r="V490" s="52" t="str">
        <f>IFERROR(__xludf.DUMMYFUNCTION("""COMPUTED_VALUE"""),"")</f>
        <v/>
      </c>
      <c r="W490" s="52" t="str">
        <f>IFERROR(__xludf.DUMMYFUNCTION("""COMPUTED_VALUE"""),"")</f>
        <v/>
      </c>
      <c r="X490" s="52" t="str">
        <f>IFERROR(__xludf.DUMMYFUNCTION("""COMPUTED_VALUE"""),"")</f>
        <v/>
      </c>
      <c r="Y490" s="52" t="str">
        <f>IFERROR(__xludf.DUMMYFUNCTION("""COMPUTED_VALUE"""),"")</f>
        <v/>
      </c>
      <c r="Z490" s="52" t="str">
        <f>IFERROR(__xludf.DUMMYFUNCTION("""COMPUTED_VALUE"""),"")</f>
        <v/>
      </c>
      <c r="AA490" s="52" t="str">
        <f>IFERROR(__xludf.DUMMYFUNCTION("""COMPUTED_VALUE"""),"")</f>
        <v/>
      </c>
      <c r="AB490" s="52" t="str">
        <f>IFERROR(__xludf.DUMMYFUNCTION("""COMPUTED_VALUE"""),"")</f>
        <v/>
      </c>
      <c r="AC490" s="52" t="str">
        <f>IFERROR(__xludf.DUMMYFUNCTION("""COMPUTED_VALUE"""),"")</f>
        <v/>
      </c>
      <c r="AD490" s="52" t="str">
        <f>IFERROR(__xludf.DUMMYFUNCTION("""COMPUTED_VALUE"""),"")</f>
        <v/>
      </c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</row>
    <row r="491">
      <c r="B491" s="49"/>
      <c r="C491" s="49" t="str">
        <f t="shared" si="2"/>
        <v/>
      </c>
      <c r="D491" s="50" t="str">
        <f t="shared" si="3"/>
        <v/>
      </c>
      <c r="E491" s="51" t="str">
        <f t="shared" ref="E491:T491" si="492">IFERROR(VLOOKUP($A491,INDIRECT("'" &amp; E$1 &amp; "'!$C:$G"), 5, FALSE),"")</f>
        <v/>
      </c>
      <c r="F491" s="51" t="str">
        <f t="shared" si="492"/>
        <v/>
      </c>
      <c r="G491" s="51" t="str">
        <f t="shared" si="492"/>
        <v/>
      </c>
      <c r="H491" s="51" t="str">
        <f t="shared" si="492"/>
        <v/>
      </c>
      <c r="I491" s="51" t="str">
        <f t="shared" si="492"/>
        <v/>
      </c>
      <c r="J491" s="51" t="str">
        <f t="shared" si="492"/>
        <v/>
      </c>
      <c r="K491" s="51" t="str">
        <f t="shared" si="492"/>
        <v/>
      </c>
      <c r="L491" s="51" t="str">
        <f t="shared" si="492"/>
        <v/>
      </c>
      <c r="M491" s="51" t="str">
        <f t="shared" si="492"/>
        <v/>
      </c>
      <c r="N491" s="51" t="str">
        <f t="shared" si="492"/>
        <v/>
      </c>
      <c r="O491" s="51" t="str">
        <f t="shared" si="492"/>
        <v/>
      </c>
      <c r="P491" s="51" t="str">
        <f t="shared" si="492"/>
        <v/>
      </c>
      <c r="Q491" s="51" t="str">
        <f t="shared" si="492"/>
        <v/>
      </c>
      <c r="R491" s="51" t="str">
        <f t="shared" si="492"/>
        <v/>
      </c>
      <c r="S491" s="51" t="str">
        <f t="shared" si="492"/>
        <v/>
      </c>
      <c r="T491" s="51" t="str">
        <f t="shared" si="492"/>
        <v/>
      </c>
      <c r="U491" s="52"/>
      <c r="V491" s="52" t="str">
        <f>IFERROR(__xludf.DUMMYFUNCTION("""COMPUTED_VALUE"""),"")</f>
        <v/>
      </c>
      <c r="W491" s="52" t="str">
        <f>IFERROR(__xludf.DUMMYFUNCTION("""COMPUTED_VALUE"""),"")</f>
        <v/>
      </c>
      <c r="X491" s="52" t="str">
        <f>IFERROR(__xludf.DUMMYFUNCTION("""COMPUTED_VALUE"""),"")</f>
        <v/>
      </c>
      <c r="Y491" s="52" t="str">
        <f>IFERROR(__xludf.DUMMYFUNCTION("""COMPUTED_VALUE"""),"")</f>
        <v/>
      </c>
      <c r="Z491" s="52" t="str">
        <f>IFERROR(__xludf.DUMMYFUNCTION("""COMPUTED_VALUE"""),"")</f>
        <v/>
      </c>
      <c r="AA491" s="52" t="str">
        <f>IFERROR(__xludf.DUMMYFUNCTION("""COMPUTED_VALUE"""),"")</f>
        <v/>
      </c>
      <c r="AB491" s="52" t="str">
        <f>IFERROR(__xludf.DUMMYFUNCTION("""COMPUTED_VALUE"""),"")</f>
        <v/>
      </c>
      <c r="AC491" s="52" t="str">
        <f>IFERROR(__xludf.DUMMYFUNCTION("""COMPUTED_VALUE"""),"")</f>
        <v/>
      </c>
      <c r="AD491" s="52" t="str">
        <f>IFERROR(__xludf.DUMMYFUNCTION("""COMPUTED_VALUE"""),"")</f>
        <v/>
      </c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</row>
    <row r="492">
      <c r="B492" s="49"/>
      <c r="C492" s="49" t="str">
        <f t="shared" si="2"/>
        <v/>
      </c>
      <c r="D492" s="50" t="str">
        <f t="shared" si="3"/>
        <v/>
      </c>
      <c r="E492" s="51" t="str">
        <f t="shared" ref="E492:T492" si="493">IFERROR(VLOOKUP($A492,INDIRECT("'" &amp; E$1 &amp; "'!$C:$G"), 5, FALSE),"")</f>
        <v/>
      </c>
      <c r="F492" s="51" t="str">
        <f t="shared" si="493"/>
        <v/>
      </c>
      <c r="G492" s="51" t="str">
        <f t="shared" si="493"/>
        <v/>
      </c>
      <c r="H492" s="51" t="str">
        <f t="shared" si="493"/>
        <v/>
      </c>
      <c r="I492" s="51" t="str">
        <f t="shared" si="493"/>
        <v/>
      </c>
      <c r="J492" s="51" t="str">
        <f t="shared" si="493"/>
        <v/>
      </c>
      <c r="K492" s="51" t="str">
        <f t="shared" si="493"/>
        <v/>
      </c>
      <c r="L492" s="51" t="str">
        <f t="shared" si="493"/>
        <v/>
      </c>
      <c r="M492" s="51" t="str">
        <f t="shared" si="493"/>
        <v/>
      </c>
      <c r="N492" s="51" t="str">
        <f t="shared" si="493"/>
        <v/>
      </c>
      <c r="O492" s="51" t="str">
        <f t="shared" si="493"/>
        <v/>
      </c>
      <c r="P492" s="51" t="str">
        <f t="shared" si="493"/>
        <v/>
      </c>
      <c r="Q492" s="51" t="str">
        <f t="shared" si="493"/>
        <v/>
      </c>
      <c r="R492" s="51" t="str">
        <f t="shared" si="493"/>
        <v/>
      </c>
      <c r="S492" s="51" t="str">
        <f t="shared" si="493"/>
        <v/>
      </c>
      <c r="T492" s="51" t="str">
        <f t="shared" si="493"/>
        <v/>
      </c>
      <c r="U492" s="52"/>
      <c r="V492" s="52" t="str">
        <f>IFERROR(__xludf.DUMMYFUNCTION("""COMPUTED_VALUE"""),"")</f>
        <v/>
      </c>
      <c r="W492" s="52" t="str">
        <f>IFERROR(__xludf.DUMMYFUNCTION("""COMPUTED_VALUE"""),"")</f>
        <v/>
      </c>
      <c r="X492" s="52" t="str">
        <f>IFERROR(__xludf.DUMMYFUNCTION("""COMPUTED_VALUE"""),"")</f>
        <v/>
      </c>
      <c r="Y492" s="52" t="str">
        <f>IFERROR(__xludf.DUMMYFUNCTION("""COMPUTED_VALUE"""),"")</f>
        <v/>
      </c>
      <c r="Z492" s="52" t="str">
        <f>IFERROR(__xludf.DUMMYFUNCTION("""COMPUTED_VALUE"""),"")</f>
        <v/>
      </c>
      <c r="AA492" s="52" t="str">
        <f>IFERROR(__xludf.DUMMYFUNCTION("""COMPUTED_VALUE"""),"")</f>
        <v/>
      </c>
      <c r="AB492" s="52" t="str">
        <f>IFERROR(__xludf.DUMMYFUNCTION("""COMPUTED_VALUE"""),"")</f>
        <v/>
      </c>
      <c r="AC492" s="52" t="str">
        <f>IFERROR(__xludf.DUMMYFUNCTION("""COMPUTED_VALUE"""),"")</f>
        <v/>
      </c>
      <c r="AD492" s="52" t="str">
        <f>IFERROR(__xludf.DUMMYFUNCTION("""COMPUTED_VALUE"""),"")</f>
        <v/>
      </c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</row>
    <row r="493">
      <c r="B493" s="49"/>
      <c r="C493" s="49" t="str">
        <f t="shared" si="2"/>
        <v/>
      </c>
      <c r="D493" s="50" t="str">
        <f t="shared" si="3"/>
        <v/>
      </c>
      <c r="E493" s="51" t="str">
        <f t="shared" ref="E493:T493" si="494">IFERROR(VLOOKUP($A493,INDIRECT("'" &amp; E$1 &amp; "'!$C:$G"), 5, FALSE),"")</f>
        <v/>
      </c>
      <c r="F493" s="51" t="str">
        <f t="shared" si="494"/>
        <v/>
      </c>
      <c r="G493" s="51" t="str">
        <f t="shared" si="494"/>
        <v/>
      </c>
      <c r="H493" s="51" t="str">
        <f t="shared" si="494"/>
        <v/>
      </c>
      <c r="I493" s="51" t="str">
        <f t="shared" si="494"/>
        <v/>
      </c>
      <c r="J493" s="51" t="str">
        <f t="shared" si="494"/>
        <v/>
      </c>
      <c r="K493" s="51" t="str">
        <f t="shared" si="494"/>
        <v/>
      </c>
      <c r="L493" s="51" t="str">
        <f t="shared" si="494"/>
        <v/>
      </c>
      <c r="M493" s="51" t="str">
        <f t="shared" si="494"/>
        <v/>
      </c>
      <c r="N493" s="51" t="str">
        <f t="shared" si="494"/>
        <v/>
      </c>
      <c r="O493" s="51" t="str">
        <f t="shared" si="494"/>
        <v/>
      </c>
      <c r="P493" s="51" t="str">
        <f t="shared" si="494"/>
        <v/>
      </c>
      <c r="Q493" s="51" t="str">
        <f t="shared" si="494"/>
        <v/>
      </c>
      <c r="R493" s="51" t="str">
        <f t="shared" si="494"/>
        <v/>
      </c>
      <c r="S493" s="51" t="str">
        <f t="shared" si="494"/>
        <v/>
      </c>
      <c r="T493" s="51" t="str">
        <f t="shared" si="494"/>
        <v/>
      </c>
      <c r="U493" s="52"/>
      <c r="V493" s="52" t="str">
        <f>IFERROR(__xludf.DUMMYFUNCTION("""COMPUTED_VALUE"""),"")</f>
        <v/>
      </c>
      <c r="W493" s="52" t="str">
        <f>IFERROR(__xludf.DUMMYFUNCTION("""COMPUTED_VALUE"""),"")</f>
        <v/>
      </c>
      <c r="X493" s="52" t="str">
        <f>IFERROR(__xludf.DUMMYFUNCTION("""COMPUTED_VALUE"""),"")</f>
        <v/>
      </c>
      <c r="Y493" s="52" t="str">
        <f>IFERROR(__xludf.DUMMYFUNCTION("""COMPUTED_VALUE"""),"")</f>
        <v/>
      </c>
      <c r="Z493" s="52" t="str">
        <f>IFERROR(__xludf.DUMMYFUNCTION("""COMPUTED_VALUE"""),"")</f>
        <v/>
      </c>
      <c r="AA493" s="52" t="str">
        <f>IFERROR(__xludf.DUMMYFUNCTION("""COMPUTED_VALUE"""),"")</f>
        <v/>
      </c>
      <c r="AB493" s="52" t="str">
        <f>IFERROR(__xludf.DUMMYFUNCTION("""COMPUTED_VALUE"""),"")</f>
        <v/>
      </c>
      <c r="AC493" s="52" t="str">
        <f>IFERROR(__xludf.DUMMYFUNCTION("""COMPUTED_VALUE"""),"")</f>
        <v/>
      </c>
      <c r="AD493" s="52" t="str">
        <f>IFERROR(__xludf.DUMMYFUNCTION("""COMPUTED_VALUE"""),"")</f>
        <v/>
      </c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</row>
    <row r="494">
      <c r="B494" s="49"/>
      <c r="C494" s="49" t="str">
        <f t="shared" si="2"/>
        <v/>
      </c>
      <c r="D494" s="50" t="str">
        <f t="shared" si="3"/>
        <v/>
      </c>
      <c r="E494" s="51" t="str">
        <f t="shared" ref="E494:T494" si="495">IFERROR(VLOOKUP($A494,INDIRECT("'" &amp; E$1 &amp; "'!$C:$G"), 5, FALSE),"")</f>
        <v/>
      </c>
      <c r="F494" s="51" t="str">
        <f t="shared" si="495"/>
        <v/>
      </c>
      <c r="G494" s="51" t="str">
        <f t="shared" si="495"/>
        <v/>
      </c>
      <c r="H494" s="51" t="str">
        <f t="shared" si="495"/>
        <v/>
      </c>
      <c r="I494" s="51" t="str">
        <f t="shared" si="495"/>
        <v/>
      </c>
      <c r="J494" s="51" t="str">
        <f t="shared" si="495"/>
        <v/>
      </c>
      <c r="K494" s="51" t="str">
        <f t="shared" si="495"/>
        <v/>
      </c>
      <c r="L494" s="51" t="str">
        <f t="shared" si="495"/>
        <v/>
      </c>
      <c r="M494" s="51" t="str">
        <f t="shared" si="495"/>
        <v/>
      </c>
      <c r="N494" s="51" t="str">
        <f t="shared" si="495"/>
        <v/>
      </c>
      <c r="O494" s="51" t="str">
        <f t="shared" si="495"/>
        <v/>
      </c>
      <c r="P494" s="51" t="str">
        <f t="shared" si="495"/>
        <v/>
      </c>
      <c r="Q494" s="51" t="str">
        <f t="shared" si="495"/>
        <v/>
      </c>
      <c r="R494" s="51" t="str">
        <f t="shared" si="495"/>
        <v/>
      </c>
      <c r="S494" s="51" t="str">
        <f t="shared" si="495"/>
        <v/>
      </c>
      <c r="T494" s="51" t="str">
        <f t="shared" si="495"/>
        <v/>
      </c>
      <c r="U494" s="52"/>
      <c r="V494" s="52" t="str">
        <f>IFERROR(__xludf.DUMMYFUNCTION("""COMPUTED_VALUE"""),"")</f>
        <v/>
      </c>
      <c r="W494" s="52" t="str">
        <f>IFERROR(__xludf.DUMMYFUNCTION("""COMPUTED_VALUE"""),"")</f>
        <v/>
      </c>
      <c r="X494" s="52" t="str">
        <f>IFERROR(__xludf.DUMMYFUNCTION("""COMPUTED_VALUE"""),"")</f>
        <v/>
      </c>
      <c r="Y494" s="52" t="str">
        <f>IFERROR(__xludf.DUMMYFUNCTION("""COMPUTED_VALUE"""),"")</f>
        <v/>
      </c>
      <c r="Z494" s="52" t="str">
        <f>IFERROR(__xludf.DUMMYFUNCTION("""COMPUTED_VALUE"""),"")</f>
        <v/>
      </c>
      <c r="AA494" s="52" t="str">
        <f>IFERROR(__xludf.DUMMYFUNCTION("""COMPUTED_VALUE"""),"")</f>
        <v/>
      </c>
      <c r="AB494" s="52" t="str">
        <f>IFERROR(__xludf.DUMMYFUNCTION("""COMPUTED_VALUE"""),"")</f>
        <v/>
      </c>
      <c r="AC494" s="52" t="str">
        <f>IFERROR(__xludf.DUMMYFUNCTION("""COMPUTED_VALUE"""),"")</f>
        <v/>
      </c>
      <c r="AD494" s="52" t="str">
        <f>IFERROR(__xludf.DUMMYFUNCTION("""COMPUTED_VALUE"""),"")</f>
        <v/>
      </c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</row>
    <row r="495">
      <c r="B495" s="49"/>
      <c r="C495" s="49" t="str">
        <f t="shared" si="2"/>
        <v/>
      </c>
      <c r="D495" s="50" t="str">
        <f t="shared" si="3"/>
        <v/>
      </c>
      <c r="E495" s="51" t="str">
        <f t="shared" ref="E495:T495" si="496">IFERROR(VLOOKUP($A495,INDIRECT("'" &amp; E$1 &amp; "'!$C:$G"), 5, FALSE),"")</f>
        <v/>
      </c>
      <c r="F495" s="51" t="str">
        <f t="shared" si="496"/>
        <v/>
      </c>
      <c r="G495" s="51" t="str">
        <f t="shared" si="496"/>
        <v/>
      </c>
      <c r="H495" s="51" t="str">
        <f t="shared" si="496"/>
        <v/>
      </c>
      <c r="I495" s="51" t="str">
        <f t="shared" si="496"/>
        <v/>
      </c>
      <c r="J495" s="51" t="str">
        <f t="shared" si="496"/>
        <v/>
      </c>
      <c r="K495" s="51" t="str">
        <f t="shared" si="496"/>
        <v/>
      </c>
      <c r="L495" s="51" t="str">
        <f t="shared" si="496"/>
        <v/>
      </c>
      <c r="M495" s="51" t="str">
        <f t="shared" si="496"/>
        <v/>
      </c>
      <c r="N495" s="51" t="str">
        <f t="shared" si="496"/>
        <v/>
      </c>
      <c r="O495" s="51" t="str">
        <f t="shared" si="496"/>
        <v/>
      </c>
      <c r="P495" s="51" t="str">
        <f t="shared" si="496"/>
        <v/>
      </c>
      <c r="Q495" s="51" t="str">
        <f t="shared" si="496"/>
        <v/>
      </c>
      <c r="R495" s="51" t="str">
        <f t="shared" si="496"/>
        <v/>
      </c>
      <c r="S495" s="51" t="str">
        <f t="shared" si="496"/>
        <v/>
      </c>
      <c r="T495" s="51" t="str">
        <f t="shared" si="496"/>
        <v/>
      </c>
      <c r="U495" s="52"/>
      <c r="V495" s="52" t="str">
        <f>IFERROR(__xludf.DUMMYFUNCTION("""COMPUTED_VALUE"""),"")</f>
        <v/>
      </c>
      <c r="W495" s="52" t="str">
        <f>IFERROR(__xludf.DUMMYFUNCTION("""COMPUTED_VALUE"""),"")</f>
        <v/>
      </c>
      <c r="X495" s="52" t="str">
        <f>IFERROR(__xludf.DUMMYFUNCTION("""COMPUTED_VALUE"""),"")</f>
        <v/>
      </c>
      <c r="Y495" s="52" t="str">
        <f>IFERROR(__xludf.DUMMYFUNCTION("""COMPUTED_VALUE"""),"")</f>
        <v/>
      </c>
      <c r="Z495" s="52" t="str">
        <f>IFERROR(__xludf.DUMMYFUNCTION("""COMPUTED_VALUE"""),"")</f>
        <v/>
      </c>
      <c r="AA495" s="52" t="str">
        <f>IFERROR(__xludf.DUMMYFUNCTION("""COMPUTED_VALUE"""),"")</f>
        <v/>
      </c>
      <c r="AB495" s="52" t="str">
        <f>IFERROR(__xludf.DUMMYFUNCTION("""COMPUTED_VALUE"""),"")</f>
        <v/>
      </c>
      <c r="AC495" s="52" t="str">
        <f>IFERROR(__xludf.DUMMYFUNCTION("""COMPUTED_VALUE"""),"")</f>
        <v/>
      </c>
      <c r="AD495" s="52" t="str">
        <f>IFERROR(__xludf.DUMMYFUNCTION("""COMPUTED_VALUE"""),"")</f>
        <v/>
      </c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</row>
    <row r="496">
      <c r="B496" s="49"/>
      <c r="C496" s="49" t="str">
        <f t="shared" si="2"/>
        <v/>
      </c>
      <c r="D496" s="50" t="str">
        <f t="shared" si="3"/>
        <v/>
      </c>
      <c r="E496" s="51" t="str">
        <f t="shared" ref="E496:T496" si="497">IFERROR(VLOOKUP($A496,INDIRECT("'" &amp; E$1 &amp; "'!$C:$G"), 5, FALSE),"")</f>
        <v/>
      </c>
      <c r="F496" s="51" t="str">
        <f t="shared" si="497"/>
        <v/>
      </c>
      <c r="G496" s="51" t="str">
        <f t="shared" si="497"/>
        <v/>
      </c>
      <c r="H496" s="51" t="str">
        <f t="shared" si="497"/>
        <v/>
      </c>
      <c r="I496" s="51" t="str">
        <f t="shared" si="497"/>
        <v/>
      </c>
      <c r="J496" s="51" t="str">
        <f t="shared" si="497"/>
        <v/>
      </c>
      <c r="K496" s="51" t="str">
        <f t="shared" si="497"/>
        <v/>
      </c>
      <c r="L496" s="51" t="str">
        <f t="shared" si="497"/>
        <v/>
      </c>
      <c r="M496" s="51" t="str">
        <f t="shared" si="497"/>
        <v/>
      </c>
      <c r="N496" s="51" t="str">
        <f t="shared" si="497"/>
        <v/>
      </c>
      <c r="O496" s="51" t="str">
        <f t="shared" si="497"/>
        <v/>
      </c>
      <c r="P496" s="51" t="str">
        <f t="shared" si="497"/>
        <v/>
      </c>
      <c r="Q496" s="51" t="str">
        <f t="shared" si="497"/>
        <v/>
      </c>
      <c r="R496" s="51" t="str">
        <f t="shared" si="497"/>
        <v/>
      </c>
      <c r="S496" s="51" t="str">
        <f t="shared" si="497"/>
        <v/>
      </c>
      <c r="T496" s="51" t="str">
        <f t="shared" si="497"/>
        <v/>
      </c>
      <c r="U496" s="52"/>
      <c r="V496" s="52" t="str">
        <f>IFERROR(__xludf.DUMMYFUNCTION("""COMPUTED_VALUE"""),"")</f>
        <v/>
      </c>
      <c r="W496" s="52" t="str">
        <f>IFERROR(__xludf.DUMMYFUNCTION("""COMPUTED_VALUE"""),"")</f>
        <v/>
      </c>
      <c r="X496" s="52" t="str">
        <f>IFERROR(__xludf.DUMMYFUNCTION("""COMPUTED_VALUE"""),"")</f>
        <v/>
      </c>
      <c r="Y496" s="52" t="str">
        <f>IFERROR(__xludf.DUMMYFUNCTION("""COMPUTED_VALUE"""),"")</f>
        <v/>
      </c>
      <c r="Z496" s="52" t="str">
        <f>IFERROR(__xludf.DUMMYFUNCTION("""COMPUTED_VALUE"""),"")</f>
        <v/>
      </c>
      <c r="AA496" s="52" t="str">
        <f>IFERROR(__xludf.DUMMYFUNCTION("""COMPUTED_VALUE"""),"")</f>
        <v/>
      </c>
      <c r="AB496" s="52" t="str">
        <f>IFERROR(__xludf.DUMMYFUNCTION("""COMPUTED_VALUE"""),"")</f>
        <v/>
      </c>
      <c r="AC496" s="52" t="str">
        <f>IFERROR(__xludf.DUMMYFUNCTION("""COMPUTED_VALUE"""),"")</f>
        <v/>
      </c>
      <c r="AD496" s="52" t="str">
        <f>IFERROR(__xludf.DUMMYFUNCTION("""COMPUTED_VALUE"""),"")</f>
        <v/>
      </c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</row>
    <row r="497">
      <c r="B497" s="49"/>
      <c r="C497" s="49" t="str">
        <f t="shared" si="2"/>
        <v/>
      </c>
      <c r="D497" s="50" t="str">
        <f t="shared" si="3"/>
        <v/>
      </c>
      <c r="E497" s="51" t="str">
        <f t="shared" ref="E497:T497" si="498">IFERROR(VLOOKUP($A497,INDIRECT("'" &amp; E$1 &amp; "'!$C:$G"), 5, FALSE),"")</f>
        <v/>
      </c>
      <c r="F497" s="51" t="str">
        <f t="shared" si="498"/>
        <v/>
      </c>
      <c r="G497" s="51" t="str">
        <f t="shared" si="498"/>
        <v/>
      </c>
      <c r="H497" s="51" t="str">
        <f t="shared" si="498"/>
        <v/>
      </c>
      <c r="I497" s="51" t="str">
        <f t="shared" si="498"/>
        <v/>
      </c>
      <c r="J497" s="51" t="str">
        <f t="shared" si="498"/>
        <v/>
      </c>
      <c r="K497" s="51" t="str">
        <f t="shared" si="498"/>
        <v/>
      </c>
      <c r="L497" s="51" t="str">
        <f t="shared" si="498"/>
        <v/>
      </c>
      <c r="M497" s="51" t="str">
        <f t="shared" si="498"/>
        <v/>
      </c>
      <c r="N497" s="51" t="str">
        <f t="shared" si="498"/>
        <v/>
      </c>
      <c r="O497" s="51" t="str">
        <f t="shared" si="498"/>
        <v/>
      </c>
      <c r="P497" s="51" t="str">
        <f t="shared" si="498"/>
        <v/>
      </c>
      <c r="Q497" s="51" t="str">
        <f t="shared" si="498"/>
        <v/>
      </c>
      <c r="R497" s="51" t="str">
        <f t="shared" si="498"/>
        <v/>
      </c>
      <c r="S497" s="51" t="str">
        <f t="shared" si="498"/>
        <v/>
      </c>
      <c r="T497" s="51" t="str">
        <f t="shared" si="498"/>
        <v/>
      </c>
      <c r="U497" s="52"/>
      <c r="V497" s="52" t="str">
        <f>IFERROR(__xludf.DUMMYFUNCTION("""COMPUTED_VALUE"""),"")</f>
        <v/>
      </c>
      <c r="W497" s="52" t="str">
        <f>IFERROR(__xludf.DUMMYFUNCTION("""COMPUTED_VALUE"""),"")</f>
        <v/>
      </c>
      <c r="X497" s="52" t="str">
        <f>IFERROR(__xludf.DUMMYFUNCTION("""COMPUTED_VALUE"""),"")</f>
        <v/>
      </c>
      <c r="Y497" s="52" t="str">
        <f>IFERROR(__xludf.DUMMYFUNCTION("""COMPUTED_VALUE"""),"")</f>
        <v/>
      </c>
      <c r="Z497" s="52" t="str">
        <f>IFERROR(__xludf.DUMMYFUNCTION("""COMPUTED_VALUE"""),"")</f>
        <v/>
      </c>
      <c r="AA497" s="52" t="str">
        <f>IFERROR(__xludf.DUMMYFUNCTION("""COMPUTED_VALUE"""),"")</f>
        <v/>
      </c>
      <c r="AB497" s="52" t="str">
        <f>IFERROR(__xludf.DUMMYFUNCTION("""COMPUTED_VALUE"""),"")</f>
        <v/>
      </c>
      <c r="AC497" s="52" t="str">
        <f>IFERROR(__xludf.DUMMYFUNCTION("""COMPUTED_VALUE"""),"")</f>
        <v/>
      </c>
      <c r="AD497" s="52" t="str">
        <f>IFERROR(__xludf.DUMMYFUNCTION("""COMPUTED_VALUE"""),"")</f>
        <v/>
      </c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</row>
    <row r="498">
      <c r="B498" s="49"/>
      <c r="C498" s="49" t="str">
        <f t="shared" si="2"/>
        <v/>
      </c>
      <c r="D498" s="50" t="str">
        <f t="shared" si="3"/>
        <v/>
      </c>
      <c r="E498" s="51" t="str">
        <f t="shared" ref="E498:T498" si="499">IFERROR(VLOOKUP($A498,INDIRECT("'" &amp; E$1 &amp; "'!$C:$G"), 5, FALSE),"")</f>
        <v/>
      </c>
      <c r="F498" s="51" t="str">
        <f t="shared" si="499"/>
        <v/>
      </c>
      <c r="G498" s="51" t="str">
        <f t="shared" si="499"/>
        <v/>
      </c>
      <c r="H498" s="51" t="str">
        <f t="shared" si="499"/>
        <v/>
      </c>
      <c r="I498" s="51" t="str">
        <f t="shared" si="499"/>
        <v/>
      </c>
      <c r="J498" s="51" t="str">
        <f t="shared" si="499"/>
        <v/>
      </c>
      <c r="K498" s="51" t="str">
        <f t="shared" si="499"/>
        <v/>
      </c>
      <c r="L498" s="51" t="str">
        <f t="shared" si="499"/>
        <v/>
      </c>
      <c r="M498" s="51" t="str">
        <f t="shared" si="499"/>
        <v/>
      </c>
      <c r="N498" s="51" t="str">
        <f t="shared" si="499"/>
        <v/>
      </c>
      <c r="O498" s="51" t="str">
        <f t="shared" si="499"/>
        <v/>
      </c>
      <c r="P498" s="51" t="str">
        <f t="shared" si="499"/>
        <v/>
      </c>
      <c r="Q498" s="51" t="str">
        <f t="shared" si="499"/>
        <v/>
      </c>
      <c r="R498" s="51" t="str">
        <f t="shared" si="499"/>
        <v/>
      </c>
      <c r="S498" s="51" t="str">
        <f t="shared" si="499"/>
        <v/>
      </c>
      <c r="T498" s="51" t="str">
        <f t="shared" si="499"/>
        <v/>
      </c>
      <c r="U498" s="52"/>
      <c r="V498" s="52" t="str">
        <f>IFERROR(__xludf.DUMMYFUNCTION("""COMPUTED_VALUE"""),"")</f>
        <v/>
      </c>
      <c r="W498" s="52" t="str">
        <f>IFERROR(__xludf.DUMMYFUNCTION("""COMPUTED_VALUE"""),"")</f>
        <v/>
      </c>
      <c r="X498" s="52" t="str">
        <f>IFERROR(__xludf.DUMMYFUNCTION("""COMPUTED_VALUE"""),"")</f>
        <v/>
      </c>
      <c r="Y498" s="52" t="str">
        <f>IFERROR(__xludf.DUMMYFUNCTION("""COMPUTED_VALUE"""),"")</f>
        <v/>
      </c>
      <c r="Z498" s="52" t="str">
        <f>IFERROR(__xludf.DUMMYFUNCTION("""COMPUTED_VALUE"""),"")</f>
        <v/>
      </c>
      <c r="AA498" s="52" t="str">
        <f>IFERROR(__xludf.DUMMYFUNCTION("""COMPUTED_VALUE"""),"")</f>
        <v/>
      </c>
      <c r="AB498" s="52" t="str">
        <f>IFERROR(__xludf.DUMMYFUNCTION("""COMPUTED_VALUE"""),"")</f>
        <v/>
      </c>
      <c r="AC498" s="52" t="str">
        <f>IFERROR(__xludf.DUMMYFUNCTION("""COMPUTED_VALUE"""),"")</f>
        <v/>
      </c>
      <c r="AD498" s="52" t="str">
        <f>IFERROR(__xludf.DUMMYFUNCTION("""COMPUTED_VALUE"""),"")</f>
        <v/>
      </c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</row>
    <row r="499">
      <c r="B499" s="49"/>
      <c r="C499" s="49" t="str">
        <f t="shared" si="2"/>
        <v/>
      </c>
      <c r="D499" s="50" t="str">
        <f t="shared" si="3"/>
        <v/>
      </c>
      <c r="E499" s="51" t="str">
        <f t="shared" ref="E499:T499" si="500">IFERROR(VLOOKUP($A499,INDIRECT("'" &amp; E$1 &amp; "'!$C:$G"), 5, FALSE),"")</f>
        <v/>
      </c>
      <c r="F499" s="51" t="str">
        <f t="shared" si="500"/>
        <v/>
      </c>
      <c r="G499" s="51" t="str">
        <f t="shared" si="500"/>
        <v/>
      </c>
      <c r="H499" s="51" t="str">
        <f t="shared" si="500"/>
        <v/>
      </c>
      <c r="I499" s="51" t="str">
        <f t="shared" si="500"/>
        <v/>
      </c>
      <c r="J499" s="51" t="str">
        <f t="shared" si="500"/>
        <v/>
      </c>
      <c r="K499" s="51" t="str">
        <f t="shared" si="500"/>
        <v/>
      </c>
      <c r="L499" s="51" t="str">
        <f t="shared" si="500"/>
        <v/>
      </c>
      <c r="M499" s="51" t="str">
        <f t="shared" si="500"/>
        <v/>
      </c>
      <c r="N499" s="51" t="str">
        <f t="shared" si="500"/>
        <v/>
      </c>
      <c r="O499" s="51" t="str">
        <f t="shared" si="500"/>
        <v/>
      </c>
      <c r="P499" s="51" t="str">
        <f t="shared" si="500"/>
        <v/>
      </c>
      <c r="Q499" s="51" t="str">
        <f t="shared" si="500"/>
        <v/>
      </c>
      <c r="R499" s="51" t="str">
        <f t="shared" si="500"/>
        <v/>
      </c>
      <c r="S499" s="51" t="str">
        <f t="shared" si="500"/>
        <v/>
      </c>
      <c r="T499" s="51" t="str">
        <f t="shared" si="500"/>
        <v/>
      </c>
      <c r="U499" s="52"/>
      <c r="V499" s="52" t="str">
        <f>IFERROR(__xludf.DUMMYFUNCTION("""COMPUTED_VALUE"""),"")</f>
        <v/>
      </c>
      <c r="W499" s="52" t="str">
        <f>IFERROR(__xludf.DUMMYFUNCTION("""COMPUTED_VALUE"""),"")</f>
        <v/>
      </c>
      <c r="X499" s="52" t="str">
        <f>IFERROR(__xludf.DUMMYFUNCTION("""COMPUTED_VALUE"""),"")</f>
        <v/>
      </c>
      <c r="Y499" s="52" t="str">
        <f>IFERROR(__xludf.DUMMYFUNCTION("""COMPUTED_VALUE"""),"")</f>
        <v/>
      </c>
      <c r="Z499" s="52" t="str">
        <f>IFERROR(__xludf.DUMMYFUNCTION("""COMPUTED_VALUE"""),"")</f>
        <v/>
      </c>
      <c r="AA499" s="52" t="str">
        <f>IFERROR(__xludf.DUMMYFUNCTION("""COMPUTED_VALUE"""),"")</f>
        <v/>
      </c>
      <c r="AB499" s="52" t="str">
        <f>IFERROR(__xludf.DUMMYFUNCTION("""COMPUTED_VALUE"""),"")</f>
        <v/>
      </c>
      <c r="AC499" s="52" t="str">
        <f>IFERROR(__xludf.DUMMYFUNCTION("""COMPUTED_VALUE"""),"")</f>
        <v/>
      </c>
      <c r="AD499" s="52" t="str">
        <f>IFERROR(__xludf.DUMMYFUNCTION("""COMPUTED_VALUE"""),"")</f>
        <v/>
      </c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</row>
    <row r="500">
      <c r="B500" s="49"/>
      <c r="C500" s="49" t="str">
        <f t="shared" si="2"/>
        <v/>
      </c>
      <c r="D500" s="50" t="str">
        <f t="shared" si="3"/>
        <v/>
      </c>
      <c r="E500" s="51" t="str">
        <f t="shared" ref="E500:T500" si="501">IFERROR(VLOOKUP($A500,INDIRECT("'" &amp; E$1 &amp; "'!$C:$G"), 5, FALSE),"")</f>
        <v/>
      </c>
      <c r="F500" s="51" t="str">
        <f t="shared" si="501"/>
        <v/>
      </c>
      <c r="G500" s="51" t="str">
        <f t="shared" si="501"/>
        <v/>
      </c>
      <c r="H500" s="51" t="str">
        <f t="shared" si="501"/>
        <v/>
      </c>
      <c r="I500" s="51" t="str">
        <f t="shared" si="501"/>
        <v/>
      </c>
      <c r="J500" s="51" t="str">
        <f t="shared" si="501"/>
        <v/>
      </c>
      <c r="K500" s="51" t="str">
        <f t="shared" si="501"/>
        <v/>
      </c>
      <c r="L500" s="51" t="str">
        <f t="shared" si="501"/>
        <v/>
      </c>
      <c r="M500" s="51" t="str">
        <f t="shared" si="501"/>
        <v/>
      </c>
      <c r="N500" s="51" t="str">
        <f t="shared" si="501"/>
        <v/>
      </c>
      <c r="O500" s="51" t="str">
        <f t="shared" si="501"/>
        <v/>
      </c>
      <c r="P500" s="51" t="str">
        <f t="shared" si="501"/>
        <v/>
      </c>
      <c r="Q500" s="51" t="str">
        <f t="shared" si="501"/>
        <v/>
      </c>
      <c r="R500" s="51" t="str">
        <f t="shared" si="501"/>
        <v/>
      </c>
      <c r="S500" s="51" t="str">
        <f t="shared" si="501"/>
        <v/>
      </c>
      <c r="T500" s="51" t="str">
        <f t="shared" si="501"/>
        <v/>
      </c>
      <c r="U500" s="52"/>
      <c r="V500" s="52" t="str">
        <f>IFERROR(__xludf.DUMMYFUNCTION("""COMPUTED_VALUE"""),"")</f>
        <v/>
      </c>
      <c r="W500" s="52" t="str">
        <f>IFERROR(__xludf.DUMMYFUNCTION("""COMPUTED_VALUE"""),"")</f>
        <v/>
      </c>
      <c r="X500" s="52" t="str">
        <f>IFERROR(__xludf.DUMMYFUNCTION("""COMPUTED_VALUE"""),"")</f>
        <v/>
      </c>
      <c r="Y500" s="52" t="str">
        <f>IFERROR(__xludf.DUMMYFUNCTION("""COMPUTED_VALUE"""),"")</f>
        <v/>
      </c>
      <c r="Z500" s="52" t="str">
        <f>IFERROR(__xludf.DUMMYFUNCTION("""COMPUTED_VALUE"""),"")</f>
        <v/>
      </c>
      <c r="AA500" s="52" t="str">
        <f>IFERROR(__xludf.DUMMYFUNCTION("""COMPUTED_VALUE"""),"")</f>
        <v/>
      </c>
      <c r="AB500" s="52" t="str">
        <f>IFERROR(__xludf.DUMMYFUNCTION("""COMPUTED_VALUE"""),"")</f>
        <v/>
      </c>
      <c r="AC500" s="52" t="str">
        <f>IFERROR(__xludf.DUMMYFUNCTION("""COMPUTED_VALUE"""),"")</f>
        <v/>
      </c>
      <c r="AD500" s="52" t="str">
        <f>IFERROR(__xludf.DUMMYFUNCTION("""COMPUTED_VALUE"""),"")</f>
        <v/>
      </c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</row>
    <row r="501">
      <c r="B501" s="49"/>
      <c r="C501" s="49" t="str">
        <f t="shared" si="2"/>
        <v/>
      </c>
      <c r="D501" s="50" t="str">
        <f t="shared" si="3"/>
        <v/>
      </c>
      <c r="E501" s="51" t="str">
        <f t="shared" ref="E501:T501" si="502">IFERROR(VLOOKUP($A501,INDIRECT("'" &amp; E$1 &amp; "'!$C:$G"), 5, FALSE),"")</f>
        <v/>
      </c>
      <c r="F501" s="51" t="str">
        <f t="shared" si="502"/>
        <v/>
      </c>
      <c r="G501" s="51" t="str">
        <f t="shared" si="502"/>
        <v/>
      </c>
      <c r="H501" s="51" t="str">
        <f t="shared" si="502"/>
        <v/>
      </c>
      <c r="I501" s="51" t="str">
        <f t="shared" si="502"/>
        <v/>
      </c>
      <c r="J501" s="51" t="str">
        <f t="shared" si="502"/>
        <v/>
      </c>
      <c r="K501" s="51" t="str">
        <f t="shared" si="502"/>
        <v/>
      </c>
      <c r="L501" s="51" t="str">
        <f t="shared" si="502"/>
        <v/>
      </c>
      <c r="M501" s="51" t="str">
        <f t="shared" si="502"/>
        <v/>
      </c>
      <c r="N501" s="51" t="str">
        <f t="shared" si="502"/>
        <v/>
      </c>
      <c r="O501" s="51" t="str">
        <f t="shared" si="502"/>
        <v/>
      </c>
      <c r="P501" s="51" t="str">
        <f t="shared" si="502"/>
        <v/>
      </c>
      <c r="Q501" s="51" t="str">
        <f t="shared" si="502"/>
        <v/>
      </c>
      <c r="R501" s="51" t="str">
        <f t="shared" si="502"/>
        <v/>
      </c>
      <c r="S501" s="51" t="str">
        <f t="shared" si="502"/>
        <v/>
      </c>
      <c r="T501" s="51" t="str">
        <f t="shared" si="502"/>
        <v/>
      </c>
      <c r="U501" s="52"/>
      <c r="V501" s="52" t="str">
        <f>IFERROR(__xludf.DUMMYFUNCTION("""COMPUTED_VALUE"""),"")</f>
        <v/>
      </c>
      <c r="W501" s="52" t="str">
        <f>IFERROR(__xludf.DUMMYFUNCTION("""COMPUTED_VALUE"""),"")</f>
        <v/>
      </c>
      <c r="X501" s="52" t="str">
        <f>IFERROR(__xludf.DUMMYFUNCTION("""COMPUTED_VALUE"""),"")</f>
        <v/>
      </c>
      <c r="Y501" s="52" t="str">
        <f>IFERROR(__xludf.DUMMYFUNCTION("""COMPUTED_VALUE"""),"")</f>
        <v/>
      </c>
      <c r="Z501" s="52" t="str">
        <f>IFERROR(__xludf.DUMMYFUNCTION("""COMPUTED_VALUE"""),"")</f>
        <v/>
      </c>
      <c r="AA501" s="52" t="str">
        <f>IFERROR(__xludf.DUMMYFUNCTION("""COMPUTED_VALUE"""),"")</f>
        <v/>
      </c>
      <c r="AB501" s="52" t="str">
        <f>IFERROR(__xludf.DUMMYFUNCTION("""COMPUTED_VALUE"""),"")</f>
        <v/>
      </c>
      <c r="AC501" s="52" t="str">
        <f>IFERROR(__xludf.DUMMYFUNCTION("""COMPUTED_VALUE"""),"")</f>
        <v/>
      </c>
      <c r="AD501" s="52" t="str">
        <f>IFERROR(__xludf.DUMMYFUNCTION("""COMPUTED_VALUE"""),"")</f>
        <v/>
      </c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</row>
    <row r="502">
      <c r="B502" s="49"/>
      <c r="C502" s="49" t="str">
        <f t="shared" si="2"/>
        <v/>
      </c>
      <c r="D502" s="50" t="str">
        <f t="shared" si="3"/>
        <v/>
      </c>
      <c r="E502" s="51" t="str">
        <f t="shared" ref="E502:T502" si="503">IFERROR(VLOOKUP($A502,INDIRECT("'" &amp; E$1 &amp; "'!$C:$G"), 5, FALSE),"")</f>
        <v/>
      </c>
      <c r="F502" s="51" t="str">
        <f t="shared" si="503"/>
        <v/>
      </c>
      <c r="G502" s="51" t="str">
        <f t="shared" si="503"/>
        <v/>
      </c>
      <c r="H502" s="51" t="str">
        <f t="shared" si="503"/>
        <v/>
      </c>
      <c r="I502" s="51" t="str">
        <f t="shared" si="503"/>
        <v/>
      </c>
      <c r="J502" s="51" t="str">
        <f t="shared" si="503"/>
        <v/>
      </c>
      <c r="K502" s="51" t="str">
        <f t="shared" si="503"/>
        <v/>
      </c>
      <c r="L502" s="51" t="str">
        <f t="shared" si="503"/>
        <v/>
      </c>
      <c r="M502" s="51" t="str">
        <f t="shared" si="503"/>
        <v/>
      </c>
      <c r="N502" s="51" t="str">
        <f t="shared" si="503"/>
        <v/>
      </c>
      <c r="O502" s="51" t="str">
        <f t="shared" si="503"/>
        <v/>
      </c>
      <c r="P502" s="51" t="str">
        <f t="shared" si="503"/>
        <v/>
      </c>
      <c r="Q502" s="51" t="str">
        <f t="shared" si="503"/>
        <v/>
      </c>
      <c r="R502" s="51" t="str">
        <f t="shared" si="503"/>
        <v/>
      </c>
      <c r="S502" s="51" t="str">
        <f t="shared" si="503"/>
        <v/>
      </c>
      <c r="T502" s="51" t="str">
        <f t="shared" si="503"/>
        <v/>
      </c>
      <c r="U502" s="52"/>
      <c r="V502" s="52" t="str">
        <f>IFERROR(__xludf.DUMMYFUNCTION("""COMPUTED_VALUE"""),"")</f>
        <v/>
      </c>
      <c r="W502" s="52" t="str">
        <f>IFERROR(__xludf.DUMMYFUNCTION("""COMPUTED_VALUE"""),"")</f>
        <v/>
      </c>
      <c r="X502" s="52" t="str">
        <f>IFERROR(__xludf.DUMMYFUNCTION("""COMPUTED_VALUE"""),"")</f>
        <v/>
      </c>
      <c r="Y502" s="52" t="str">
        <f>IFERROR(__xludf.DUMMYFUNCTION("""COMPUTED_VALUE"""),"")</f>
        <v/>
      </c>
      <c r="Z502" s="52" t="str">
        <f>IFERROR(__xludf.DUMMYFUNCTION("""COMPUTED_VALUE"""),"")</f>
        <v/>
      </c>
      <c r="AA502" s="52" t="str">
        <f>IFERROR(__xludf.DUMMYFUNCTION("""COMPUTED_VALUE"""),"")</f>
        <v/>
      </c>
      <c r="AB502" s="52" t="str">
        <f>IFERROR(__xludf.DUMMYFUNCTION("""COMPUTED_VALUE"""),"")</f>
        <v/>
      </c>
      <c r="AC502" s="52" t="str">
        <f>IFERROR(__xludf.DUMMYFUNCTION("""COMPUTED_VALUE"""),"")</f>
        <v/>
      </c>
      <c r="AD502" s="52" t="str">
        <f>IFERROR(__xludf.DUMMYFUNCTION("""COMPUTED_VALUE"""),"")</f>
        <v/>
      </c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</row>
    <row r="503">
      <c r="B503" s="49"/>
      <c r="C503" s="49" t="str">
        <f t="shared" si="2"/>
        <v/>
      </c>
      <c r="D503" s="50" t="str">
        <f t="shared" si="3"/>
        <v/>
      </c>
      <c r="E503" s="51" t="str">
        <f t="shared" ref="E503:T503" si="504">IFERROR(VLOOKUP($A503,INDIRECT("'" &amp; E$1 &amp; "'!$C:$G"), 5, FALSE),"")</f>
        <v/>
      </c>
      <c r="F503" s="51" t="str">
        <f t="shared" si="504"/>
        <v/>
      </c>
      <c r="G503" s="51" t="str">
        <f t="shared" si="504"/>
        <v/>
      </c>
      <c r="H503" s="51" t="str">
        <f t="shared" si="504"/>
        <v/>
      </c>
      <c r="I503" s="51" t="str">
        <f t="shared" si="504"/>
        <v/>
      </c>
      <c r="J503" s="51" t="str">
        <f t="shared" si="504"/>
        <v/>
      </c>
      <c r="K503" s="51" t="str">
        <f t="shared" si="504"/>
        <v/>
      </c>
      <c r="L503" s="51" t="str">
        <f t="shared" si="504"/>
        <v/>
      </c>
      <c r="M503" s="51" t="str">
        <f t="shared" si="504"/>
        <v/>
      </c>
      <c r="N503" s="51" t="str">
        <f t="shared" si="504"/>
        <v/>
      </c>
      <c r="O503" s="51" t="str">
        <f t="shared" si="504"/>
        <v/>
      </c>
      <c r="P503" s="51" t="str">
        <f t="shared" si="504"/>
        <v/>
      </c>
      <c r="Q503" s="51" t="str">
        <f t="shared" si="504"/>
        <v/>
      </c>
      <c r="R503" s="51" t="str">
        <f t="shared" si="504"/>
        <v/>
      </c>
      <c r="S503" s="51" t="str">
        <f t="shared" si="504"/>
        <v/>
      </c>
      <c r="T503" s="51" t="str">
        <f t="shared" si="504"/>
        <v/>
      </c>
      <c r="U503" s="52"/>
      <c r="V503" s="52" t="str">
        <f>IFERROR(__xludf.DUMMYFUNCTION("""COMPUTED_VALUE"""),"")</f>
        <v/>
      </c>
      <c r="W503" s="52" t="str">
        <f>IFERROR(__xludf.DUMMYFUNCTION("""COMPUTED_VALUE"""),"")</f>
        <v/>
      </c>
      <c r="X503" s="52" t="str">
        <f>IFERROR(__xludf.DUMMYFUNCTION("""COMPUTED_VALUE"""),"")</f>
        <v/>
      </c>
      <c r="Y503" s="52" t="str">
        <f>IFERROR(__xludf.DUMMYFUNCTION("""COMPUTED_VALUE"""),"")</f>
        <v/>
      </c>
      <c r="Z503" s="52" t="str">
        <f>IFERROR(__xludf.DUMMYFUNCTION("""COMPUTED_VALUE"""),"")</f>
        <v/>
      </c>
      <c r="AA503" s="52" t="str">
        <f>IFERROR(__xludf.DUMMYFUNCTION("""COMPUTED_VALUE"""),"")</f>
        <v/>
      </c>
      <c r="AB503" s="52" t="str">
        <f>IFERROR(__xludf.DUMMYFUNCTION("""COMPUTED_VALUE"""),"")</f>
        <v/>
      </c>
      <c r="AC503" s="52" t="str">
        <f>IFERROR(__xludf.DUMMYFUNCTION("""COMPUTED_VALUE"""),"")</f>
        <v/>
      </c>
      <c r="AD503" s="52" t="str">
        <f>IFERROR(__xludf.DUMMYFUNCTION("""COMPUTED_VALUE"""),"")</f>
        <v/>
      </c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</row>
    <row r="504">
      <c r="B504" s="49"/>
      <c r="C504" s="49" t="str">
        <f t="shared" si="2"/>
        <v/>
      </c>
      <c r="D504" s="50" t="str">
        <f t="shared" si="3"/>
        <v/>
      </c>
      <c r="E504" s="51" t="str">
        <f t="shared" ref="E504:T504" si="505">IFERROR(VLOOKUP($A504,INDIRECT("'" &amp; E$1 &amp; "'!$C:$G"), 5, FALSE),"")</f>
        <v/>
      </c>
      <c r="F504" s="51" t="str">
        <f t="shared" si="505"/>
        <v/>
      </c>
      <c r="G504" s="51" t="str">
        <f t="shared" si="505"/>
        <v/>
      </c>
      <c r="H504" s="51" t="str">
        <f t="shared" si="505"/>
        <v/>
      </c>
      <c r="I504" s="51" t="str">
        <f t="shared" si="505"/>
        <v/>
      </c>
      <c r="J504" s="51" t="str">
        <f t="shared" si="505"/>
        <v/>
      </c>
      <c r="K504" s="51" t="str">
        <f t="shared" si="505"/>
        <v/>
      </c>
      <c r="L504" s="51" t="str">
        <f t="shared" si="505"/>
        <v/>
      </c>
      <c r="M504" s="51" t="str">
        <f t="shared" si="505"/>
        <v/>
      </c>
      <c r="N504" s="51" t="str">
        <f t="shared" si="505"/>
        <v/>
      </c>
      <c r="O504" s="51" t="str">
        <f t="shared" si="505"/>
        <v/>
      </c>
      <c r="P504" s="51" t="str">
        <f t="shared" si="505"/>
        <v/>
      </c>
      <c r="Q504" s="51" t="str">
        <f t="shared" si="505"/>
        <v/>
      </c>
      <c r="R504" s="51" t="str">
        <f t="shared" si="505"/>
        <v/>
      </c>
      <c r="S504" s="51" t="str">
        <f t="shared" si="505"/>
        <v/>
      </c>
      <c r="T504" s="51" t="str">
        <f t="shared" si="505"/>
        <v/>
      </c>
      <c r="U504" s="52"/>
      <c r="V504" s="52" t="str">
        <f>IFERROR(__xludf.DUMMYFUNCTION("""COMPUTED_VALUE"""),"")</f>
        <v/>
      </c>
      <c r="W504" s="52" t="str">
        <f>IFERROR(__xludf.DUMMYFUNCTION("""COMPUTED_VALUE"""),"")</f>
        <v/>
      </c>
      <c r="X504" s="52" t="str">
        <f>IFERROR(__xludf.DUMMYFUNCTION("""COMPUTED_VALUE"""),"")</f>
        <v/>
      </c>
      <c r="Y504" s="52" t="str">
        <f>IFERROR(__xludf.DUMMYFUNCTION("""COMPUTED_VALUE"""),"")</f>
        <v/>
      </c>
      <c r="Z504" s="52" t="str">
        <f>IFERROR(__xludf.DUMMYFUNCTION("""COMPUTED_VALUE"""),"")</f>
        <v/>
      </c>
      <c r="AA504" s="52" t="str">
        <f>IFERROR(__xludf.DUMMYFUNCTION("""COMPUTED_VALUE"""),"")</f>
        <v/>
      </c>
      <c r="AB504" s="52" t="str">
        <f>IFERROR(__xludf.DUMMYFUNCTION("""COMPUTED_VALUE"""),"")</f>
        <v/>
      </c>
      <c r="AC504" s="52" t="str">
        <f>IFERROR(__xludf.DUMMYFUNCTION("""COMPUTED_VALUE"""),"")</f>
        <v/>
      </c>
      <c r="AD504" s="52" t="str">
        <f>IFERROR(__xludf.DUMMYFUNCTION("""COMPUTED_VALUE"""),"")</f>
        <v/>
      </c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</row>
    <row r="505">
      <c r="B505" s="49"/>
      <c r="C505" s="49" t="str">
        <f t="shared" si="2"/>
        <v/>
      </c>
      <c r="D505" s="50" t="str">
        <f t="shared" si="3"/>
        <v/>
      </c>
      <c r="E505" s="51" t="str">
        <f t="shared" ref="E505:T505" si="506">IFERROR(VLOOKUP($A505,INDIRECT("'" &amp; E$1 &amp; "'!$C:$G"), 5, FALSE),"")</f>
        <v/>
      </c>
      <c r="F505" s="51" t="str">
        <f t="shared" si="506"/>
        <v/>
      </c>
      <c r="G505" s="51" t="str">
        <f t="shared" si="506"/>
        <v/>
      </c>
      <c r="H505" s="51" t="str">
        <f t="shared" si="506"/>
        <v/>
      </c>
      <c r="I505" s="51" t="str">
        <f t="shared" si="506"/>
        <v/>
      </c>
      <c r="J505" s="51" t="str">
        <f t="shared" si="506"/>
        <v/>
      </c>
      <c r="K505" s="51" t="str">
        <f t="shared" si="506"/>
        <v/>
      </c>
      <c r="L505" s="51" t="str">
        <f t="shared" si="506"/>
        <v/>
      </c>
      <c r="M505" s="51" t="str">
        <f t="shared" si="506"/>
        <v/>
      </c>
      <c r="N505" s="51" t="str">
        <f t="shared" si="506"/>
        <v/>
      </c>
      <c r="O505" s="51" t="str">
        <f t="shared" si="506"/>
        <v/>
      </c>
      <c r="P505" s="51" t="str">
        <f t="shared" si="506"/>
        <v/>
      </c>
      <c r="Q505" s="51" t="str">
        <f t="shared" si="506"/>
        <v/>
      </c>
      <c r="R505" s="51" t="str">
        <f t="shared" si="506"/>
        <v/>
      </c>
      <c r="S505" s="51" t="str">
        <f t="shared" si="506"/>
        <v/>
      </c>
      <c r="T505" s="51" t="str">
        <f t="shared" si="506"/>
        <v/>
      </c>
      <c r="U505" s="52"/>
      <c r="V505" s="52" t="str">
        <f>IFERROR(__xludf.DUMMYFUNCTION("""COMPUTED_VALUE"""),"")</f>
        <v/>
      </c>
      <c r="W505" s="52" t="str">
        <f>IFERROR(__xludf.DUMMYFUNCTION("""COMPUTED_VALUE"""),"")</f>
        <v/>
      </c>
      <c r="X505" s="52" t="str">
        <f>IFERROR(__xludf.DUMMYFUNCTION("""COMPUTED_VALUE"""),"")</f>
        <v/>
      </c>
      <c r="Y505" s="52" t="str">
        <f>IFERROR(__xludf.DUMMYFUNCTION("""COMPUTED_VALUE"""),"")</f>
        <v/>
      </c>
      <c r="Z505" s="52" t="str">
        <f>IFERROR(__xludf.DUMMYFUNCTION("""COMPUTED_VALUE"""),"")</f>
        <v/>
      </c>
      <c r="AA505" s="52" t="str">
        <f>IFERROR(__xludf.DUMMYFUNCTION("""COMPUTED_VALUE"""),"")</f>
        <v/>
      </c>
      <c r="AB505" s="52" t="str">
        <f>IFERROR(__xludf.DUMMYFUNCTION("""COMPUTED_VALUE"""),"")</f>
        <v/>
      </c>
      <c r="AC505" s="52" t="str">
        <f>IFERROR(__xludf.DUMMYFUNCTION("""COMPUTED_VALUE"""),"")</f>
        <v/>
      </c>
      <c r="AD505" s="52" t="str">
        <f>IFERROR(__xludf.DUMMYFUNCTION("""COMPUTED_VALUE"""),"")</f>
        <v/>
      </c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</row>
    <row r="506">
      <c r="B506" s="49"/>
      <c r="C506" s="49" t="str">
        <f t="shared" si="2"/>
        <v/>
      </c>
      <c r="D506" s="50" t="str">
        <f t="shared" si="3"/>
        <v/>
      </c>
      <c r="E506" s="51" t="str">
        <f t="shared" ref="E506:T506" si="507">IFERROR(VLOOKUP($A506,INDIRECT("'" &amp; E$1 &amp; "'!$C:$G"), 5, FALSE),"")</f>
        <v/>
      </c>
      <c r="F506" s="51" t="str">
        <f t="shared" si="507"/>
        <v/>
      </c>
      <c r="G506" s="51" t="str">
        <f t="shared" si="507"/>
        <v/>
      </c>
      <c r="H506" s="51" t="str">
        <f t="shared" si="507"/>
        <v/>
      </c>
      <c r="I506" s="51" t="str">
        <f t="shared" si="507"/>
        <v/>
      </c>
      <c r="J506" s="51" t="str">
        <f t="shared" si="507"/>
        <v/>
      </c>
      <c r="K506" s="51" t="str">
        <f t="shared" si="507"/>
        <v/>
      </c>
      <c r="L506" s="51" t="str">
        <f t="shared" si="507"/>
        <v/>
      </c>
      <c r="M506" s="51" t="str">
        <f t="shared" si="507"/>
        <v/>
      </c>
      <c r="N506" s="51" t="str">
        <f t="shared" si="507"/>
        <v/>
      </c>
      <c r="O506" s="51" t="str">
        <f t="shared" si="507"/>
        <v/>
      </c>
      <c r="P506" s="51" t="str">
        <f t="shared" si="507"/>
        <v/>
      </c>
      <c r="Q506" s="51" t="str">
        <f t="shared" si="507"/>
        <v/>
      </c>
      <c r="R506" s="51" t="str">
        <f t="shared" si="507"/>
        <v/>
      </c>
      <c r="S506" s="51" t="str">
        <f t="shared" si="507"/>
        <v/>
      </c>
      <c r="T506" s="51" t="str">
        <f t="shared" si="507"/>
        <v/>
      </c>
      <c r="U506" s="52"/>
      <c r="V506" s="52" t="str">
        <f>IFERROR(__xludf.DUMMYFUNCTION("""COMPUTED_VALUE"""),"")</f>
        <v/>
      </c>
      <c r="W506" s="52" t="str">
        <f>IFERROR(__xludf.DUMMYFUNCTION("""COMPUTED_VALUE"""),"")</f>
        <v/>
      </c>
      <c r="X506" s="52" t="str">
        <f>IFERROR(__xludf.DUMMYFUNCTION("""COMPUTED_VALUE"""),"")</f>
        <v/>
      </c>
      <c r="Y506" s="52" t="str">
        <f>IFERROR(__xludf.DUMMYFUNCTION("""COMPUTED_VALUE"""),"")</f>
        <v/>
      </c>
      <c r="Z506" s="52" t="str">
        <f>IFERROR(__xludf.DUMMYFUNCTION("""COMPUTED_VALUE"""),"")</f>
        <v/>
      </c>
      <c r="AA506" s="52" t="str">
        <f>IFERROR(__xludf.DUMMYFUNCTION("""COMPUTED_VALUE"""),"")</f>
        <v/>
      </c>
      <c r="AB506" s="52" t="str">
        <f>IFERROR(__xludf.DUMMYFUNCTION("""COMPUTED_VALUE"""),"")</f>
        <v/>
      </c>
      <c r="AC506" s="52" t="str">
        <f>IFERROR(__xludf.DUMMYFUNCTION("""COMPUTED_VALUE"""),"")</f>
        <v/>
      </c>
      <c r="AD506" s="52" t="str">
        <f>IFERROR(__xludf.DUMMYFUNCTION("""COMPUTED_VALUE"""),"")</f>
        <v/>
      </c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</row>
    <row r="507">
      <c r="B507" s="49"/>
      <c r="C507" s="49" t="str">
        <f t="shared" si="2"/>
        <v/>
      </c>
      <c r="D507" s="50" t="str">
        <f t="shared" si="3"/>
        <v/>
      </c>
      <c r="E507" s="51" t="str">
        <f t="shared" ref="E507:T507" si="508">IFERROR(VLOOKUP($A507,INDIRECT("'" &amp; E$1 &amp; "'!$C:$G"), 5, FALSE),"")</f>
        <v/>
      </c>
      <c r="F507" s="51" t="str">
        <f t="shared" si="508"/>
        <v/>
      </c>
      <c r="G507" s="51" t="str">
        <f t="shared" si="508"/>
        <v/>
      </c>
      <c r="H507" s="51" t="str">
        <f t="shared" si="508"/>
        <v/>
      </c>
      <c r="I507" s="51" t="str">
        <f t="shared" si="508"/>
        <v/>
      </c>
      <c r="J507" s="51" t="str">
        <f t="shared" si="508"/>
        <v/>
      </c>
      <c r="K507" s="51" t="str">
        <f t="shared" si="508"/>
        <v/>
      </c>
      <c r="L507" s="51" t="str">
        <f t="shared" si="508"/>
        <v/>
      </c>
      <c r="M507" s="51" t="str">
        <f t="shared" si="508"/>
        <v/>
      </c>
      <c r="N507" s="51" t="str">
        <f t="shared" si="508"/>
        <v/>
      </c>
      <c r="O507" s="51" t="str">
        <f t="shared" si="508"/>
        <v/>
      </c>
      <c r="P507" s="51" t="str">
        <f t="shared" si="508"/>
        <v/>
      </c>
      <c r="Q507" s="51" t="str">
        <f t="shared" si="508"/>
        <v/>
      </c>
      <c r="R507" s="51" t="str">
        <f t="shared" si="508"/>
        <v/>
      </c>
      <c r="S507" s="51" t="str">
        <f t="shared" si="508"/>
        <v/>
      </c>
      <c r="T507" s="51" t="str">
        <f t="shared" si="508"/>
        <v/>
      </c>
      <c r="U507" s="52"/>
      <c r="V507" s="52" t="str">
        <f>IFERROR(__xludf.DUMMYFUNCTION("""COMPUTED_VALUE"""),"")</f>
        <v/>
      </c>
      <c r="W507" s="52" t="str">
        <f>IFERROR(__xludf.DUMMYFUNCTION("""COMPUTED_VALUE"""),"")</f>
        <v/>
      </c>
      <c r="X507" s="52" t="str">
        <f>IFERROR(__xludf.DUMMYFUNCTION("""COMPUTED_VALUE"""),"")</f>
        <v/>
      </c>
      <c r="Y507" s="52" t="str">
        <f>IFERROR(__xludf.DUMMYFUNCTION("""COMPUTED_VALUE"""),"")</f>
        <v/>
      </c>
      <c r="Z507" s="52" t="str">
        <f>IFERROR(__xludf.DUMMYFUNCTION("""COMPUTED_VALUE"""),"")</f>
        <v/>
      </c>
      <c r="AA507" s="52" t="str">
        <f>IFERROR(__xludf.DUMMYFUNCTION("""COMPUTED_VALUE"""),"")</f>
        <v/>
      </c>
      <c r="AB507" s="52" t="str">
        <f>IFERROR(__xludf.DUMMYFUNCTION("""COMPUTED_VALUE"""),"")</f>
        <v/>
      </c>
      <c r="AC507" s="52" t="str">
        <f>IFERROR(__xludf.DUMMYFUNCTION("""COMPUTED_VALUE"""),"")</f>
        <v/>
      </c>
      <c r="AD507" s="52" t="str">
        <f>IFERROR(__xludf.DUMMYFUNCTION("""COMPUTED_VALUE"""),"")</f>
        <v/>
      </c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</row>
    <row r="508">
      <c r="B508" s="49"/>
      <c r="C508" s="49" t="str">
        <f t="shared" si="2"/>
        <v/>
      </c>
      <c r="D508" s="50" t="str">
        <f t="shared" si="3"/>
        <v/>
      </c>
      <c r="E508" s="51" t="str">
        <f t="shared" ref="E508:T508" si="509">IFERROR(VLOOKUP($A508,INDIRECT("'" &amp; E$1 &amp; "'!$C:$G"), 5, FALSE),"")</f>
        <v/>
      </c>
      <c r="F508" s="51" t="str">
        <f t="shared" si="509"/>
        <v/>
      </c>
      <c r="G508" s="51" t="str">
        <f t="shared" si="509"/>
        <v/>
      </c>
      <c r="H508" s="51" t="str">
        <f t="shared" si="509"/>
        <v/>
      </c>
      <c r="I508" s="51" t="str">
        <f t="shared" si="509"/>
        <v/>
      </c>
      <c r="J508" s="51" t="str">
        <f t="shared" si="509"/>
        <v/>
      </c>
      <c r="K508" s="51" t="str">
        <f t="shared" si="509"/>
        <v/>
      </c>
      <c r="L508" s="51" t="str">
        <f t="shared" si="509"/>
        <v/>
      </c>
      <c r="M508" s="51" t="str">
        <f t="shared" si="509"/>
        <v/>
      </c>
      <c r="N508" s="51" t="str">
        <f t="shared" si="509"/>
        <v/>
      </c>
      <c r="O508" s="51" t="str">
        <f t="shared" si="509"/>
        <v/>
      </c>
      <c r="P508" s="51" t="str">
        <f t="shared" si="509"/>
        <v/>
      </c>
      <c r="Q508" s="51" t="str">
        <f t="shared" si="509"/>
        <v/>
      </c>
      <c r="R508" s="51" t="str">
        <f t="shared" si="509"/>
        <v/>
      </c>
      <c r="S508" s="51" t="str">
        <f t="shared" si="509"/>
        <v/>
      </c>
      <c r="T508" s="51" t="str">
        <f t="shared" si="509"/>
        <v/>
      </c>
      <c r="U508" s="52"/>
      <c r="V508" s="52" t="str">
        <f>IFERROR(__xludf.DUMMYFUNCTION("""COMPUTED_VALUE"""),"")</f>
        <v/>
      </c>
      <c r="W508" s="52" t="str">
        <f>IFERROR(__xludf.DUMMYFUNCTION("""COMPUTED_VALUE"""),"")</f>
        <v/>
      </c>
      <c r="X508" s="52" t="str">
        <f>IFERROR(__xludf.DUMMYFUNCTION("""COMPUTED_VALUE"""),"")</f>
        <v/>
      </c>
      <c r="Y508" s="52" t="str">
        <f>IFERROR(__xludf.DUMMYFUNCTION("""COMPUTED_VALUE"""),"")</f>
        <v/>
      </c>
      <c r="Z508" s="52" t="str">
        <f>IFERROR(__xludf.DUMMYFUNCTION("""COMPUTED_VALUE"""),"")</f>
        <v/>
      </c>
      <c r="AA508" s="52" t="str">
        <f>IFERROR(__xludf.DUMMYFUNCTION("""COMPUTED_VALUE"""),"")</f>
        <v/>
      </c>
      <c r="AB508" s="52" t="str">
        <f>IFERROR(__xludf.DUMMYFUNCTION("""COMPUTED_VALUE"""),"")</f>
        <v/>
      </c>
      <c r="AC508" s="52" t="str">
        <f>IFERROR(__xludf.DUMMYFUNCTION("""COMPUTED_VALUE"""),"")</f>
        <v/>
      </c>
      <c r="AD508" s="52" t="str">
        <f>IFERROR(__xludf.DUMMYFUNCTION("""COMPUTED_VALUE"""),"")</f>
        <v/>
      </c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</row>
    <row r="509">
      <c r="B509" s="49"/>
      <c r="C509" s="49" t="str">
        <f t="shared" si="2"/>
        <v/>
      </c>
      <c r="D509" s="50" t="str">
        <f t="shared" si="3"/>
        <v/>
      </c>
      <c r="E509" s="51" t="str">
        <f t="shared" ref="E509:T509" si="510">IFERROR(VLOOKUP($A509,INDIRECT("'" &amp; E$1 &amp; "'!$C:$G"), 5, FALSE),"")</f>
        <v/>
      </c>
      <c r="F509" s="51" t="str">
        <f t="shared" si="510"/>
        <v/>
      </c>
      <c r="G509" s="51" t="str">
        <f t="shared" si="510"/>
        <v/>
      </c>
      <c r="H509" s="51" t="str">
        <f t="shared" si="510"/>
        <v/>
      </c>
      <c r="I509" s="51" t="str">
        <f t="shared" si="510"/>
        <v/>
      </c>
      <c r="J509" s="51" t="str">
        <f t="shared" si="510"/>
        <v/>
      </c>
      <c r="K509" s="51" t="str">
        <f t="shared" si="510"/>
        <v/>
      </c>
      <c r="L509" s="51" t="str">
        <f t="shared" si="510"/>
        <v/>
      </c>
      <c r="M509" s="51" t="str">
        <f t="shared" si="510"/>
        <v/>
      </c>
      <c r="N509" s="51" t="str">
        <f t="shared" si="510"/>
        <v/>
      </c>
      <c r="O509" s="51" t="str">
        <f t="shared" si="510"/>
        <v/>
      </c>
      <c r="P509" s="51" t="str">
        <f t="shared" si="510"/>
        <v/>
      </c>
      <c r="Q509" s="51" t="str">
        <f t="shared" si="510"/>
        <v/>
      </c>
      <c r="R509" s="51" t="str">
        <f t="shared" si="510"/>
        <v/>
      </c>
      <c r="S509" s="51" t="str">
        <f t="shared" si="510"/>
        <v/>
      </c>
      <c r="T509" s="51" t="str">
        <f t="shared" si="510"/>
        <v/>
      </c>
      <c r="U509" s="52"/>
      <c r="V509" s="52" t="str">
        <f>IFERROR(__xludf.DUMMYFUNCTION("""COMPUTED_VALUE"""),"")</f>
        <v/>
      </c>
      <c r="W509" s="52" t="str">
        <f>IFERROR(__xludf.DUMMYFUNCTION("""COMPUTED_VALUE"""),"")</f>
        <v/>
      </c>
      <c r="X509" s="52" t="str">
        <f>IFERROR(__xludf.DUMMYFUNCTION("""COMPUTED_VALUE"""),"")</f>
        <v/>
      </c>
      <c r="Y509" s="52" t="str">
        <f>IFERROR(__xludf.DUMMYFUNCTION("""COMPUTED_VALUE"""),"")</f>
        <v/>
      </c>
      <c r="Z509" s="52" t="str">
        <f>IFERROR(__xludf.DUMMYFUNCTION("""COMPUTED_VALUE"""),"")</f>
        <v/>
      </c>
      <c r="AA509" s="52" t="str">
        <f>IFERROR(__xludf.DUMMYFUNCTION("""COMPUTED_VALUE"""),"")</f>
        <v/>
      </c>
      <c r="AB509" s="52" t="str">
        <f>IFERROR(__xludf.DUMMYFUNCTION("""COMPUTED_VALUE"""),"")</f>
        <v/>
      </c>
      <c r="AC509" s="52" t="str">
        <f>IFERROR(__xludf.DUMMYFUNCTION("""COMPUTED_VALUE"""),"")</f>
        <v/>
      </c>
      <c r="AD509" s="52" t="str">
        <f>IFERROR(__xludf.DUMMYFUNCTION("""COMPUTED_VALUE"""),"")</f>
        <v/>
      </c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</row>
    <row r="510">
      <c r="B510" s="49"/>
      <c r="C510" s="49" t="str">
        <f t="shared" si="2"/>
        <v/>
      </c>
      <c r="D510" s="50" t="str">
        <f t="shared" si="3"/>
        <v/>
      </c>
      <c r="E510" s="51" t="str">
        <f t="shared" ref="E510:T510" si="511">IFERROR(VLOOKUP($A510,INDIRECT("'" &amp; E$1 &amp; "'!$C:$G"), 5, FALSE),"")</f>
        <v/>
      </c>
      <c r="F510" s="51" t="str">
        <f t="shared" si="511"/>
        <v/>
      </c>
      <c r="G510" s="51" t="str">
        <f t="shared" si="511"/>
        <v/>
      </c>
      <c r="H510" s="51" t="str">
        <f t="shared" si="511"/>
        <v/>
      </c>
      <c r="I510" s="51" t="str">
        <f t="shared" si="511"/>
        <v/>
      </c>
      <c r="J510" s="51" t="str">
        <f t="shared" si="511"/>
        <v/>
      </c>
      <c r="K510" s="51" t="str">
        <f t="shared" si="511"/>
        <v/>
      </c>
      <c r="L510" s="51" t="str">
        <f t="shared" si="511"/>
        <v/>
      </c>
      <c r="M510" s="51" t="str">
        <f t="shared" si="511"/>
        <v/>
      </c>
      <c r="N510" s="51" t="str">
        <f t="shared" si="511"/>
        <v/>
      </c>
      <c r="O510" s="51" t="str">
        <f t="shared" si="511"/>
        <v/>
      </c>
      <c r="P510" s="51" t="str">
        <f t="shared" si="511"/>
        <v/>
      </c>
      <c r="Q510" s="51" t="str">
        <f t="shared" si="511"/>
        <v/>
      </c>
      <c r="R510" s="51" t="str">
        <f t="shared" si="511"/>
        <v/>
      </c>
      <c r="S510" s="51" t="str">
        <f t="shared" si="511"/>
        <v/>
      </c>
      <c r="T510" s="51" t="str">
        <f t="shared" si="511"/>
        <v/>
      </c>
      <c r="U510" s="52"/>
      <c r="V510" s="52" t="str">
        <f>IFERROR(__xludf.DUMMYFUNCTION("""COMPUTED_VALUE"""),"")</f>
        <v/>
      </c>
      <c r="W510" s="52" t="str">
        <f>IFERROR(__xludf.DUMMYFUNCTION("""COMPUTED_VALUE"""),"")</f>
        <v/>
      </c>
      <c r="X510" s="52" t="str">
        <f>IFERROR(__xludf.DUMMYFUNCTION("""COMPUTED_VALUE"""),"")</f>
        <v/>
      </c>
      <c r="Y510" s="52" t="str">
        <f>IFERROR(__xludf.DUMMYFUNCTION("""COMPUTED_VALUE"""),"")</f>
        <v/>
      </c>
      <c r="Z510" s="52" t="str">
        <f>IFERROR(__xludf.DUMMYFUNCTION("""COMPUTED_VALUE"""),"")</f>
        <v/>
      </c>
      <c r="AA510" s="52" t="str">
        <f>IFERROR(__xludf.DUMMYFUNCTION("""COMPUTED_VALUE"""),"")</f>
        <v/>
      </c>
      <c r="AB510" s="52" t="str">
        <f>IFERROR(__xludf.DUMMYFUNCTION("""COMPUTED_VALUE"""),"")</f>
        <v/>
      </c>
      <c r="AC510" s="52" t="str">
        <f>IFERROR(__xludf.DUMMYFUNCTION("""COMPUTED_VALUE"""),"")</f>
        <v/>
      </c>
      <c r="AD510" s="52" t="str">
        <f>IFERROR(__xludf.DUMMYFUNCTION("""COMPUTED_VALUE"""),"")</f>
        <v/>
      </c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</row>
    <row r="511">
      <c r="B511" s="49"/>
      <c r="C511" s="49" t="str">
        <f t="shared" si="2"/>
        <v/>
      </c>
      <c r="D511" s="50" t="str">
        <f t="shared" si="3"/>
        <v/>
      </c>
      <c r="E511" s="51" t="str">
        <f t="shared" ref="E511:T511" si="512">IFERROR(VLOOKUP($A511,INDIRECT("'" &amp; E$1 &amp; "'!$C:$G"), 5, FALSE),"")</f>
        <v/>
      </c>
      <c r="F511" s="51" t="str">
        <f t="shared" si="512"/>
        <v/>
      </c>
      <c r="G511" s="51" t="str">
        <f t="shared" si="512"/>
        <v/>
      </c>
      <c r="H511" s="51" t="str">
        <f t="shared" si="512"/>
        <v/>
      </c>
      <c r="I511" s="51" t="str">
        <f t="shared" si="512"/>
        <v/>
      </c>
      <c r="J511" s="51" t="str">
        <f t="shared" si="512"/>
        <v/>
      </c>
      <c r="K511" s="51" t="str">
        <f t="shared" si="512"/>
        <v/>
      </c>
      <c r="L511" s="51" t="str">
        <f t="shared" si="512"/>
        <v/>
      </c>
      <c r="M511" s="51" t="str">
        <f t="shared" si="512"/>
        <v/>
      </c>
      <c r="N511" s="51" t="str">
        <f t="shared" si="512"/>
        <v/>
      </c>
      <c r="O511" s="51" t="str">
        <f t="shared" si="512"/>
        <v/>
      </c>
      <c r="P511" s="51" t="str">
        <f t="shared" si="512"/>
        <v/>
      </c>
      <c r="Q511" s="51" t="str">
        <f t="shared" si="512"/>
        <v/>
      </c>
      <c r="R511" s="51" t="str">
        <f t="shared" si="512"/>
        <v/>
      </c>
      <c r="S511" s="51" t="str">
        <f t="shared" si="512"/>
        <v/>
      </c>
      <c r="T511" s="51" t="str">
        <f t="shared" si="512"/>
        <v/>
      </c>
      <c r="U511" s="52"/>
      <c r="V511" s="52" t="str">
        <f>IFERROR(__xludf.DUMMYFUNCTION("""COMPUTED_VALUE"""),"")</f>
        <v/>
      </c>
      <c r="W511" s="52" t="str">
        <f>IFERROR(__xludf.DUMMYFUNCTION("""COMPUTED_VALUE"""),"")</f>
        <v/>
      </c>
      <c r="X511" s="52" t="str">
        <f>IFERROR(__xludf.DUMMYFUNCTION("""COMPUTED_VALUE"""),"")</f>
        <v/>
      </c>
      <c r="Y511" s="52" t="str">
        <f>IFERROR(__xludf.DUMMYFUNCTION("""COMPUTED_VALUE"""),"")</f>
        <v/>
      </c>
      <c r="Z511" s="52" t="str">
        <f>IFERROR(__xludf.DUMMYFUNCTION("""COMPUTED_VALUE"""),"")</f>
        <v/>
      </c>
      <c r="AA511" s="52" t="str">
        <f>IFERROR(__xludf.DUMMYFUNCTION("""COMPUTED_VALUE"""),"")</f>
        <v/>
      </c>
      <c r="AB511" s="52" t="str">
        <f>IFERROR(__xludf.DUMMYFUNCTION("""COMPUTED_VALUE"""),"")</f>
        <v/>
      </c>
      <c r="AC511" s="52" t="str">
        <f>IFERROR(__xludf.DUMMYFUNCTION("""COMPUTED_VALUE"""),"")</f>
        <v/>
      </c>
      <c r="AD511" s="52" t="str">
        <f>IFERROR(__xludf.DUMMYFUNCTION("""COMPUTED_VALUE"""),"")</f>
        <v/>
      </c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</row>
    <row r="512">
      <c r="B512" s="49"/>
      <c r="C512" s="49" t="str">
        <f t="shared" si="2"/>
        <v/>
      </c>
      <c r="D512" s="50" t="str">
        <f t="shared" si="3"/>
        <v/>
      </c>
      <c r="E512" s="51" t="str">
        <f t="shared" ref="E512:T512" si="513">IFERROR(VLOOKUP($A512,INDIRECT("'" &amp; E$1 &amp; "'!$C:$G"), 5, FALSE),"")</f>
        <v/>
      </c>
      <c r="F512" s="51" t="str">
        <f t="shared" si="513"/>
        <v/>
      </c>
      <c r="G512" s="51" t="str">
        <f t="shared" si="513"/>
        <v/>
      </c>
      <c r="H512" s="51" t="str">
        <f t="shared" si="513"/>
        <v/>
      </c>
      <c r="I512" s="51" t="str">
        <f t="shared" si="513"/>
        <v/>
      </c>
      <c r="J512" s="51" t="str">
        <f t="shared" si="513"/>
        <v/>
      </c>
      <c r="K512" s="51" t="str">
        <f t="shared" si="513"/>
        <v/>
      </c>
      <c r="L512" s="51" t="str">
        <f t="shared" si="513"/>
        <v/>
      </c>
      <c r="M512" s="51" t="str">
        <f t="shared" si="513"/>
        <v/>
      </c>
      <c r="N512" s="51" t="str">
        <f t="shared" si="513"/>
        <v/>
      </c>
      <c r="O512" s="51" t="str">
        <f t="shared" si="513"/>
        <v/>
      </c>
      <c r="P512" s="51" t="str">
        <f t="shared" si="513"/>
        <v/>
      </c>
      <c r="Q512" s="51" t="str">
        <f t="shared" si="513"/>
        <v/>
      </c>
      <c r="R512" s="51" t="str">
        <f t="shared" si="513"/>
        <v/>
      </c>
      <c r="S512" s="51" t="str">
        <f t="shared" si="513"/>
        <v/>
      </c>
      <c r="T512" s="51" t="str">
        <f t="shared" si="513"/>
        <v/>
      </c>
      <c r="U512" s="52"/>
      <c r="V512" s="52" t="str">
        <f>IFERROR(__xludf.DUMMYFUNCTION("""COMPUTED_VALUE"""),"")</f>
        <v/>
      </c>
      <c r="W512" s="52" t="str">
        <f>IFERROR(__xludf.DUMMYFUNCTION("""COMPUTED_VALUE"""),"")</f>
        <v/>
      </c>
      <c r="X512" s="52" t="str">
        <f>IFERROR(__xludf.DUMMYFUNCTION("""COMPUTED_VALUE"""),"")</f>
        <v/>
      </c>
      <c r="Y512" s="52" t="str">
        <f>IFERROR(__xludf.DUMMYFUNCTION("""COMPUTED_VALUE"""),"")</f>
        <v/>
      </c>
      <c r="Z512" s="52" t="str">
        <f>IFERROR(__xludf.DUMMYFUNCTION("""COMPUTED_VALUE"""),"")</f>
        <v/>
      </c>
      <c r="AA512" s="52" t="str">
        <f>IFERROR(__xludf.DUMMYFUNCTION("""COMPUTED_VALUE"""),"")</f>
        <v/>
      </c>
      <c r="AB512" s="52" t="str">
        <f>IFERROR(__xludf.DUMMYFUNCTION("""COMPUTED_VALUE"""),"")</f>
        <v/>
      </c>
      <c r="AC512" s="52" t="str">
        <f>IFERROR(__xludf.DUMMYFUNCTION("""COMPUTED_VALUE"""),"")</f>
        <v/>
      </c>
      <c r="AD512" s="52" t="str">
        <f>IFERROR(__xludf.DUMMYFUNCTION("""COMPUTED_VALUE"""),"")</f>
        <v/>
      </c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</row>
    <row r="513">
      <c r="B513" s="49"/>
      <c r="C513" s="49" t="str">
        <f t="shared" si="2"/>
        <v/>
      </c>
      <c r="D513" s="50" t="str">
        <f t="shared" si="3"/>
        <v/>
      </c>
      <c r="E513" s="51" t="str">
        <f t="shared" ref="E513:T513" si="514">IFERROR(VLOOKUP($A513,INDIRECT("'" &amp; E$1 &amp; "'!$C:$G"), 5, FALSE),"")</f>
        <v/>
      </c>
      <c r="F513" s="51" t="str">
        <f t="shared" si="514"/>
        <v/>
      </c>
      <c r="G513" s="51" t="str">
        <f t="shared" si="514"/>
        <v/>
      </c>
      <c r="H513" s="51" t="str">
        <f t="shared" si="514"/>
        <v/>
      </c>
      <c r="I513" s="51" t="str">
        <f t="shared" si="514"/>
        <v/>
      </c>
      <c r="J513" s="51" t="str">
        <f t="shared" si="514"/>
        <v/>
      </c>
      <c r="K513" s="51" t="str">
        <f t="shared" si="514"/>
        <v/>
      </c>
      <c r="L513" s="51" t="str">
        <f t="shared" si="514"/>
        <v/>
      </c>
      <c r="M513" s="51" t="str">
        <f t="shared" si="514"/>
        <v/>
      </c>
      <c r="N513" s="51" t="str">
        <f t="shared" si="514"/>
        <v/>
      </c>
      <c r="O513" s="51" t="str">
        <f t="shared" si="514"/>
        <v/>
      </c>
      <c r="P513" s="51" t="str">
        <f t="shared" si="514"/>
        <v/>
      </c>
      <c r="Q513" s="51" t="str">
        <f t="shared" si="514"/>
        <v/>
      </c>
      <c r="R513" s="51" t="str">
        <f t="shared" si="514"/>
        <v/>
      </c>
      <c r="S513" s="51" t="str">
        <f t="shared" si="514"/>
        <v/>
      </c>
      <c r="T513" s="51" t="str">
        <f t="shared" si="514"/>
        <v/>
      </c>
      <c r="U513" s="52"/>
      <c r="V513" s="52" t="str">
        <f>IFERROR(__xludf.DUMMYFUNCTION("""COMPUTED_VALUE"""),"")</f>
        <v/>
      </c>
      <c r="W513" s="52" t="str">
        <f>IFERROR(__xludf.DUMMYFUNCTION("""COMPUTED_VALUE"""),"")</f>
        <v/>
      </c>
      <c r="X513" s="52" t="str">
        <f>IFERROR(__xludf.DUMMYFUNCTION("""COMPUTED_VALUE"""),"")</f>
        <v/>
      </c>
      <c r="Y513" s="52" t="str">
        <f>IFERROR(__xludf.DUMMYFUNCTION("""COMPUTED_VALUE"""),"")</f>
        <v/>
      </c>
      <c r="Z513" s="52" t="str">
        <f>IFERROR(__xludf.DUMMYFUNCTION("""COMPUTED_VALUE"""),"")</f>
        <v/>
      </c>
      <c r="AA513" s="52" t="str">
        <f>IFERROR(__xludf.DUMMYFUNCTION("""COMPUTED_VALUE"""),"")</f>
        <v/>
      </c>
      <c r="AB513" s="52" t="str">
        <f>IFERROR(__xludf.DUMMYFUNCTION("""COMPUTED_VALUE"""),"")</f>
        <v/>
      </c>
      <c r="AC513" s="52" t="str">
        <f>IFERROR(__xludf.DUMMYFUNCTION("""COMPUTED_VALUE"""),"")</f>
        <v/>
      </c>
      <c r="AD513" s="52" t="str">
        <f>IFERROR(__xludf.DUMMYFUNCTION("""COMPUTED_VALUE"""),"")</f>
        <v/>
      </c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</row>
    <row r="514">
      <c r="B514" s="49"/>
      <c r="C514" s="49" t="str">
        <f t="shared" si="2"/>
        <v/>
      </c>
      <c r="D514" s="50" t="str">
        <f t="shared" si="3"/>
        <v/>
      </c>
      <c r="E514" s="51" t="str">
        <f t="shared" ref="E514:T514" si="515">IFERROR(VLOOKUP($A514,INDIRECT("'" &amp; E$1 &amp; "'!$C:$G"), 5, FALSE),"")</f>
        <v/>
      </c>
      <c r="F514" s="51" t="str">
        <f t="shared" si="515"/>
        <v/>
      </c>
      <c r="G514" s="51" t="str">
        <f t="shared" si="515"/>
        <v/>
      </c>
      <c r="H514" s="51" t="str">
        <f t="shared" si="515"/>
        <v/>
      </c>
      <c r="I514" s="51" t="str">
        <f t="shared" si="515"/>
        <v/>
      </c>
      <c r="J514" s="51" t="str">
        <f t="shared" si="515"/>
        <v/>
      </c>
      <c r="K514" s="51" t="str">
        <f t="shared" si="515"/>
        <v/>
      </c>
      <c r="L514" s="51" t="str">
        <f t="shared" si="515"/>
        <v/>
      </c>
      <c r="M514" s="51" t="str">
        <f t="shared" si="515"/>
        <v/>
      </c>
      <c r="N514" s="51" t="str">
        <f t="shared" si="515"/>
        <v/>
      </c>
      <c r="O514" s="51" t="str">
        <f t="shared" si="515"/>
        <v/>
      </c>
      <c r="P514" s="51" t="str">
        <f t="shared" si="515"/>
        <v/>
      </c>
      <c r="Q514" s="51" t="str">
        <f t="shared" si="515"/>
        <v/>
      </c>
      <c r="R514" s="51" t="str">
        <f t="shared" si="515"/>
        <v/>
      </c>
      <c r="S514" s="51" t="str">
        <f t="shared" si="515"/>
        <v/>
      </c>
      <c r="T514" s="51" t="str">
        <f t="shared" si="515"/>
        <v/>
      </c>
      <c r="U514" s="52"/>
      <c r="V514" s="52" t="str">
        <f>IFERROR(__xludf.DUMMYFUNCTION("""COMPUTED_VALUE"""),"")</f>
        <v/>
      </c>
      <c r="W514" s="52" t="str">
        <f>IFERROR(__xludf.DUMMYFUNCTION("""COMPUTED_VALUE"""),"")</f>
        <v/>
      </c>
      <c r="X514" s="52" t="str">
        <f>IFERROR(__xludf.DUMMYFUNCTION("""COMPUTED_VALUE"""),"")</f>
        <v/>
      </c>
      <c r="Y514" s="52" t="str">
        <f>IFERROR(__xludf.DUMMYFUNCTION("""COMPUTED_VALUE"""),"")</f>
        <v/>
      </c>
      <c r="Z514" s="52" t="str">
        <f>IFERROR(__xludf.DUMMYFUNCTION("""COMPUTED_VALUE"""),"")</f>
        <v/>
      </c>
      <c r="AA514" s="52" t="str">
        <f>IFERROR(__xludf.DUMMYFUNCTION("""COMPUTED_VALUE"""),"")</f>
        <v/>
      </c>
      <c r="AB514" s="52" t="str">
        <f>IFERROR(__xludf.DUMMYFUNCTION("""COMPUTED_VALUE"""),"")</f>
        <v/>
      </c>
      <c r="AC514" s="52" t="str">
        <f>IFERROR(__xludf.DUMMYFUNCTION("""COMPUTED_VALUE"""),"")</f>
        <v/>
      </c>
      <c r="AD514" s="52" t="str">
        <f>IFERROR(__xludf.DUMMYFUNCTION("""COMPUTED_VALUE"""),"")</f>
        <v/>
      </c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</row>
    <row r="515">
      <c r="B515" s="49"/>
      <c r="C515" s="49" t="str">
        <f t="shared" si="2"/>
        <v/>
      </c>
      <c r="D515" s="50" t="str">
        <f t="shared" si="3"/>
        <v/>
      </c>
      <c r="E515" s="51" t="str">
        <f t="shared" ref="E515:T515" si="516">IFERROR(VLOOKUP($A515,INDIRECT("'" &amp; E$1 &amp; "'!$C:$G"), 5, FALSE),"")</f>
        <v/>
      </c>
      <c r="F515" s="51" t="str">
        <f t="shared" si="516"/>
        <v/>
      </c>
      <c r="G515" s="51" t="str">
        <f t="shared" si="516"/>
        <v/>
      </c>
      <c r="H515" s="51" t="str">
        <f t="shared" si="516"/>
        <v/>
      </c>
      <c r="I515" s="51" t="str">
        <f t="shared" si="516"/>
        <v/>
      </c>
      <c r="J515" s="51" t="str">
        <f t="shared" si="516"/>
        <v/>
      </c>
      <c r="K515" s="51" t="str">
        <f t="shared" si="516"/>
        <v/>
      </c>
      <c r="L515" s="51" t="str">
        <f t="shared" si="516"/>
        <v/>
      </c>
      <c r="M515" s="51" t="str">
        <f t="shared" si="516"/>
        <v/>
      </c>
      <c r="N515" s="51" t="str">
        <f t="shared" si="516"/>
        <v/>
      </c>
      <c r="O515" s="51" t="str">
        <f t="shared" si="516"/>
        <v/>
      </c>
      <c r="P515" s="51" t="str">
        <f t="shared" si="516"/>
        <v/>
      </c>
      <c r="Q515" s="51" t="str">
        <f t="shared" si="516"/>
        <v/>
      </c>
      <c r="R515" s="51" t="str">
        <f t="shared" si="516"/>
        <v/>
      </c>
      <c r="S515" s="51" t="str">
        <f t="shared" si="516"/>
        <v/>
      </c>
      <c r="T515" s="51" t="str">
        <f t="shared" si="516"/>
        <v/>
      </c>
      <c r="U515" s="52"/>
      <c r="V515" s="52" t="str">
        <f>IFERROR(__xludf.DUMMYFUNCTION("""COMPUTED_VALUE"""),"")</f>
        <v/>
      </c>
      <c r="W515" s="52" t="str">
        <f>IFERROR(__xludf.DUMMYFUNCTION("""COMPUTED_VALUE"""),"")</f>
        <v/>
      </c>
      <c r="X515" s="52" t="str">
        <f>IFERROR(__xludf.DUMMYFUNCTION("""COMPUTED_VALUE"""),"")</f>
        <v/>
      </c>
      <c r="Y515" s="52" t="str">
        <f>IFERROR(__xludf.DUMMYFUNCTION("""COMPUTED_VALUE"""),"")</f>
        <v/>
      </c>
      <c r="Z515" s="52" t="str">
        <f>IFERROR(__xludf.DUMMYFUNCTION("""COMPUTED_VALUE"""),"")</f>
        <v/>
      </c>
      <c r="AA515" s="52" t="str">
        <f>IFERROR(__xludf.DUMMYFUNCTION("""COMPUTED_VALUE"""),"")</f>
        <v/>
      </c>
      <c r="AB515" s="52" t="str">
        <f>IFERROR(__xludf.DUMMYFUNCTION("""COMPUTED_VALUE"""),"")</f>
        <v/>
      </c>
      <c r="AC515" s="52" t="str">
        <f>IFERROR(__xludf.DUMMYFUNCTION("""COMPUTED_VALUE"""),"")</f>
        <v/>
      </c>
      <c r="AD515" s="52" t="str">
        <f>IFERROR(__xludf.DUMMYFUNCTION("""COMPUTED_VALUE"""),"")</f>
        <v/>
      </c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</row>
    <row r="516">
      <c r="B516" s="49"/>
      <c r="C516" s="49" t="str">
        <f t="shared" si="2"/>
        <v/>
      </c>
      <c r="D516" s="50" t="str">
        <f t="shared" si="3"/>
        <v/>
      </c>
      <c r="E516" s="51" t="str">
        <f t="shared" ref="E516:T516" si="517">IFERROR(VLOOKUP($A516,INDIRECT("'" &amp; E$1 &amp; "'!$C:$G"), 5, FALSE),"")</f>
        <v/>
      </c>
      <c r="F516" s="51" t="str">
        <f t="shared" si="517"/>
        <v/>
      </c>
      <c r="G516" s="51" t="str">
        <f t="shared" si="517"/>
        <v/>
      </c>
      <c r="H516" s="51" t="str">
        <f t="shared" si="517"/>
        <v/>
      </c>
      <c r="I516" s="51" t="str">
        <f t="shared" si="517"/>
        <v/>
      </c>
      <c r="J516" s="51" t="str">
        <f t="shared" si="517"/>
        <v/>
      </c>
      <c r="K516" s="51" t="str">
        <f t="shared" si="517"/>
        <v/>
      </c>
      <c r="L516" s="51" t="str">
        <f t="shared" si="517"/>
        <v/>
      </c>
      <c r="M516" s="51" t="str">
        <f t="shared" si="517"/>
        <v/>
      </c>
      <c r="N516" s="51" t="str">
        <f t="shared" si="517"/>
        <v/>
      </c>
      <c r="O516" s="51" t="str">
        <f t="shared" si="517"/>
        <v/>
      </c>
      <c r="P516" s="51" t="str">
        <f t="shared" si="517"/>
        <v/>
      </c>
      <c r="Q516" s="51" t="str">
        <f t="shared" si="517"/>
        <v/>
      </c>
      <c r="R516" s="51" t="str">
        <f t="shared" si="517"/>
        <v/>
      </c>
      <c r="S516" s="51" t="str">
        <f t="shared" si="517"/>
        <v/>
      </c>
      <c r="T516" s="51" t="str">
        <f t="shared" si="517"/>
        <v/>
      </c>
      <c r="U516" s="52"/>
      <c r="V516" s="52" t="str">
        <f>IFERROR(__xludf.DUMMYFUNCTION("""COMPUTED_VALUE"""),"")</f>
        <v/>
      </c>
      <c r="W516" s="52" t="str">
        <f>IFERROR(__xludf.DUMMYFUNCTION("""COMPUTED_VALUE"""),"")</f>
        <v/>
      </c>
      <c r="X516" s="52" t="str">
        <f>IFERROR(__xludf.DUMMYFUNCTION("""COMPUTED_VALUE"""),"")</f>
        <v/>
      </c>
      <c r="Y516" s="52" t="str">
        <f>IFERROR(__xludf.DUMMYFUNCTION("""COMPUTED_VALUE"""),"")</f>
        <v/>
      </c>
      <c r="Z516" s="52" t="str">
        <f>IFERROR(__xludf.DUMMYFUNCTION("""COMPUTED_VALUE"""),"")</f>
        <v/>
      </c>
      <c r="AA516" s="52" t="str">
        <f>IFERROR(__xludf.DUMMYFUNCTION("""COMPUTED_VALUE"""),"")</f>
        <v/>
      </c>
      <c r="AB516" s="52" t="str">
        <f>IFERROR(__xludf.DUMMYFUNCTION("""COMPUTED_VALUE"""),"")</f>
        <v/>
      </c>
      <c r="AC516" s="52" t="str">
        <f>IFERROR(__xludf.DUMMYFUNCTION("""COMPUTED_VALUE"""),"")</f>
        <v/>
      </c>
      <c r="AD516" s="52" t="str">
        <f>IFERROR(__xludf.DUMMYFUNCTION("""COMPUTED_VALUE"""),"")</f>
        <v/>
      </c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</row>
    <row r="517">
      <c r="B517" s="49"/>
      <c r="C517" s="49" t="str">
        <f t="shared" si="2"/>
        <v/>
      </c>
      <c r="D517" s="50" t="str">
        <f t="shared" si="3"/>
        <v/>
      </c>
      <c r="E517" s="51" t="str">
        <f t="shared" ref="E517:T517" si="518">IFERROR(VLOOKUP($A517,INDIRECT("'" &amp; E$1 &amp; "'!$C:$G"), 5, FALSE),"")</f>
        <v/>
      </c>
      <c r="F517" s="51" t="str">
        <f t="shared" si="518"/>
        <v/>
      </c>
      <c r="G517" s="51" t="str">
        <f t="shared" si="518"/>
        <v/>
      </c>
      <c r="H517" s="51" t="str">
        <f t="shared" si="518"/>
        <v/>
      </c>
      <c r="I517" s="51" t="str">
        <f t="shared" si="518"/>
        <v/>
      </c>
      <c r="J517" s="51" t="str">
        <f t="shared" si="518"/>
        <v/>
      </c>
      <c r="K517" s="51" t="str">
        <f t="shared" si="518"/>
        <v/>
      </c>
      <c r="L517" s="51" t="str">
        <f t="shared" si="518"/>
        <v/>
      </c>
      <c r="M517" s="51" t="str">
        <f t="shared" si="518"/>
        <v/>
      </c>
      <c r="N517" s="51" t="str">
        <f t="shared" si="518"/>
        <v/>
      </c>
      <c r="O517" s="51" t="str">
        <f t="shared" si="518"/>
        <v/>
      </c>
      <c r="P517" s="51" t="str">
        <f t="shared" si="518"/>
        <v/>
      </c>
      <c r="Q517" s="51" t="str">
        <f t="shared" si="518"/>
        <v/>
      </c>
      <c r="R517" s="51" t="str">
        <f t="shared" si="518"/>
        <v/>
      </c>
      <c r="S517" s="51" t="str">
        <f t="shared" si="518"/>
        <v/>
      </c>
      <c r="T517" s="51" t="str">
        <f t="shared" si="518"/>
        <v/>
      </c>
      <c r="U517" s="52"/>
      <c r="V517" s="52" t="str">
        <f>IFERROR(__xludf.DUMMYFUNCTION("""COMPUTED_VALUE"""),"")</f>
        <v/>
      </c>
      <c r="W517" s="52" t="str">
        <f>IFERROR(__xludf.DUMMYFUNCTION("""COMPUTED_VALUE"""),"")</f>
        <v/>
      </c>
      <c r="X517" s="52" t="str">
        <f>IFERROR(__xludf.DUMMYFUNCTION("""COMPUTED_VALUE"""),"")</f>
        <v/>
      </c>
      <c r="Y517" s="52" t="str">
        <f>IFERROR(__xludf.DUMMYFUNCTION("""COMPUTED_VALUE"""),"")</f>
        <v/>
      </c>
      <c r="Z517" s="52" t="str">
        <f>IFERROR(__xludf.DUMMYFUNCTION("""COMPUTED_VALUE"""),"")</f>
        <v/>
      </c>
      <c r="AA517" s="52" t="str">
        <f>IFERROR(__xludf.DUMMYFUNCTION("""COMPUTED_VALUE"""),"")</f>
        <v/>
      </c>
      <c r="AB517" s="52" t="str">
        <f>IFERROR(__xludf.DUMMYFUNCTION("""COMPUTED_VALUE"""),"")</f>
        <v/>
      </c>
      <c r="AC517" s="52" t="str">
        <f>IFERROR(__xludf.DUMMYFUNCTION("""COMPUTED_VALUE"""),"")</f>
        <v/>
      </c>
      <c r="AD517" s="52" t="str">
        <f>IFERROR(__xludf.DUMMYFUNCTION("""COMPUTED_VALUE"""),"")</f>
        <v/>
      </c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</row>
    <row r="518">
      <c r="B518" s="49"/>
      <c r="C518" s="49" t="str">
        <f t="shared" si="2"/>
        <v/>
      </c>
      <c r="D518" s="50" t="str">
        <f t="shared" si="3"/>
        <v/>
      </c>
      <c r="E518" s="51" t="str">
        <f t="shared" ref="E518:T518" si="519">IFERROR(VLOOKUP($A518,INDIRECT("'" &amp; E$1 &amp; "'!$C:$G"), 5, FALSE),"")</f>
        <v/>
      </c>
      <c r="F518" s="51" t="str">
        <f t="shared" si="519"/>
        <v/>
      </c>
      <c r="G518" s="51" t="str">
        <f t="shared" si="519"/>
        <v/>
      </c>
      <c r="H518" s="51" t="str">
        <f t="shared" si="519"/>
        <v/>
      </c>
      <c r="I518" s="51" t="str">
        <f t="shared" si="519"/>
        <v/>
      </c>
      <c r="J518" s="51" t="str">
        <f t="shared" si="519"/>
        <v/>
      </c>
      <c r="K518" s="51" t="str">
        <f t="shared" si="519"/>
        <v/>
      </c>
      <c r="L518" s="51" t="str">
        <f t="shared" si="519"/>
        <v/>
      </c>
      <c r="M518" s="51" t="str">
        <f t="shared" si="519"/>
        <v/>
      </c>
      <c r="N518" s="51" t="str">
        <f t="shared" si="519"/>
        <v/>
      </c>
      <c r="O518" s="51" t="str">
        <f t="shared" si="519"/>
        <v/>
      </c>
      <c r="P518" s="51" t="str">
        <f t="shared" si="519"/>
        <v/>
      </c>
      <c r="Q518" s="51" t="str">
        <f t="shared" si="519"/>
        <v/>
      </c>
      <c r="R518" s="51" t="str">
        <f t="shared" si="519"/>
        <v/>
      </c>
      <c r="S518" s="51" t="str">
        <f t="shared" si="519"/>
        <v/>
      </c>
      <c r="T518" s="51" t="str">
        <f t="shared" si="519"/>
        <v/>
      </c>
      <c r="U518" s="52"/>
      <c r="V518" s="52" t="str">
        <f>IFERROR(__xludf.DUMMYFUNCTION("""COMPUTED_VALUE"""),"")</f>
        <v/>
      </c>
      <c r="W518" s="52" t="str">
        <f>IFERROR(__xludf.DUMMYFUNCTION("""COMPUTED_VALUE"""),"")</f>
        <v/>
      </c>
      <c r="X518" s="52" t="str">
        <f>IFERROR(__xludf.DUMMYFUNCTION("""COMPUTED_VALUE"""),"")</f>
        <v/>
      </c>
      <c r="Y518" s="52" t="str">
        <f>IFERROR(__xludf.DUMMYFUNCTION("""COMPUTED_VALUE"""),"")</f>
        <v/>
      </c>
      <c r="Z518" s="52" t="str">
        <f>IFERROR(__xludf.DUMMYFUNCTION("""COMPUTED_VALUE"""),"")</f>
        <v/>
      </c>
      <c r="AA518" s="52" t="str">
        <f>IFERROR(__xludf.DUMMYFUNCTION("""COMPUTED_VALUE"""),"")</f>
        <v/>
      </c>
      <c r="AB518" s="52" t="str">
        <f>IFERROR(__xludf.DUMMYFUNCTION("""COMPUTED_VALUE"""),"")</f>
        <v/>
      </c>
      <c r="AC518" s="52" t="str">
        <f>IFERROR(__xludf.DUMMYFUNCTION("""COMPUTED_VALUE"""),"")</f>
        <v/>
      </c>
      <c r="AD518" s="52" t="str">
        <f>IFERROR(__xludf.DUMMYFUNCTION("""COMPUTED_VALUE"""),"")</f>
        <v/>
      </c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</row>
    <row r="519">
      <c r="B519" s="49"/>
      <c r="C519" s="49" t="str">
        <f t="shared" si="2"/>
        <v/>
      </c>
      <c r="D519" s="50" t="str">
        <f t="shared" si="3"/>
        <v/>
      </c>
      <c r="E519" s="51" t="str">
        <f t="shared" ref="E519:T519" si="520">IFERROR(VLOOKUP($A519,INDIRECT("'" &amp; E$1 &amp; "'!$C:$G"), 5, FALSE),"")</f>
        <v/>
      </c>
      <c r="F519" s="51" t="str">
        <f t="shared" si="520"/>
        <v/>
      </c>
      <c r="G519" s="51" t="str">
        <f t="shared" si="520"/>
        <v/>
      </c>
      <c r="H519" s="51" t="str">
        <f t="shared" si="520"/>
        <v/>
      </c>
      <c r="I519" s="51" t="str">
        <f t="shared" si="520"/>
        <v/>
      </c>
      <c r="J519" s="51" t="str">
        <f t="shared" si="520"/>
        <v/>
      </c>
      <c r="K519" s="51" t="str">
        <f t="shared" si="520"/>
        <v/>
      </c>
      <c r="L519" s="51" t="str">
        <f t="shared" si="520"/>
        <v/>
      </c>
      <c r="M519" s="51" t="str">
        <f t="shared" si="520"/>
        <v/>
      </c>
      <c r="N519" s="51" t="str">
        <f t="shared" si="520"/>
        <v/>
      </c>
      <c r="O519" s="51" t="str">
        <f t="shared" si="520"/>
        <v/>
      </c>
      <c r="P519" s="51" t="str">
        <f t="shared" si="520"/>
        <v/>
      </c>
      <c r="Q519" s="51" t="str">
        <f t="shared" si="520"/>
        <v/>
      </c>
      <c r="R519" s="51" t="str">
        <f t="shared" si="520"/>
        <v/>
      </c>
      <c r="S519" s="51" t="str">
        <f t="shared" si="520"/>
        <v/>
      </c>
      <c r="T519" s="51" t="str">
        <f t="shared" si="520"/>
        <v/>
      </c>
      <c r="U519" s="52"/>
      <c r="V519" s="52" t="str">
        <f>IFERROR(__xludf.DUMMYFUNCTION("""COMPUTED_VALUE"""),"")</f>
        <v/>
      </c>
      <c r="W519" s="52" t="str">
        <f>IFERROR(__xludf.DUMMYFUNCTION("""COMPUTED_VALUE"""),"")</f>
        <v/>
      </c>
      <c r="X519" s="52" t="str">
        <f>IFERROR(__xludf.DUMMYFUNCTION("""COMPUTED_VALUE"""),"")</f>
        <v/>
      </c>
      <c r="Y519" s="52" t="str">
        <f>IFERROR(__xludf.DUMMYFUNCTION("""COMPUTED_VALUE"""),"")</f>
        <v/>
      </c>
      <c r="Z519" s="52" t="str">
        <f>IFERROR(__xludf.DUMMYFUNCTION("""COMPUTED_VALUE"""),"")</f>
        <v/>
      </c>
      <c r="AA519" s="52" t="str">
        <f>IFERROR(__xludf.DUMMYFUNCTION("""COMPUTED_VALUE"""),"")</f>
        <v/>
      </c>
      <c r="AB519" s="52" t="str">
        <f>IFERROR(__xludf.DUMMYFUNCTION("""COMPUTED_VALUE"""),"")</f>
        <v/>
      </c>
      <c r="AC519" s="52" t="str">
        <f>IFERROR(__xludf.DUMMYFUNCTION("""COMPUTED_VALUE"""),"")</f>
        <v/>
      </c>
      <c r="AD519" s="52" t="str">
        <f>IFERROR(__xludf.DUMMYFUNCTION("""COMPUTED_VALUE"""),"")</f>
        <v/>
      </c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</row>
    <row r="520">
      <c r="B520" s="49"/>
      <c r="C520" s="49" t="str">
        <f t="shared" si="2"/>
        <v/>
      </c>
      <c r="D520" s="50" t="str">
        <f t="shared" si="3"/>
        <v/>
      </c>
      <c r="E520" s="51" t="str">
        <f t="shared" ref="E520:T520" si="521">IFERROR(VLOOKUP($A520,INDIRECT("'" &amp; E$1 &amp; "'!$C:$G"), 5, FALSE),"")</f>
        <v/>
      </c>
      <c r="F520" s="51" t="str">
        <f t="shared" si="521"/>
        <v/>
      </c>
      <c r="G520" s="51" t="str">
        <f t="shared" si="521"/>
        <v/>
      </c>
      <c r="H520" s="51" t="str">
        <f t="shared" si="521"/>
        <v/>
      </c>
      <c r="I520" s="51" t="str">
        <f t="shared" si="521"/>
        <v/>
      </c>
      <c r="J520" s="51" t="str">
        <f t="shared" si="521"/>
        <v/>
      </c>
      <c r="K520" s="51" t="str">
        <f t="shared" si="521"/>
        <v/>
      </c>
      <c r="L520" s="51" t="str">
        <f t="shared" si="521"/>
        <v/>
      </c>
      <c r="M520" s="51" t="str">
        <f t="shared" si="521"/>
        <v/>
      </c>
      <c r="N520" s="51" t="str">
        <f t="shared" si="521"/>
        <v/>
      </c>
      <c r="O520" s="51" t="str">
        <f t="shared" si="521"/>
        <v/>
      </c>
      <c r="P520" s="51" t="str">
        <f t="shared" si="521"/>
        <v/>
      </c>
      <c r="Q520" s="51" t="str">
        <f t="shared" si="521"/>
        <v/>
      </c>
      <c r="R520" s="51" t="str">
        <f t="shared" si="521"/>
        <v/>
      </c>
      <c r="S520" s="51" t="str">
        <f t="shared" si="521"/>
        <v/>
      </c>
      <c r="T520" s="51" t="str">
        <f t="shared" si="521"/>
        <v/>
      </c>
      <c r="U520" s="52"/>
      <c r="V520" s="52" t="str">
        <f>IFERROR(__xludf.DUMMYFUNCTION("""COMPUTED_VALUE"""),"")</f>
        <v/>
      </c>
      <c r="W520" s="52" t="str">
        <f>IFERROR(__xludf.DUMMYFUNCTION("""COMPUTED_VALUE"""),"")</f>
        <v/>
      </c>
      <c r="X520" s="52" t="str">
        <f>IFERROR(__xludf.DUMMYFUNCTION("""COMPUTED_VALUE"""),"")</f>
        <v/>
      </c>
      <c r="Y520" s="52" t="str">
        <f>IFERROR(__xludf.DUMMYFUNCTION("""COMPUTED_VALUE"""),"")</f>
        <v/>
      </c>
      <c r="Z520" s="52" t="str">
        <f>IFERROR(__xludf.DUMMYFUNCTION("""COMPUTED_VALUE"""),"")</f>
        <v/>
      </c>
      <c r="AA520" s="52" t="str">
        <f>IFERROR(__xludf.DUMMYFUNCTION("""COMPUTED_VALUE"""),"")</f>
        <v/>
      </c>
      <c r="AB520" s="52" t="str">
        <f>IFERROR(__xludf.DUMMYFUNCTION("""COMPUTED_VALUE"""),"")</f>
        <v/>
      </c>
      <c r="AC520" s="52" t="str">
        <f>IFERROR(__xludf.DUMMYFUNCTION("""COMPUTED_VALUE"""),"")</f>
        <v/>
      </c>
      <c r="AD520" s="52" t="str">
        <f>IFERROR(__xludf.DUMMYFUNCTION("""COMPUTED_VALUE"""),"")</f>
        <v/>
      </c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</row>
    <row r="521">
      <c r="B521" s="49"/>
      <c r="C521" s="49" t="str">
        <f t="shared" si="2"/>
        <v/>
      </c>
      <c r="D521" s="50" t="str">
        <f t="shared" si="3"/>
        <v/>
      </c>
      <c r="E521" s="51" t="str">
        <f t="shared" ref="E521:T521" si="522">IFERROR(VLOOKUP($A521,INDIRECT("'" &amp; E$1 &amp; "'!$C:$G"), 5, FALSE),"")</f>
        <v/>
      </c>
      <c r="F521" s="51" t="str">
        <f t="shared" si="522"/>
        <v/>
      </c>
      <c r="G521" s="51" t="str">
        <f t="shared" si="522"/>
        <v/>
      </c>
      <c r="H521" s="51" t="str">
        <f t="shared" si="522"/>
        <v/>
      </c>
      <c r="I521" s="51" t="str">
        <f t="shared" si="522"/>
        <v/>
      </c>
      <c r="J521" s="51" t="str">
        <f t="shared" si="522"/>
        <v/>
      </c>
      <c r="K521" s="51" t="str">
        <f t="shared" si="522"/>
        <v/>
      </c>
      <c r="L521" s="51" t="str">
        <f t="shared" si="522"/>
        <v/>
      </c>
      <c r="M521" s="51" t="str">
        <f t="shared" si="522"/>
        <v/>
      </c>
      <c r="N521" s="51" t="str">
        <f t="shared" si="522"/>
        <v/>
      </c>
      <c r="O521" s="51" t="str">
        <f t="shared" si="522"/>
        <v/>
      </c>
      <c r="P521" s="51" t="str">
        <f t="shared" si="522"/>
        <v/>
      </c>
      <c r="Q521" s="51" t="str">
        <f t="shared" si="522"/>
        <v/>
      </c>
      <c r="R521" s="51" t="str">
        <f t="shared" si="522"/>
        <v/>
      </c>
      <c r="S521" s="51" t="str">
        <f t="shared" si="522"/>
        <v/>
      </c>
      <c r="T521" s="51" t="str">
        <f t="shared" si="522"/>
        <v/>
      </c>
      <c r="U521" s="52"/>
      <c r="V521" s="52" t="str">
        <f>IFERROR(__xludf.DUMMYFUNCTION("""COMPUTED_VALUE"""),"")</f>
        <v/>
      </c>
      <c r="W521" s="52" t="str">
        <f>IFERROR(__xludf.DUMMYFUNCTION("""COMPUTED_VALUE"""),"")</f>
        <v/>
      </c>
      <c r="X521" s="52" t="str">
        <f>IFERROR(__xludf.DUMMYFUNCTION("""COMPUTED_VALUE"""),"")</f>
        <v/>
      </c>
      <c r="Y521" s="52" t="str">
        <f>IFERROR(__xludf.DUMMYFUNCTION("""COMPUTED_VALUE"""),"")</f>
        <v/>
      </c>
      <c r="Z521" s="52" t="str">
        <f>IFERROR(__xludf.DUMMYFUNCTION("""COMPUTED_VALUE"""),"")</f>
        <v/>
      </c>
      <c r="AA521" s="52" t="str">
        <f>IFERROR(__xludf.DUMMYFUNCTION("""COMPUTED_VALUE"""),"")</f>
        <v/>
      </c>
      <c r="AB521" s="52" t="str">
        <f>IFERROR(__xludf.DUMMYFUNCTION("""COMPUTED_VALUE"""),"")</f>
        <v/>
      </c>
      <c r="AC521" s="52" t="str">
        <f>IFERROR(__xludf.DUMMYFUNCTION("""COMPUTED_VALUE"""),"")</f>
        <v/>
      </c>
      <c r="AD521" s="52" t="str">
        <f>IFERROR(__xludf.DUMMYFUNCTION("""COMPUTED_VALUE"""),"")</f>
        <v/>
      </c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</row>
    <row r="522">
      <c r="B522" s="49"/>
      <c r="C522" s="49" t="str">
        <f t="shared" si="2"/>
        <v/>
      </c>
      <c r="D522" s="50" t="str">
        <f t="shared" si="3"/>
        <v/>
      </c>
      <c r="E522" s="51" t="str">
        <f t="shared" ref="E522:T522" si="523">IFERROR(VLOOKUP($A522,INDIRECT("'" &amp; E$1 &amp; "'!$C:$G"), 5, FALSE),"")</f>
        <v/>
      </c>
      <c r="F522" s="51" t="str">
        <f t="shared" si="523"/>
        <v/>
      </c>
      <c r="G522" s="51" t="str">
        <f t="shared" si="523"/>
        <v/>
      </c>
      <c r="H522" s="51" t="str">
        <f t="shared" si="523"/>
        <v/>
      </c>
      <c r="I522" s="51" t="str">
        <f t="shared" si="523"/>
        <v/>
      </c>
      <c r="J522" s="51" t="str">
        <f t="shared" si="523"/>
        <v/>
      </c>
      <c r="K522" s="51" t="str">
        <f t="shared" si="523"/>
        <v/>
      </c>
      <c r="L522" s="51" t="str">
        <f t="shared" si="523"/>
        <v/>
      </c>
      <c r="M522" s="51" t="str">
        <f t="shared" si="523"/>
        <v/>
      </c>
      <c r="N522" s="51" t="str">
        <f t="shared" si="523"/>
        <v/>
      </c>
      <c r="O522" s="51" t="str">
        <f t="shared" si="523"/>
        <v/>
      </c>
      <c r="P522" s="51" t="str">
        <f t="shared" si="523"/>
        <v/>
      </c>
      <c r="Q522" s="51" t="str">
        <f t="shared" si="523"/>
        <v/>
      </c>
      <c r="R522" s="51" t="str">
        <f t="shared" si="523"/>
        <v/>
      </c>
      <c r="S522" s="51" t="str">
        <f t="shared" si="523"/>
        <v/>
      </c>
      <c r="T522" s="51" t="str">
        <f t="shared" si="523"/>
        <v/>
      </c>
      <c r="U522" s="52"/>
      <c r="V522" s="52" t="str">
        <f>IFERROR(__xludf.DUMMYFUNCTION("""COMPUTED_VALUE"""),"")</f>
        <v/>
      </c>
      <c r="W522" s="52" t="str">
        <f>IFERROR(__xludf.DUMMYFUNCTION("""COMPUTED_VALUE"""),"")</f>
        <v/>
      </c>
      <c r="X522" s="52" t="str">
        <f>IFERROR(__xludf.DUMMYFUNCTION("""COMPUTED_VALUE"""),"")</f>
        <v/>
      </c>
      <c r="Y522" s="52" t="str">
        <f>IFERROR(__xludf.DUMMYFUNCTION("""COMPUTED_VALUE"""),"")</f>
        <v/>
      </c>
      <c r="Z522" s="52" t="str">
        <f>IFERROR(__xludf.DUMMYFUNCTION("""COMPUTED_VALUE"""),"")</f>
        <v/>
      </c>
      <c r="AA522" s="52" t="str">
        <f>IFERROR(__xludf.DUMMYFUNCTION("""COMPUTED_VALUE"""),"")</f>
        <v/>
      </c>
      <c r="AB522" s="52" t="str">
        <f>IFERROR(__xludf.DUMMYFUNCTION("""COMPUTED_VALUE"""),"")</f>
        <v/>
      </c>
      <c r="AC522" s="52" t="str">
        <f>IFERROR(__xludf.DUMMYFUNCTION("""COMPUTED_VALUE"""),"")</f>
        <v/>
      </c>
      <c r="AD522" s="52" t="str">
        <f>IFERROR(__xludf.DUMMYFUNCTION("""COMPUTED_VALUE"""),"")</f>
        <v/>
      </c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</row>
    <row r="523">
      <c r="B523" s="49"/>
      <c r="C523" s="49" t="str">
        <f t="shared" si="2"/>
        <v/>
      </c>
      <c r="D523" s="50" t="str">
        <f t="shared" si="3"/>
        <v/>
      </c>
      <c r="E523" s="51" t="str">
        <f t="shared" ref="E523:T523" si="524">IFERROR(VLOOKUP($A523,INDIRECT("'" &amp; E$1 &amp; "'!$C:$G"), 5, FALSE),"")</f>
        <v/>
      </c>
      <c r="F523" s="51" t="str">
        <f t="shared" si="524"/>
        <v/>
      </c>
      <c r="G523" s="51" t="str">
        <f t="shared" si="524"/>
        <v/>
      </c>
      <c r="H523" s="51" t="str">
        <f t="shared" si="524"/>
        <v/>
      </c>
      <c r="I523" s="51" t="str">
        <f t="shared" si="524"/>
        <v/>
      </c>
      <c r="J523" s="51" t="str">
        <f t="shared" si="524"/>
        <v/>
      </c>
      <c r="K523" s="51" t="str">
        <f t="shared" si="524"/>
        <v/>
      </c>
      <c r="L523" s="51" t="str">
        <f t="shared" si="524"/>
        <v/>
      </c>
      <c r="M523" s="51" t="str">
        <f t="shared" si="524"/>
        <v/>
      </c>
      <c r="N523" s="51" t="str">
        <f t="shared" si="524"/>
        <v/>
      </c>
      <c r="O523" s="51" t="str">
        <f t="shared" si="524"/>
        <v/>
      </c>
      <c r="P523" s="51" t="str">
        <f t="shared" si="524"/>
        <v/>
      </c>
      <c r="Q523" s="51" t="str">
        <f t="shared" si="524"/>
        <v/>
      </c>
      <c r="R523" s="51" t="str">
        <f t="shared" si="524"/>
        <v/>
      </c>
      <c r="S523" s="51" t="str">
        <f t="shared" si="524"/>
        <v/>
      </c>
      <c r="T523" s="51" t="str">
        <f t="shared" si="524"/>
        <v/>
      </c>
      <c r="U523" s="52"/>
      <c r="V523" s="52" t="str">
        <f>IFERROR(__xludf.DUMMYFUNCTION("""COMPUTED_VALUE"""),"")</f>
        <v/>
      </c>
      <c r="W523" s="52" t="str">
        <f>IFERROR(__xludf.DUMMYFUNCTION("""COMPUTED_VALUE"""),"")</f>
        <v/>
      </c>
      <c r="X523" s="52" t="str">
        <f>IFERROR(__xludf.DUMMYFUNCTION("""COMPUTED_VALUE"""),"")</f>
        <v/>
      </c>
      <c r="Y523" s="52" t="str">
        <f>IFERROR(__xludf.DUMMYFUNCTION("""COMPUTED_VALUE"""),"")</f>
        <v/>
      </c>
      <c r="Z523" s="52" t="str">
        <f>IFERROR(__xludf.DUMMYFUNCTION("""COMPUTED_VALUE"""),"")</f>
        <v/>
      </c>
      <c r="AA523" s="52" t="str">
        <f>IFERROR(__xludf.DUMMYFUNCTION("""COMPUTED_VALUE"""),"")</f>
        <v/>
      </c>
      <c r="AB523" s="52" t="str">
        <f>IFERROR(__xludf.DUMMYFUNCTION("""COMPUTED_VALUE"""),"")</f>
        <v/>
      </c>
      <c r="AC523" s="52" t="str">
        <f>IFERROR(__xludf.DUMMYFUNCTION("""COMPUTED_VALUE"""),"")</f>
        <v/>
      </c>
      <c r="AD523" s="52" t="str">
        <f>IFERROR(__xludf.DUMMYFUNCTION("""COMPUTED_VALUE"""),"")</f>
        <v/>
      </c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</row>
    <row r="524">
      <c r="B524" s="49"/>
      <c r="C524" s="49" t="str">
        <f t="shared" si="2"/>
        <v/>
      </c>
      <c r="D524" s="50" t="str">
        <f t="shared" si="3"/>
        <v/>
      </c>
      <c r="E524" s="51" t="str">
        <f t="shared" ref="E524:T524" si="525">IFERROR(VLOOKUP($A524,INDIRECT("'" &amp; E$1 &amp; "'!$C:$G"), 5, FALSE),"")</f>
        <v/>
      </c>
      <c r="F524" s="51" t="str">
        <f t="shared" si="525"/>
        <v/>
      </c>
      <c r="G524" s="51" t="str">
        <f t="shared" si="525"/>
        <v/>
      </c>
      <c r="H524" s="51" t="str">
        <f t="shared" si="525"/>
        <v/>
      </c>
      <c r="I524" s="51" t="str">
        <f t="shared" si="525"/>
        <v/>
      </c>
      <c r="J524" s="51" t="str">
        <f t="shared" si="525"/>
        <v/>
      </c>
      <c r="K524" s="51" t="str">
        <f t="shared" si="525"/>
        <v/>
      </c>
      <c r="L524" s="51" t="str">
        <f t="shared" si="525"/>
        <v/>
      </c>
      <c r="M524" s="51" t="str">
        <f t="shared" si="525"/>
        <v/>
      </c>
      <c r="N524" s="51" t="str">
        <f t="shared" si="525"/>
        <v/>
      </c>
      <c r="O524" s="51" t="str">
        <f t="shared" si="525"/>
        <v/>
      </c>
      <c r="P524" s="51" t="str">
        <f t="shared" si="525"/>
        <v/>
      </c>
      <c r="Q524" s="51" t="str">
        <f t="shared" si="525"/>
        <v/>
      </c>
      <c r="R524" s="51" t="str">
        <f t="shared" si="525"/>
        <v/>
      </c>
      <c r="S524" s="51" t="str">
        <f t="shared" si="525"/>
        <v/>
      </c>
      <c r="T524" s="51" t="str">
        <f t="shared" si="525"/>
        <v/>
      </c>
      <c r="U524" s="52"/>
      <c r="V524" s="52" t="str">
        <f>IFERROR(__xludf.DUMMYFUNCTION("""COMPUTED_VALUE"""),"")</f>
        <v/>
      </c>
      <c r="W524" s="52" t="str">
        <f>IFERROR(__xludf.DUMMYFUNCTION("""COMPUTED_VALUE"""),"")</f>
        <v/>
      </c>
      <c r="X524" s="52" t="str">
        <f>IFERROR(__xludf.DUMMYFUNCTION("""COMPUTED_VALUE"""),"")</f>
        <v/>
      </c>
      <c r="Y524" s="52" t="str">
        <f>IFERROR(__xludf.DUMMYFUNCTION("""COMPUTED_VALUE"""),"")</f>
        <v/>
      </c>
      <c r="Z524" s="52" t="str">
        <f>IFERROR(__xludf.DUMMYFUNCTION("""COMPUTED_VALUE"""),"")</f>
        <v/>
      </c>
      <c r="AA524" s="52" t="str">
        <f>IFERROR(__xludf.DUMMYFUNCTION("""COMPUTED_VALUE"""),"")</f>
        <v/>
      </c>
      <c r="AB524" s="52" t="str">
        <f>IFERROR(__xludf.DUMMYFUNCTION("""COMPUTED_VALUE"""),"")</f>
        <v/>
      </c>
      <c r="AC524" s="52" t="str">
        <f>IFERROR(__xludf.DUMMYFUNCTION("""COMPUTED_VALUE"""),"")</f>
        <v/>
      </c>
      <c r="AD524" s="52" t="str">
        <f>IFERROR(__xludf.DUMMYFUNCTION("""COMPUTED_VALUE"""),"")</f>
        <v/>
      </c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</row>
    <row r="525">
      <c r="B525" s="49"/>
      <c r="C525" s="49" t="str">
        <f t="shared" si="2"/>
        <v/>
      </c>
      <c r="D525" s="50" t="str">
        <f t="shared" si="3"/>
        <v/>
      </c>
      <c r="E525" s="51" t="str">
        <f t="shared" ref="E525:T525" si="526">IFERROR(VLOOKUP($A525,INDIRECT("'" &amp; E$1 &amp; "'!$C:$G"), 5, FALSE),"")</f>
        <v/>
      </c>
      <c r="F525" s="51" t="str">
        <f t="shared" si="526"/>
        <v/>
      </c>
      <c r="G525" s="51" t="str">
        <f t="shared" si="526"/>
        <v/>
      </c>
      <c r="H525" s="51" t="str">
        <f t="shared" si="526"/>
        <v/>
      </c>
      <c r="I525" s="51" t="str">
        <f t="shared" si="526"/>
        <v/>
      </c>
      <c r="J525" s="51" t="str">
        <f t="shared" si="526"/>
        <v/>
      </c>
      <c r="K525" s="51" t="str">
        <f t="shared" si="526"/>
        <v/>
      </c>
      <c r="L525" s="51" t="str">
        <f t="shared" si="526"/>
        <v/>
      </c>
      <c r="M525" s="51" t="str">
        <f t="shared" si="526"/>
        <v/>
      </c>
      <c r="N525" s="51" t="str">
        <f t="shared" si="526"/>
        <v/>
      </c>
      <c r="O525" s="51" t="str">
        <f t="shared" si="526"/>
        <v/>
      </c>
      <c r="P525" s="51" t="str">
        <f t="shared" si="526"/>
        <v/>
      </c>
      <c r="Q525" s="51" t="str">
        <f t="shared" si="526"/>
        <v/>
      </c>
      <c r="R525" s="51" t="str">
        <f t="shared" si="526"/>
        <v/>
      </c>
      <c r="S525" s="51" t="str">
        <f t="shared" si="526"/>
        <v/>
      </c>
      <c r="T525" s="51" t="str">
        <f t="shared" si="526"/>
        <v/>
      </c>
      <c r="U525" s="52"/>
      <c r="V525" s="52" t="str">
        <f>IFERROR(__xludf.DUMMYFUNCTION("""COMPUTED_VALUE"""),"")</f>
        <v/>
      </c>
      <c r="W525" s="52" t="str">
        <f>IFERROR(__xludf.DUMMYFUNCTION("""COMPUTED_VALUE"""),"")</f>
        <v/>
      </c>
      <c r="X525" s="52" t="str">
        <f>IFERROR(__xludf.DUMMYFUNCTION("""COMPUTED_VALUE"""),"")</f>
        <v/>
      </c>
      <c r="Y525" s="52" t="str">
        <f>IFERROR(__xludf.DUMMYFUNCTION("""COMPUTED_VALUE"""),"")</f>
        <v/>
      </c>
      <c r="Z525" s="52" t="str">
        <f>IFERROR(__xludf.DUMMYFUNCTION("""COMPUTED_VALUE"""),"")</f>
        <v/>
      </c>
      <c r="AA525" s="52" t="str">
        <f>IFERROR(__xludf.DUMMYFUNCTION("""COMPUTED_VALUE"""),"")</f>
        <v/>
      </c>
      <c r="AB525" s="52" t="str">
        <f>IFERROR(__xludf.DUMMYFUNCTION("""COMPUTED_VALUE"""),"")</f>
        <v/>
      </c>
      <c r="AC525" s="52" t="str">
        <f>IFERROR(__xludf.DUMMYFUNCTION("""COMPUTED_VALUE"""),"")</f>
        <v/>
      </c>
      <c r="AD525" s="52" t="str">
        <f>IFERROR(__xludf.DUMMYFUNCTION("""COMPUTED_VALUE"""),"")</f>
        <v/>
      </c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</row>
    <row r="526">
      <c r="B526" s="49"/>
      <c r="C526" s="49" t="str">
        <f t="shared" si="2"/>
        <v/>
      </c>
      <c r="D526" s="50" t="str">
        <f t="shared" si="3"/>
        <v/>
      </c>
      <c r="E526" s="51" t="str">
        <f t="shared" ref="E526:T526" si="527">IFERROR(VLOOKUP($A526,INDIRECT("'" &amp; E$1 &amp; "'!$C:$G"), 5, FALSE),"")</f>
        <v/>
      </c>
      <c r="F526" s="51" t="str">
        <f t="shared" si="527"/>
        <v/>
      </c>
      <c r="G526" s="51" t="str">
        <f t="shared" si="527"/>
        <v/>
      </c>
      <c r="H526" s="51" t="str">
        <f t="shared" si="527"/>
        <v/>
      </c>
      <c r="I526" s="51" t="str">
        <f t="shared" si="527"/>
        <v/>
      </c>
      <c r="J526" s="51" t="str">
        <f t="shared" si="527"/>
        <v/>
      </c>
      <c r="K526" s="51" t="str">
        <f t="shared" si="527"/>
        <v/>
      </c>
      <c r="L526" s="51" t="str">
        <f t="shared" si="527"/>
        <v/>
      </c>
      <c r="M526" s="51" t="str">
        <f t="shared" si="527"/>
        <v/>
      </c>
      <c r="N526" s="51" t="str">
        <f t="shared" si="527"/>
        <v/>
      </c>
      <c r="O526" s="51" t="str">
        <f t="shared" si="527"/>
        <v/>
      </c>
      <c r="P526" s="51" t="str">
        <f t="shared" si="527"/>
        <v/>
      </c>
      <c r="Q526" s="51" t="str">
        <f t="shared" si="527"/>
        <v/>
      </c>
      <c r="R526" s="51" t="str">
        <f t="shared" si="527"/>
        <v/>
      </c>
      <c r="S526" s="51" t="str">
        <f t="shared" si="527"/>
        <v/>
      </c>
      <c r="T526" s="51" t="str">
        <f t="shared" si="527"/>
        <v/>
      </c>
      <c r="U526" s="52"/>
      <c r="V526" s="52" t="str">
        <f>IFERROR(__xludf.DUMMYFUNCTION("""COMPUTED_VALUE"""),"")</f>
        <v/>
      </c>
      <c r="W526" s="52" t="str">
        <f>IFERROR(__xludf.DUMMYFUNCTION("""COMPUTED_VALUE"""),"")</f>
        <v/>
      </c>
      <c r="X526" s="52" t="str">
        <f>IFERROR(__xludf.DUMMYFUNCTION("""COMPUTED_VALUE"""),"")</f>
        <v/>
      </c>
      <c r="Y526" s="52" t="str">
        <f>IFERROR(__xludf.DUMMYFUNCTION("""COMPUTED_VALUE"""),"")</f>
        <v/>
      </c>
      <c r="Z526" s="52" t="str">
        <f>IFERROR(__xludf.DUMMYFUNCTION("""COMPUTED_VALUE"""),"")</f>
        <v/>
      </c>
      <c r="AA526" s="52" t="str">
        <f>IFERROR(__xludf.DUMMYFUNCTION("""COMPUTED_VALUE"""),"")</f>
        <v/>
      </c>
      <c r="AB526" s="52" t="str">
        <f>IFERROR(__xludf.DUMMYFUNCTION("""COMPUTED_VALUE"""),"")</f>
        <v/>
      </c>
      <c r="AC526" s="52" t="str">
        <f>IFERROR(__xludf.DUMMYFUNCTION("""COMPUTED_VALUE"""),"")</f>
        <v/>
      </c>
      <c r="AD526" s="52" t="str">
        <f>IFERROR(__xludf.DUMMYFUNCTION("""COMPUTED_VALUE"""),"")</f>
        <v/>
      </c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</row>
    <row r="527">
      <c r="B527" s="49"/>
      <c r="C527" s="49" t="str">
        <f t="shared" si="2"/>
        <v/>
      </c>
      <c r="D527" s="50" t="str">
        <f t="shared" si="3"/>
        <v/>
      </c>
      <c r="E527" s="51" t="str">
        <f t="shared" ref="E527:T527" si="528">IFERROR(VLOOKUP($A527,INDIRECT("'" &amp; E$1 &amp; "'!$C:$G"), 5, FALSE),"")</f>
        <v/>
      </c>
      <c r="F527" s="51" t="str">
        <f t="shared" si="528"/>
        <v/>
      </c>
      <c r="G527" s="51" t="str">
        <f t="shared" si="528"/>
        <v/>
      </c>
      <c r="H527" s="51" t="str">
        <f t="shared" si="528"/>
        <v/>
      </c>
      <c r="I527" s="51" t="str">
        <f t="shared" si="528"/>
        <v/>
      </c>
      <c r="J527" s="51" t="str">
        <f t="shared" si="528"/>
        <v/>
      </c>
      <c r="K527" s="51" t="str">
        <f t="shared" si="528"/>
        <v/>
      </c>
      <c r="L527" s="51" t="str">
        <f t="shared" si="528"/>
        <v/>
      </c>
      <c r="M527" s="51" t="str">
        <f t="shared" si="528"/>
        <v/>
      </c>
      <c r="N527" s="51" t="str">
        <f t="shared" si="528"/>
        <v/>
      </c>
      <c r="O527" s="51" t="str">
        <f t="shared" si="528"/>
        <v/>
      </c>
      <c r="P527" s="51" t="str">
        <f t="shared" si="528"/>
        <v/>
      </c>
      <c r="Q527" s="51" t="str">
        <f t="shared" si="528"/>
        <v/>
      </c>
      <c r="R527" s="51" t="str">
        <f t="shared" si="528"/>
        <v/>
      </c>
      <c r="S527" s="51" t="str">
        <f t="shared" si="528"/>
        <v/>
      </c>
      <c r="T527" s="51" t="str">
        <f t="shared" si="528"/>
        <v/>
      </c>
      <c r="U527" s="52"/>
      <c r="V527" s="52" t="str">
        <f>IFERROR(__xludf.DUMMYFUNCTION("""COMPUTED_VALUE"""),"")</f>
        <v/>
      </c>
      <c r="W527" s="52" t="str">
        <f>IFERROR(__xludf.DUMMYFUNCTION("""COMPUTED_VALUE"""),"")</f>
        <v/>
      </c>
      <c r="X527" s="52" t="str">
        <f>IFERROR(__xludf.DUMMYFUNCTION("""COMPUTED_VALUE"""),"")</f>
        <v/>
      </c>
      <c r="Y527" s="52" t="str">
        <f>IFERROR(__xludf.DUMMYFUNCTION("""COMPUTED_VALUE"""),"")</f>
        <v/>
      </c>
      <c r="Z527" s="52" t="str">
        <f>IFERROR(__xludf.DUMMYFUNCTION("""COMPUTED_VALUE"""),"")</f>
        <v/>
      </c>
      <c r="AA527" s="52" t="str">
        <f>IFERROR(__xludf.DUMMYFUNCTION("""COMPUTED_VALUE"""),"")</f>
        <v/>
      </c>
      <c r="AB527" s="52" t="str">
        <f>IFERROR(__xludf.DUMMYFUNCTION("""COMPUTED_VALUE"""),"")</f>
        <v/>
      </c>
      <c r="AC527" s="52" t="str">
        <f>IFERROR(__xludf.DUMMYFUNCTION("""COMPUTED_VALUE"""),"")</f>
        <v/>
      </c>
      <c r="AD527" s="52" t="str">
        <f>IFERROR(__xludf.DUMMYFUNCTION("""COMPUTED_VALUE"""),"")</f>
        <v/>
      </c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</row>
    <row r="528">
      <c r="B528" s="49"/>
      <c r="C528" s="49" t="str">
        <f t="shared" si="2"/>
        <v/>
      </c>
      <c r="D528" s="50" t="str">
        <f t="shared" si="3"/>
        <v/>
      </c>
      <c r="E528" s="51" t="str">
        <f t="shared" ref="E528:T528" si="529">IFERROR(VLOOKUP($A528,INDIRECT("'" &amp; E$1 &amp; "'!$C:$G"), 5, FALSE),"")</f>
        <v/>
      </c>
      <c r="F528" s="51" t="str">
        <f t="shared" si="529"/>
        <v/>
      </c>
      <c r="G528" s="51" t="str">
        <f t="shared" si="529"/>
        <v/>
      </c>
      <c r="H528" s="51" t="str">
        <f t="shared" si="529"/>
        <v/>
      </c>
      <c r="I528" s="51" t="str">
        <f t="shared" si="529"/>
        <v/>
      </c>
      <c r="J528" s="51" t="str">
        <f t="shared" si="529"/>
        <v/>
      </c>
      <c r="K528" s="51" t="str">
        <f t="shared" si="529"/>
        <v/>
      </c>
      <c r="L528" s="51" t="str">
        <f t="shared" si="529"/>
        <v/>
      </c>
      <c r="M528" s="51" t="str">
        <f t="shared" si="529"/>
        <v/>
      </c>
      <c r="N528" s="51" t="str">
        <f t="shared" si="529"/>
        <v/>
      </c>
      <c r="O528" s="51" t="str">
        <f t="shared" si="529"/>
        <v/>
      </c>
      <c r="P528" s="51" t="str">
        <f t="shared" si="529"/>
        <v/>
      </c>
      <c r="Q528" s="51" t="str">
        <f t="shared" si="529"/>
        <v/>
      </c>
      <c r="R528" s="51" t="str">
        <f t="shared" si="529"/>
        <v/>
      </c>
      <c r="S528" s="51" t="str">
        <f t="shared" si="529"/>
        <v/>
      </c>
      <c r="T528" s="51" t="str">
        <f t="shared" si="529"/>
        <v/>
      </c>
      <c r="U528" s="52"/>
      <c r="V528" s="52" t="str">
        <f>IFERROR(__xludf.DUMMYFUNCTION("""COMPUTED_VALUE"""),"")</f>
        <v/>
      </c>
      <c r="W528" s="52" t="str">
        <f>IFERROR(__xludf.DUMMYFUNCTION("""COMPUTED_VALUE"""),"")</f>
        <v/>
      </c>
      <c r="X528" s="52" t="str">
        <f>IFERROR(__xludf.DUMMYFUNCTION("""COMPUTED_VALUE"""),"")</f>
        <v/>
      </c>
      <c r="Y528" s="52" t="str">
        <f>IFERROR(__xludf.DUMMYFUNCTION("""COMPUTED_VALUE"""),"")</f>
        <v/>
      </c>
      <c r="Z528" s="52" t="str">
        <f>IFERROR(__xludf.DUMMYFUNCTION("""COMPUTED_VALUE"""),"")</f>
        <v/>
      </c>
      <c r="AA528" s="52" t="str">
        <f>IFERROR(__xludf.DUMMYFUNCTION("""COMPUTED_VALUE"""),"")</f>
        <v/>
      </c>
      <c r="AB528" s="52" t="str">
        <f>IFERROR(__xludf.DUMMYFUNCTION("""COMPUTED_VALUE"""),"")</f>
        <v/>
      </c>
      <c r="AC528" s="52" t="str">
        <f>IFERROR(__xludf.DUMMYFUNCTION("""COMPUTED_VALUE"""),"")</f>
        <v/>
      </c>
      <c r="AD528" s="52" t="str">
        <f>IFERROR(__xludf.DUMMYFUNCTION("""COMPUTED_VALUE"""),"")</f>
        <v/>
      </c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</row>
    <row r="529">
      <c r="B529" s="49"/>
      <c r="C529" s="49" t="str">
        <f t="shared" si="2"/>
        <v/>
      </c>
      <c r="D529" s="50" t="str">
        <f t="shared" si="3"/>
        <v/>
      </c>
      <c r="E529" s="51" t="str">
        <f t="shared" ref="E529:T529" si="530">IFERROR(VLOOKUP($A529,INDIRECT("'" &amp; E$1 &amp; "'!$C:$G"), 5, FALSE),"")</f>
        <v/>
      </c>
      <c r="F529" s="51" t="str">
        <f t="shared" si="530"/>
        <v/>
      </c>
      <c r="G529" s="51" t="str">
        <f t="shared" si="530"/>
        <v/>
      </c>
      <c r="H529" s="51" t="str">
        <f t="shared" si="530"/>
        <v/>
      </c>
      <c r="I529" s="51" t="str">
        <f t="shared" si="530"/>
        <v/>
      </c>
      <c r="J529" s="51" t="str">
        <f t="shared" si="530"/>
        <v/>
      </c>
      <c r="K529" s="51" t="str">
        <f t="shared" si="530"/>
        <v/>
      </c>
      <c r="L529" s="51" t="str">
        <f t="shared" si="530"/>
        <v/>
      </c>
      <c r="M529" s="51" t="str">
        <f t="shared" si="530"/>
        <v/>
      </c>
      <c r="N529" s="51" t="str">
        <f t="shared" si="530"/>
        <v/>
      </c>
      <c r="O529" s="51" t="str">
        <f t="shared" si="530"/>
        <v/>
      </c>
      <c r="P529" s="51" t="str">
        <f t="shared" si="530"/>
        <v/>
      </c>
      <c r="Q529" s="51" t="str">
        <f t="shared" si="530"/>
        <v/>
      </c>
      <c r="R529" s="51" t="str">
        <f t="shared" si="530"/>
        <v/>
      </c>
      <c r="S529" s="51" t="str">
        <f t="shared" si="530"/>
        <v/>
      </c>
      <c r="T529" s="51" t="str">
        <f t="shared" si="530"/>
        <v/>
      </c>
      <c r="U529" s="52"/>
      <c r="V529" s="52" t="str">
        <f>IFERROR(__xludf.DUMMYFUNCTION("""COMPUTED_VALUE"""),"")</f>
        <v/>
      </c>
      <c r="W529" s="52" t="str">
        <f>IFERROR(__xludf.DUMMYFUNCTION("""COMPUTED_VALUE"""),"")</f>
        <v/>
      </c>
      <c r="X529" s="52" t="str">
        <f>IFERROR(__xludf.DUMMYFUNCTION("""COMPUTED_VALUE"""),"")</f>
        <v/>
      </c>
      <c r="Y529" s="52" t="str">
        <f>IFERROR(__xludf.DUMMYFUNCTION("""COMPUTED_VALUE"""),"")</f>
        <v/>
      </c>
      <c r="Z529" s="52" t="str">
        <f>IFERROR(__xludf.DUMMYFUNCTION("""COMPUTED_VALUE"""),"")</f>
        <v/>
      </c>
      <c r="AA529" s="52" t="str">
        <f>IFERROR(__xludf.DUMMYFUNCTION("""COMPUTED_VALUE"""),"")</f>
        <v/>
      </c>
      <c r="AB529" s="52" t="str">
        <f>IFERROR(__xludf.DUMMYFUNCTION("""COMPUTED_VALUE"""),"")</f>
        <v/>
      </c>
      <c r="AC529" s="52" t="str">
        <f>IFERROR(__xludf.DUMMYFUNCTION("""COMPUTED_VALUE"""),"")</f>
        <v/>
      </c>
      <c r="AD529" s="52" t="str">
        <f>IFERROR(__xludf.DUMMYFUNCTION("""COMPUTED_VALUE"""),"")</f>
        <v/>
      </c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</row>
    <row r="530">
      <c r="B530" s="49"/>
      <c r="C530" s="49" t="str">
        <f t="shared" si="2"/>
        <v/>
      </c>
      <c r="D530" s="50" t="str">
        <f t="shared" si="3"/>
        <v/>
      </c>
      <c r="E530" s="51" t="str">
        <f t="shared" ref="E530:T530" si="531">IFERROR(VLOOKUP($A530,INDIRECT("'" &amp; E$1 &amp; "'!$C:$G"), 5, FALSE),"")</f>
        <v/>
      </c>
      <c r="F530" s="51" t="str">
        <f t="shared" si="531"/>
        <v/>
      </c>
      <c r="G530" s="51" t="str">
        <f t="shared" si="531"/>
        <v/>
      </c>
      <c r="H530" s="51" t="str">
        <f t="shared" si="531"/>
        <v/>
      </c>
      <c r="I530" s="51" t="str">
        <f t="shared" si="531"/>
        <v/>
      </c>
      <c r="J530" s="51" t="str">
        <f t="shared" si="531"/>
        <v/>
      </c>
      <c r="K530" s="51" t="str">
        <f t="shared" si="531"/>
        <v/>
      </c>
      <c r="L530" s="51" t="str">
        <f t="shared" si="531"/>
        <v/>
      </c>
      <c r="M530" s="51" t="str">
        <f t="shared" si="531"/>
        <v/>
      </c>
      <c r="N530" s="51" t="str">
        <f t="shared" si="531"/>
        <v/>
      </c>
      <c r="O530" s="51" t="str">
        <f t="shared" si="531"/>
        <v/>
      </c>
      <c r="P530" s="51" t="str">
        <f t="shared" si="531"/>
        <v/>
      </c>
      <c r="Q530" s="51" t="str">
        <f t="shared" si="531"/>
        <v/>
      </c>
      <c r="R530" s="51" t="str">
        <f t="shared" si="531"/>
        <v/>
      </c>
      <c r="S530" s="51" t="str">
        <f t="shared" si="531"/>
        <v/>
      </c>
      <c r="T530" s="51" t="str">
        <f t="shared" si="531"/>
        <v/>
      </c>
      <c r="U530" s="52"/>
      <c r="V530" s="52" t="str">
        <f>IFERROR(__xludf.DUMMYFUNCTION("""COMPUTED_VALUE"""),"")</f>
        <v/>
      </c>
      <c r="W530" s="52" t="str">
        <f>IFERROR(__xludf.DUMMYFUNCTION("""COMPUTED_VALUE"""),"")</f>
        <v/>
      </c>
      <c r="X530" s="52" t="str">
        <f>IFERROR(__xludf.DUMMYFUNCTION("""COMPUTED_VALUE"""),"")</f>
        <v/>
      </c>
      <c r="Y530" s="52" t="str">
        <f>IFERROR(__xludf.DUMMYFUNCTION("""COMPUTED_VALUE"""),"")</f>
        <v/>
      </c>
      <c r="Z530" s="52" t="str">
        <f>IFERROR(__xludf.DUMMYFUNCTION("""COMPUTED_VALUE"""),"")</f>
        <v/>
      </c>
      <c r="AA530" s="52" t="str">
        <f>IFERROR(__xludf.DUMMYFUNCTION("""COMPUTED_VALUE"""),"")</f>
        <v/>
      </c>
      <c r="AB530" s="52" t="str">
        <f>IFERROR(__xludf.DUMMYFUNCTION("""COMPUTED_VALUE"""),"")</f>
        <v/>
      </c>
      <c r="AC530" s="52" t="str">
        <f>IFERROR(__xludf.DUMMYFUNCTION("""COMPUTED_VALUE"""),"")</f>
        <v/>
      </c>
      <c r="AD530" s="52" t="str">
        <f>IFERROR(__xludf.DUMMYFUNCTION("""COMPUTED_VALUE"""),"")</f>
        <v/>
      </c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</row>
    <row r="531">
      <c r="B531" s="49"/>
      <c r="C531" s="49" t="str">
        <f t="shared" si="2"/>
        <v/>
      </c>
      <c r="D531" s="50" t="str">
        <f t="shared" si="3"/>
        <v/>
      </c>
      <c r="E531" s="51" t="str">
        <f t="shared" ref="E531:T531" si="532">IFERROR(VLOOKUP($A531,INDIRECT("'" &amp; E$1 &amp; "'!$C:$G"), 5, FALSE),"")</f>
        <v/>
      </c>
      <c r="F531" s="51" t="str">
        <f t="shared" si="532"/>
        <v/>
      </c>
      <c r="G531" s="51" t="str">
        <f t="shared" si="532"/>
        <v/>
      </c>
      <c r="H531" s="51" t="str">
        <f t="shared" si="532"/>
        <v/>
      </c>
      <c r="I531" s="51" t="str">
        <f t="shared" si="532"/>
        <v/>
      </c>
      <c r="J531" s="51" t="str">
        <f t="shared" si="532"/>
        <v/>
      </c>
      <c r="K531" s="51" t="str">
        <f t="shared" si="532"/>
        <v/>
      </c>
      <c r="L531" s="51" t="str">
        <f t="shared" si="532"/>
        <v/>
      </c>
      <c r="M531" s="51" t="str">
        <f t="shared" si="532"/>
        <v/>
      </c>
      <c r="N531" s="51" t="str">
        <f t="shared" si="532"/>
        <v/>
      </c>
      <c r="O531" s="51" t="str">
        <f t="shared" si="532"/>
        <v/>
      </c>
      <c r="P531" s="51" t="str">
        <f t="shared" si="532"/>
        <v/>
      </c>
      <c r="Q531" s="51" t="str">
        <f t="shared" si="532"/>
        <v/>
      </c>
      <c r="R531" s="51" t="str">
        <f t="shared" si="532"/>
        <v/>
      </c>
      <c r="S531" s="51" t="str">
        <f t="shared" si="532"/>
        <v/>
      </c>
      <c r="T531" s="51" t="str">
        <f t="shared" si="532"/>
        <v/>
      </c>
      <c r="U531" s="52"/>
      <c r="V531" s="52" t="str">
        <f>IFERROR(__xludf.DUMMYFUNCTION("""COMPUTED_VALUE"""),"")</f>
        <v/>
      </c>
      <c r="W531" s="52" t="str">
        <f>IFERROR(__xludf.DUMMYFUNCTION("""COMPUTED_VALUE"""),"")</f>
        <v/>
      </c>
      <c r="X531" s="52" t="str">
        <f>IFERROR(__xludf.DUMMYFUNCTION("""COMPUTED_VALUE"""),"")</f>
        <v/>
      </c>
      <c r="Y531" s="52" t="str">
        <f>IFERROR(__xludf.DUMMYFUNCTION("""COMPUTED_VALUE"""),"")</f>
        <v/>
      </c>
      <c r="Z531" s="52" t="str">
        <f>IFERROR(__xludf.DUMMYFUNCTION("""COMPUTED_VALUE"""),"")</f>
        <v/>
      </c>
      <c r="AA531" s="52" t="str">
        <f>IFERROR(__xludf.DUMMYFUNCTION("""COMPUTED_VALUE"""),"")</f>
        <v/>
      </c>
      <c r="AB531" s="52" t="str">
        <f>IFERROR(__xludf.DUMMYFUNCTION("""COMPUTED_VALUE"""),"")</f>
        <v/>
      </c>
      <c r="AC531" s="52" t="str">
        <f>IFERROR(__xludf.DUMMYFUNCTION("""COMPUTED_VALUE"""),"")</f>
        <v/>
      </c>
      <c r="AD531" s="52" t="str">
        <f>IFERROR(__xludf.DUMMYFUNCTION("""COMPUTED_VALUE"""),"")</f>
        <v/>
      </c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</row>
    <row r="532">
      <c r="B532" s="49"/>
      <c r="C532" s="49" t="str">
        <f t="shared" si="2"/>
        <v/>
      </c>
      <c r="D532" s="50" t="str">
        <f t="shared" si="3"/>
        <v/>
      </c>
      <c r="E532" s="51" t="str">
        <f t="shared" ref="E532:T532" si="533">IFERROR(VLOOKUP($A532,INDIRECT("'" &amp; E$1 &amp; "'!$C:$G"), 5, FALSE),"")</f>
        <v/>
      </c>
      <c r="F532" s="51" t="str">
        <f t="shared" si="533"/>
        <v/>
      </c>
      <c r="G532" s="51" t="str">
        <f t="shared" si="533"/>
        <v/>
      </c>
      <c r="H532" s="51" t="str">
        <f t="shared" si="533"/>
        <v/>
      </c>
      <c r="I532" s="51" t="str">
        <f t="shared" si="533"/>
        <v/>
      </c>
      <c r="J532" s="51" t="str">
        <f t="shared" si="533"/>
        <v/>
      </c>
      <c r="K532" s="51" t="str">
        <f t="shared" si="533"/>
        <v/>
      </c>
      <c r="L532" s="51" t="str">
        <f t="shared" si="533"/>
        <v/>
      </c>
      <c r="M532" s="51" t="str">
        <f t="shared" si="533"/>
        <v/>
      </c>
      <c r="N532" s="51" t="str">
        <f t="shared" si="533"/>
        <v/>
      </c>
      <c r="O532" s="51" t="str">
        <f t="shared" si="533"/>
        <v/>
      </c>
      <c r="P532" s="51" t="str">
        <f t="shared" si="533"/>
        <v/>
      </c>
      <c r="Q532" s="51" t="str">
        <f t="shared" si="533"/>
        <v/>
      </c>
      <c r="R532" s="51" t="str">
        <f t="shared" si="533"/>
        <v/>
      </c>
      <c r="S532" s="51" t="str">
        <f t="shared" si="533"/>
        <v/>
      </c>
      <c r="T532" s="51" t="str">
        <f t="shared" si="533"/>
        <v/>
      </c>
      <c r="U532" s="52"/>
      <c r="V532" s="52" t="str">
        <f>IFERROR(__xludf.DUMMYFUNCTION("""COMPUTED_VALUE"""),"")</f>
        <v/>
      </c>
      <c r="W532" s="52" t="str">
        <f>IFERROR(__xludf.DUMMYFUNCTION("""COMPUTED_VALUE"""),"")</f>
        <v/>
      </c>
      <c r="X532" s="52" t="str">
        <f>IFERROR(__xludf.DUMMYFUNCTION("""COMPUTED_VALUE"""),"")</f>
        <v/>
      </c>
      <c r="Y532" s="52" t="str">
        <f>IFERROR(__xludf.DUMMYFUNCTION("""COMPUTED_VALUE"""),"")</f>
        <v/>
      </c>
      <c r="Z532" s="52" t="str">
        <f>IFERROR(__xludf.DUMMYFUNCTION("""COMPUTED_VALUE"""),"")</f>
        <v/>
      </c>
      <c r="AA532" s="52" t="str">
        <f>IFERROR(__xludf.DUMMYFUNCTION("""COMPUTED_VALUE"""),"")</f>
        <v/>
      </c>
      <c r="AB532" s="52" t="str">
        <f>IFERROR(__xludf.DUMMYFUNCTION("""COMPUTED_VALUE"""),"")</f>
        <v/>
      </c>
      <c r="AC532" s="52" t="str">
        <f>IFERROR(__xludf.DUMMYFUNCTION("""COMPUTED_VALUE"""),"")</f>
        <v/>
      </c>
      <c r="AD532" s="52" t="str">
        <f>IFERROR(__xludf.DUMMYFUNCTION("""COMPUTED_VALUE"""),"")</f>
        <v/>
      </c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</row>
    <row r="533">
      <c r="B533" s="49"/>
      <c r="C533" s="49" t="str">
        <f t="shared" si="2"/>
        <v/>
      </c>
      <c r="D533" s="50" t="str">
        <f t="shared" si="3"/>
        <v/>
      </c>
      <c r="E533" s="51" t="str">
        <f t="shared" ref="E533:T533" si="534">IFERROR(VLOOKUP($A533,INDIRECT("'" &amp; E$1 &amp; "'!$C:$G"), 5, FALSE),"")</f>
        <v/>
      </c>
      <c r="F533" s="51" t="str">
        <f t="shared" si="534"/>
        <v/>
      </c>
      <c r="G533" s="51" t="str">
        <f t="shared" si="534"/>
        <v/>
      </c>
      <c r="H533" s="51" t="str">
        <f t="shared" si="534"/>
        <v/>
      </c>
      <c r="I533" s="51" t="str">
        <f t="shared" si="534"/>
        <v/>
      </c>
      <c r="J533" s="51" t="str">
        <f t="shared" si="534"/>
        <v/>
      </c>
      <c r="K533" s="51" t="str">
        <f t="shared" si="534"/>
        <v/>
      </c>
      <c r="L533" s="51" t="str">
        <f t="shared" si="534"/>
        <v/>
      </c>
      <c r="M533" s="51" t="str">
        <f t="shared" si="534"/>
        <v/>
      </c>
      <c r="N533" s="51" t="str">
        <f t="shared" si="534"/>
        <v/>
      </c>
      <c r="O533" s="51" t="str">
        <f t="shared" si="534"/>
        <v/>
      </c>
      <c r="P533" s="51" t="str">
        <f t="shared" si="534"/>
        <v/>
      </c>
      <c r="Q533" s="51" t="str">
        <f t="shared" si="534"/>
        <v/>
      </c>
      <c r="R533" s="51" t="str">
        <f t="shared" si="534"/>
        <v/>
      </c>
      <c r="S533" s="51" t="str">
        <f t="shared" si="534"/>
        <v/>
      </c>
      <c r="T533" s="51" t="str">
        <f t="shared" si="534"/>
        <v/>
      </c>
      <c r="U533" s="52"/>
      <c r="V533" s="52" t="str">
        <f>IFERROR(__xludf.DUMMYFUNCTION("""COMPUTED_VALUE"""),"")</f>
        <v/>
      </c>
      <c r="W533" s="52" t="str">
        <f>IFERROR(__xludf.DUMMYFUNCTION("""COMPUTED_VALUE"""),"")</f>
        <v/>
      </c>
      <c r="X533" s="52" t="str">
        <f>IFERROR(__xludf.DUMMYFUNCTION("""COMPUTED_VALUE"""),"")</f>
        <v/>
      </c>
      <c r="Y533" s="52" t="str">
        <f>IFERROR(__xludf.DUMMYFUNCTION("""COMPUTED_VALUE"""),"")</f>
        <v/>
      </c>
      <c r="Z533" s="52" t="str">
        <f>IFERROR(__xludf.DUMMYFUNCTION("""COMPUTED_VALUE"""),"")</f>
        <v/>
      </c>
      <c r="AA533" s="52" t="str">
        <f>IFERROR(__xludf.DUMMYFUNCTION("""COMPUTED_VALUE"""),"")</f>
        <v/>
      </c>
      <c r="AB533" s="52" t="str">
        <f>IFERROR(__xludf.DUMMYFUNCTION("""COMPUTED_VALUE"""),"")</f>
        <v/>
      </c>
      <c r="AC533" s="52" t="str">
        <f>IFERROR(__xludf.DUMMYFUNCTION("""COMPUTED_VALUE"""),"")</f>
        <v/>
      </c>
      <c r="AD533" s="52" t="str">
        <f>IFERROR(__xludf.DUMMYFUNCTION("""COMPUTED_VALUE"""),"")</f>
        <v/>
      </c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</row>
    <row r="534">
      <c r="B534" s="49"/>
      <c r="C534" s="49" t="str">
        <f t="shared" si="2"/>
        <v/>
      </c>
      <c r="D534" s="50" t="str">
        <f t="shared" si="3"/>
        <v/>
      </c>
      <c r="E534" s="51" t="str">
        <f t="shared" ref="E534:T534" si="535">IFERROR(VLOOKUP($A534,INDIRECT("'" &amp; E$1 &amp; "'!$C:$G"), 5, FALSE),"")</f>
        <v/>
      </c>
      <c r="F534" s="51" t="str">
        <f t="shared" si="535"/>
        <v/>
      </c>
      <c r="G534" s="51" t="str">
        <f t="shared" si="535"/>
        <v/>
      </c>
      <c r="H534" s="51" t="str">
        <f t="shared" si="535"/>
        <v/>
      </c>
      <c r="I534" s="51" t="str">
        <f t="shared" si="535"/>
        <v/>
      </c>
      <c r="J534" s="51" t="str">
        <f t="shared" si="535"/>
        <v/>
      </c>
      <c r="K534" s="51" t="str">
        <f t="shared" si="535"/>
        <v/>
      </c>
      <c r="L534" s="51" t="str">
        <f t="shared" si="535"/>
        <v/>
      </c>
      <c r="M534" s="51" t="str">
        <f t="shared" si="535"/>
        <v/>
      </c>
      <c r="N534" s="51" t="str">
        <f t="shared" si="535"/>
        <v/>
      </c>
      <c r="O534" s="51" t="str">
        <f t="shared" si="535"/>
        <v/>
      </c>
      <c r="P534" s="51" t="str">
        <f t="shared" si="535"/>
        <v/>
      </c>
      <c r="Q534" s="51" t="str">
        <f t="shared" si="535"/>
        <v/>
      </c>
      <c r="R534" s="51" t="str">
        <f t="shared" si="535"/>
        <v/>
      </c>
      <c r="S534" s="51" t="str">
        <f t="shared" si="535"/>
        <v/>
      </c>
      <c r="T534" s="51" t="str">
        <f t="shared" si="535"/>
        <v/>
      </c>
      <c r="U534" s="52"/>
      <c r="V534" s="52" t="str">
        <f>IFERROR(__xludf.DUMMYFUNCTION("""COMPUTED_VALUE"""),"")</f>
        <v/>
      </c>
      <c r="W534" s="52" t="str">
        <f>IFERROR(__xludf.DUMMYFUNCTION("""COMPUTED_VALUE"""),"")</f>
        <v/>
      </c>
      <c r="X534" s="52" t="str">
        <f>IFERROR(__xludf.DUMMYFUNCTION("""COMPUTED_VALUE"""),"")</f>
        <v/>
      </c>
      <c r="Y534" s="52" t="str">
        <f>IFERROR(__xludf.DUMMYFUNCTION("""COMPUTED_VALUE"""),"")</f>
        <v/>
      </c>
      <c r="Z534" s="52" t="str">
        <f>IFERROR(__xludf.DUMMYFUNCTION("""COMPUTED_VALUE"""),"")</f>
        <v/>
      </c>
      <c r="AA534" s="52" t="str">
        <f>IFERROR(__xludf.DUMMYFUNCTION("""COMPUTED_VALUE"""),"")</f>
        <v/>
      </c>
      <c r="AB534" s="52" t="str">
        <f>IFERROR(__xludf.DUMMYFUNCTION("""COMPUTED_VALUE"""),"")</f>
        <v/>
      </c>
      <c r="AC534" s="52" t="str">
        <f>IFERROR(__xludf.DUMMYFUNCTION("""COMPUTED_VALUE"""),"")</f>
        <v/>
      </c>
      <c r="AD534" s="52" t="str">
        <f>IFERROR(__xludf.DUMMYFUNCTION("""COMPUTED_VALUE"""),"")</f>
        <v/>
      </c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</row>
    <row r="535">
      <c r="B535" s="49"/>
      <c r="C535" s="49" t="str">
        <f t="shared" si="2"/>
        <v/>
      </c>
      <c r="D535" s="50" t="str">
        <f t="shared" si="3"/>
        <v/>
      </c>
      <c r="E535" s="51" t="str">
        <f t="shared" ref="E535:T535" si="536">IFERROR(VLOOKUP($A535,INDIRECT("'" &amp; E$1 &amp; "'!$C:$G"), 5, FALSE),"")</f>
        <v/>
      </c>
      <c r="F535" s="51" t="str">
        <f t="shared" si="536"/>
        <v/>
      </c>
      <c r="G535" s="51" t="str">
        <f t="shared" si="536"/>
        <v/>
      </c>
      <c r="H535" s="51" t="str">
        <f t="shared" si="536"/>
        <v/>
      </c>
      <c r="I535" s="51" t="str">
        <f t="shared" si="536"/>
        <v/>
      </c>
      <c r="J535" s="51" t="str">
        <f t="shared" si="536"/>
        <v/>
      </c>
      <c r="K535" s="51" t="str">
        <f t="shared" si="536"/>
        <v/>
      </c>
      <c r="L535" s="51" t="str">
        <f t="shared" si="536"/>
        <v/>
      </c>
      <c r="M535" s="51" t="str">
        <f t="shared" si="536"/>
        <v/>
      </c>
      <c r="N535" s="51" t="str">
        <f t="shared" si="536"/>
        <v/>
      </c>
      <c r="O535" s="51" t="str">
        <f t="shared" si="536"/>
        <v/>
      </c>
      <c r="P535" s="51" t="str">
        <f t="shared" si="536"/>
        <v/>
      </c>
      <c r="Q535" s="51" t="str">
        <f t="shared" si="536"/>
        <v/>
      </c>
      <c r="R535" s="51" t="str">
        <f t="shared" si="536"/>
        <v/>
      </c>
      <c r="S535" s="51" t="str">
        <f t="shared" si="536"/>
        <v/>
      </c>
      <c r="T535" s="51" t="str">
        <f t="shared" si="536"/>
        <v/>
      </c>
      <c r="U535" s="52"/>
      <c r="V535" s="52" t="str">
        <f>IFERROR(__xludf.DUMMYFUNCTION("""COMPUTED_VALUE"""),"")</f>
        <v/>
      </c>
      <c r="W535" s="52" t="str">
        <f>IFERROR(__xludf.DUMMYFUNCTION("""COMPUTED_VALUE"""),"")</f>
        <v/>
      </c>
      <c r="X535" s="52" t="str">
        <f>IFERROR(__xludf.DUMMYFUNCTION("""COMPUTED_VALUE"""),"")</f>
        <v/>
      </c>
      <c r="Y535" s="52" t="str">
        <f>IFERROR(__xludf.DUMMYFUNCTION("""COMPUTED_VALUE"""),"")</f>
        <v/>
      </c>
      <c r="Z535" s="52" t="str">
        <f>IFERROR(__xludf.DUMMYFUNCTION("""COMPUTED_VALUE"""),"")</f>
        <v/>
      </c>
      <c r="AA535" s="52" t="str">
        <f>IFERROR(__xludf.DUMMYFUNCTION("""COMPUTED_VALUE"""),"")</f>
        <v/>
      </c>
      <c r="AB535" s="52" t="str">
        <f>IFERROR(__xludf.DUMMYFUNCTION("""COMPUTED_VALUE"""),"")</f>
        <v/>
      </c>
      <c r="AC535" s="52" t="str">
        <f>IFERROR(__xludf.DUMMYFUNCTION("""COMPUTED_VALUE"""),"")</f>
        <v/>
      </c>
      <c r="AD535" s="52" t="str">
        <f>IFERROR(__xludf.DUMMYFUNCTION("""COMPUTED_VALUE"""),"")</f>
        <v/>
      </c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</row>
    <row r="536">
      <c r="B536" s="49"/>
      <c r="C536" s="49" t="str">
        <f t="shared" si="2"/>
        <v/>
      </c>
      <c r="D536" s="50" t="str">
        <f t="shared" si="3"/>
        <v/>
      </c>
      <c r="E536" s="51" t="str">
        <f t="shared" ref="E536:T536" si="537">IFERROR(VLOOKUP($A536,INDIRECT("'" &amp; E$1 &amp; "'!$C:$G"), 5, FALSE),"")</f>
        <v/>
      </c>
      <c r="F536" s="51" t="str">
        <f t="shared" si="537"/>
        <v/>
      </c>
      <c r="G536" s="51" t="str">
        <f t="shared" si="537"/>
        <v/>
      </c>
      <c r="H536" s="51" t="str">
        <f t="shared" si="537"/>
        <v/>
      </c>
      <c r="I536" s="51" t="str">
        <f t="shared" si="537"/>
        <v/>
      </c>
      <c r="J536" s="51" t="str">
        <f t="shared" si="537"/>
        <v/>
      </c>
      <c r="K536" s="51" t="str">
        <f t="shared" si="537"/>
        <v/>
      </c>
      <c r="L536" s="51" t="str">
        <f t="shared" si="537"/>
        <v/>
      </c>
      <c r="M536" s="51" t="str">
        <f t="shared" si="537"/>
        <v/>
      </c>
      <c r="N536" s="51" t="str">
        <f t="shared" si="537"/>
        <v/>
      </c>
      <c r="O536" s="51" t="str">
        <f t="shared" si="537"/>
        <v/>
      </c>
      <c r="P536" s="51" t="str">
        <f t="shared" si="537"/>
        <v/>
      </c>
      <c r="Q536" s="51" t="str">
        <f t="shared" si="537"/>
        <v/>
      </c>
      <c r="R536" s="51" t="str">
        <f t="shared" si="537"/>
        <v/>
      </c>
      <c r="S536" s="51" t="str">
        <f t="shared" si="537"/>
        <v/>
      </c>
      <c r="T536" s="51" t="str">
        <f t="shared" si="537"/>
        <v/>
      </c>
      <c r="U536" s="52"/>
      <c r="V536" s="52" t="str">
        <f>IFERROR(__xludf.DUMMYFUNCTION("""COMPUTED_VALUE"""),"")</f>
        <v/>
      </c>
      <c r="W536" s="52" t="str">
        <f>IFERROR(__xludf.DUMMYFUNCTION("""COMPUTED_VALUE"""),"")</f>
        <v/>
      </c>
      <c r="X536" s="52" t="str">
        <f>IFERROR(__xludf.DUMMYFUNCTION("""COMPUTED_VALUE"""),"")</f>
        <v/>
      </c>
      <c r="Y536" s="52" t="str">
        <f>IFERROR(__xludf.DUMMYFUNCTION("""COMPUTED_VALUE"""),"")</f>
        <v/>
      </c>
      <c r="Z536" s="52" t="str">
        <f>IFERROR(__xludf.DUMMYFUNCTION("""COMPUTED_VALUE"""),"")</f>
        <v/>
      </c>
      <c r="AA536" s="52" t="str">
        <f>IFERROR(__xludf.DUMMYFUNCTION("""COMPUTED_VALUE"""),"")</f>
        <v/>
      </c>
      <c r="AB536" s="52" t="str">
        <f>IFERROR(__xludf.DUMMYFUNCTION("""COMPUTED_VALUE"""),"")</f>
        <v/>
      </c>
      <c r="AC536" s="52" t="str">
        <f>IFERROR(__xludf.DUMMYFUNCTION("""COMPUTED_VALUE"""),"")</f>
        <v/>
      </c>
      <c r="AD536" s="52" t="str">
        <f>IFERROR(__xludf.DUMMYFUNCTION("""COMPUTED_VALUE"""),"")</f>
        <v/>
      </c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</row>
    <row r="537">
      <c r="B537" s="49"/>
      <c r="C537" s="49" t="str">
        <f t="shared" si="2"/>
        <v/>
      </c>
      <c r="D537" s="50" t="str">
        <f t="shared" si="3"/>
        <v/>
      </c>
      <c r="E537" s="51" t="str">
        <f t="shared" ref="E537:T537" si="538">IFERROR(VLOOKUP($A537,INDIRECT("'" &amp; E$1 &amp; "'!$C:$G"), 5, FALSE),"")</f>
        <v/>
      </c>
      <c r="F537" s="51" t="str">
        <f t="shared" si="538"/>
        <v/>
      </c>
      <c r="G537" s="51" t="str">
        <f t="shared" si="538"/>
        <v/>
      </c>
      <c r="H537" s="51" t="str">
        <f t="shared" si="538"/>
        <v/>
      </c>
      <c r="I537" s="51" t="str">
        <f t="shared" si="538"/>
        <v/>
      </c>
      <c r="J537" s="51" t="str">
        <f t="shared" si="538"/>
        <v/>
      </c>
      <c r="K537" s="51" t="str">
        <f t="shared" si="538"/>
        <v/>
      </c>
      <c r="L537" s="51" t="str">
        <f t="shared" si="538"/>
        <v/>
      </c>
      <c r="M537" s="51" t="str">
        <f t="shared" si="538"/>
        <v/>
      </c>
      <c r="N537" s="51" t="str">
        <f t="shared" si="538"/>
        <v/>
      </c>
      <c r="O537" s="51" t="str">
        <f t="shared" si="538"/>
        <v/>
      </c>
      <c r="P537" s="51" t="str">
        <f t="shared" si="538"/>
        <v/>
      </c>
      <c r="Q537" s="51" t="str">
        <f t="shared" si="538"/>
        <v/>
      </c>
      <c r="R537" s="51" t="str">
        <f t="shared" si="538"/>
        <v/>
      </c>
      <c r="S537" s="51" t="str">
        <f t="shared" si="538"/>
        <v/>
      </c>
      <c r="T537" s="51" t="str">
        <f t="shared" si="538"/>
        <v/>
      </c>
      <c r="U537" s="52"/>
      <c r="V537" s="52" t="str">
        <f>IFERROR(__xludf.DUMMYFUNCTION("""COMPUTED_VALUE"""),"")</f>
        <v/>
      </c>
      <c r="W537" s="52" t="str">
        <f>IFERROR(__xludf.DUMMYFUNCTION("""COMPUTED_VALUE"""),"")</f>
        <v/>
      </c>
      <c r="X537" s="52" t="str">
        <f>IFERROR(__xludf.DUMMYFUNCTION("""COMPUTED_VALUE"""),"")</f>
        <v/>
      </c>
      <c r="Y537" s="52" t="str">
        <f>IFERROR(__xludf.DUMMYFUNCTION("""COMPUTED_VALUE"""),"")</f>
        <v/>
      </c>
      <c r="Z537" s="52" t="str">
        <f>IFERROR(__xludf.DUMMYFUNCTION("""COMPUTED_VALUE"""),"")</f>
        <v/>
      </c>
      <c r="AA537" s="52" t="str">
        <f>IFERROR(__xludf.DUMMYFUNCTION("""COMPUTED_VALUE"""),"")</f>
        <v/>
      </c>
      <c r="AB537" s="52" t="str">
        <f>IFERROR(__xludf.DUMMYFUNCTION("""COMPUTED_VALUE"""),"")</f>
        <v/>
      </c>
      <c r="AC537" s="52" t="str">
        <f>IFERROR(__xludf.DUMMYFUNCTION("""COMPUTED_VALUE"""),"")</f>
        <v/>
      </c>
      <c r="AD537" s="52" t="str">
        <f>IFERROR(__xludf.DUMMYFUNCTION("""COMPUTED_VALUE"""),"")</f>
        <v/>
      </c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</row>
    <row r="538">
      <c r="B538" s="49"/>
      <c r="C538" s="49" t="str">
        <f t="shared" si="2"/>
        <v/>
      </c>
      <c r="D538" s="50" t="str">
        <f t="shared" si="3"/>
        <v/>
      </c>
      <c r="E538" s="51" t="str">
        <f t="shared" ref="E538:T538" si="539">IFERROR(VLOOKUP($A538,INDIRECT("'" &amp; E$1 &amp; "'!$C:$G"), 5, FALSE),"")</f>
        <v/>
      </c>
      <c r="F538" s="51" t="str">
        <f t="shared" si="539"/>
        <v/>
      </c>
      <c r="G538" s="51" t="str">
        <f t="shared" si="539"/>
        <v/>
      </c>
      <c r="H538" s="51" t="str">
        <f t="shared" si="539"/>
        <v/>
      </c>
      <c r="I538" s="51" t="str">
        <f t="shared" si="539"/>
        <v/>
      </c>
      <c r="J538" s="51" t="str">
        <f t="shared" si="539"/>
        <v/>
      </c>
      <c r="K538" s="51" t="str">
        <f t="shared" si="539"/>
        <v/>
      </c>
      <c r="L538" s="51" t="str">
        <f t="shared" si="539"/>
        <v/>
      </c>
      <c r="M538" s="51" t="str">
        <f t="shared" si="539"/>
        <v/>
      </c>
      <c r="N538" s="51" t="str">
        <f t="shared" si="539"/>
        <v/>
      </c>
      <c r="O538" s="51" t="str">
        <f t="shared" si="539"/>
        <v/>
      </c>
      <c r="P538" s="51" t="str">
        <f t="shared" si="539"/>
        <v/>
      </c>
      <c r="Q538" s="51" t="str">
        <f t="shared" si="539"/>
        <v/>
      </c>
      <c r="R538" s="51" t="str">
        <f t="shared" si="539"/>
        <v/>
      </c>
      <c r="S538" s="51" t="str">
        <f t="shared" si="539"/>
        <v/>
      </c>
      <c r="T538" s="51" t="str">
        <f t="shared" si="539"/>
        <v/>
      </c>
      <c r="U538" s="52"/>
      <c r="V538" s="52" t="str">
        <f>IFERROR(__xludf.DUMMYFUNCTION("""COMPUTED_VALUE"""),"")</f>
        <v/>
      </c>
      <c r="W538" s="52" t="str">
        <f>IFERROR(__xludf.DUMMYFUNCTION("""COMPUTED_VALUE"""),"")</f>
        <v/>
      </c>
      <c r="X538" s="52" t="str">
        <f>IFERROR(__xludf.DUMMYFUNCTION("""COMPUTED_VALUE"""),"")</f>
        <v/>
      </c>
      <c r="Y538" s="52" t="str">
        <f>IFERROR(__xludf.DUMMYFUNCTION("""COMPUTED_VALUE"""),"")</f>
        <v/>
      </c>
      <c r="Z538" s="52" t="str">
        <f>IFERROR(__xludf.DUMMYFUNCTION("""COMPUTED_VALUE"""),"")</f>
        <v/>
      </c>
      <c r="AA538" s="52" t="str">
        <f>IFERROR(__xludf.DUMMYFUNCTION("""COMPUTED_VALUE"""),"")</f>
        <v/>
      </c>
      <c r="AB538" s="52" t="str">
        <f>IFERROR(__xludf.DUMMYFUNCTION("""COMPUTED_VALUE"""),"")</f>
        <v/>
      </c>
      <c r="AC538" s="52" t="str">
        <f>IFERROR(__xludf.DUMMYFUNCTION("""COMPUTED_VALUE"""),"")</f>
        <v/>
      </c>
      <c r="AD538" s="52" t="str">
        <f>IFERROR(__xludf.DUMMYFUNCTION("""COMPUTED_VALUE"""),"")</f>
        <v/>
      </c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</row>
    <row r="539">
      <c r="B539" s="49"/>
      <c r="C539" s="49" t="str">
        <f t="shared" si="2"/>
        <v/>
      </c>
      <c r="D539" s="50" t="str">
        <f t="shared" si="3"/>
        <v/>
      </c>
      <c r="E539" s="51" t="str">
        <f t="shared" ref="E539:T539" si="540">IFERROR(VLOOKUP($A539,INDIRECT("'" &amp; E$1 &amp; "'!$C:$G"), 5, FALSE),"")</f>
        <v/>
      </c>
      <c r="F539" s="51" t="str">
        <f t="shared" si="540"/>
        <v/>
      </c>
      <c r="G539" s="51" t="str">
        <f t="shared" si="540"/>
        <v/>
      </c>
      <c r="H539" s="51" t="str">
        <f t="shared" si="540"/>
        <v/>
      </c>
      <c r="I539" s="51" t="str">
        <f t="shared" si="540"/>
        <v/>
      </c>
      <c r="J539" s="51" t="str">
        <f t="shared" si="540"/>
        <v/>
      </c>
      <c r="K539" s="51" t="str">
        <f t="shared" si="540"/>
        <v/>
      </c>
      <c r="L539" s="51" t="str">
        <f t="shared" si="540"/>
        <v/>
      </c>
      <c r="M539" s="51" t="str">
        <f t="shared" si="540"/>
        <v/>
      </c>
      <c r="N539" s="51" t="str">
        <f t="shared" si="540"/>
        <v/>
      </c>
      <c r="O539" s="51" t="str">
        <f t="shared" si="540"/>
        <v/>
      </c>
      <c r="P539" s="51" t="str">
        <f t="shared" si="540"/>
        <v/>
      </c>
      <c r="Q539" s="51" t="str">
        <f t="shared" si="540"/>
        <v/>
      </c>
      <c r="R539" s="51" t="str">
        <f t="shared" si="540"/>
        <v/>
      </c>
      <c r="S539" s="51" t="str">
        <f t="shared" si="540"/>
        <v/>
      </c>
      <c r="T539" s="51" t="str">
        <f t="shared" si="540"/>
        <v/>
      </c>
      <c r="U539" s="52"/>
      <c r="V539" s="52" t="str">
        <f>IFERROR(__xludf.DUMMYFUNCTION("""COMPUTED_VALUE"""),"")</f>
        <v/>
      </c>
      <c r="W539" s="52" t="str">
        <f>IFERROR(__xludf.DUMMYFUNCTION("""COMPUTED_VALUE"""),"")</f>
        <v/>
      </c>
      <c r="X539" s="52" t="str">
        <f>IFERROR(__xludf.DUMMYFUNCTION("""COMPUTED_VALUE"""),"")</f>
        <v/>
      </c>
      <c r="Y539" s="52" t="str">
        <f>IFERROR(__xludf.DUMMYFUNCTION("""COMPUTED_VALUE"""),"")</f>
        <v/>
      </c>
      <c r="Z539" s="52" t="str">
        <f>IFERROR(__xludf.DUMMYFUNCTION("""COMPUTED_VALUE"""),"")</f>
        <v/>
      </c>
      <c r="AA539" s="52" t="str">
        <f>IFERROR(__xludf.DUMMYFUNCTION("""COMPUTED_VALUE"""),"")</f>
        <v/>
      </c>
      <c r="AB539" s="52" t="str">
        <f>IFERROR(__xludf.DUMMYFUNCTION("""COMPUTED_VALUE"""),"")</f>
        <v/>
      </c>
      <c r="AC539" s="52" t="str">
        <f>IFERROR(__xludf.DUMMYFUNCTION("""COMPUTED_VALUE"""),"")</f>
        <v/>
      </c>
      <c r="AD539" s="52" t="str">
        <f>IFERROR(__xludf.DUMMYFUNCTION("""COMPUTED_VALUE"""),"")</f>
        <v/>
      </c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</row>
    <row r="540">
      <c r="B540" s="49"/>
      <c r="C540" s="49" t="str">
        <f t="shared" si="2"/>
        <v/>
      </c>
      <c r="D540" s="50" t="str">
        <f t="shared" si="3"/>
        <v/>
      </c>
      <c r="E540" s="51" t="str">
        <f t="shared" ref="E540:T540" si="541">IFERROR(VLOOKUP($A540,INDIRECT("'" &amp; E$1 &amp; "'!$C:$G"), 5, FALSE),"")</f>
        <v/>
      </c>
      <c r="F540" s="51" t="str">
        <f t="shared" si="541"/>
        <v/>
      </c>
      <c r="G540" s="51" t="str">
        <f t="shared" si="541"/>
        <v/>
      </c>
      <c r="H540" s="51" t="str">
        <f t="shared" si="541"/>
        <v/>
      </c>
      <c r="I540" s="51" t="str">
        <f t="shared" si="541"/>
        <v/>
      </c>
      <c r="J540" s="51" t="str">
        <f t="shared" si="541"/>
        <v/>
      </c>
      <c r="K540" s="51" t="str">
        <f t="shared" si="541"/>
        <v/>
      </c>
      <c r="L540" s="51" t="str">
        <f t="shared" si="541"/>
        <v/>
      </c>
      <c r="M540" s="51" t="str">
        <f t="shared" si="541"/>
        <v/>
      </c>
      <c r="N540" s="51" t="str">
        <f t="shared" si="541"/>
        <v/>
      </c>
      <c r="O540" s="51" t="str">
        <f t="shared" si="541"/>
        <v/>
      </c>
      <c r="P540" s="51" t="str">
        <f t="shared" si="541"/>
        <v/>
      </c>
      <c r="Q540" s="51" t="str">
        <f t="shared" si="541"/>
        <v/>
      </c>
      <c r="R540" s="51" t="str">
        <f t="shared" si="541"/>
        <v/>
      </c>
      <c r="S540" s="51" t="str">
        <f t="shared" si="541"/>
        <v/>
      </c>
      <c r="T540" s="51" t="str">
        <f t="shared" si="541"/>
        <v/>
      </c>
      <c r="U540" s="52"/>
      <c r="V540" s="52" t="str">
        <f>IFERROR(__xludf.DUMMYFUNCTION("""COMPUTED_VALUE"""),"")</f>
        <v/>
      </c>
      <c r="W540" s="52" t="str">
        <f>IFERROR(__xludf.DUMMYFUNCTION("""COMPUTED_VALUE"""),"")</f>
        <v/>
      </c>
      <c r="X540" s="52" t="str">
        <f>IFERROR(__xludf.DUMMYFUNCTION("""COMPUTED_VALUE"""),"")</f>
        <v/>
      </c>
      <c r="Y540" s="52" t="str">
        <f>IFERROR(__xludf.DUMMYFUNCTION("""COMPUTED_VALUE"""),"")</f>
        <v/>
      </c>
      <c r="Z540" s="52" t="str">
        <f>IFERROR(__xludf.DUMMYFUNCTION("""COMPUTED_VALUE"""),"")</f>
        <v/>
      </c>
      <c r="AA540" s="52" t="str">
        <f>IFERROR(__xludf.DUMMYFUNCTION("""COMPUTED_VALUE"""),"")</f>
        <v/>
      </c>
      <c r="AB540" s="52" t="str">
        <f>IFERROR(__xludf.DUMMYFUNCTION("""COMPUTED_VALUE"""),"")</f>
        <v/>
      </c>
      <c r="AC540" s="52" t="str">
        <f>IFERROR(__xludf.DUMMYFUNCTION("""COMPUTED_VALUE"""),"")</f>
        <v/>
      </c>
      <c r="AD540" s="52" t="str">
        <f>IFERROR(__xludf.DUMMYFUNCTION("""COMPUTED_VALUE"""),"")</f>
        <v/>
      </c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</row>
    <row r="541">
      <c r="B541" s="49"/>
      <c r="C541" s="49" t="str">
        <f t="shared" si="2"/>
        <v/>
      </c>
      <c r="D541" s="50" t="str">
        <f t="shared" si="3"/>
        <v/>
      </c>
      <c r="E541" s="51" t="str">
        <f t="shared" ref="E541:T541" si="542">IFERROR(VLOOKUP($A541,INDIRECT("'" &amp; E$1 &amp; "'!$C:$G"), 5, FALSE),"")</f>
        <v/>
      </c>
      <c r="F541" s="51" t="str">
        <f t="shared" si="542"/>
        <v/>
      </c>
      <c r="G541" s="51" t="str">
        <f t="shared" si="542"/>
        <v/>
      </c>
      <c r="H541" s="51" t="str">
        <f t="shared" si="542"/>
        <v/>
      </c>
      <c r="I541" s="51" t="str">
        <f t="shared" si="542"/>
        <v/>
      </c>
      <c r="J541" s="51" t="str">
        <f t="shared" si="542"/>
        <v/>
      </c>
      <c r="K541" s="51" t="str">
        <f t="shared" si="542"/>
        <v/>
      </c>
      <c r="L541" s="51" t="str">
        <f t="shared" si="542"/>
        <v/>
      </c>
      <c r="M541" s="51" t="str">
        <f t="shared" si="542"/>
        <v/>
      </c>
      <c r="N541" s="51" t="str">
        <f t="shared" si="542"/>
        <v/>
      </c>
      <c r="O541" s="51" t="str">
        <f t="shared" si="542"/>
        <v/>
      </c>
      <c r="P541" s="51" t="str">
        <f t="shared" si="542"/>
        <v/>
      </c>
      <c r="Q541" s="51" t="str">
        <f t="shared" si="542"/>
        <v/>
      </c>
      <c r="R541" s="51" t="str">
        <f t="shared" si="542"/>
        <v/>
      </c>
      <c r="S541" s="51" t="str">
        <f t="shared" si="542"/>
        <v/>
      </c>
      <c r="T541" s="51" t="str">
        <f t="shared" si="542"/>
        <v/>
      </c>
      <c r="U541" s="52"/>
      <c r="V541" s="52" t="str">
        <f>IFERROR(__xludf.DUMMYFUNCTION("""COMPUTED_VALUE"""),"")</f>
        <v/>
      </c>
      <c r="W541" s="52" t="str">
        <f>IFERROR(__xludf.DUMMYFUNCTION("""COMPUTED_VALUE"""),"")</f>
        <v/>
      </c>
      <c r="X541" s="52" t="str">
        <f>IFERROR(__xludf.DUMMYFUNCTION("""COMPUTED_VALUE"""),"")</f>
        <v/>
      </c>
      <c r="Y541" s="52" t="str">
        <f>IFERROR(__xludf.DUMMYFUNCTION("""COMPUTED_VALUE"""),"")</f>
        <v/>
      </c>
      <c r="Z541" s="52" t="str">
        <f>IFERROR(__xludf.DUMMYFUNCTION("""COMPUTED_VALUE"""),"")</f>
        <v/>
      </c>
      <c r="AA541" s="52" t="str">
        <f>IFERROR(__xludf.DUMMYFUNCTION("""COMPUTED_VALUE"""),"")</f>
        <v/>
      </c>
      <c r="AB541" s="52" t="str">
        <f>IFERROR(__xludf.DUMMYFUNCTION("""COMPUTED_VALUE"""),"")</f>
        <v/>
      </c>
      <c r="AC541" s="52" t="str">
        <f>IFERROR(__xludf.DUMMYFUNCTION("""COMPUTED_VALUE"""),"")</f>
        <v/>
      </c>
      <c r="AD541" s="52" t="str">
        <f>IFERROR(__xludf.DUMMYFUNCTION("""COMPUTED_VALUE"""),"")</f>
        <v/>
      </c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</row>
    <row r="542">
      <c r="B542" s="49"/>
      <c r="C542" s="49" t="str">
        <f t="shared" si="2"/>
        <v/>
      </c>
      <c r="D542" s="50" t="str">
        <f t="shared" si="3"/>
        <v/>
      </c>
      <c r="E542" s="51" t="str">
        <f t="shared" ref="E542:T542" si="543">IFERROR(VLOOKUP($A542,INDIRECT("'" &amp; E$1 &amp; "'!$C:$G"), 5, FALSE),"")</f>
        <v/>
      </c>
      <c r="F542" s="51" t="str">
        <f t="shared" si="543"/>
        <v/>
      </c>
      <c r="G542" s="51" t="str">
        <f t="shared" si="543"/>
        <v/>
      </c>
      <c r="H542" s="51" t="str">
        <f t="shared" si="543"/>
        <v/>
      </c>
      <c r="I542" s="51" t="str">
        <f t="shared" si="543"/>
        <v/>
      </c>
      <c r="J542" s="51" t="str">
        <f t="shared" si="543"/>
        <v/>
      </c>
      <c r="K542" s="51" t="str">
        <f t="shared" si="543"/>
        <v/>
      </c>
      <c r="L542" s="51" t="str">
        <f t="shared" si="543"/>
        <v/>
      </c>
      <c r="M542" s="51" t="str">
        <f t="shared" si="543"/>
        <v/>
      </c>
      <c r="N542" s="51" t="str">
        <f t="shared" si="543"/>
        <v/>
      </c>
      <c r="O542" s="51" t="str">
        <f t="shared" si="543"/>
        <v/>
      </c>
      <c r="P542" s="51" t="str">
        <f t="shared" si="543"/>
        <v/>
      </c>
      <c r="Q542" s="51" t="str">
        <f t="shared" si="543"/>
        <v/>
      </c>
      <c r="R542" s="51" t="str">
        <f t="shared" si="543"/>
        <v/>
      </c>
      <c r="S542" s="51" t="str">
        <f t="shared" si="543"/>
        <v/>
      </c>
      <c r="T542" s="51" t="str">
        <f t="shared" si="543"/>
        <v/>
      </c>
      <c r="U542" s="52"/>
      <c r="V542" s="52" t="str">
        <f>IFERROR(__xludf.DUMMYFUNCTION("""COMPUTED_VALUE"""),"")</f>
        <v/>
      </c>
      <c r="W542" s="52" t="str">
        <f>IFERROR(__xludf.DUMMYFUNCTION("""COMPUTED_VALUE"""),"")</f>
        <v/>
      </c>
      <c r="X542" s="52" t="str">
        <f>IFERROR(__xludf.DUMMYFUNCTION("""COMPUTED_VALUE"""),"")</f>
        <v/>
      </c>
      <c r="Y542" s="52" t="str">
        <f>IFERROR(__xludf.DUMMYFUNCTION("""COMPUTED_VALUE"""),"")</f>
        <v/>
      </c>
      <c r="Z542" s="52" t="str">
        <f>IFERROR(__xludf.DUMMYFUNCTION("""COMPUTED_VALUE"""),"")</f>
        <v/>
      </c>
      <c r="AA542" s="52" t="str">
        <f>IFERROR(__xludf.DUMMYFUNCTION("""COMPUTED_VALUE"""),"")</f>
        <v/>
      </c>
      <c r="AB542" s="52" t="str">
        <f>IFERROR(__xludf.DUMMYFUNCTION("""COMPUTED_VALUE"""),"")</f>
        <v/>
      </c>
      <c r="AC542" s="52" t="str">
        <f>IFERROR(__xludf.DUMMYFUNCTION("""COMPUTED_VALUE"""),"")</f>
        <v/>
      </c>
      <c r="AD542" s="52" t="str">
        <f>IFERROR(__xludf.DUMMYFUNCTION("""COMPUTED_VALUE"""),"")</f>
        <v/>
      </c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</row>
    <row r="543">
      <c r="B543" s="49"/>
      <c r="C543" s="49" t="str">
        <f t="shared" si="2"/>
        <v/>
      </c>
      <c r="D543" s="50" t="str">
        <f t="shared" si="3"/>
        <v/>
      </c>
      <c r="E543" s="51" t="str">
        <f t="shared" ref="E543:T543" si="544">IFERROR(VLOOKUP($A543,INDIRECT("'" &amp; E$1 &amp; "'!$C:$G"), 5, FALSE),"")</f>
        <v/>
      </c>
      <c r="F543" s="51" t="str">
        <f t="shared" si="544"/>
        <v/>
      </c>
      <c r="G543" s="51" t="str">
        <f t="shared" si="544"/>
        <v/>
      </c>
      <c r="H543" s="51" t="str">
        <f t="shared" si="544"/>
        <v/>
      </c>
      <c r="I543" s="51" t="str">
        <f t="shared" si="544"/>
        <v/>
      </c>
      <c r="J543" s="51" t="str">
        <f t="shared" si="544"/>
        <v/>
      </c>
      <c r="K543" s="51" t="str">
        <f t="shared" si="544"/>
        <v/>
      </c>
      <c r="L543" s="51" t="str">
        <f t="shared" si="544"/>
        <v/>
      </c>
      <c r="M543" s="51" t="str">
        <f t="shared" si="544"/>
        <v/>
      </c>
      <c r="N543" s="51" t="str">
        <f t="shared" si="544"/>
        <v/>
      </c>
      <c r="O543" s="51" t="str">
        <f t="shared" si="544"/>
        <v/>
      </c>
      <c r="P543" s="51" t="str">
        <f t="shared" si="544"/>
        <v/>
      </c>
      <c r="Q543" s="51" t="str">
        <f t="shared" si="544"/>
        <v/>
      </c>
      <c r="R543" s="51" t="str">
        <f t="shared" si="544"/>
        <v/>
      </c>
      <c r="S543" s="51" t="str">
        <f t="shared" si="544"/>
        <v/>
      </c>
      <c r="T543" s="51" t="str">
        <f t="shared" si="544"/>
        <v/>
      </c>
      <c r="U543" s="52"/>
      <c r="V543" s="52" t="str">
        <f>IFERROR(__xludf.DUMMYFUNCTION("""COMPUTED_VALUE"""),"")</f>
        <v/>
      </c>
      <c r="W543" s="52" t="str">
        <f>IFERROR(__xludf.DUMMYFUNCTION("""COMPUTED_VALUE"""),"")</f>
        <v/>
      </c>
      <c r="X543" s="52" t="str">
        <f>IFERROR(__xludf.DUMMYFUNCTION("""COMPUTED_VALUE"""),"")</f>
        <v/>
      </c>
      <c r="Y543" s="52" t="str">
        <f>IFERROR(__xludf.DUMMYFUNCTION("""COMPUTED_VALUE"""),"")</f>
        <v/>
      </c>
      <c r="Z543" s="52" t="str">
        <f>IFERROR(__xludf.DUMMYFUNCTION("""COMPUTED_VALUE"""),"")</f>
        <v/>
      </c>
      <c r="AA543" s="52" t="str">
        <f>IFERROR(__xludf.DUMMYFUNCTION("""COMPUTED_VALUE"""),"")</f>
        <v/>
      </c>
      <c r="AB543" s="52" t="str">
        <f>IFERROR(__xludf.DUMMYFUNCTION("""COMPUTED_VALUE"""),"")</f>
        <v/>
      </c>
      <c r="AC543" s="52" t="str">
        <f>IFERROR(__xludf.DUMMYFUNCTION("""COMPUTED_VALUE"""),"")</f>
        <v/>
      </c>
      <c r="AD543" s="52" t="str">
        <f>IFERROR(__xludf.DUMMYFUNCTION("""COMPUTED_VALUE"""),"")</f>
        <v/>
      </c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</row>
    <row r="544">
      <c r="B544" s="49"/>
      <c r="C544" s="49" t="str">
        <f t="shared" si="2"/>
        <v/>
      </c>
      <c r="D544" s="50" t="str">
        <f t="shared" si="3"/>
        <v/>
      </c>
      <c r="E544" s="51" t="str">
        <f t="shared" ref="E544:T544" si="545">IFERROR(VLOOKUP($A544,INDIRECT("'" &amp; E$1 &amp; "'!$C:$G"), 5, FALSE),"")</f>
        <v/>
      </c>
      <c r="F544" s="51" t="str">
        <f t="shared" si="545"/>
        <v/>
      </c>
      <c r="G544" s="51" t="str">
        <f t="shared" si="545"/>
        <v/>
      </c>
      <c r="H544" s="51" t="str">
        <f t="shared" si="545"/>
        <v/>
      </c>
      <c r="I544" s="51" t="str">
        <f t="shared" si="545"/>
        <v/>
      </c>
      <c r="J544" s="51" t="str">
        <f t="shared" si="545"/>
        <v/>
      </c>
      <c r="K544" s="51" t="str">
        <f t="shared" si="545"/>
        <v/>
      </c>
      <c r="L544" s="51" t="str">
        <f t="shared" si="545"/>
        <v/>
      </c>
      <c r="M544" s="51" t="str">
        <f t="shared" si="545"/>
        <v/>
      </c>
      <c r="N544" s="51" t="str">
        <f t="shared" si="545"/>
        <v/>
      </c>
      <c r="O544" s="51" t="str">
        <f t="shared" si="545"/>
        <v/>
      </c>
      <c r="P544" s="51" t="str">
        <f t="shared" si="545"/>
        <v/>
      </c>
      <c r="Q544" s="51" t="str">
        <f t="shared" si="545"/>
        <v/>
      </c>
      <c r="R544" s="51" t="str">
        <f t="shared" si="545"/>
        <v/>
      </c>
      <c r="S544" s="51" t="str">
        <f t="shared" si="545"/>
        <v/>
      </c>
      <c r="T544" s="51" t="str">
        <f t="shared" si="545"/>
        <v/>
      </c>
      <c r="U544" s="52"/>
      <c r="V544" s="52" t="str">
        <f>IFERROR(__xludf.DUMMYFUNCTION("""COMPUTED_VALUE"""),"")</f>
        <v/>
      </c>
      <c r="W544" s="52" t="str">
        <f>IFERROR(__xludf.DUMMYFUNCTION("""COMPUTED_VALUE"""),"")</f>
        <v/>
      </c>
      <c r="X544" s="52" t="str">
        <f>IFERROR(__xludf.DUMMYFUNCTION("""COMPUTED_VALUE"""),"")</f>
        <v/>
      </c>
      <c r="Y544" s="52" t="str">
        <f>IFERROR(__xludf.DUMMYFUNCTION("""COMPUTED_VALUE"""),"")</f>
        <v/>
      </c>
      <c r="Z544" s="52" t="str">
        <f>IFERROR(__xludf.DUMMYFUNCTION("""COMPUTED_VALUE"""),"")</f>
        <v/>
      </c>
      <c r="AA544" s="52" t="str">
        <f>IFERROR(__xludf.DUMMYFUNCTION("""COMPUTED_VALUE"""),"")</f>
        <v/>
      </c>
      <c r="AB544" s="52" t="str">
        <f>IFERROR(__xludf.DUMMYFUNCTION("""COMPUTED_VALUE"""),"")</f>
        <v/>
      </c>
      <c r="AC544" s="52" t="str">
        <f>IFERROR(__xludf.DUMMYFUNCTION("""COMPUTED_VALUE"""),"")</f>
        <v/>
      </c>
      <c r="AD544" s="52" t="str">
        <f>IFERROR(__xludf.DUMMYFUNCTION("""COMPUTED_VALUE"""),"")</f>
        <v/>
      </c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</row>
    <row r="545">
      <c r="B545" s="49"/>
      <c r="C545" s="49" t="str">
        <f t="shared" si="2"/>
        <v/>
      </c>
      <c r="D545" s="50" t="str">
        <f t="shared" si="3"/>
        <v/>
      </c>
      <c r="E545" s="51" t="str">
        <f t="shared" ref="E545:T545" si="546">IFERROR(VLOOKUP($A545,INDIRECT("'" &amp; E$1 &amp; "'!$C:$G"), 5, FALSE),"")</f>
        <v/>
      </c>
      <c r="F545" s="51" t="str">
        <f t="shared" si="546"/>
        <v/>
      </c>
      <c r="G545" s="51" t="str">
        <f t="shared" si="546"/>
        <v/>
      </c>
      <c r="H545" s="51" t="str">
        <f t="shared" si="546"/>
        <v/>
      </c>
      <c r="I545" s="51" t="str">
        <f t="shared" si="546"/>
        <v/>
      </c>
      <c r="J545" s="51" t="str">
        <f t="shared" si="546"/>
        <v/>
      </c>
      <c r="K545" s="51" t="str">
        <f t="shared" si="546"/>
        <v/>
      </c>
      <c r="L545" s="51" t="str">
        <f t="shared" si="546"/>
        <v/>
      </c>
      <c r="M545" s="51" t="str">
        <f t="shared" si="546"/>
        <v/>
      </c>
      <c r="N545" s="51" t="str">
        <f t="shared" si="546"/>
        <v/>
      </c>
      <c r="O545" s="51" t="str">
        <f t="shared" si="546"/>
        <v/>
      </c>
      <c r="P545" s="51" t="str">
        <f t="shared" si="546"/>
        <v/>
      </c>
      <c r="Q545" s="51" t="str">
        <f t="shared" si="546"/>
        <v/>
      </c>
      <c r="R545" s="51" t="str">
        <f t="shared" si="546"/>
        <v/>
      </c>
      <c r="S545" s="51" t="str">
        <f t="shared" si="546"/>
        <v/>
      </c>
      <c r="T545" s="51" t="str">
        <f t="shared" si="546"/>
        <v/>
      </c>
      <c r="U545" s="52"/>
      <c r="V545" s="52" t="str">
        <f>IFERROR(__xludf.DUMMYFUNCTION("""COMPUTED_VALUE"""),"")</f>
        <v/>
      </c>
      <c r="W545" s="52" t="str">
        <f>IFERROR(__xludf.DUMMYFUNCTION("""COMPUTED_VALUE"""),"")</f>
        <v/>
      </c>
      <c r="X545" s="52" t="str">
        <f>IFERROR(__xludf.DUMMYFUNCTION("""COMPUTED_VALUE"""),"")</f>
        <v/>
      </c>
      <c r="Y545" s="52" t="str">
        <f>IFERROR(__xludf.DUMMYFUNCTION("""COMPUTED_VALUE"""),"")</f>
        <v/>
      </c>
      <c r="Z545" s="52" t="str">
        <f>IFERROR(__xludf.DUMMYFUNCTION("""COMPUTED_VALUE"""),"")</f>
        <v/>
      </c>
      <c r="AA545" s="52" t="str">
        <f>IFERROR(__xludf.DUMMYFUNCTION("""COMPUTED_VALUE"""),"")</f>
        <v/>
      </c>
      <c r="AB545" s="52" t="str">
        <f>IFERROR(__xludf.DUMMYFUNCTION("""COMPUTED_VALUE"""),"")</f>
        <v/>
      </c>
      <c r="AC545" s="52" t="str">
        <f>IFERROR(__xludf.DUMMYFUNCTION("""COMPUTED_VALUE"""),"")</f>
        <v/>
      </c>
      <c r="AD545" s="52" t="str">
        <f>IFERROR(__xludf.DUMMYFUNCTION("""COMPUTED_VALUE"""),"")</f>
        <v/>
      </c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</row>
    <row r="546">
      <c r="B546" s="49"/>
      <c r="C546" s="49" t="str">
        <f t="shared" si="2"/>
        <v/>
      </c>
      <c r="D546" s="50" t="str">
        <f t="shared" si="3"/>
        <v/>
      </c>
      <c r="E546" s="51" t="str">
        <f t="shared" ref="E546:T546" si="547">IFERROR(VLOOKUP($A546,INDIRECT("'" &amp; E$1 &amp; "'!$C:$G"), 5, FALSE),"")</f>
        <v/>
      </c>
      <c r="F546" s="51" t="str">
        <f t="shared" si="547"/>
        <v/>
      </c>
      <c r="G546" s="51" t="str">
        <f t="shared" si="547"/>
        <v/>
      </c>
      <c r="H546" s="51" t="str">
        <f t="shared" si="547"/>
        <v/>
      </c>
      <c r="I546" s="51" t="str">
        <f t="shared" si="547"/>
        <v/>
      </c>
      <c r="J546" s="51" t="str">
        <f t="shared" si="547"/>
        <v/>
      </c>
      <c r="K546" s="51" t="str">
        <f t="shared" si="547"/>
        <v/>
      </c>
      <c r="L546" s="51" t="str">
        <f t="shared" si="547"/>
        <v/>
      </c>
      <c r="M546" s="51" t="str">
        <f t="shared" si="547"/>
        <v/>
      </c>
      <c r="N546" s="51" t="str">
        <f t="shared" si="547"/>
        <v/>
      </c>
      <c r="O546" s="51" t="str">
        <f t="shared" si="547"/>
        <v/>
      </c>
      <c r="P546" s="51" t="str">
        <f t="shared" si="547"/>
        <v/>
      </c>
      <c r="Q546" s="51" t="str">
        <f t="shared" si="547"/>
        <v/>
      </c>
      <c r="R546" s="51" t="str">
        <f t="shared" si="547"/>
        <v/>
      </c>
      <c r="S546" s="51" t="str">
        <f t="shared" si="547"/>
        <v/>
      </c>
      <c r="T546" s="51" t="str">
        <f t="shared" si="547"/>
        <v/>
      </c>
      <c r="U546" s="52"/>
      <c r="V546" s="52" t="str">
        <f>IFERROR(__xludf.DUMMYFUNCTION("""COMPUTED_VALUE"""),"")</f>
        <v/>
      </c>
      <c r="W546" s="52" t="str">
        <f>IFERROR(__xludf.DUMMYFUNCTION("""COMPUTED_VALUE"""),"")</f>
        <v/>
      </c>
      <c r="X546" s="52" t="str">
        <f>IFERROR(__xludf.DUMMYFUNCTION("""COMPUTED_VALUE"""),"")</f>
        <v/>
      </c>
      <c r="Y546" s="52" t="str">
        <f>IFERROR(__xludf.DUMMYFUNCTION("""COMPUTED_VALUE"""),"")</f>
        <v/>
      </c>
      <c r="Z546" s="52" t="str">
        <f>IFERROR(__xludf.DUMMYFUNCTION("""COMPUTED_VALUE"""),"")</f>
        <v/>
      </c>
      <c r="AA546" s="52" t="str">
        <f>IFERROR(__xludf.DUMMYFUNCTION("""COMPUTED_VALUE"""),"")</f>
        <v/>
      </c>
      <c r="AB546" s="52" t="str">
        <f>IFERROR(__xludf.DUMMYFUNCTION("""COMPUTED_VALUE"""),"")</f>
        <v/>
      </c>
      <c r="AC546" s="52" t="str">
        <f>IFERROR(__xludf.DUMMYFUNCTION("""COMPUTED_VALUE"""),"")</f>
        <v/>
      </c>
      <c r="AD546" s="52" t="str">
        <f>IFERROR(__xludf.DUMMYFUNCTION("""COMPUTED_VALUE"""),"")</f>
        <v/>
      </c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</row>
    <row r="547">
      <c r="B547" s="49"/>
      <c r="C547" s="49" t="str">
        <f t="shared" si="2"/>
        <v/>
      </c>
      <c r="D547" s="50" t="str">
        <f t="shared" si="3"/>
        <v/>
      </c>
      <c r="E547" s="51" t="str">
        <f t="shared" ref="E547:T547" si="548">IFERROR(VLOOKUP($A547,INDIRECT("'" &amp; E$1 &amp; "'!$C:$G"), 5, FALSE),"")</f>
        <v/>
      </c>
      <c r="F547" s="51" t="str">
        <f t="shared" si="548"/>
        <v/>
      </c>
      <c r="G547" s="51" t="str">
        <f t="shared" si="548"/>
        <v/>
      </c>
      <c r="H547" s="51" t="str">
        <f t="shared" si="548"/>
        <v/>
      </c>
      <c r="I547" s="51" t="str">
        <f t="shared" si="548"/>
        <v/>
      </c>
      <c r="J547" s="51" t="str">
        <f t="shared" si="548"/>
        <v/>
      </c>
      <c r="K547" s="51" t="str">
        <f t="shared" si="548"/>
        <v/>
      </c>
      <c r="L547" s="51" t="str">
        <f t="shared" si="548"/>
        <v/>
      </c>
      <c r="M547" s="51" t="str">
        <f t="shared" si="548"/>
        <v/>
      </c>
      <c r="N547" s="51" t="str">
        <f t="shared" si="548"/>
        <v/>
      </c>
      <c r="O547" s="51" t="str">
        <f t="shared" si="548"/>
        <v/>
      </c>
      <c r="P547" s="51" t="str">
        <f t="shared" si="548"/>
        <v/>
      </c>
      <c r="Q547" s="51" t="str">
        <f t="shared" si="548"/>
        <v/>
      </c>
      <c r="R547" s="51" t="str">
        <f t="shared" si="548"/>
        <v/>
      </c>
      <c r="S547" s="51" t="str">
        <f t="shared" si="548"/>
        <v/>
      </c>
      <c r="T547" s="51" t="str">
        <f t="shared" si="548"/>
        <v/>
      </c>
      <c r="U547" s="52"/>
      <c r="V547" s="52" t="str">
        <f>IFERROR(__xludf.DUMMYFUNCTION("""COMPUTED_VALUE"""),"")</f>
        <v/>
      </c>
      <c r="W547" s="52" t="str">
        <f>IFERROR(__xludf.DUMMYFUNCTION("""COMPUTED_VALUE"""),"")</f>
        <v/>
      </c>
      <c r="X547" s="52" t="str">
        <f>IFERROR(__xludf.DUMMYFUNCTION("""COMPUTED_VALUE"""),"")</f>
        <v/>
      </c>
      <c r="Y547" s="52" t="str">
        <f>IFERROR(__xludf.DUMMYFUNCTION("""COMPUTED_VALUE"""),"")</f>
        <v/>
      </c>
      <c r="Z547" s="52" t="str">
        <f>IFERROR(__xludf.DUMMYFUNCTION("""COMPUTED_VALUE"""),"")</f>
        <v/>
      </c>
      <c r="AA547" s="52" t="str">
        <f>IFERROR(__xludf.DUMMYFUNCTION("""COMPUTED_VALUE"""),"")</f>
        <v/>
      </c>
      <c r="AB547" s="52" t="str">
        <f>IFERROR(__xludf.DUMMYFUNCTION("""COMPUTED_VALUE"""),"")</f>
        <v/>
      </c>
      <c r="AC547" s="52" t="str">
        <f>IFERROR(__xludf.DUMMYFUNCTION("""COMPUTED_VALUE"""),"")</f>
        <v/>
      </c>
      <c r="AD547" s="52" t="str">
        <f>IFERROR(__xludf.DUMMYFUNCTION("""COMPUTED_VALUE"""),"")</f>
        <v/>
      </c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</row>
    <row r="548">
      <c r="B548" s="49"/>
      <c r="C548" s="49" t="str">
        <f t="shared" si="2"/>
        <v/>
      </c>
      <c r="D548" s="50" t="str">
        <f t="shared" si="3"/>
        <v/>
      </c>
      <c r="E548" s="51" t="str">
        <f t="shared" ref="E548:T548" si="549">IFERROR(VLOOKUP($A548,INDIRECT("'" &amp; E$1 &amp; "'!$C:$G"), 5, FALSE),"")</f>
        <v/>
      </c>
      <c r="F548" s="51" t="str">
        <f t="shared" si="549"/>
        <v/>
      </c>
      <c r="G548" s="51" t="str">
        <f t="shared" si="549"/>
        <v/>
      </c>
      <c r="H548" s="51" t="str">
        <f t="shared" si="549"/>
        <v/>
      </c>
      <c r="I548" s="51" t="str">
        <f t="shared" si="549"/>
        <v/>
      </c>
      <c r="J548" s="51" t="str">
        <f t="shared" si="549"/>
        <v/>
      </c>
      <c r="K548" s="51" t="str">
        <f t="shared" si="549"/>
        <v/>
      </c>
      <c r="L548" s="51" t="str">
        <f t="shared" si="549"/>
        <v/>
      </c>
      <c r="M548" s="51" t="str">
        <f t="shared" si="549"/>
        <v/>
      </c>
      <c r="N548" s="51" t="str">
        <f t="shared" si="549"/>
        <v/>
      </c>
      <c r="O548" s="51" t="str">
        <f t="shared" si="549"/>
        <v/>
      </c>
      <c r="P548" s="51" t="str">
        <f t="shared" si="549"/>
        <v/>
      </c>
      <c r="Q548" s="51" t="str">
        <f t="shared" si="549"/>
        <v/>
      </c>
      <c r="R548" s="51" t="str">
        <f t="shared" si="549"/>
        <v/>
      </c>
      <c r="S548" s="51" t="str">
        <f t="shared" si="549"/>
        <v/>
      </c>
      <c r="T548" s="51" t="str">
        <f t="shared" si="549"/>
        <v/>
      </c>
      <c r="U548" s="52"/>
      <c r="V548" s="52" t="str">
        <f>IFERROR(__xludf.DUMMYFUNCTION("""COMPUTED_VALUE"""),"")</f>
        <v/>
      </c>
      <c r="W548" s="52" t="str">
        <f>IFERROR(__xludf.DUMMYFUNCTION("""COMPUTED_VALUE"""),"")</f>
        <v/>
      </c>
      <c r="X548" s="52" t="str">
        <f>IFERROR(__xludf.DUMMYFUNCTION("""COMPUTED_VALUE"""),"")</f>
        <v/>
      </c>
      <c r="Y548" s="52" t="str">
        <f>IFERROR(__xludf.DUMMYFUNCTION("""COMPUTED_VALUE"""),"")</f>
        <v/>
      </c>
      <c r="Z548" s="52" t="str">
        <f>IFERROR(__xludf.DUMMYFUNCTION("""COMPUTED_VALUE"""),"")</f>
        <v/>
      </c>
      <c r="AA548" s="52" t="str">
        <f>IFERROR(__xludf.DUMMYFUNCTION("""COMPUTED_VALUE"""),"")</f>
        <v/>
      </c>
      <c r="AB548" s="52" t="str">
        <f>IFERROR(__xludf.DUMMYFUNCTION("""COMPUTED_VALUE"""),"")</f>
        <v/>
      </c>
      <c r="AC548" s="52" t="str">
        <f>IFERROR(__xludf.DUMMYFUNCTION("""COMPUTED_VALUE"""),"")</f>
        <v/>
      </c>
      <c r="AD548" s="52" t="str">
        <f>IFERROR(__xludf.DUMMYFUNCTION("""COMPUTED_VALUE"""),"")</f>
        <v/>
      </c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</row>
    <row r="549">
      <c r="B549" s="49"/>
      <c r="C549" s="49" t="str">
        <f t="shared" si="2"/>
        <v/>
      </c>
      <c r="D549" s="50" t="str">
        <f t="shared" si="3"/>
        <v/>
      </c>
      <c r="E549" s="51" t="str">
        <f t="shared" ref="E549:T549" si="550">IFERROR(VLOOKUP($A549,INDIRECT("'" &amp; E$1 &amp; "'!$C:$G"), 5, FALSE),"")</f>
        <v/>
      </c>
      <c r="F549" s="51" t="str">
        <f t="shared" si="550"/>
        <v/>
      </c>
      <c r="G549" s="51" t="str">
        <f t="shared" si="550"/>
        <v/>
      </c>
      <c r="H549" s="51" t="str">
        <f t="shared" si="550"/>
        <v/>
      </c>
      <c r="I549" s="51" t="str">
        <f t="shared" si="550"/>
        <v/>
      </c>
      <c r="J549" s="51" t="str">
        <f t="shared" si="550"/>
        <v/>
      </c>
      <c r="K549" s="51" t="str">
        <f t="shared" si="550"/>
        <v/>
      </c>
      <c r="L549" s="51" t="str">
        <f t="shared" si="550"/>
        <v/>
      </c>
      <c r="M549" s="51" t="str">
        <f t="shared" si="550"/>
        <v/>
      </c>
      <c r="N549" s="51" t="str">
        <f t="shared" si="550"/>
        <v/>
      </c>
      <c r="O549" s="51" t="str">
        <f t="shared" si="550"/>
        <v/>
      </c>
      <c r="P549" s="51" t="str">
        <f t="shared" si="550"/>
        <v/>
      </c>
      <c r="Q549" s="51" t="str">
        <f t="shared" si="550"/>
        <v/>
      </c>
      <c r="R549" s="51" t="str">
        <f t="shared" si="550"/>
        <v/>
      </c>
      <c r="S549" s="51" t="str">
        <f t="shared" si="550"/>
        <v/>
      </c>
      <c r="T549" s="51" t="str">
        <f t="shared" si="550"/>
        <v/>
      </c>
      <c r="U549" s="52"/>
      <c r="V549" s="52" t="str">
        <f>IFERROR(__xludf.DUMMYFUNCTION("""COMPUTED_VALUE"""),"")</f>
        <v/>
      </c>
      <c r="W549" s="52" t="str">
        <f>IFERROR(__xludf.DUMMYFUNCTION("""COMPUTED_VALUE"""),"")</f>
        <v/>
      </c>
      <c r="X549" s="52" t="str">
        <f>IFERROR(__xludf.DUMMYFUNCTION("""COMPUTED_VALUE"""),"")</f>
        <v/>
      </c>
      <c r="Y549" s="52" t="str">
        <f>IFERROR(__xludf.DUMMYFUNCTION("""COMPUTED_VALUE"""),"")</f>
        <v/>
      </c>
      <c r="Z549" s="52" t="str">
        <f>IFERROR(__xludf.DUMMYFUNCTION("""COMPUTED_VALUE"""),"")</f>
        <v/>
      </c>
      <c r="AA549" s="52" t="str">
        <f>IFERROR(__xludf.DUMMYFUNCTION("""COMPUTED_VALUE"""),"")</f>
        <v/>
      </c>
      <c r="AB549" s="52" t="str">
        <f>IFERROR(__xludf.DUMMYFUNCTION("""COMPUTED_VALUE"""),"")</f>
        <v/>
      </c>
      <c r="AC549" s="52" t="str">
        <f>IFERROR(__xludf.DUMMYFUNCTION("""COMPUTED_VALUE"""),"")</f>
        <v/>
      </c>
      <c r="AD549" s="52" t="str">
        <f>IFERROR(__xludf.DUMMYFUNCTION("""COMPUTED_VALUE"""),"")</f>
        <v/>
      </c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</row>
    <row r="550">
      <c r="B550" s="49"/>
      <c r="C550" s="49" t="str">
        <f t="shared" si="2"/>
        <v/>
      </c>
      <c r="D550" s="50" t="str">
        <f t="shared" si="3"/>
        <v/>
      </c>
      <c r="E550" s="51" t="str">
        <f t="shared" ref="E550:T550" si="551">IFERROR(VLOOKUP($A550,INDIRECT("'" &amp; E$1 &amp; "'!$C:$G"), 5, FALSE),"")</f>
        <v/>
      </c>
      <c r="F550" s="51" t="str">
        <f t="shared" si="551"/>
        <v/>
      </c>
      <c r="G550" s="51" t="str">
        <f t="shared" si="551"/>
        <v/>
      </c>
      <c r="H550" s="51" t="str">
        <f t="shared" si="551"/>
        <v/>
      </c>
      <c r="I550" s="51" t="str">
        <f t="shared" si="551"/>
        <v/>
      </c>
      <c r="J550" s="51" t="str">
        <f t="shared" si="551"/>
        <v/>
      </c>
      <c r="K550" s="51" t="str">
        <f t="shared" si="551"/>
        <v/>
      </c>
      <c r="L550" s="51" t="str">
        <f t="shared" si="551"/>
        <v/>
      </c>
      <c r="M550" s="51" t="str">
        <f t="shared" si="551"/>
        <v/>
      </c>
      <c r="N550" s="51" t="str">
        <f t="shared" si="551"/>
        <v/>
      </c>
      <c r="O550" s="51" t="str">
        <f t="shared" si="551"/>
        <v/>
      </c>
      <c r="P550" s="51" t="str">
        <f t="shared" si="551"/>
        <v/>
      </c>
      <c r="Q550" s="51" t="str">
        <f t="shared" si="551"/>
        <v/>
      </c>
      <c r="R550" s="51" t="str">
        <f t="shared" si="551"/>
        <v/>
      </c>
      <c r="S550" s="51" t="str">
        <f t="shared" si="551"/>
        <v/>
      </c>
      <c r="T550" s="51" t="str">
        <f t="shared" si="551"/>
        <v/>
      </c>
      <c r="U550" s="52"/>
      <c r="V550" s="52" t="str">
        <f>IFERROR(__xludf.DUMMYFUNCTION("""COMPUTED_VALUE"""),"")</f>
        <v/>
      </c>
      <c r="W550" s="52" t="str">
        <f>IFERROR(__xludf.DUMMYFUNCTION("""COMPUTED_VALUE"""),"")</f>
        <v/>
      </c>
      <c r="X550" s="52" t="str">
        <f>IFERROR(__xludf.DUMMYFUNCTION("""COMPUTED_VALUE"""),"")</f>
        <v/>
      </c>
      <c r="Y550" s="52" t="str">
        <f>IFERROR(__xludf.DUMMYFUNCTION("""COMPUTED_VALUE"""),"")</f>
        <v/>
      </c>
      <c r="Z550" s="52" t="str">
        <f>IFERROR(__xludf.DUMMYFUNCTION("""COMPUTED_VALUE"""),"")</f>
        <v/>
      </c>
      <c r="AA550" s="52" t="str">
        <f>IFERROR(__xludf.DUMMYFUNCTION("""COMPUTED_VALUE"""),"")</f>
        <v/>
      </c>
      <c r="AB550" s="52" t="str">
        <f>IFERROR(__xludf.DUMMYFUNCTION("""COMPUTED_VALUE"""),"")</f>
        <v/>
      </c>
      <c r="AC550" s="52" t="str">
        <f>IFERROR(__xludf.DUMMYFUNCTION("""COMPUTED_VALUE"""),"")</f>
        <v/>
      </c>
      <c r="AD550" s="52" t="str">
        <f>IFERROR(__xludf.DUMMYFUNCTION("""COMPUTED_VALUE"""),"")</f>
        <v/>
      </c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</row>
    <row r="551">
      <c r="B551" s="49"/>
      <c r="C551" s="49" t="str">
        <f t="shared" si="2"/>
        <v/>
      </c>
      <c r="D551" s="50" t="str">
        <f t="shared" si="3"/>
        <v/>
      </c>
      <c r="E551" s="51" t="str">
        <f t="shared" ref="E551:T551" si="552">IFERROR(VLOOKUP($A551,INDIRECT("'" &amp; E$1 &amp; "'!$C:$G"), 5, FALSE),"")</f>
        <v/>
      </c>
      <c r="F551" s="51" t="str">
        <f t="shared" si="552"/>
        <v/>
      </c>
      <c r="G551" s="51" t="str">
        <f t="shared" si="552"/>
        <v/>
      </c>
      <c r="H551" s="51" t="str">
        <f t="shared" si="552"/>
        <v/>
      </c>
      <c r="I551" s="51" t="str">
        <f t="shared" si="552"/>
        <v/>
      </c>
      <c r="J551" s="51" t="str">
        <f t="shared" si="552"/>
        <v/>
      </c>
      <c r="K551" s="51" t="str">
        <f t="shared" si="552"/>
        <v/>
      </c>
      <c r="L551" s="51" t="str">
        <f t="shared" si="552"/>
        <v/>
      </c>
      <c r="M551" s="51" t="str">
        <f t="shared" si="552"/>
        <v/>
      </c>
      <c r="N551" s="51" t="str">
        <f t="shared" si="552"/>
        <v/>
      </c>
      <c r="O551" s="51" t="str">
        <f t="shared" si="552"/>
        <v/>
      </c>
      <c r="P551" s="51" t="str">
        <f t="shared" si="552"/>
        <v/>
      </c>
      <c r="Q551" s="51" t="str">
        <f t="shared" si="552"/>
        <v/>
      </c>
      <c r="R551" s="51" t="str">
        <f t="shared" si="552"/>
        <v/>
      </c>
      <c r="S551" s="51" t="str">
        <f t="shared" si="552"/>
        <v/>
      </c>
      <c r="T551" s="51" t="str">
        <f t="shared" si="552"/>
        <v/>
      </c>
      <c r="U551" s="52"/>
      <c r="V551" s="52" t="str">
        <f>IFERROR(__xludf.DUMMYFUNCTION("""COMPUTED_VALUE"""),"")</f>
        <v/>
      </c>
      <c r="W551" s="52" t="str">
        <f>IFERROR(__xludf.DUMMYFUNCTION("""COMPUTED_VALUE"""),"")</f>
        <v/>
      </c>
      <c r="X551" s="52" t="str">
        <f>IFERROR(__xludf.DUMMYFUNCTION("""COMPUTED_VALUE"""),"")</f>
        <v/>
      </c>
      <c r="Y551" s="52" t="str">
        <f>IFERROR(__xludf.DUMMYFUNCTION("""COMPUTED_VALUE"""),"")</f>
        <v/>
      </c>
      <c r="Z551" s="52" t="str">
        <f>IFERROR(__xludf.DUMMYFUNCTION("""COMPUTED_VALUE"""),"")</f>
        <v/>
      </c>
      <c r="AA551" s="52" t="str">
        <f>IFERROR(__xludf.DUMMYFUNCTION("""COMPUTED_VALUE"""),"")</f>
        <v/>
      </c>
      <c r="AB551" s="52" t="str">
        <f>IFERROR(__xludf.DUMMYFUNCTION("""COMPUTED_VALUE"""),"")</f>
        <v/>
      </c>
      <c r="AC551" s="52" t="str">
        <f>IFERROR(__xludf.DUMMYFUNCTION("""COMPUTED_VALUE"""),"")</f>
        <v/>
      </c>
      <c r="AD551" s="52" t="str">
        <f>IFERROR(__xludf.DUMMYFUNCTION("""COMPUTED_VALUE"""),"")</f>
        <v/>
      </c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</row>
    <row r="552">
      <c r="B552" s="49"/>
      <c r="C552" s="49" t="str">
        <f t="shared" si="2"/>
        <v/>
      </c>
      <c r="D552" s="50" t="str">
        <f t="shared" si="3"/>
        <v/>
      </c>
      <c r="E552" s="51" t="str">
        <f t="shared" ref="E552:T552" si="553">IFERROR(VLOOKUP($A552,INDIRECT("'" &amp; E$1 &amp; "'!$C:$G"), 5, FALSE),"")</f>
        <v/>
      </c>
      <c r="F552" s="51" t="str">
        <f t="shared" si="553"/>
        <v/>
      </c>
      <c r="G552" s="51" t="str">
        <f t="shared" si="553"/>
        <v/>
      </c>
      <c r="H552" s="51" t="str">
        <f t="shared" si="553"/>
        <v/>
      </c>
      <c r="I552" s="51" t="str">
        <f t="shared" si="553"/>
        <v/>
      </c>
      <c r="J552" s="51" t="str">
        <f t="shared" si="553"/>
        <v/>
      </c>
      <c r="K552" s="51" t="str">
        <f t="shared" si="553"/>
        <v/>
      </c>
      <c r="L552" s="51" t="str">
        <f t="shared" si="553"/>
        <v/>
      </c>
      <c r="M552" s="51" t="str">
        <f t="shared" si="553"/>
        <v/>
      </c>
      <c r="N552" s="51" t="str">
        <f t="shared" si="553"/>
        <v/>
      </c>
      <c r="O552" s="51" t="str">
        <f t="shared" si="553"/>
        <v/>
      </c>
      <c r="P552" s="51" t="str">
        <f t="shared" si="553"/>
        <v/>
      </c>
      <c r="Q552" s="51" t="str">
        <f t="shared" si="553"/>
        <v/>
      </c>
      <c r="R552" s="51" t="str">
        <f t="shared" si="553"/>
        <v/>
      </c>
      <c r="S552" s="51" t="str">
        <f t="shared" si="553"/>
        <v/>
      </c>
      <c r="T552" s="51" t="str">
        <f t="shared" si="553"/>
        <v/>
      </c>
      <c r="U552" s="52"/>
      <c r="V552" s="52" t="str">
        <f>IFERROR(__xludf.DUMMYFUNCTION("""COMPUTED_VALUE"""),"")</f>
        <v/>
      </c>
      <c r="W552" s="52" t="str">
        <f>IFERROR(__xludf.DUMMYFUNCTION("""COMPUTED_VALUE"""),"")</f>
        <v/>
      </c>
      <c r="X552" s="52" t="str">
        <f>IFERROR(__xludf.DUMMYFUNCTION("""COMPUTED_VALUE"""),"")</f>
        <v/>
      </c>
      <c r="Y552" s="52" t="str">
        <f>IFERROR(__xludf.DUMMYFUNCTION("""COMPUTED_VALUE"""),"")</f>
        <v/>
      </c>
      <c r="Z552" s="52" t="str">
        <f>IFERROR(__xludf.DUMMYFUNCTION("""COMPUTED_VALUE"""),"")</f>
        <v/>
      </c>
      <c r="AA552" s="52" t="str">
        <f>IFERROR(__xludf.DUMMYFUNCTION("""COMPUTED_VALUE"""),"")</f>
        <v/>
      </c>
      <c r="AB552" s="52" t="str">
        <f>IFERROR(__xludf.DUMMYFUNCTION("""COMPUTED_VALUE"""),"")</f>
        <v/>
      </c>
      <c r="AC552" s="52" t="str">
        <f>IFERROR(__xludf.DUMMYFUNCTION("""COMPUTED_VALUE"""),"")</f>
        <v/>
      </c>
      <c r="AD552" s="52" t="str">
        <f>IFERROR(__xludf.DUMMYFUNCTION("""COMPUTED_VALUE"""),"")</f>
        <v/>
      </c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</row>
    <row r="553">
      <c r="B553" s="49"/>
      <c r="C553" s="49" t="str">
        <f t="shared" si="2"/>
        <v/>
      </c>
      <c r="D553" s="50" t="str">
        <f t="shared" si="3"/>
        <v/>
      </c>
      <c r="E553" s="51" t="str">
        <f t="shared" ref="E553:T553" si="554">IFERROR(VLOOKUP($A553,INDIRECT("'" &amp; E$1 &amp; "'!$C:$G"), 5, FALSE),"")</f>
        <v/>
      </c>
      <c r="F553" s="51" t="str">
        <f t="shared" si="554"/>
        <v/>
      </c>
      <c r="G553" s="51" t="str">
        <f t="shared" si="554"/>
        <v/>
      </c>
      <c r="H553" s="51" t="str">
        <f t="shared" si="554"/>
        <v/>
      </c>
      <c r="I553" s="51" t="str">
        <f t="shared" si="554"/>
        <v/>
      </c>
      <c r="J553" s="51" t="str">
        <f t="shared" si="554"/>
        <v/>
      </c>
      <c r="K553" s="51" t="str">
        <f t="shared" si="554"/>
        <v/>
      </c>
      <c r="L553" s="51" t="str">
        <f t="shared" si="554"/>
        <v/>
      </c>
      <c r="M553" s="51" t="str">
        <f t="shared" si="554"/>
        <v/>
      </c>
      <c r="N553" s="51" t="str">
        <f t="shared" si="554"/>
        <v/>
      </c>
      <c r="O553" s="51" t="str">
        <f t="shared" si="554"/>
        <v/>
      </c>
      <c r="P553" s="51" t="str">
        <f t="shared" si="554"/>
        <v/>
      </c>
      <c r="Q553" s="51" t="str">
        <f t="shared" si="554"/>
        <v/>
      </c>
      <c r="R553" s="51" t="str">
        <f t="shared" si="554"/>
        <v/>
      </c>
      <c r="S553" s="51" t="str">
        <f t="shared" si="554"/>
        <v/>
      </c>
      <c r="T553" s="51" t="str">
        <f t="shared" si="554"/>
        <v/>
      </c>
      <c r="U553" s="52"/>
      <c r="V553" s="52" t="str">
        <f>IFERROR(__xludf.DUMMYFUNCTION("""COMPUTED_VALUE"""),"")</f>
        <v/>
      </c>
      <c r="W553" s="52" t="str">
        <f>IFERROR(__xludf.DUMMYFUNCTION("""COMPUTED_VALUE"""),"")</f>
        <v/>
      </c>
      <c r="X553" s="52" t="str">
        <f>IFERROR(__xludf.DUMMYFUNCTION("""COMPUTED_VALUE"""),"")</f>
        <v/>
      </c>
      <c r="Y553" s="52" t="str">
        <f>IFERROR(__xludf.DUMMYFUNCTION("""COMPUTED_VALUE"""),"")</f>
        <v/>
      </c>
      <c r="Z553" s="52" t="str">
        <f>IFERROR(__xludf.DUMMYFUNCTION("""COMPUTED_VALUE"""),"")</f>
        <v/>
      </c>
      <c r="AA553" s="52" t="str">
        <f>IFERROR(__xludf.DUMMYFUNCTION("""COMPUTED_VALUE"""),"")</f>
        <v/>
      </c>
      <c r="AB553" s="52" t="str">
        <f>IFERROR(__xludf.DUMMYFUNCTION("""COMPUTED_VALUE"""),"")</f>
        <v/>
      </c>
      <c r="AC553" s="52" t="str">
        <f>IFERROR(__xludf.DUMMYFUNCTION("""COMPUTED_VALUE"""),"")</f>
        <v/>
      </c>
      <c r="AD553" s="52" t="str">
        <f>IFERROR(__xludf.DUMMYFUNCTION("""COMPUTED_VALUE"""),"")</f>
        <v/>
      </c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</row>
    <row r="554">
      <c r="B554" s="49"/>
      <c r="C554" s="49" t="str">
        <f t="shared" si="2"/>
        <v/>
      </c>
      <c r="D554" s="50" t="str">
        <f t="shared" si="3"/>
        <v/>
      </c>
      <c r="E554" s="51" t="str">
        <f t="shared" ref="E554:T554" si="555">IFERROR(VLOOKUP($A554,INDIRECT("'" &amp; E$1 &amp; "'!$C:$G"), 5, FALSE),"")</f>
        <v/>
      </c>
      <c r="F554" s="51" t="str">
        <f t="shared" si="555"/>
        <v/>
      </c>
      <c r="G554" s="51" t="str">
        <f t="shared" si="555"/>
        <v/>
      </c>
      <c r="H554" s="51" t="str">
        <f t="shared" si="555"/>
        <v/>
      </c>
      <c r="I554" s="51" t="str">
        <f t="shared" si="555"/>
        <v/>
      </c>
      <c r="J554" s="51" t="str">
        <f t="shared" si="555"/>
        <v/>
      </c>
      <c r="K554" s="51" t="str">
        <f t="shared" si="555"/>
        <v/>
      </c>
      <c r="L554" s="51" t="str">
        <f t="shared" si="555"/>
        <v/>
      </c>
      <c r="M554" s="51" t="str">
        <f t="shared" si="555"/>
        <v/>
      </c>
      <c r="N554" s="51" t="str">
        <f t="shared" si="555"/>
        <v/>
      </c>
      <c r="O554" s="51" t="str">
        <f t="shared" si="555"/>
        <v/>
      </c>
      <c r="P554" s="51" t="str">
        <f t="shared" si="555"/>
        <v/>
      </c>
      <c r="Q554" s="51" t="str">
        <f t="shared" si="555"/>
        <v/>
      </c>
      <c r="R554" s="51" t="str">
        <f t="shared" si="555"/>
        <v/>
      </c>
      <c r="S554" s="51" t="str">
        <f t="shared" si="555"/>
        <v/>
      </c>
      <c r="T554" s="51" t="str">
        <f t="shared" si="555"/>
        <v/>
      </c>
      <c r="U554" s="52"/>
      <c r="V554" s="52" t="str">
        <f>IFERROR(__xludf.DUMMYFUNCTION("""COMPUTED_VALUE"""),"")</f>
        <v/>
      </c>
      <c r="W554" s="52" t="str">
        <f>IFERROR(__xludf.DUMMYFUNCTION("""COMPUTED_VALUE"""),"")</f>
        <v/>
      </c>
      <c r="X554" s="52" t="str">
        <f>IFERROR(__xludf.DUMMYFUNCTION("""COMPUTED_VALUE"""),"")</f>
        <v/>
      </c>
      <c r="Y554" s="52" t="str">
        <f>IFERROR(__xludf.DUMMYFUNCTION("""COMPUTED_VALUE"""),"")</f>
        <v/>
      </c>
      <c r="Z554" s="52" t="str">
        <f>IFERROR(__xludf.DUMMYFUNCTION("""COMPUTED_VALUE"""),"")</f>
        <v/>
      </c>
      <c r="AA554" s="52" t="str">
        <f>IFERROR(__xludf.DUMMYFUNCTION("""COMPUTED_VALUE"""),"")</f>
        <v/>
      </c>
      <c r="AB554" s="52" t="str">
        <f>IFERROR(__xludf.DUMMYFUNCTION("""COMPUTED_VALUE"""),"")</f>
        <v/>
      </c>
      <c r="AC554" s="52" t="str">
        <f>IFERROR(__xludf.DUMMYFUNCTION("""COMPUTED_VALUE"""),"")</f>
        <v/>
      </c>
      <c r="AD554" s="52" t="str">
        <f>IFERROR(__xludf.DUMMYFUNCTION("""COMPUTED_VALUE"""),"")</f>
        <v/>
      </c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</row>
    <row r="555">
      <c r="B555" s="49"/>
      <c r="C555" s="49" t="str">
        <f t="shared" si="2"/>
        <v/>
      </c>
      <c r="D555" s="50" t="str">
        <f t="shared" si="3"/>
        <v/>
      </c>
      <c r="E555" s="51" t="str">
        <f t="shared" ref="E555:T555" si="556">IFERROR(VLOOKUP($A555,INDIRECT("'" &amp; E$1 &amp; "'!$C:$G"), 5, FALSE),"")</f>
        <v/>
      </c>
      <c r="F555" s="51" t="str">
        <f t="shared" si="556"/>
        <v/>
      </c>
      <c r="G555" s="51" t="str">
        <f t="shared" si="556"/>
        <v/>
      </c>
      <c r="H555" s="51" t="str">
        <f t="shared" si="556"/>
        <v/>
      </c>
      <c r="I555" s="51" t="str">
        <f t="shared" si="556"/>
        <v/>
      </c>
      <c r="J555" s="51" t="str">
        <f t="shared" si="556"/>
        <v/>
      </c>
      <c r="K555" s="51" t="str">
        <f t="shared" si="556"/>
        <v/>
      </c>
      <c r="L555" s="51" t="str">
        <f t="shared" si="556"/>
        <v/>
      </c>
      <c r="M555" s="51" t="str">
        <f t="shared" si="556"/>
        <v/>
      </c>
      <c r="N555" s="51" t="str">
        <f t="shared" si="556"/>
        <v/>
      </c>
      <c r="O555" s="51" t="str">
        <f t="shared" si="556"/>
        <v/>
      </c>
      <c r="P555" s="51" t="str">
        <f t="shared" si="556"/>
        <v/>
      </c>
      <c r="Q555" s="51" t="str">
        <f t="shared" si="556"/>
        <v/>
      </c>
      <c r="R555" s="51" t="str">
        <f t="shared" si="556"/>
        <v/>
      </c>
      <c r="S555" s="51" t="str">
        <f t="shared" si="556"/>
        <v/>
      </c>
      <c r="T555" s="51" t="str">
        <f t="shared" si="556"/>
        <v/>
      </c>
      <c r="U555" s="52"/>
      <c r="V555" s="52" t="str">
        <f>IFERROR(__xludf.DUMMYFUNCTION("""COMPUTED_VALUE"""),"")</f>
        <v/>
      </c>
      <c r="W555" s="52" t="str">
        <f>IFERROR(__xludf.DUMMYFUNCTION("""COMPUTED_VALUE"""),"")</f>
        <v/>
      </c>
      <c r="X555" s="52" t="str">
        <f>IFERROR(__xludf.DUMMYFUNCTION("""COMPUTED_VALUE"""),"")</f>
        <v/>
      </c>
      <c r="Y555" s="52" t="str">
        <f>IFERROR(__xludf.DUMMYFUNCTION("""COMPUTED_VALUE"""),"")</f>
        <v/>
      </c>
      <c r="Z555" s="52" t="str">
        <f>IFERROR(__xludf.DUMMYFUNCTION("""COMPUTED_VALUE"""),"")</f>
        <v/>
      </c>
      <c r="AA555" s="52" t="str">
        <f>IFERROR(__xludf.DUMMYFUNCTION("""COMPUTED_VALUE"""),"")</f>
        <v/>
      </c>
      <c r="AB555" s="52" t="str">
        <f>IFERROR(__xludf.DUMMYFUNCTION("""COMPUTED_VALUE"""),"")</f>
        <v/>
      </c>
      <c r="AC555" s="52" t="str">
        <f>IFERROR(__xludf.DUMMYFUNCTION("""COMPUTED_VALUE"""),"")</f>
        <v/>
      </c>
      <c r="AD555" s="52" t="str">
        <f>IFERROR(__xludf.DUMMYFUNCTION("""COMPUTED_VALUE"""),"")</f>
        <v/>
      </c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</row>
    <row r="556">
      <c r="B556" s="49"/>
      <c r="C556" s="49" t="str">
        <f t="shared" si="2"/>
        <v/>
      </c>
      <c r="D556" s="50" t="str">
        <f t="shared" si="3"/>
        <v/>
      </c>
      <c r="E556" s="51" t="str">
        <f t="shared" ref="E556:T556" si="557">IFERROR(VLOOKUP($A556,INDIRECT("'" &amp; E$1 &amp; "'!$C:$G"), 5, FALSE),"")</f>
        <v/>
      </c>
      <c r="F556" s="51" t="str">
        <f t="shared" si="557"/>
        <v/>
      </c>
      <c r="G556" s="51" t="str">
        <f t="shared" si="557"/>
        <v/>
      </c>
      <c r="H556" s="51" t="str">
        <f t="shared" si="557"/>
        <v/>
      </c>
      <c r="I556" s="51" t="str">
        <f t="shared" si="557"/>
        <v/>
      </c>
      <c r="J556" s="51" t="str">
        <f t="shared" si="557"/>
        <v/>
      </c>
      <c r="K556" s="51" t="str">
        <f t="shared" si="557"/>
        <v/>
      </c>
      <c r="L556" s="51" t="str">
        <f t="shared" si="557"/>
        <v/>
      </c>
      <c r="M556" s="51" t="str">
        <f t="shared" si="557"/>
        <v/>
      </c>
      <c r="N556" s="51" t="str">
        <f t="shared" si="557"/>
        <v/>
      </c>
      <c r="O556" s="51" t="str">
        <f t="shared" si="557"/>
        <v/>
      </c>
      <c r="P556" s="51" t="str">
        <f t="shared" si="557"/>
        <v/>
      </c>
      <c r="Q556" s="51" t="str">
        <f t="shared" si="557"/>
        <v/>
      </c>
      <c r="R556" s="51" t="str">
        <f t="shared" si="557"/>
        <v/>
      </c>
      <c r="S556" s="51" t="str">
        <f t="shared" si="557"/>
        <v/>
      </c>
      <c r="T556" s="51" t="str">
        <f t="shared" si="557"/>
        <v/>
      </c>
      <c r="U556" s="52"/>
      <c r="V556" s="52" t="str">
        <f>IFERROR(__xludf.DUMMYFUNCTION("""COMPUTED_VALUE"""),"")</f>
        <v/>
      </c>
      <c r="W556" s="52" t="str">
        <f>IFERROR(__xludf.DUMMYFUNCTION("""COMPUTED_VALUE"""),"")</f>
        <v/>
      </c>
      <c r="X556" s="52" t="str">
        <f>IFERROR(__xludf.DUMMYFUNCTION("""COMPUTED_VALUE"""),"")</f>
        <v/>
      </c>
      <c r="Y556" s="52" t="str">
        <f>IFERROR(__xludf.DUMMYFUNCTION("""COMPUTED_VALUE"""),"")</f>
        <v/>
      </c>
      <c r="Z556" s="52" t="str">
        <f>IFERROR(__xludf.DUMMYFUNCTION("""COMPUTED_VALUE"""),"")</f>
        <v/>
      </c>
      <c r="AA556" s="52" t="str">
        <f>IFERROR(__xludf.DUMMYFUNCTION("""COMPUTED_VALUE"""),"")</f>
        <v/>
      </c>
      <c r="AB556" s="52" t="str">
        <f>IFERROR(__xludf.DUMMYFUNCTION("""COMPUTED_VALUE"""),"")</f>
        <v/>
      </c>
      <c r="AC556" s="52" t="str">
        <f>IFERROR(__xludf.DUMMYFUNCTION("""COMPUTED_VALUE"""),"")</f>
        <v/>
      </c>
      <c r="AD556" s="52" t="str">
        <f>IFERROR(__xludf.DUMMYFUNCTION("""COMPUTED_VALUE"""),"")</f>
        <v/>
      </c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</row>
    <row r="557">
      <c r="B557" s="49"/>
      <c r="C557" s="49" t="str">
        <f t="shared" si="2"/>
        <v/>
      </c>
      <c r="D557" s="50" t="str">
        <f t="shared" si="3"/>
        <v/>
      </c>
      <c r="E557" s="51" t="str">
        <f t="shared" ref="E557:T557" si="558">IFERROR(VLOOKUP($A557,INDIRECT("'" &amp; E$1 &amp; "'!$C:$G"), 5, FALSE),"")</f>
        <v/>
      </c>
      <c r="F557" s="51" t="str">
        <f t="shared" si="558"/>
        <v/>
      </c>
      <c r="G557" s="51" t="str">
        <f t="shared" si="558"/>
        <v/>
      </c>
      <c r="H557" s="51" t="str">
        <f t="shared" si="558"/>
        <v/>
      </c>
      <c r="I557" s="51" t="str">
        <f t="shared" si="558"/>
        <v/>
      </c>
      <c r="J557" s="51" t="str">
        <f t="shared" si="558"/>
        <v/>
      </c>
      <c r="K557" s="51" t="str">
        <f t="shared" si="558"/>
        <v/>
      </c>
      <c r="L557" s="51" t="str">
        <f t="shared" si="558"/>
        <v/>
      </c>
      <c r="M557" s="51" t="str">
        <f t="shared" si="558"/>
        <v/>
      </c>
      <c r="N557" s="51" t="str">
        <f t="shared" si="558"/>
        <v/>
      </c>
      <c r="O557" s="51" t="str">
        <f t="shared" si="558"/>
        <v/>
      </c>
      <c r="P557" s="51" t="str">
        <f t="shared" si="558"/>
        <v/>
      </c>
      <c r="Q557" s="51" t="str">
        <f t="shared" si="558"/>
        <v/>
      </c>
      <c r="R557" s="51" t="str">
        <f t="shared" si="558"/>
        <v/>
      </c>
      <c r="S557" s="51" t="str">
        <f t="shared" si="558"/>
        <v/>
      </c>
      <c r="T557" s="51" t="str">
        <f t="shared" si="558"/>
        <v/>
      </c>
      <c r="U557" s="52"/>
      <c r="V557" s="52" t="str">
        <f>IFERROR(__xludf.DUMMYFUNCTION("""COMPUTED_VALUE"""),"")</f>
        <v/>
      </c>
      <c r="W557" s="52" t="str">
        <f>IFERROR(__xludf.DUMMYFUNCTION("""COMPUTED_VALUE"""),"")</f>
        <v/>
      </c>
      <c r="X557" s="52" t="str">
        <f>IFERROR(__xludf.DUMMYFUNCTION("""COMPUTED_VALUE"""),"")</f>
        <v/>
      </c>
      <c r="Y557" s="52" t="str">
        <f>IFERROR(__xludf.DUMMYFUNCTION("""COMPUTED_VALUE"""),"")</f>
        <v/>
      </c>
      <c r="Z557" s="52" t="str">
        <f>IFERROR(__xludf.DUMMYFUNCTION("""COMPUTED_VALUE"""),"")</f>
        <v/>
      </c>
      <c r="AA557" s="52" t="str">
        <f>IFERROR(__xludf.DUMMYFUNCTION("""COMPUTED_VALUE"""),"")</f>
        <v/>
      </c>
      <c r="AB557" s="52" t="str">
        <f>IFERROR(__xludf.DUMMYFUNCTION("""COMPUTED_VALUE"""),"")</f>
        <v/>
      </c>
      <c r="AC557" s="52" t="str">
        <f>IFERROR(__xludf.DUMMYFUNCTION("""COMPUTED_VALUE"""),"")</f>
        <v/>
      </c>
      <c r="AD557" s="52" t="str">
        <f>IFERROR(__xludf.DUMMYFUNCTION("""COMPUTED_VALUE"""),"")</f>
        <v/>
      </c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</row>
    <row r="558">
      <c r="B558" s="49"/>
      <c r="C558" s="49" t="str">
        <f t="shared" si="2"/>
        <v/>
      </c>
      <c r="D558" s="50" t="str">
        <f t="shared" si="3"/>
        <v/>
      </c>
      <c r="E558" s="51" t="str">
        <f t="shared" ref="E558:T558" si="559">IFERROR(VLOOKUP($A558,INDIRECT("'" &amp; E$1 &amp; "'!$C:$G"), 5, FALSE),"")</f>
        <v/>
      </c>
      <c r="F558" s="51" t="str">
        <f t="shared" si="559"/>
        <v/>
      </c>
      <c r="G558" s="51" t="str">
        <f t="shared" si="559"/>
        <v/>
      </c>
      <c r="H558" s="51" t="str">
        <f t="shared" si="559"/>
        <v/>
      </c>
      <c r="I558" s="51" t="str">
        <f t="shared" si="559"/>
        <v/>
      </c>
      <c r="J558" s="51" t="str">
        <f t="shared" si="559"/>
        <v/>
      </c>
      <c r="K558" s="51" t="str">
        <f t="shared" si="559"/>
        <v/>
      </c>
      <c r="L558" s="51" t="str">
        <f t="shared" si="559"/>
        <v/>
      </c>
      <c r="M558" s="51" t="str">
        <f t="shared" si="559"/>
        <v/>
      </c>
      <c r="N558" s="51" t="str">
        <f t="shared" si="559"/>
        <v/>
      </c>
      <c r="O558" s="51" t="str">
        <f t="shared" si="559"/>
        <v/>
      </c>
      <c r="P558" s="51" t="str">
        <f t="shared" si="559"/>
        <v/>
      </c>
      <c r="Q558" s="51" t="str">
        <f t="shared" si="559"/>
        <v/>
      </c>
      <c r="R558" s="51" t="str">
        <f t="shared" si="559"/>
        <v/>
      </c>
      <c r="S558" s="51" t="str">
        <f t="shared" si="559"/>
        <v/>
      </c>
      <c r="T558" s="51" t="str">
        <f t="shared" si="559"/>
        <v/>
      </c>
      <c r="U558" s="52"/>
      <c r="V558" s="52" t="str">
        <f>IFERROR(__xludf.DUMMYFUNCTION("""COMPUTED_VALUE"""),"")</f>
        <v/>
      </c>
      <c r="W558" s="52" t="str">
        <f>IFERROR(__xludf.DUMMYFUNCTION("""COMPUTED_VALUE"""),"")</f>
        <v/>
      </c>
      <c r="X558" s="52" t="str">
        <f>IFERROR(__xludf.DUMMYFUNCTION("""COMPUTED_VALUE"""),"")</f>
        <v/>
      </c>
      <c r="Y558" s="52" t="str">
        <f>IFERROR(__xludf.DUMMYFUNCTION("""COMPUTED_VALUE"""),"")</f>
        <v/>
      </c>
      <c r="Z558" s="52" t="str">
        <f>IFERROR(__xludf.DUMMYFUNCTION("""COMPUTED_VALUE"""),"")</f>
        <v/>
      </c>
      <c r="AA558" s="52" t="str">
        <f>IFERROR(__xludf.DUMMYFUNCTION("""COMPUTED_VALUE"""),"")</f>
        <v/>
      </c>
      <c r="AB558" s="52" t="str">
        <f>IFERROR(__xludf.DUMMYFUNCTION("""COMPUTED_VALUE"""),"")</f>
        <v/>
      </c>
      <c r="AC558" s="52" t="str">
        <f>IFERROR(__xludf.DUMMYFUNCTION("""COMPUTED_VALUE"""),"")</f>
        <v/>
      </c>
      <c r="AD558" s="52" t="str">
        <f>IFERROR(__xludf.DUMMYFUNCTION("""COMPUTED_VALUE"""),"")</f>
        <v/>
      </c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</row>
    <row r="559">
      <c r="B559" s="49"/>
      <c r="C559" s="49" t="str">
        <f t="shared" si="2"/>
        <v/>
      </c>
      <c r="D559" s="50" t="str">
        <f t="shared" si="3"/>
        <v/>
      </c>
      <c r="E559" s="51" t="str">
        <f t="shared" ref="E559:T559" si="560">IFERROR(VLOOKUP($A559,INDIRECT("'" &amp; E$1 &amp; "'!$C:$G"), 5, FALSE),"")</f>
        <v/>
      </c>
      <c r="F559" s="51" t="str">
        <f t="shared" si="560"/>
        <v/>
      </c>
      <c r="G559" s="51" t="str">
        <f t="shared" si="560"/>
        <v/>
      </c>
      <c r="H559" s="51" t="str">
        <f t="shared" si="560"/>
        <v/>
      </c>
      <c r="I559" s="51" t="str">
        <f t="shared" si="560"/>
        <v/>
      </c>
      <c r="J559" s="51" t="str">
        <f t="shared" si="560"/>
        <v/>
      </c>
      <c r="K559" s="51" t="str">
        <f t="shared" si="560"/>
        <v/>
      </c>
      <c r="L559" s="51" t="str">
        <f t="shared" si="560"/>
        <v/>
      </c>
      <c r="M559" s="51" t="str">
        <f t="shared" si="560"/>
        <v/>
      </c>
      <c r="N559" s="51" t="str">
        <f t="shared" si="560"/>
        <v/>
      </c>
      <c r="O559" s="51" t="str">
        <f t="shared" si="560"/>
        <v/>
      </c>
      <c r="P559" s="51" t="str">
        <f t="shared" si="560"/>
        <v/>
      </c>
      <c r="Q559" s="51" t="str">
        <f t="shared" si="560"/>
        <v/>
      </c>
      <c r="R559" s="51" t="str">
        <f t="shared" si="560"/>
        <v/>
      </c>
      <c r="S559" s="51" t="str">
        <f t="shared" si="560"/>
        <v/>
      </c>
      <c r="T559" s="51" t="str">
        <f t="shared" si="560"/>
        <v/>
      </c>
      <c r="U559" s="52"/>
      <c r="V559" s="52" t="str">
        <f>IFERROR(__xludf.DUMMYFUNCTION("""COMPUTED_VALUE"""),"")</f>
        <v/>
      </c>
      <c r="W559" s="52" t="str">
        <f>IFERROR(__xludf.DUMMYFUNCTION("""COMPUTED_VALUE"""),"")</f>
        <v/>
      </c>
      <c r="X559" s="52" t="str">
        <f>IFERROR(__xludf.DUMMYFUNCTION("""COMPUTED_VALUE"""),"")</f>
        <v/>
      </c>
      <c r="Y559" s="52" t="str">
        <f>IFERROR(__xludf.DUMMYFUNCTION("""COMPUTED_VALUE"""),"")</f>
        <v/>
      </c>
      <c r="Z559" s="52" t="str">
        <f>IFERROR(__xludf.DUMMYFUNCTION("""COMPUTED_VALUE"""),"")</f>
        <v/>
      </c>
      <c r="AA559" s="52" t="str">
        <f>IFERROR(__xludf.DUMMYFUNCTION("""COMPUTED_VALUE"""),"")</f>
        <v/>
      </c>
      <c r="AB559" s="52" t="str">
        <f>IFERROR(__xludf.DUMMYFUNCTION("""COMPUTED_VALUE"""),"")</f>
        <v/>
      </c>
      <c r="AC559" s="52" t="str">
        <f>IFERROR(__xludf.DUMMYFUNCTION("""COMPUTED_VALUE"""),"")</f>
        <v/>
      </c>
      <c r="AD559" s="52" t="str">
        <f>IFERROR(__xludf.DUMMYFUNCTION("""COMPUTED_VALUE"""),"")</f>
        <v/>
      </c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</row>
    <row r="560">
      <c r="B560" s="49"/>
      <c r="C560" s="49" t="str">
        <f t="shared" si="2"/>
        <v/>
      </c>
      <c r="D560" s="50" t="str">
        <f t="shared" si="3"/>
        <v/>
      </c>
      <c r="E560" s="51" t="str">
        <f t="shared" ref="E560:T560" si="561">IFERROR(VLOOKUP($A560,INDIRECT("'" &amp; E$1 &amp; "'!$C:$G"), 5, FALSE),"")</f>
        <v/>
      </c>
      <c r="F560" s="51" t="str">
        <f t="shared" si="561"/>
        <v/>
      </c>
      <c r="G560" s="51" t="str">
        <f t="shared" si="561"/>
        <v/>
      </c>
      <c r="H560" s="51" t="str">
        <f t="shared" si="561"/>
        <v/>
      </c>
      <c r="I560" s="51" t="str">
        <f t="shared" si="561"/>
        <v/>
      </c>
      <c r="J560" s="51" t="str">
        <f t="shared" si="561"/>
        <v/>
      </c>
      <c r="K560" s="51" t="str">
        <f t="shared" si="561"/>
        <v/>
      </c>
      <c r="L560" s="51" t="str">
        <f t="shared" si="561"/>
        <v/>
      </c>
      <c r="M560" s="51" t="str">
        <f t="shared" si="561"/>
        <v/>
      </c>
      <c r="N560" s="51" t="str">
        <f t="shared" si="561"/>
        <v/>
      </c>
      <c r="O560" s="51" t="str">
        <f t="shared" si="561"/>
        <v/>
      </c>
      <c r="P560" s="51" t="str">
        <f t="shared" si="561"/>
        <v/>
      </c>
      <c r="Q560" s="51" t="str">
        <f t="shared" si="561"/>
        <v/>
      </c>
      <c r="R560" s="51" t="str">
        <f t="shared" si="561"/>
        <v/>
      </c>
      <c r="S560" s="51" t="str">
        <f t="shared" si="561"/>
        <v/>
      </c>
      <c r="T560" s="51" t="str">
        <f t="shared" si="561"/>
        <v/>
      </c>
      <c r="U560" s="52"/>
      <c r="V560" s="52" t="str">
        <f>IFERROR(__xludf.DUMMYFUNCTION("""COMPUTED_VALUE"""),"")</f>
        <v/>
      </c>
      <c r="W560" s="52" t="str">
        <f>IFERROR(__xludf.DUMMYFUNCTION("""COMPUTED_VALUE"""),"")</f>
        <v/>
      </c>
      <c r="X560" s="52" t="str">
        <f>IFERROR(__xludf.DUMMYFUNCTION("""COMPUTED_VALUE"""),"")</f>
        <v/>
      </c>
      <c r="Y560" s="52" t="str">
        <f>IFERROR(__xludf.DUMMYFUNCTION("""COMPUTED_VALUE"""),"")</f>
        <v/>
      </c>
      <c r="Z560" s="52" t="str">
        <f>IFERROR(__xludf.DUMMYFUNCTION("""COMPUTED_VALUE"""),"")</f>
        <v/>
      </c>
      <c r="AA560" s="52" t="str">
        <f>IFERROR(__xludf.DUMMYFUNCTION("""COMPUTED_VALUE"""),"")</f>
        <v/>
      </c>
      <c r="AB560" s="52" t="str">
        <f>IFERROR(__xludf.DUMMYFUNCTION("""COMPUTED_VALUE"""),"")</f>
        <v/>
      </c>
      <c r="AC560" s="52" t="str">
        <f>IFERROR(__xludf.DUMMYFUNCTION("""COMPUTED_VALUE"""),"")</f>
        <v/>
      </c>
      <c r="AD560" s="52" t="str">
        <f>IFERROR(__xludf.DUMMYFUNCTION("""COMPUTED_VALUE"""),"")</f>
        <v/>
      </c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</row>
    <row r="561">
      <c r="B561" s="49"/>
      <c r="C561" s="49" t="str">
        <f t="shared" si="2"/>
        <v/>
      </c>
      <c r="D561" s="50" t="str">
        <f t="shared" si="3"/>
        <v/>
      </c>
      <c r="E561" s="51" t="str">
        <f t="shared" ref="E561:T561" si="562">IFERROR(VLOOKUP($A561,INDIRECT("'" &amp; E$1 &amp; "'!$C:$G"), 5, FALSE),"")</f>
        <v/>
      </c>
      <c r="F561" s="51" t="str">
        <f t="shared" si="562"/>
        <v/>
      </c>
      <c r="G561" s="51" t="str">
        <f t="shared" si="562"/>
        <v/>
      </c>
      <c r="H561" s="51" t="str">
        <f t="shared" si="562"/>
        <v/>
      </c>
      <c r="I561" s="51" t="str">
        <f t="shared" si="562"/>
        <v/>
      </c>
      <c r="J561" s="51" t="str">
        <f t="shared" si="562"/>
        <v/>
      </c>
      <c r="K561" s="51" t="str">
        <f t="shared" si="562"/>
        <v/>
      </c>
      <c r="L561" s="51" t="str">
        <f t="shared" si="562"/>
        <v/>
      </c>
      <c r="M561" s="51" t="str">
        <f t="shared" si="562"/>
        <v/>
      </c>
      <c r="N561" s="51" t="str">
        <f t="shared" si="562"/>
        <v/>
      </c>
      <c r="O561" s="51" t="str">
        <f t="shared" si="562"/>
        <v/>
      </c>
      <c r="P561" s="51" t="str">
        <f t="shared" si="562"/>
        <v/>
      </c>
      <c r="Q561" s="51" t="str">
        <f t="shared" si="562"/>
        <v/>
      </c>
      <c r="R561" s="51" t="str">
        <f t="shared" si="562"/>
        <v/>
      </c>
      <c r="S561" s="51" t="str">
        <f t="shared" si="562"/>
        <v/>
      </c>
      <c r="T561" s="51" t="str">
        <f t="shared" si="562"/>
        <v/>
      </c>
      <c r="U561" s="52"/>
      <c r="V561" s="52" t="str">
        <f>IFERROR(__xludf.DUMMYFUNCTION("""COMPUTED_VALUE"""),"")</f>
        <v/>
      </c>
      <c r="W561" s="52" t="str">
        <f>IFERROR(__xludf.DUMMYFUNCTION("""COMPUTED_VALUE"""),"")</f>
        <v/>
      </c>
      <c r="X561" s="52" t="str">
        <f>IFERROR(__xludf.DUMMYFUNCTION("""COMPUTED_VALUE"""),"")</f>
        <v/>
      </c>
      <c r="Y561" s="52" t="str">
        <f>IFERROR(__xludf.DUMMYFUNCTION("""COMPUTED_VALUE"""),"")</f>
        <v/>
      </c>
      <c r="Z561" s="52" t="str">
        <f>IFERROR(__xludf.DUMMYFUNCTION("""COMPUTED_VALUE"""),"")</f>
        <v/>
      </c>
      <c r="AA561" s="52" t="str">
        <f>IFERROR(__xludf.DUMMYFUNCTION("""COMPUTED_VALUE"""),"")</f>
        <v/>
      </c>
      <c r="AB561" s="52" t="str">
        <f>IFERROR(__xludf.DUMMYFUNCTION("""COMPUTED_VALUE"""),"")</f>
        <v/>
      </c>
      <c r="AC561" s="52" t="str">
        <f>IFERROR(__xludf.DUMMYFUNCTION("""COMPUTED_VALUE"""),"")</f>
        <v/>
      </c>
      <c r="AD561" s="52" t="str">
        <f>IFERROR(__xludf.DUMMYFUNCTION("""COMPUTED_VALUE"""),"")</f>
        <v/>
      </c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</row>
    <row r="562">
      <c r="B562" s="49"/>
      <c r="C562" s="49" t="str">
        <f t="shared" si="2"/>
        <v/>
      </c>
      <c r="D562" s="50" t="str">
        <f t="shared" si="3"/>
        <v/>
      </c>
      <c r="E562" s="51" t="str">
        <f t="shared" ref="E562:T562" si="563">IFERROR(VLOOKUP($A562,INDIRECT("'" &amp; E$1 &amp; "'!$C:$G"), 5, FALSE),"")</f>
        <v/>
      </c>
      <c r="F562" s="51" t="str">
        <f t="shared" si="563"/>
        <v/>
      </c>
      <c r="G562" s="51" t="str">
        <f t="shared" si="563"/>
        <v/>
      </c>
      <c r="H562" s="51" t="str">
        <f t="shared" si="563"/>
        <v/>
      </c>
      <c r="I562" s="51" t="str">
        <f t="shared" si="563"/>
        <v/>
      </c>
      <c r="J562" s="51" t="str">
        <f t="shared" si="563"/>
        <v/>
      </c>
      <c r="K562" s="51" t="str">
        <f t="shared" si="563"/>
        <v/>
      </c>
      <c r="L562" s="51" t="str">
        <f t="shared" si="563"/>
        <v/>
      </c>
      <c r="M562" s="51" t="str">
        <f t="shared" si="563"/>
        <v/>
      </c>
      <c r="N562" s="51" t="str">
        <f t="shared" si="563"/>
        <v/>
      </c>
      <c r="O562" s="51" t="str">
        <f t="shared" si="563"/>
        <v/>
      </c>
      <c r="P562" s="51" t="str">
        <f t="shared" si="563"/>
        <v/>
      </c>
      <c r="Q562" s="51" t="str">
        <f t="shared" si="563"/>
        <v/>
      </c>
      <c r="R562" s="51" t="str">
        <f t="shared" si="563"/>
        <v/>
      </c>
      <c r="S562" s="51" t="str">
        <f t="shared" si="563"/>
        <v/>
      </c>
      <c r="T562" s="51" t="str">
        <f t="shared" si="563"/>
        <v/>
      </c>
      <c r="U562" s="52"/>
      <c r="V562" s="52" t="str">
        <f>IFERROR(__xludf.DUMMYFUNCTION("""COMPUTED_VALUE"""),"")</f>
        <v/>
      </c>
      <c r="W562" s="52" t="str">
        <f>IFERROR(__xludf.DUMMYFUNCTION("""COMPUTED_VALUE"""),"")</f>
        <v/>
      </c>
      <c r="X562" s="52" t="str">
        <f>IFERROR(__xludf.DUMMYFUNCTION("""COMPUTED_VALUE"""),"")</f>
        <v/>
      </c>
      <c r="Y562" s="52" t="str">
        <f>IFERROR(__xludf.DUMMYFUNCTION("""COMPUTED_VALUE"""),"")</f>
        <v/>
      </c>
      <c r="Z562" s="52" t="str">
        <f>IFERROR(__xludf.DUMMYFUNCTION("""COMPUTED_VALUE"""),"")</f>
        <v/>
      </c>
      <c r="AA562" s="52" t="str">
        <f>IFERROR(__xludf.DUMMYFUNCTION("""COMPUTED_VALUE"""),"")</f>
        <v/>
      </c>
      <c r="AB562" s="52" t="str">
        <f>IFERROR(__xludf.DUMMYFUNCTION("""COMPUTED_VALUE"""),"")</f>
        <v/>
      </c>
      <c r="AC562" s="52" t="str">
        <f>IFERROR(__xludf.DUMMYFUNCTION("""COMPUTED_VALUE"""),"")</f>
        <v/>
      </c>
      <c r="AD562" s="52" t="str">
        <f>IFERROR(__xludf.DUMMYFUNCTION("""COMPUTED_VALUE"""),"")</f>
        <v/>
      </c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</row>
    <row r="563">
      <c r="B563" s="49"/>
      <c r="C563" s="49" t="str">
        <f t="shared" si="2"/>
        <v/>
      </c>
      <c r="D563" s="50" t="str">
        <f t="shared" si="3"/>
        <v/>
      </c>
      <c r="E563" s="51" t="str">
        <f t="shared" ref="E563:T563" si="564">IFERROR(VLOOKUP($A563,INDIRECT("'" &amp; E$1 &amp; "'!$C:$G"), 5, FALSE),"")</f>
        <v/>
      </c>
      <c r="F563" s="51" t="str">
        <f t="shared" si="564"/>
        <v/>
      </c>
      <c r="G563" s="51" t="str">
        <f t="shared" si="564"/>
        <v/>
      </c>
      <c r="H563" s="51" t="str">
        <f t="shared" si="564"/>
        <v/>
      </c>
      <c r="I563" s="51" t="str">
        <f t="shared" si="564"/>
        <v/>
      </c>
      <c r="J563" s="51" t="str">
        <f t="shared" si="564"/>
        <v/>
      </c>
      <c r="K563" s="51" t="str">
        <f t="shared" si="564"/>
        <v/>
      </c>
      <c r="L563" s="51" t="str">
        <f t="shared" si="564"/>
        <v/>
      </c>
      <c r="M563" s="51" t="str">
        <f t="shared" si="564"/>
        <v/>
      </c>
      <c r="N563" s="51" t="str">
        <f t="shared" si="564"/>
        <v/>
      </c>
      <c r="O563" s="51" t="str">
        <f t="shared" si="564"/>
        <v/>
      </c>
      <c r="P563" s="51" t="str">
        <f t="shared" si="564"/>
        <v/>
      </c>
      <c r="Q563" s="51" t="str">
        <f t="shared" si="564"/>
        <v/>
      </c>
      <c r="R563" s="51" t="str">
        <f t="shared" si="564"/>
        <v/>
      </c>
      <c r="S563" s="51" t="str">
        <f t="shared" si="564"/>
        <v/>
      </c>
      <c r="T563" s="51" t="str">
        <f t="shared" si="564"/>
        <v/>
      </c>
      <c r="U563" s="52"/>
      <c r="V563" s="52" t="str">
        <f>IFERROR(__xludf.DUMMYFUNCTION("""COMPUTED_VALUE"""),"")</f>
        <v/>
      </c>
      <c r="W563" s="52" t="str">
        <f>IFERROR(__xludf.DUMMYFUNCTION("""COMPUTED_VALUE"""),"")</f>
        <v/>
      </c>
      <c r="X563" s="52" t="str">
        <f>IFERROR(__xludf.DUMMYFUNCTION("""COMPUTED_VALUE"""),"")</f>
        <v/>
      </c>
      <c r="Y563" s="52" t="str">
        <f>IFERROR(__xludf.DUMMYFUNCTION("""COMPUTED_VALUE"""),"")</f>
        <v/>
      </c>
      <c r="Z563" s="52" t="str">
        <f>IFERROR(__xludf.DUMMYFUNCTION("""COMPUTED_VALUE"""),"")</f>
        <v/>
      </c>
      <c r="AA563" s="52" t="str">
        <f>IFERROR(__xludf.DUMMYFUNCTION("""COMPUTED_VALUE"""),"")</f>
        <v/>
      </c>
      <c r="AB563" s="52" t="str">
        <f>IFERROR(__xludf.DUMMYFUNCTION("""COMPUTED_VALUE"""),"")</f>
        <v/>
      </c>
      <c r="AC563" s="52" t="str">
        <f>IFERROR(__xludf.DUMMYFUNCTION("""COMPUTED_VALUE"""),"")</f>
        <v/>
      </c>
      <c r="AD563" s="52" t="str">
        <f>IFERROR(__xludf.DUMMYFUNCTION("""COMPUTED_VALUE"""),"")</f>
        <v/>
      </c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</row>
    <row r="564">
      <c r="B564" s="49"/>
      <c r="C564" s="49" t="str">
        <f t="shared" si="2"/>
        <v/>
      </c>
      <c r="D564" s="50" t="str">
        <f t="shared" si="3"/>
        <v/>
      </c>
      <c r="E564" s="51" t="str">
        <f t="shared" ref="E564:T564" si="565">IFERROR(VLOOKUP($A564,INDIRECT("'" &amp; E$1 &amp; "'!$C:$G"), 5, FALSE),"")</f>
        <v/>
      </c>
      <c r="F564" s="51" t="str">
        <f t="shared" si="565"/>
        <v/>
      </c>
      <c r="G564" s="51" t="str">
        <f t="shared" si="565"/>
        <v/>
      </c>
      <c r="H564" s="51" t="str">
        <f t="shared" si="565"/>
        <v/>
      </c>
      <c r="I564" s="51" t="str">
        <f t="shared" si="565"/>
        <v/>
      </c>
      <c r="J564" s="51" t="str">
        <f t="shared" si="565"/>
        <v/>
      </c>
      <c r="K564" s="51" t="str">
        <f t="shared" si="565"/>
        <v/>
      </c>
      <c r="L564" s="51" t="str">
        <f t="shared" si="565"/>
        <v/>
      </c>
      <c r="M564" s="51" t="str">
        <f t="shared" si="565"/>
        <v/>
      </c>
      <c r="N564" s="51" t="str">
        <f t="shared" si="565"/>
        <v/>
      </c>
      <c r="O564" s="51" t="str">
        <f t="shared" si="565"/>
        <v/>
      </c>
      <c r="P564" s="51" t="str">
        <f t="shared" si="565"/>
        <v/>
      </c>
      <c r="Q564" s="51" t="str">
        <f t="shared" si="565"/>
        <v/>
      </c>
      <c r="R564" s="51" t="str">
        <f t="shared" si="565"/>
        <v/>
      </c>
      <c r="S564" s="51" t="str">
        <f t="shared" si="565"/>
        <v/>
      </c>
      <c r="T564" s="51" t="str">
        <f t="shared" si="565"/>
        <v/>
      </c>
      <c r="U564" s="52"/>
      <c r="V564" s="52" t="str">
        <f>IFERROR(__xludf.DUMMYFUNCTION("""COMPUTED_VALUE"""),"")</f>
        <v/>
      </c>
      <c r="W564" s="52" t="str">
        <f>IFERROR(__xludf.DUMMYFUNCTION("""COMPUTED_VALUE"""),"")</f>
        <v/>
      </c>
      <c r="X564" s="52" t="str">
        <f>IFERROR(__xludf.DUMMYFUNCTION("""COMPUTED_VALUE"""),"")</f>
        <v/>
      </c>
      <c r="Y564" s="52" t="str">
        <f>IFERROR(__xludf.DUMMYFUNCTION("""COMPUTED_VALUE"""),"")</f>
        <v/>
      </c>
      <c r="Z564" s="52" t="str">
        <f>IFERROR(__xludf.DUMMYFUNCTION("""COMPUTED_VALUE"""),"")</f>
        <v/>
      </c>
      <c r="AA564" s="52" t="str">
        <f>IFERROR(__xludf.DUMMYFUNCTION("""COMPUTED_VALUE"""),"")</f>
        <v/>
      </c>
      <c r="AB564" s="52" t="str">
        <f>IFERROR(__xludf.DUMMYFUNCTION("""COMPUTED_VALUE"""),"")</f>
        <v/>
      </c>
      <c r="AC564" s="52" t="str">
        <f>IFERROR(__xludf.DUMMYFUNCTION("""COMPUTED_VALUE"""),"")</f>
        <v/>
      </c>
      <c r="AD564" s="52" t="str">
        <f>IFERROR(__xludf.DUMMYFUNCTION("""COMPUTED_VALUE"""),"")</f>
        <v/>
      </c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</row>
    <row r="565">
      <c r="B565" s="49"/>
      <c r="C565" s="49" t="str">
        <f t="shared" si="2"/>
        <v/>
      </c>
      <c r="D565" s="50" t="str">
        <f t="shared" si="3"/>
        <v/>
      </c>
      <c r="E565" s="51" t="str">
        <f t="shared" ref="E565:T565" si="566">IFERROR(VLOOKUP($A565,INDIRECT("'" &amp; E$1 &amp; "'!$C:$G"), 5, FALSE),"")</f>
        <v/>
      </c>
      <c r="F565" s="51" t="str">
        <f t="shared" si="566"/>
        <v/>
      </c>
      <c r="G565" s="51" t="str">
        <f t="shared" si="566"/>
        <v/>
      </c>
      <c r="H565" s="51" t="str">
        <f t="shared" si="566"/>
        <v/>
      </c>
      <c r="I565" s="51" t="str">
        <f t="shared" si="566"/>
        <v/>
      </c>
      <c r="J565" s="51" t="str">
        <f t="shared" si="566"/>
        <v/>
      </c>
      <c r="K565" s="51" t="str">
        <f t="shared" si="566"/>
        <v/>
      </c>
      <c r="L565" s="51" t="str">
        <f t="shared" si="566"/>
        <v/>
      </c>
      <c r="M565" s="51" t="str">
        <f t="shared" si="566"/>
        <v/>
      </c>
      <c r="N565" s="51" t="str">
        <f t="shared" si="566"/>
        <v/>
      </c>
      <c r="O565" s="51" t="str">
        <f t="shared" si="566"/>
        <v/>
      </c>
      <c r="P565" s="51" t="str">
        <f t="shared" si="566"/>
        <v/>
      </c>
      <c r="Q565" s="51" t="str">
        <f t="shared" si="566"/>
        <v/>
      </c>
      <c r="R565" s="51" t="str">
        <f t="shared" si="566"/>
        <v/>
      </c>
      <c r="S565" s="51" t="str">
        <f t="shared" si="566"/>
        <v/>
      </c>
      <c r="T565" s="51" t="str">
        <f t="shared" si="566"/>
        <v/>
      </c>
      <c r="U565" s="52"/>
      <c r="V565" s="52" t="str">
        <f>IFERROR(__xludf.DUMMYFUNCTION("""COMPUTED_VALUE"""),"")</f>
        <v/>
      </c>
      <c r="W565" s="52" t="str">
        <f>IFERROR(__xludf.DUMMYFUNCTION("""COMPUTED_VALUE"""),"")</f>
        <v/>
      </c>
      <c r="X565" s="52" t="str">
        <f>IFERROR(__xludf.DUMMYFUNCTION("""COMPUTED_VALUE"""),"")</f>
        <v/>
      </c>
      <c r="Y565" s="52" t="str">
        <f>IFERROR(__xludf.DUMMYFUNCTION("""COMPUTED_VALUE"""),"")</f>
        <v/>
      </c>
      <c r="Z565" s="52" t="str">
        <f>IFERROR(__xludf.DUMMYFUNCTION("""COMPUTED_VALUE"""),"")</f>
        <v/>
      </c>
      <c r="AA565" s="52" t="str">
        <f>IFERROR(__xludf.DUMMYFUNCTION("""COMPUTED_VALUE"""),"")</f>
        <v/>
      </c>
      <c r="AB565" s="52" t="str">
        <f>IFERROR(__xludf.DUMMYFUNCTION("""COMPUTED_VALUE"""),"")</f>
        <v/>
      </c>
      <c r="AC565" s="52" t="str">
        <f>IFERROR(__xludf.DUMMYFUNCTION("""COMPUTED_VALUE"""),"")</f>
        <v/>
      </c>
      <c r="AD565" s="52" t="str">
        <f>IFERROR(__xludf.DUMMYFUNCTION("""COMPUTED_VALUE"""),"")</f>
        <v/>
      </c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</row>
    <row r="566">
      <c r="B566" s="49"/>
      <c r="C566" s="49" t="str">
        <f t="shared" si="2"/>
        <v/>
      </c>
      <c r="D566" s="50" t="str">
        <f t="shared" si="3"/>
        <v/>
      </c>
      <c r="E566" s="51" t="str">
        <f t="shared" ref="E566:T566" si="567">IFERROR(VLOOKUP($A566,INDIRECT("'" &amp; E$1 &amp; "'!$C:$G"), 5, FALSE),"")</f>
        <v/>
      </c>
      <c r="F566" s="51" t="str">
        <f t="shared" si="567"/>
        <v/>
      </c>
      <c r="G566" s="51" t="str">
        <f t="shared" si="567"/>
        <v/>
      </c>
      <c r="H566" s="51" t="str">
        <f t="shared" si="567"/>
        <v/>
      </c>
      <c r="I566" s="51" t="str">
        <f t="shared" si="567"/>
        <v/>
      </c>
      <c r="J566" s="51" t="str">
        <f t="shared" si="567"/>
        <v/>
      </c>
      <c r="K566" s="51" t="str">
        <f t="shared" si="567"/>
        <v/>
      </c>
      <c r="L566" s="51" t="str">
        <f t="shared" si="567"/>
        <v/>
      </c>
      <c r="M566" s="51" t="str">
        <f t="shared" si="567"/>
        <v/>
      </c>
      <c r="N566" s="51" t="str">
        <f t="shared" si="567"/>
        <v/>
      </c>
      <c r="O566" s="51" t="str">
        <f t="shared" si="567"/>
        <v/>
      </c>
      <c r="P566" s="51" t="str">
        <f t="shared" si="567"/>
        <v/>
      </c>
      <c r="Q566" s="51" t="str">
        <f t="shared" si="567"/>
        <v/>
      </c>
      <c r="R566" s="51" t="str">
        <f t="shared" si="567"/>
        <v/>
      </c>
      <c r="S566" s="51" t="str">
        <f t="shared" si="567"/>
        <v/>
      </c>
      <c r="T566" s="51" t="str">
        <f t="shared" si="567"/>
        <v/>
      </c>
      <c r="U566" s="52"/>
      <c r="V566" s="52" t="str">
        <f>IFERROR(__xludf.DUMMYFUNCTION("""COMPUTED_VALUE"""),"")</f>
        <v/>
      </c>
      <c r="W566" s="52" t="str">
        <f>IFERROR(__xludf.DUMMYFUNCTION("""COMPUTED_VALUE"""),"")</f>
        <v/>
      </c>
      <c r="X566" s="52" t="str">
        <f>IFERROR(__xludf.DUMMYFUNCTION("""COMPUTED_VALUE"""),"")</f>
        <v/>
      </c>
      <c r="Y566" s="52" t="str">
        <f>IFERROR(__xludf.DUMMYFUNCTION("""COMPUTED_VALUE"""),"")</f>
        <v/>
      </c>
      <c r="Z566" s="52" t="str">
        <f>IFERROR(__xludf.DUMMYFUNCTION("""COMPUTED_VALUE"""),"")</f>
        <v/>
      </c>
      <c r="AA566" s="52" t="str">
        <f>IFERROR(__xludf.DUMMYFUNCTION("""COMPUTED_VALUE"""),"")</f>
        <v/>
      </c>
      <c r="AB566" s="52" t="str">
        <f>IFERROR(__xludf.DUMMYFUNCTION("""COMPUTED_VALUE"""),"")</f>
        <v/>
      </c>
      <c r="AC566" s="52" t="str">
        <f>IFERROR(__xludf.DUMMYFUNCTION("""COMPUTED_VALUE"""),"")</f>
        <v/>
      </c>
      <c r="AD566" s="52" t="str">
        <f>IFERROR(__xludf.DUMMYFUNCTION("""COMPUTED_VALUE"""),"")</f>
        <v/>
      </c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</row>
    <row r="567">
      <c r="B567" s="49"/>
      <c r="C567" s="49" t="str">
        <f t="shared" si="2"/>
        <v/>
      </c>
      <c r="D567" s="50" t="str">
        <f t="shared" si="3"/>
        <v/>
      </c>
      <c r="E567" s="51" t="str">
        <f t="shared" ref="E567:T567" si="568">IFERROR(VLOOKUP($A567,INDIRECT("'" &amp; E$1 &amp; "'!$C:$G"), 5, FALSE),"")</f>
        <v/>
      </c>
      <c r="F567" s="51" t="str">
        <f t="shared" si="568"/>
        <v/>
      </c>
      <c r="G567" s="51" t="str">
        <f t="shared" si="568"/>
        <v/>
      </c>
      <c r="H567" s="51" t="str">
        <f t="shared" si="568"/>
        <v/>
      </c>
      <c r="I567" s="51" t="str">
        <f t="shared" si="568"/>
        <v/>
      </c>
      <c r="J567" s="51" t="str">
        <f t="shared" si="568"/>
        <v/>
      </c>
      <c r="K567" s="51" t="str">
        <f t="shared" si="568"/>
        <v/>
      </c>
      <c r="L567" s="51" t="str">
        <f t="shared" si="568"/>
        <v/>
      </c>
      <c r="M567" s="51" t="str">
        <f t="shared" si="568"/>
        <v/>
      </c>
      <c r="N567" s="51" t="str">
        <f t="shared" si="568"/>
        <v/>
      </c>
      <c r="O567" s="51" t="str">
        <f t="shared" si="568"/>
        <v/>
      </c>
      <c r="P567" s="51" t="str">
        <f t="shared" si="568"/>
        <v/>
      </c>
      <c r="Q567" s="51" t="str">
        <f t="shared" si="568"/>
        <v/>
      </c>
      <c r="R567" s="51" t="str">
        <f t="shared" si="568"/>
        <v/>
      </c>
      <c r="S567" s="51" t="str">
        <f t="shared" si="568"/>
        <v/>
      </c>
      <c r="T567" s="51" t="str">
        <f t="shared" si="568"/>
        <v/>
      </c>
      <c r="U567" s="52"/>
      <c r="V567" s="52" t="str">
        <f>IFERROR(__xludf.DUMMYFUNCTION("""COMPUTED_VALUE"""),"")</f>
        <v/>
      </c>
      <c r="W567" s="52" t="str">
        <f>IFERROR(__xludf.DUMMYFUNCTION("""COMPUTED_VALUE"""),"")</f>
        <v/>
      </c>
      <c r="X567" s="52" t="str">
        <f>IFERROR(__xludf.DUMMYFUNCTION("""COMPUTED_VALUE"""),"")</f>
        <v/>
      </c>
      <c r="Y567" s="52" t="str">
        <f>IFERROR(__xludf.DUMMYFUNCTION("""COMPUTED_VALUE"""),"")</f>
        <v/>
      </c>
      <c r="Z567" s="52" t="str">
        <f>IFERROR(__xludf.DUMMYFUNCTION("""COMPUTED_VALUE"""),"")</f>
        <v/>
      </c>
      <c r="AA567" s="52" t="str">
        <f>IFERROR(__xludf.DUMMYFUNCTION("""COMPUTED_VALUE"""),"")</f>
        <v/>
      </c>
      <c r="AB567" s="52" t="str">
        <f>IFERROR(__xludf.DUMMYFUNCTION("""COMPUTED_VALUE"""),"")</f>
        <v/>
      </c>
      <c r="AC567" s="52" t="str">
        <f>IFERROR(__xludf.DUMMYFUNCTION("""COMPUTED_VALUE"""),"")</f>
        <v/>
      </c>
      <c r="AD567" s="52" t="str">
        <f>IFERROR(__xludf.DUMMYFUNCTION("""COMPUTED_VALUE"""),"")</f>
        <v/>
      </c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</row>
    <row r="568">
      <c r="B568" s="49"/>
      <c r="C568" s="49" t="str">
        <f t="shared" si="2"/>
        <v/>
      </c>
      <c r="D568" s="50" t="str">
        <f t="shared" si="3"/>
        <v/>
      </c>
      <c r="E568" s="51" t="str">
        <f t="shared" ref="E568:T568" si="569">IFERROR(VLOOKUP($A568,INDIRECT("'" &amp; E$1 &amp; "'!$C:$G"), 5, FALSE),"")</f>
        <v/>
      </c>
      <c r="F568" s="51" t="str">
        <f t="shared" si="569"/>
        <v/>
      </c>
      <c r="G568" s="51" t="str">
        <f t="shared" si="569"/>
        <v/>
      </c>
      <c r="H568" s="51" t="str">
        <f t="shared" si="569"/>
        <v/>
      </c>
      <c r="I568" s="51" t="str">
        <f t="shared" si="569"/>
        <v/>
      </c>
      <c r="J568" s="51" t="str">
        <f t="shared" si="569"/>
        <v/>
      </c>
      <c r="K568" s="51" t="str">
        <f t="shared" si="569"/>
        <v/>
      </c>
      <c r="L568" s="51" t="str">
        <f t="shared" si="569"/>
        <v/>
      </c>
      <c r="M568" s="51" t="str">
        <f t="shared" si="569"/>
        <v/>
      </c>
      <c r="N568" s="51" t="str">
        <f t="shared" si="569"/>
        <v/>
      </c>
      <c r="O568" s="51" t="str">
        <f t="shared" si="569"/>
        <v/>
      </c>
      <c r="P568" s="51" t="str">
        <f t="shared" si="569"/>
        <v/>
      </c>
      <c r="Q568" s="51" t="str">
        <f t="shared" si="569"/>
        <v/>
      </c>
      <c r="R568" s="51" t="str">
        <f t="shared" si="569"/>
        <v/>
      </c>
      <c r="S568" s="51" t="str">
        <f t="shared" si="569"/>
        <v/>
      </c>
      <c r="T568" s="51" t="str">
        <f t="shared" si="569"/>
        <v/>
      </c>
      <c r="U568" s="52"/>
      <c r="V568" s="52" t="str">
        <f>IFERROR(__xludf.DUMMYFUNCTION("""COMPUTED_VALUE"""),"")</f>
        <v/>
      </c>
      <c r="W568" s="52" t="str">
        <f>IFERROR(__xludf.DUMMYFUNCTION("""COMPUTED_VALUE"""),"")</f>
        <v/>
      </c>
      <c r="X568" s="52" t="str">
        <f>IFERROR(__xludf.DUMMYFUNCTION("""COMPUTED_VALUE"""),"")</f>
        <v/>
      </c>
      <c r="Y568" s="52" t="str">
        <f>IFERROR(__xludf.DUMMYFUNCTION("""COMPUTED_VALUE"""),"")</f>
        <v/>
      </c>
      <c r="Z568" s="52" t="str">
        <f>IFERROR(__xludf.DUMMYFUNCTION("""COMPUTED_VALUE"""),"")</f>
        <v/>
      </c>
      <c r="AA568" s="52" t="str">
        <f>IFERROR(__xludf.DUMMYFUNCTION("""COMPUTED_VALUE"""),"")</f>
        <v/>
      </c>
      <c r="AB568" s="52" t="str">
        <f>IFERROR(__xludf.DUMMYFUNCTION("""COMPUTED_VALUE"""),"")</f>
        <v/>
      </c>
      <c r="AC568" s="52" t="str">
        <f>IFERROR(__xludf.DUMMYFUNCTION("""COMPUTED_VALUE"""),"")</f>
        <v/>
      </c>
      <c r="AD568" s="52" t="str">
        <f>IFERROR(__xludf.DUMMYFUNCTION("""COMPUTED_VALUE"""),"")</f>
        <v/>
      </c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</row>
    <row r="569">
      <c r="B569" s="49"/>
      <c r="C569" s="49" t="str">
        <f t="shared" si="2"/>
        <v/>
      </c>
      <c r="D569" s="50" t="str">
        <f t="shared" si="3"/>
        <v/>
      </c>
      <c r="E569" s="51" t="str">
        <f t="shared" ref="E569:T569" si="570">IFERROR(VLOOKUP($A569,INDIRECT("'" &amp; E$1 &amp; "'!$C:$G"), 5, FALSE),"")</f>
        <v/>
      </c>
      <c r="F569" s="51" t="str">
        <f t="shared" si="570"/>
        <v/>
      </c>
      <c r="G569" s="51" t="str">
        <f t="shared" si="570"/>
        <v/>
      </c>
      <c r="H569" s="51" t="str">
        <f t="shared" si="570"/>
        <v/>
      </c>
      <c r="I569" s="51" t="str">
        <f t="shared" si="570"/>
        <v/>
      </c>
      <c r="J569" s="51" t="str">
        <f t="shared" si="570"/>
        <v/>
      </c>
      <c r="K569" s="51" t="str">
        <f t="shared" si="570"/>
        <v/>
      </c>
      <c r="L569" s="51" t="str">
        <f t="shared" si="570"/>
        <v/>
      </c>
      <c r="M569" s="51" t="str">
        <f t="shared" si="570"/>
        <v/>
      </c>
      <c r="N569" s="51" t="str">
        <f t="shared" si="570"/>
        <v/>
      </c>
      <c r="O569" s="51" t="str">
        <f t="shared" si="570"/>
        <v/>
      </c>
      <c r="P569" s="51" t="str">
        <f t="shared" si="570"/>
        <v/>
      </c>
      <c r="Q569" s="51" t="str">
        <f t="shared" si="570"/>
        <v/>
      </c>
      <c r="R569" s="51" t="str">
        <f t="shared" si="570"/>
        <v/>
      </c>
      <c r="S569" s="51" t="str">
        <f t="shared" si="570"/>
        <v/>
      </c>
      <c r="T569" s="51" t="str">
        <f t="shared" si="570"/>
        <v/>
      </c>
      <c r="U569" s="52"/>
      <c r="V569" s="52" t="str">
        <f>IFERROR(__xludf.DUMMYFUNCTION("""COMPUTED_VALUE"""),"")</f>
        <v/>
      </c>
      <c r="W569" s="52" t="str">
        <f>IFERROR(__xludf.DUMMYFUNCTION("""COMPUTED_VALUE"""),"")</f>
        <v/>
      </c>
      <c r="X569" s="52" t="str">
        <f>IFERROR(__xludf.DUMMYFUNCTION("""COMPUTED_VALUE"""),"")</f>
        <v/>
      </c>
      <c r="Y569" s="52" t="str">
        <f>IFERROR(__xludf.DUMMYFUNCTION("""COMPUTED_VALUE"""),"")</f>
        <v/>
      </c>
      <c r="Z569" s="52" t="str">
        <f>IFERROR(__xludf.DUMMYFUNCTION("""COMPUTED_VALUE"""),"")</f>
        <v/>
      </c>
      <c r="AA569" s="52" t="str">
        <f>IFERROR(__xludf.DUMMYFUNCTION("""COMPUTED_VALUE"""),"")</f>
        <v/>
      </c>
      <c r="AB569" s="52" t="str">
        <f>IFERROR(__xludf.DUMMYFUNCTION("""COMPUTED_VALUE"""),"")</f>
        <v/>
      </c>
      <c r="AC569" s="52" t="str">
        <f>IFERROR(__xludf.DUMMYFUNCTION("""COMPUTED_VALUE"""),"")</f>
        <v/>
      </c>
      <c r="AD569" s="52" t="str">
        <f>IFERROR(__xludf.DUMMYFUNCTION("""COMPUTED_VALUE"""),"")</f>
        <v/>
      </c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</row>
    <row r="570">
      <c r="B570" s="49"/>
      <c r="C570" s="49" t="str">
        <f t="shared" si="2"/>
        <v/>
      </c>
      <c r="D570" s="50" t="str">
        <f t="shared" si="3"/>
        <v/>
      </c>
      <c r="E570" s="51" t="str">
        <f t="shared" ref="E570:T570" si="571">IFERROR(VLOOKUP($A570,INDIRECT("'" &amp; E$1 &amp; "'!$C:$G"), 5, FALSE),"")</f>
        <v/>
      </c>
      <c r="F570" s="51" t="str">
        <f t="shared" si="571"/>
        <v/>
      </c>
      <c r="G570" s="51" t="str">
        <f t="shared" si="571"/>
        <v/>
      </c>
      <c r="H570" s="51" t="str">
        <f t="shared" si="571"/>
        <v/>
      </c>
      <c r="I570" s="51" t="str">
        <f t="shared" si="571"/>
        <v/>
      </c>
      <c r="J570" s="51" t="str">
        <f t="shared" si="571"/>
        <v/>
      </c>
      <c r="K570" s="51" t="str">
        <f t="shared" si="571"/>
        <v/>
      </c>
      <c r="L570" s="51" t="str">
        <f t="shared" si="571"/>
        <v/>
      </c>
      <c r="M570" s="51" t="str">
        <f t="shared" si="571"/>
        <v/>
      </c>
      <c r="N570" s="51" t="str">
        <f t="shared" si="571"/>
        <v/>
      </c>
      <c r="O570" s="51" t="str">
        <f t="shared" si="571"/>
        <v/>
      </c>
      <c r="P570" s="51" t="str">
        <f t="shared" si="571"/>
        <v/>
      </c>
      <c r="Q570" s="51" t="str">
        <f t="shared" si="571"/>
        <v/>
      </c>
      <c r="R570" s="51" t="str">
        <f t="shared" si="571"/>
        <v/>
      </c>
      <c r="S570" s="51" t="str">
        <f t="shared" si="571"/>
        <v/>
      </c>
      <c r="T570" s="51" t="str">
        <f t="shared" si="571"/>
        <v/>
      </c>
      <c r="U570" s="52"/>
      <c r="V570" s="52" t="str">
        <f>IFERROR(__xludf.DUMMYFUNCTION("""COMPUTED_VALUE"""),"")</f>
        <v/>
      </c>
      <c r="W570" s="52" t="str">
        <f>IFERROR(__xludf.DUMMYFUNCTION("""COMPUTED_VALUE"""),"")</f>
        <v/>
      </c>
      <c r="X570" s="52" t="str">
        <f>IFERROR(__xludf.DUMMYFUNCTION("""COMPUTED_VALUE"""),"")</f>
        <v/>
      </c>
      <c r="Y570" s="52" t="str">
        <f>IFERROR(__xludf.DUMMYFUNCTION("""COMPUTED_VALUE"""),"")</f>
        <v/>
      </c>
      <c r="Z570" s="52" t="str">
        <f>IFERROR(__xludf.DUMMYFUNCTION("""COMPUTED_VALUE"""),"")</f>
        <v/>
      </c>
      <c r="AA570" s="52" t="str">
        <f>IFERROR(__xludf.DUMMYFUNCTION("""COMPUTED_VALUE"""),"")</f>
        <v/>
      </c>
      <c r="AB570" s="52" t="str">
        <f>IFERROR(__xludf.DUMMYFUNCTION("""COMPUTED_VALUE"""),"")</f>
        <v/>
      </c>
      <c r="AC570" s="52" t="str">
        <f>IFERROR(__xludf.DUMMYFUNCTION("""COMPUTED_VALUE"""),"")</f>
        <v/>
      </c>
      <c r="AD570" s="52" t="str">
        <f>IFERROR(__xludf.DUMMYFUNCTION("""COMPUTED_VALUE"""),"")</f>
        <v/>
      </c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</row>
    <row r="571">
      <c r="B571" s="49"/>
      <c r="C571" s="49" t="str">
        <f t="shared" si="2"/>
        <v/>
      </c>
      <c r="D571" s="50" t="str">
        <f t="shared" si="3"/>
        <v/>
      </c>
      <c r="E571" s="51" t="str">
        <f t="shared" ref="E571:T571" si="572">IFERROR(VLOOKUP($A571,INDIRECT("'" &amp; E$1 &amp; "'!$C:$G"), 5, FALSE),"")</f>
        <v/>
      </c>
      <c r="F571" s="51" t="str">
        <f t="shared" si="572"/>
        <v/>
      </c>
      <c r="G571" s="51" t="str">
        <f t="shared" si="572"/>
        <v/>
      </c>
      <c r="H571" s="51" t="str">
        <f t="shared" si="572"/>
        <v/>
      </c>
      <c r="I571" s="51" t="str">
        <f t="shared" si="572"/>
        <v/>
      </c>
      <c r="J571" s="51" t="str">
        <f t="shared" si="572"/>
        <v/>
      </c>
      <c r="K571" s="51" t="str">
        <f t="shared" si="572"/>
        <v/>
      </c>
      <c r="L571" s="51" t="str">
        <f t="shared" si="572"/>
        <v/>
      </c>
      <c r="M571" s="51" t="str">
        <f t="shared" si="572"/>
        <v/>
      </c>
      <c r="N571" s="51" t="str">
        <f t="shared" si="572"/>
        <v/>
      </c>
      <c r="O571" s="51" t="str">
        <f t="shared" si="572"/>
        <v/>
      </c>
      <c r="P571" s="51" t="str">
        <f t="shared" si="572"/>
        <v/>
      </c>
      <c r="Q571" s="51" t="str">
        <f t="shared" si="572"/>
        <v/>
      </c>
      <c r="R571" s="51" t="str">
        <f t="shared" si="572"/>
        <v/>
      </c>
      <c r="S571" s="51" t="str">
        <f t="shared" si="572"/>
        <v/>
      </c>
      <c r="T571" s="51" t="str">
        <f t="shared" si="572"/>
        <v/>
      </c>
      <c r="U571" s="52"/>
      <c r="V571" s="52" t="str">
        <f>IFERROR(__xludf.DUMMYFUNCTION("""COMPUTED_VALUE"""),"")</f>
        <v/>
      </c>
      <c r="W571" s="52" t="str">
        <f>IFERROR(__xludf.DUMMYFUNCTION("""COMPUTED_VALUE"""),"")</f>
        <v/>
      </c>
      <c r="X571" s="52" t="str">
        <f>IFERROR(__xludf.DUMMYFUNCTION("""COMPUTED_VALUE"""),"")</f>
        <v/>
      </c>
      <c r="Y571" s="52" t="str">
        <f>IFERROR(__xludf.DUMMYFUNCTION("""COMPUTED_VALUE"""),"")</f>
        <v/>
      </c>
      <c r="Z571" s="52" t="str">
        <f>IFERROR(__xludf.DUMMYFUNCTION("""COMPUTED_VALUE"""),"")</f>
        <v/>
      </c>
      <c r="AA571" s="52" t="str">
        <f>IFERROR(__xludf.DUMMYFUNCTION("""COMPUTED_VALUE"""),"")</f>
        <v/>
      </c>
      <c r="AB571" s="52" t="str">
        <f>IFERROR(__xludf.DUMMYFUNCTION("""COMPUTED_VALUE"""),"")</f>
        <v/>
      </c>
      <c r="AC571" s="52" t="str">
        <f>IFERROR(__xludf.DUMMYFUNCTION("""COMPUTED_VALUE"""),"")</f>
        <v/>
      </c>
      <c r="AD571" s="52" t="str">
        <f>IFERROR(__xludf.DUMMYFUNCTION("""COMPUTED_VALUE"""),"")</f>
        <v/>
      </c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</row>
    <row r="572">
      <c r="B572" s="49"/>
      <c r="C572" s="49" t="str">
        <f t="shared" si="2"/>
        <v/>
      </c>
      <c r="D572" s="50" t="str">
        <f t="shared" si="3"/>
        <v/>
      </c>
      <c r="E572" s="51" t="str">
        <f t="shared" ref="E572:T572" si="573">IFERROR(VLOOKUP($A572,INDIRECT("'" &amp; E$1 &amp; "'!$C:$G"), 5, FALSE),"")</f>
        <v/>
      </c>
      <c r="F572" s="51" t="str">
        <f t="shared" si="573"/>
        <v/>
      </c>
      <c r="G572" s="51" t="str">
        <f t="shared" si="573"/>
        <v/>
      </c>
      <c r="H572" s="51" t="str">
        <f t="shared" si="573"/>
        <v/>
      </c>
      <c r="I572" s="51" t="str">
        <f t="shared" si="573"/>
        <v/>
      </c>
      <c r="J572" s="51" t="str">
        <f t="shared" si="573"/>
        <v/>
      </c>
      <c r="K572" s="51" t="str">
        <f t="shared" si="573"/>
        <v/>
      </c>
      <c r="L572" s="51" t="str">
        <f t="shared" si="573"/>
        <v/>
      </c>
      <c r="M572" s="51" t="str">
        <f t="shared" si="573"/>
        <v/>
      </c>
      <c r="N572" s="51" t="str">
        <f t="shared" si="573"/>
        <v/>
      </c>
      <c r="O572" s="51" t="str">
        <f t="shared" si="573"/>
        <v/>
      </c>
      <c r="P572" s="51" t="str">
        <f t="shared" si="573"/>
        <v/>
      </c>
      <c r="Q572" s="51" t="str">
        <f t="shared" si="573"/>
        <v/>
      </c>
      <c r="R572" s="51" t="str">
        <f t="shared" si="573"/>
        <v/>
      </c>
      <c r="S572" s="51" t="str">
        <f t="shared" si="573"/>
        <v/>
      </c>
      <c r="T572" s="51" t="str">
        <f t="shared" si="573"/>
        <v/>
      </c>
      <c r="U572" s="52"/>
      <c r="V572" s="52" t="str">
        <f>IFERROR(__xludf.DUMMYFUNCTION("""COMPUTED_VALUE"""),"")</f>
        <v/>
      </c>
      <c r="W572" s="52" t="str">
        <f>IFERROR(__xludf.DUMMYFUNCTION("""COMPUTED_VALUE"""),"")</f>
        <v/>
      </c>
      <c r="X572" s="52" t="str">
        <f>IFERROR(__xludf.DUMMYFUNCTION("""COMPUTED_VALUE"""),"")</f>
        <v/>
      </c>
      <c r="Y572" s="52" t="str">
        <f>IFERROR(__xludf.DUMMYFUNCTION("""COMPUTED_VALUE"""),"")</f>
        <v/>
      </c>
      <c r="Z572" s="52" t="str">
        <f>IFERROR(__xludf.DUMMYFUNCTION("""COMPUTED_VALUE"""),"")</f>
        <v/>
      </c>
      <c r="AA572" s="52" t="str">
        <f>IFERROR(__xludf.DUMMYFUNCTION("""COMPUTED_VALUE"""),"")</f>
        <v/>
      </c>
      <c r="AB572" s="52" t="str">
        <f>IFERROR(__xludf.DUMMYFUNCTION("""COMPUTED_VALUE"""),"")</f>
        <v/>
      </c>
      <c r="AC572" s="52" t="str">
        <f>IFERROR(__xludf.DUMMYFUNCTION("""COMPUTED_VALUE"""),"")</f>
        <v/>
      </c>
      <c r="AD572" s="52" t="str">
        <f>IFERROR(__xludf.DUMMYFUNCTION("""COMPUTED_VALUE"""),"")</f>
        <v/>
      </c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</row>
    <row r="573">
      <c r="B573" s="49"/>
      <c r="C573" s="49" t="str">
        <f t="shared" si="2"/>
        <v/>
      </c>
      <c r="D573" s="50" t="str">
        <f t="shared" si="3"/>
        <v/>
      </c>
      <c r="E573" s="51" t="str">
        <f t="shared" ref="E573:T573" si="574">IFERROR(VLOOKUP($A573,INDIRECT("'" &amp; E$1 &amp; "'!$C:$G"), 5, FALSE),"")</f>
        <v/>
      </c>
      <c r="F573" s="51" t="str">
        <f t="shared" si="574"/>
        <v/>
      </c>
      <c r="G573" s="51" t="str">
        <f t="shared" si="574"/>
        <v/>
      </c>
      <c r="H573" s="51" t="str">
        <f t="shared" si="574"/>
        <v/>
      </c>
      <c r="I573" s="51" t="str">
        <f t="shared" si="574"/>
        <v/>
      </c>
      <c r="J573" s="51" t="str">
        <f t="shared" si="574"/>
        <v/>
      </c>
      <c r="K573" s="51" t="str">
        <f t="shared" si="574"/>
        <v/>
      </c>
      <c r="L573" s="51" t="str">
        <f t="shared" si="574"/>
        <v/>
      </c>
      <c r="M573" s="51" t="str">
        <f t="shared" si="574"/>
        <v/>
      </c>
      <c r="N573" s="51" t="str">
        <f t="shared" si="574"/>
        <v/>
      </c>
      <c r="O573" s="51" t="str">
        <f t="shared" si="574"/>
        <v/>
      </c>
      <c r="P573" s="51" t="str">
        <f t="shared" si="574"/>
        <v/>
      </c>
      <c r="Q573" s="51" t="str">
        <f t="shared" si="574"/>
        <v/>
      </c>
      <c r="R573" s="51" t="str">
        <f t="shared" si="574"/>
        <v/>
      </c>
      <c r="S573" s="51" t="str">
        <f t="shared" si="574"/>
        <v/>
      </c>
      <c r="T573" s="51" t="str">
        <f t="shared" si="574"/>
        <v/>
      </c>
      <c r="U573" s="52"/>
      <c r="V573" s="52" t="str">
        <f>IFERROR(__xludf.DUMMYFUNCTION("""COMPUTED_VALUE"""),"")</f>
        <v/>
      </c>
      <c r="W573" s="52" t="str">
        <f>IFERROR(__xludf.DUMMYFUNCTION("""COMPUTED_VALUE"""),"")</f>
        <v/>
      </c>
      <c r="X573" s="52" t="str">
        <f>IFERROR(__xludf.DUMMYFUNCTION("""COMPUTED_VALUE"""),"")</f>
        <v/>
      </c>
      <c r="Y573" s="52" t="str">
        <f>IFERROR(__xludf.DUMMYFUNCTION("""COMPUTED_VALUE"""),"")</f>
        <v/>
      </c>
      <c r="Z573" s="52" t="str">
        <f>IFERROR(__xludf.DUMMYFUNCTION("""COMPUTED_VALUE"""),"")</f>
        <v/>
      </c>
      <c r="AA573" s="52" t="str">
        <f>IFERROR(__xludf.DUMMYFUNCTION("""COMPUTED_VALUE"""),"")</f>
        <v/>
      </c>
      <c r="AB573" s="52" t="str">
        <f>IFERROR(__xludf.DUMMYFUNCTION("""COMPUTED_VALUE"""),"")</f>
        <v/>
      </c>
      <c r="AC573" s="52" t="str">
        <f>IFERROR(__xludf.DUMMYFUNCTION("""COMPUTED_VALUE"""),"")</f>
        <v/>
      </c>
      <c r="AD573" s="52" t="str">
        <f>IFERROR(__xludf.DUMMYFUNCTION("""COMPUTED_VALUE"""),"")</f>
        <v/>
      </c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</row>
    <row r="574">
      <c r="B574" s="49"/>
      <c r="C574" s="49" t="str">
        <f t="shared" si="2"/>
        <v/>
      </c>
      <c r="D574" s="50" t="str">
        <f t="shared" si="3"/>
        <v/>
      </c>
      <c r="E574" s="51" t="str">
        <f t="shared" ref="E574:T574" si="575">IFERROR(VLOOKUP($A574,INDIRECT("'" &amp; E$1 &amp; "'!$C:$G"), 5, FALSE),"")</f>
        <v/>
      </c>
      <c r="F574" s="51" t="str">
        <f t="shared" si="575"/>
        <v/>
      </c>
      <c r="G574" s="51" t="str">
        <f t="shared" si="575"/>
        <v/>
      </c>
      <c r="H574" s="51" t="str">
        <f t="shared" si="575"/>
        <v/>
      </c>
      <c r="I574" s="51" t="str">
        <f t="shared" si="575"/>
        <v/>
      </c>
      <c r="J574" s="51" t="str">
        <f t="shared" si="575"/>
        <v/>
      </c>
      <c r="K574" s="51" t="str">
        <f t="shared" si="575"/>
        <v/>
      </c>
      <c r="L574" s="51" t="str">
        <f t="shared" si="575"/>
        <v/>
      </c>
      <c r="M574" s="51" t="str">
        <f t="shared" si="575"/>
        <v/>
      </c>
      <c r="N574" s="51" t="str">
        <f t="shared" si="575"/>
        <v/>
      </c>
      <c r="O574" s="51" t="str">
        <f t="shared" si="575"/>
        <v/>
      </c>
      <c r="P574" s="51" t="str">
        <f t="shared" si="575"/>
        <v/>
      </c>
      <c r="Q574" s="51" t="str">
        <f t="shared" si="575"/>
        <v/>
      </c>
      <c r="R574" s="51" t="str">
        <f t="shared" si="575"/>
        <v/>
      </c>
      <c r="S574" s="51" t="str">
        <f t="shared" si="575"/>
        <v/>
      </c>
      <c r="T574" s="51" t="str">
        <f t="shared" si="575"/>
        <v/>
      </c>
      <c r="U574" s="52"/>
      <c r="V574" s="52" t="str">
        <f>IFERROR(__xludf.DUMMYFUNCTION("""COMPUTED_VALUE"""),"")</f>
        <v/>
      </c>
      <c r="W574" s="52" t="str">
        <f>IFERROR(__xludf.DUMMYFUNCTION("""COMPUTED_VALUE"""),"")</f>
        <v/>
      </c>
      <c r="X574" s="52" t="str">
        <f>IFERROR(__xludf.DUMMYFUNCTION("""COMPUTED_VALUE"""),"")</f>
        <v/>
      </c>
      <c r="Y574" s="52" t="str">
        <f>IFERROR(__xludf.DUMMYFUNCTION("""COMPUTED_VALUE"""),"")</f>
        <v/>
      </c>
      <c r="Z574" s="52" t="str">
        <f>IFERROR(__xludf.DUMMYFUNCTION("""COMPUTED_VALUE"""),"")</f>
        <v/>
      </c>
      <c r="AA574" s="52" t="str">
        <f>IFERROR(__xludf.DUMMYFUNCTION("""COMPUTED_VALUE"""),"")</f>
        <v/>
      </c>
      <c r="AB574" s="52" t="str">
        <f>IFERROR(__xludf.DUMMYFUNCTION("""COMPUTED_VALUE"""),"")</f>
        <v/>
      </c>
      <c r="AC574" s="52" t="str">
        <f>IFERROR(__xludf.DUMMYFUNCTION("""COMPUTED_VALUE"""),"")</f>
        <v/>
      </c>
      <c r="AD574" s="52" t="str">
        <f>IFERROR(__xludf.DUMMYFUNCTION("""COMPUTED_VALUE"""),"")</f>
        <v/>
      </c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</row>
    <row r="575">
      <c r="B575" s="49"/>
      <c r="C575" s="49" t="str">
        <f t="shared" si="2"/>
        <v/>
      </c>
      <c r="D575" s="50" t="str">
        <f t="shared" si="3"/>
        <v/>
      </c>
      <c r="E575" s="51" t="str">
        <f t="shared" ref="E575:T575" si="576">IFERROR(VLOOKUP($A575,INDIRECT("'" &amp; E$1 &amp; "'!$C:$G"), 5, FALSE),"")</f>
        <v/>
      </c>
      <c r="F575" s="51" t="str">
        <f t="shared" si="576"/>
        <v/>
      </c>
      <c r="G575" s="51" t="str">
        <f t="shared" si="576"/>
        <v/>
      </c>
      <c r="H575" s="51" t="str">
        <f t="shared" si="576"/>
        <v/>
      </c>
      <c r="I575" s="51" t="str">
        <f t="shared" si="576"/>
        <v/>
      </c>
      <c r="J575" s="51" t="str">
        <f t="shared" si="576"/>
        <v/>
      </c>
      <c r="K575" s="51" t="str">
        <f t="shared" si="576"/>
        <v/>
      </c>
      <c r="L575" s="51" t="str">
        <f t="shared" si="576"/>
        <v/>
      </c>
      <c r="M575" s="51" t="str">
        <f t="shared" si="576"/>
        <v/>
      </c>
      <c r="N575" s="51" t="str">
        <f t="shared" si="576"/>
        <v/>
      </c>
      <c r="O575" s="51" t="str">
        <f t="shared" si="576"/>
        <v/>
      </c>
      <c r="P575" s="51" t="str">
        <f t="shared" si="576"/>
        <v/>
      </c>
      <c r="Q575" s="51" t="str">
        <f t="shared" si="576"/>
        <v/>
      </c>
      <c r="R575" s="51" t="str">
        <f t="shared" si="576"/>
        <v/>
      </c>
      <c r="S575" s="51" t="str">
        <f t="shared" si="576"/>
        <v/>
      </c>
      <c r="T575" s="51" t="str">
        <f t="shared" si="576"/>
        <v/>
      </c>
      <c r="U575" s="52"/>
      <c r="V575" s="52" t="str">
        <f>IFERROR(__xludf.DUMMYFUNCTION("""COMPUTED_VALUE"""),"")</f>
        <v/>
      </c>
      <c r="W575" s="52" t="str">
        <f>IFERROR(__xludf.DUMMYFUNCTION("""COMPUTED_VALUE"""),"")</f>
        <v/>
      </c>
      <c r="X575" s="52" t="str">
        <f>IFERROR(__xludf.DUMMYFUNCTION("""COMPUTED_VALUE"""),"")</f>
        <v/>
      </c>
      <c r="Y575" s="52" t="str">
        <f>IFERROR(__xludf.DUMMYFUNCTION("""COMPUTED_VALUE"""),"")</f>
        <v/>
      </c>
      <c r="Z575" s="52" t="str">
        <f>IFERROR(__xludf.DUMMYFUNCTION("""COMPUTED_VALUE"""),"")</f>
        <v/>
      </c>
      <c r="AA575" s="52" t="str">
        <f>IFERROR(__xludf.DUMMYFUNCTION("""COMPUTED_VALUE"""),"")</f>
        <v/>
      </c>
      <c r="AB575" s="52" t="str">
        <f>IFERROR(__xludf.DUMMYFUNCTION("""COMPUTED_VALUE"""),"")</f>
        <v/>
      </c>
      <c r="AC575" s="52" t="str">
        <f>IFERROR(__xludf.DUMMYFUNCTION("""COMPUTED_VALUE"""),"")</f>
        <v/>
      </c>
      <c r="AD575" s="52" t="str">
        <f>IFERROR(__xludf.DUMMYFUNCTION("""COMPUTED_VALUE"""),"")</f>
        <v/>
      </c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</row>
    <row r="576">
      <c r="B576" s="49"/>
      <c r="C576" s="49" t="str">
        <f t="shared" si="2"/>
        <v/>
      </c>
      <c r="D576" s="50" t="str">
        <f t="shared" si="3"/>
        <v/>
      </c>
      <c r="E576" s="51" t="str">
        <f t="shared" ref="E576:T576" si="577">IFERROR(VLOOKUP($A576,INDIRECT("'" &amp; E$1 &amp; "'!$C:$G"), 5, FALSE),"")</f>
        <v/>
      </c>
      <c r="F576" s="51" t="str">
        <f t="shared" si="577"/>
        <v/>
      </c>
      <c r="G576" s="51" t="str">
        <f t="shared" si="577"/>
        <v/>
      </c>
      <c r="H576" s="51" t="str">
        <f t="shared" si="577"/>
        <v/>
      </c>
      <c r="I576" s="51" t="str">
        <f t="shared" si="577"/>
        <v/>
      </c>
      <c r="J576" s="51" t="str">
        <f t="shared" si="577"/>
        <v/>
      </c>
      <c r="K576" s="51" t="str">
        <f t="shared" si="577"/>
        <v/>
      </c>
      <c r="L576" s="51" t="str">
        <f t="shared" si="577"/>
        <v/>
      </c>
      <c r="M576" s="51" t="str">
        <f t="shared" si="577"/>
        <v/>
      </c>
      <c r="N576" s="51" t="str">
        <f t="shared" si="577"/>
        <v/>
      </c>
      <c r="O576" s="51" t="str">
        <f t="shared" si="577"/>
        <v/>
      </c>
      <c r="P576" s="51" t="str">
        <f t="shared" si="577"/>
        <v/>
      </c>
      <c r="Q576" s="51" t="str">
        <f t="shared" si="577"/>
        <v/>
      </c>
      <c r="R576" s="51" t="str">
        <f t="shared" si="577"/>
        <v/>
      </c>
      <c r="S576" s="51" t="str">
        <f t="shared" si="577"/>
        <v/>
      </c>
      <c r="T576" s="51" t="str">
        <f t="shared" si="577"/>
        <v/>
      </c>
      <c r="U576" s="52"/>
      <c r="V576" s="52" t="str">
        <f>IFERROR(__xludf.DUMMYFUNCTION("""COMPUTED_VALUE"""),"")</f>
        <v/>
      </c>
      <c r="W576" s="52" t="str">
        <f>IFERROR(__xludf.DUMMYFUNCTION("""COMPUTED_VALUE"""),"")</f>
        <v/>
      </c>
      <c r="X576" s="52" t="str">
        <f>IFERROR(__xludf.DUMMYFUNCTION("""COMPUTED_VALUE"""),"")</f>
        <v/>
      </c>
      <c r="Y576" s="52" t="str">
        <f>IFERROR(__xludf.DUMMYFUNCTION("""COMPUTED_VALUE"""),"")</f>
        <v/>
      </c>
      <c r="Z576" s="52" t="str">
        <f>IFERROR(__xludf.DUMMYFUNCTION("""COMPUTED_VALUE"""),"")</f>
        <v/>
      </c>
      <c r="AA576" s="52" t="str">
        <f>IFERROR(__xludf.DUMMYFUNCTION("""COMPUTED_VALUE"""),"")</f>
        <v/>
      </c>
      <c r="AB576" s="52" t="str">
        <f>IFERROR(__xludf.DUMMYFUNCTION("""COMPUTED_VALUE"""),"")</f>
        <v/>
      </c>
      <c r="AC576" s="52" t="str">
        <f>IFERROR(__xludf.DUMMYFUNCTION("""COMPUTED_VALUE"""),"")</f>
        <v/>
      </c>
      <c r="AD576" s="52" t="str">
        <f>IFERROR(__xludf.DUMMYFUNCTION("""COMPUTED_VALUE"""),"")</f>
        <v/>
      </c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</row>
    <row r="577">
      <c r="B577" s="49"/>
      <c r="C577" s="49" t="str">
        <f t="shared" si="2"/>
        <v/>
      </c>
      <c r="D577" s="50" t="str">
        <f t="shared" si="3"/>
        <v/>
      </c>
      <c r="E577" s="51" t="str">
        <f t="shared" ref="E577:T577" si="578">IFERROR(VLOOKUP($A577,INDIRECT("'" &amp; E$1 &amp; "'!$C:$G"), 5, FALSE),"")</f>
        <v/>
      </c>
      <c r="F577" s="51" t="str">
        <f t="shared" si="578"/>
        <v/>
      </c>
      <c r="G577" s="51" t="str">
        <f t="shared" si="578"/>
        <v/>
      </c>
      <c r="H577" s="51" t="str">
        <f t="shared" si="578"/>
        <v/>
      </c>
      <c r="I577" s="51" t="str">
        <f t="shared" si="578"/>
        <v/>
      </c>
      <c r="J577" s="51" t="str">
        <f t="shared" si="578"/>
        <v/>
      </c>
      <c r="K577" s="51" t="str">
        <f t="shared" si="578"/>
        <v/>
      </c>
      <c r="L577" s="51" t="str">
        <f t="shared" si="578"/>
        <v/>
      </c>
      <c r="M577" s="51" t="str">
        <f t="shared" si="578"/>
        <v/>
      </c>
      <c r="N577" s="51" t="str">
        <f t="shared" si="578"/>
        <v/>
      </c>
      <c r="O577" s="51" t="str">
        <f t="shared" si="578"/>
        <v/>
      </c>
      <c r="P577" s="51" t="str">
        <f t="shared" si="578"/>
        <v/>
      </c>
      <c r="Q577" s="51" t="str">
        <f t="shared" si="578"/>
        <v/>
      </c>
      <c r="R577" s="51" t="str">
        <f t="shared" si="578"/>
        <v/>
      </c>
      <c r="S577" s="51" t="str">
        <f t="shared" si="578"/>
        <v/>
      </c>
      <c r="T577" s="51" t="str">
        <f t="shared" si="578"/>
        <v/>
      </c>
      <c r="U577" s="52"/>
      <c r="V577" s="52" t="str">
        <f>IFERROR(__xludf.DUMMYFUNCTION("""COMPUTED_VALUE"""),"")</f>
        <v/>
      </c>
      <c r="W577" s="52" t="str">
        <f>IFERROR(__xludf.DUMMYFUNCTION("""COMPUTED_VALUE"""),"")</f>
        <v/>
      </c>
      <c r="X577" s="52" t="str">
        <f>IFERROR(__xludf.DUMMYFUNCTION("""COMPUTED_VALUE"""),"")</f>
        <v/>
      </c>
      <c r="Y577" s="52" t="str">
        <f>IFERROR(__xludf.DUMMYFUNCTION("""COMPUTED_VALUE"""),"")</f>
        <v/>
      </c>
      <c r="Z577" s="52" t="str">
        <f>IFERROR(__xludf.DUMMYFUNCTION("""COMPUTED_VALUE"""),"")</f>
        <v/>
      </c>
      <c r="AA577" s="52" t="str">
        <f>IFERROR(__xludf.DUMMYFUNCTION("""COMPUTED_VALUE"""),"")</f>
        <v/>
      </c>
      <c r="AB577" s="52" t="str">
        <f>IFERROR(__xludf.DUMMYFUNCTION("""COMPUTED_VALUE"""),"")</f>
        <v/>
      </c>
      <c r="AC577" s="52" t="str">
        <f>IFERROR(__xludf.DUMMYFUNCTION("""COMPUTED_VALUE"""),"")</f>
        <v/>
      </c>
      <c r="AD577" s="52" t="str">
        <f>IFERROR(__xludf.DUMMYFUNCTION("""COMPUTED_VALUE"""),"")</f>
        <v/>
      </c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</row>
    <row r="578">
      <c r="B578" s="49"/>
      <c r="C578" s="49" t="str">
        <f t="shared" si="2"/>
        <v/>
      </c>
      <c r="D578" s="50" t="str">
        <f t="shared" si="3"/>
        <v/>
      </c>
      <c r="E578" s="51" t="str">
        <f t="shared" ref="E578:T578" si="579">IFERROR(VLOOKUP($A578,INDIRECT("'" &amp; E$1 &amp; "'!$C:$G"), 5, FALSE),"")</f>
        <v/>
      </c>
      <c r="F578" s="51" t="str">
        <f t="shared" si="579"/>
        <v/>
      </c>
      <c r="G578" s="51" t="str">
        <f t="shared" si="579"/>
        <v/>
      </c>
      <c r="H578" s="51" t="str">
        <f t="shared" si="579"/>
        <v/>
      </c>
      <c r="I578" s="51" t="str">
        <f t="shared" si="579"/>
        <v/>
      </c>
      <c r="J578" s="51" t="str">
        <f t="shared" si="579"/>
        <v/>
      </c>
      <c r="K578" s="51" t="str">
        <f t="shared" si="579"/>
        <v/>
      </c>
      <c r="L578" s="51" t="str">
        <f t="shared" si="579"/>
        <v/>
      </c>
      <c r="M578" s="51" t="str">
        <f t="shared" si="579"/>
        <v/>
      </c>
      <c r="N578" s="51" t="str">
        <f t="shared" si="579"/>
        <v/>
      </c>
      <c r="O578" s="51" t="str">
        <f t="shared" si="579"/>
        <v/>
      </c>
      <c r="P578" s="51" t="str">
        <f t="shared" si="579"/>
        <v/>
      </c>
      <c r="Q578" s="51" t="str">
        <f t="shared" si="579"/>
        <v/>
      </c>
      <c r="R578" s="51" t="str">
        <f t="shared" si="579"/>
        <v/>
      </c>
      <c r="S578" s="51" t="str">
        <f t="shared" si="579"/>
        <v/>
      </c>
      <c r="T578" s="51" t="str">
        <f t="shared" si="579"/>
        <v/>
      </c>
      <c r="U578" s="52"/>
      <c r="V578" s="52" t="str">
        <f>IFERROR(__xludf.DUMMYFUNCTION("""COMPUTED_VALUE"""),"")</f>
        <v/>
      </c>
      <c r="W578" s="52" t="str">
        <f>IFERROR(__xludf.DUMMYFUNCTION("""COMPUTED_VALUE"""),"")</f>
        <v/>
      </c>
      <c r="X578" s="52" t="str">
        <f>IFERROR(__xludf.DUMMYFUNCTION("""COMPUTED_VALUE"""),"")</f>
        <v/>
      </c>
      <c r="Y578" s="52" t="str">
        <f>IFERROR(__xludf.DUMMYFUNCTION("""COMPUTED_VALUE"""),"")</f>
        <v/>
      </c>
      <c r="Z578" s="52" t="str">
        <f>IFERROR(__xludf.DUMMYFUNCTION("""COMPUTED_VALUE"""),"")</f>
        <v/>
      </c>
      <c r="AA578" s="52" t="str">
        <f>IFERROR(__xludf.DUMMYFUNCTION("""COMPUTED_VALUE"""),"")</f>
        <v/>
      </c>
      <c r="AB578" s="52" t="str">
        <f>IFERROR(__xludf.DUMMYFUNCTION("""COMPUTED_VALUE"""),"")</f>
        <v/>
      </c>
      <c r="AC578" s="52" t="str">
        <f>IFERROR(__xludf.DUMMYFUNCTION("""COMPUTED_VALUE"""),"")</f>
        <v/>
      </c>
      <c r="AD578" s="52" t="str">
        <f>IFERROR(__xludf.DUMMYFUNCTION("""COMPUTED_VALUE"""),"")</f>
        <v/>
      </c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</row>
    <row r="579">
      <c r="B579" s="49"/>
      <c r="C579" s="49" t="str">
        <f t="shared" si="2"/>
        <v/>
      </c>
      <c r="D579" s="50" t="str">
        <f t="shared" si="3"/>
        <v/>
      </c>
      <c r="E579" s="51" t="str">
        <f t="shared" ref="E579:T579" si="580">IFERROR(VLOOKUP($A579,INDIRECT("'" &amp; E$1 &amp; "'!$C:$G"), 5, FALSE),"")</f>
        <v/>
      </c>
      <c r="F579" s="51" t="str">
        <f t="shared" si="580"/>
        <v/>
      </c>
      <c r="G579" s="51" t="str">
        <f t="shared" si="580"/>
        <v/>
      </c>
      <c r="H579" s="51" t="str">
        <f t="shared" si="580"/>
        <v/>
      </c>
      <c r="I579" s="51" t="str">
        <f t="shared" si="580"/>
        <v/>
      </c>
      <c r="J579" s="51" t="str">
        <f t="shared" si="580"/>
        <v/>
      </c>
      <c r="K579" s="51" t="str">
        <f t="shared" si="580"/>
        <v/>
      </c>
      <c r="L579" s="51" t="str">
        <f t="shared" si="580"/>
        <v/>
      </c>
      <c r="M579" s="51" t="str">
        <f t="shared" si="580"/>
        <v/>
      </c>
      <c r="N579" s="51" t="str">
        <f t="shared" si="580"/>
        <v/>
      </c>
      <c r="O579" s="51" t="str">
        <f t="shared" si="580"/>
        <v/>
      </c>
      <c r="P579" s="51" t="str">
        <f t="shared" si="580"/>
        <v/>
      </c>
      <c r="Q579" s="51" t="str">
        <f t="shared" si="580"/>
        <v/>
      </c>
      <c r="R579" s="51" t="str">
        <f t="shared" si="580"/>
        <v/>
      </c>
      <c r="S579" s="51" t="str">
        <f t="shared" si="580"/>
        <v/>
      </c>
      <c r="T579" s="51" t="str">
        <f t="shared" si="580"/>
        <v/>
      </c>
      <c r="U579" s="52"/>
      <c r="V579" s="52" t="str">
        <f>IFERROR(__xludf.DUMMYFUNCTION("""COMPUTED_VALUE"""),"")</f>
        <v/>
      </c>
      <c r="W579" s="52" t="str">
        <f>IFERROR(__xludf.DUMMYFUNCTION("""COMPUTED_VALUE"""),"")</f>
        <v/>
      </c>
      <c r="X579" s="52" t="str">
        <f>IFERROR(__xludf.DUMMYFUNCTION("""COMPUTED_VALUE"""),"")</f>
        <v/>
      </c>
      <c r="Y579" s="52" t="str">
        <f>IFERROR(__xludf.DUMMYFUNCTION("""COMPUTED_VALUE"""),"")</f>
        <v/>
      </c>
      <c r="Z579" s="52" t="str">
        <f>IFERROR(__xludf.DUMMYFUNCTION("""COMPUTED_VALUE"""),"")</f>
        <v/>
      </c>
      <c r="AA579" s="52" t="str">
        <f>IFERROR(__xludf.DUMMYFUNCTION("""COMPUTED_VALUE"""),"")</f>
        <v/>
      </c>
      <c r="AB579" s="52" t="str">
        <f>IFERROR(__xludf.DUMMYFUNCTION("""COMPUTED_VALUE"""),"")</f>
        <v/>
      </c>
      <c r="AC579" s="52" t="str">
        <f>IFERROR(__xludf.DUMMYFUNCTION("""COMPUTED_VALUE"""),"")</f>
        <v/>
      </c>
      <c r="AD579" s="52" t="str">
        <f>IFERROR(__xludf.DUMMYFUNCTION("""COMPUTED_VALUE"""),"")</f>
        <v/>
      </c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</row>
    <row r="580">
      <c r="B580" s="49"/>
      <c r="C580" s="49" t="str">
        <f t="shared" si="2"/>
        <v/>
      </c>
      <c r="D580" s="50" t="str">
        <f t="shared" si="3"/>
        <v/>
      </c>
      <c r="E580" s="51" t="str">
        <f t="shared" ref="E580:T580" si="581">IFERROR(VLOOKUP($A580,INDIRECT("'" &amp; E$1 &amp; "'!$C:$G"), 5, FALSE),"")</f>
        <v/>
      </c>
      <c r="F580" s="51" t="str">
        <f t="shared" si="581"/>
        <v/>
      </c>
      <c r="G580" s="51" t="str">
        <f t="shared" si="581"/>
        <v/>
      </c>
      <c r="H580" s="51" t="str">
        <f t="shared" si="581"/>
        <v/>
      </c>
      <c r="I580" s="51" t="str">
        <f t="shared" si="581"/>
        <v/>
      </c>
      <c r="J580" s="51" t="str">
        <f t="shared" si="581"/>
        <v/>
      </c>
      <c r="K580" s="51" t="str">
        <f t="shared" si="581"/>
        <v/>
      </c>
      <c r="L580" s="51" t="str">
        <f t="shared" si="581"/>
        <v/>
      </c>
      <c r="M580" s="51" t="str">
        <f t="shared" si="581"/>
        <v/>
      </c>
      <c r="N580" s="51" t="str">
        <f t="shared" si="581"/>
        <v/>
      </c>
      <c r="O580" s="51" t="str">
        <f t="shared" si="581"/>
        <v/>
      </c>
      <c r="P580" s="51" t="str">
        <f t="shared" si="581"/>
        <v/>
      </c>
      <c r="Q580" s="51" t="str">
        <f t="shared" si="581"/>
        <v/>
      </c>
      <c r="R580" s="51" t="str">
        <f t="shared" si="581"/>
        <v/>
      </c>
      <c r="S580" s="51" t="str">
        <f t="shared" si="581"/>
        <v/>
      </c>
      <c r="T580" s="51" t="str">
        <f t="shared" si="581"/>
        <v/>
      </c>
      <c r="U580" s="52"/>
      <c r="V580" s="52" t="str">
        <f>IFERROR(__xludf.DUMMYFUNCTION("""COMPUTED_VALUE"""),"")</f>
        <v/>
      </c>
      <c r="W580" s="52" t="str">
        <f>IFERROR(__xludf.DUMMYFUNCTION("""COMPUTED_VALUE"""),"")</f>
        <v/>
      </c>
      <c r="X580" s="52" t="str">
        <f>IFERROR(__xludf.DUMMYFUNCTION("""COMPUTED_VALUE"""),"")</f>
        <v/>
      </c>
      <c r="Y580" s="52" t="str">
        <f>IFERROR(__xludf.DUMMYFUNCTION("""COMPUTED_VALUE"""),"")</f>
        <v/>
      </c>
      <c r="Z580" s="52" t="str">
        <f>IFERROR(__xludf.DUMMYFUNCTION("""COMPUTED_VALUE"""),"")</f>
        <v/>
      </c>
      <c r="AA580" s="52" t="str">
        <f>IFERROR(__xludf.DUMMYFUNCTION("""COMPUTED_VALUE"""),"")</f>
        <v/>
      </c>
      <c r="AB580" s="52" t="str">
        <f>IFERROR(__xludf.DUMMYFUNCTION("""COMPUTED_VALUE"""),"")</f>
        <v/>
      </c>
      <c r="AC580" s="52" t="str">
        <f>IFERROR(__xludf.DUMMYFUNCTION("""COMPUTED_VALUE"""),"")</f>
        <v/>
      </c>
      <c r="AD580" s="52" t="str">
        <f>IFERROR(__xludf.DUMMYFUNCTION("""COMPUTED_VALUE"""),"")</f>
        <v/>
      </c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</row>
    <row r="581">
      <c r="B581" s="49"/>
      <c r="C581" s="49" t="str">
        <f t="shared" si="2"/>
        <v/>
      </c>
      <c r="D581" s="50" t="str">
        <f t="shared" si="3"/>
        <v/>
      </c>
      <c r="E581" s="51" t="str">
        <f t="shared" ref="E581:T581" si="582">IFERROR(VLOOKUP($A581,INDIRECT("'" &amp; E$1 &amp; "'!$C:$G"), 5, FALSE),"")</f>
        <v/>
      </c>
      <c r="F581" s="51" t="str">
        <f t="shared" si="582"/>
        <v/>
      </c>
      <c r="G581" s="51" t="str">
        <f t="shared" si="582"/>
        <v/>
      </c>
      <c r="H581" s="51" t="str">
        <f t="shared" si="582"/>
        <v/>
      </c>
      <c r="I581" s="51" t="str">
        <f t="shared" si="582"/>
        <v/>
      </c>
      <c r="J581" s="51" t="str">
        <f t="shared" si="582"/>
        <v/>
      </c>
      <c r="K581" s="51" t="str">
        <f t="shared" si="582"/>
        <v/>
      </c>
      <c r="L581" s="51" t="str">
        <f t="shared" si="582"/>
        <v/>
      </c>
      <c r="M581" s="51" t="str">
        <f t="shared" si="582"/>
        <v/>
      </c>
      <c r="N581" s="51" t="str">
        <f t="shared" si="582"/>
        <v/>
      </c>
      <c r="O581" s="51" t="str">
        <f t="shared" si="582"/>
        <v/>
      </c>
      <c r="P581" s="51" t="str">
        <f t="shared" si="582"/>
        <v/>
      </c>
      <c r="Q581" s="51" t="str">
        <f t="shared" si="582"/>
        <v/>
      </c>
      <c r="R581" s="51" t="str">
        <f t="shared" si="582"/>
        <v/>
      </c>
      <c r="S581" s="51" t="str">
        <f t="shared" si="582"/>
        <v/>
      </c>
      <c r="T581" s="51" t="str">
        <f t="shared" si="582"/>
        <v/>
      </c>
      <c r="U581" s="52"/>
      <c r="V581" s="52" t="str">
        <f>IFERROR(__xludf.DUMMYFUNCTION("""COMPUTED_VALUE"""),"")</f>
        <v/>
      </c>
      <c r="W581" s="52" t="str">
        <f>IFERROR(__xludf.DUMMYFUNCTION("""COMPUTED_VALUE"""),"")</f>
        <v/>
      </c>
      <c r="X581" s="52" t="str">
        <f>IFERROR(__xludf.DUMMYFUNCTION("""COMPUTED_VALUE"""),"")</f>
        <v/>
      </c>
      <c r="Y581" s="52" t="str">
        <f>IFERROR(__xludf.DUMMYFUNCTION("""COMPUTED_VALUE"""),"")</f>
        <v/>
      </c>
      <c r="Z581" s="52" t="str">
        <f>IFERROR(__xludf.DUMMYFUNCTION("""COMPUTED_VALUE"""),"")</f>
        <v/>
      </c>
      <c r="AA581" s="52" t="str">
        <f>IFERROR(__xludf.DUMMYFUNCTION("""COMPUTED_VALUE"""),"")</f>
        <v/>
      </c>
      <c r="AB581" s="52" t="str">
        <f>IFERROR(__xludf.DUMMYFUNCTION("""COMPUTED_VALUE"""),"")</f>
        <v/>
      </c>
      <c r="AC581" s="52" t="str">
        <f>IFERROR(__xludf.DUMMYFUNCTION("""COMPUTED_VALUE"""),"")</f>
        <v/>
      </c>
      <c r="AD581" s="52" t="str">
        <f>IFERROR(__xludf.DUMMYFUNCTION("""COMPUTED_VALUE"""),"")</f>
        <v/>
      </c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</row>
    <row r="582">
      <c r="B582" s="49"/>
      <c r="C582" s="49" t="str">
        <f t="shared" si="2"/>
        <v/>
      </c>
      <c r="D582" s="50" t="str">
        <f t="shared" si="3"/>
        <v/>
      </c>
      <c r="E582" s="51" t="str">
        <f t="shared" ref="E582:T582" si="583">IFERROR(VLOOKUP($A582,INDIRECT("'" &amp; E$1 &amp; "'!$C:$G"), 5, FALSE),"")</f>
        <v/>
      </c>
      <c r="F582" s="51" t="str">
        <f t="shared" si="583"/>
        <v/>
      </c>
      <c r="G582" s="51" t="str">
        <f t="shared" si="583"/>
        <v/>
      </c>
      <c r="H582" s="51" t="str">
        <f t="shared" si="583"/>
        <v/>
      </c>
      <c r="I582" s="51" t="str">
        <f t="shared" si="583"/>
        <v/>
      </c>
      <c r="J582" s="51" t="str">
        <f t="shared" si="583"/>
        <v/>
      </c>
      <c r="K582" s="51" t="str">
        <f t="shared" si="583"/>
        <v/>
      </c>
      <c r="L582" s="51" t="str">
        <f t="shared" si="583"/>
        <v/>
      </c>
      <c r="M582" s="51" t="str">
        <f t="shared" si="583"/>
        <v/>
      </c>
      <c r="N582" s="51" t="str">
        <f t="shared" si="583"/>
        <v/>
      </c>
      <c r="O582" s="51" t="str">
        <f t="shared" si="583"/>
        <v/>
      </c>
      <c r="P582" s="51" t="str">
        <f t="shared" si="583"/>
        <v/>
      </c>
      <c r="Q582" s="51" t="str">
        <f t="shared" si="583"/>
        <v/>
      </c>
      <c r="R582" s="51" t="str">
        <f t="shared" si="583"/>
        <v/>
      </c>
      <c r="S582" s="51" t="str">
        <f t="shared" si="583"/>
        <v/>
      </c>
      <c r="T582" s="51" t="str">
        <f t="shared" si="583"/>
        <v/>
      </c>
      <c r="U582" s="52"/>
      <c r="V582" s="52" t="str">
        <f>IFERROR(__xludf.DUMMYFUNCTION("""COMPUTED_VALUE"""),"")</f>
        <v/>
      </c>
      <c r="W582" s="52" t="str">
        <f>IFERROR(__xludf.DUMMYFUNCTION("""COMPUTED_VALUE"""),"")</f>
        <v/>
      </c>
      <c r="X582" s="52" t="str">
        <f>IFERROR(__xludf.DUMMYFUNCTION("""COMPUTED_VALUE"""),"")</f>
        <v/>
      </c>
      <c r="Y582" s="52" t="str">
        <f>IFERROR(__xludf.DUMMYFUNCTION("""COMPUTED_VALUE"""),"")</f>
        <v/>
      </c>
      <c r="Z582" s="52" t="str">
        <f>IFERROR(__xludf.DUMMYFUNCTION("""COMPUTED_VALUE"""),"")</f>
        <v/>
      </c>
      <c r="AA582" s="52" t="str">
        <f>IFERROR(__xludf.DUMMYFUNCTION("""COMPUTED_VALUE"""),"")</f>
        <v/>
      </c>
      <c r="AB582" s="52" t="str">
        <f>IFERROR(__xludf.DUMMYFUNCTION("""COMPUTED_VALUE"""),"")</f>
        <v/>
      </c>
      <c r="AC582" s="52" t="str">
        <f>IFERROR(__xludf.DUMMYFUNCTION("""COMPUTED_VALUE"""),"")</f>
        <v/>
      </c>
      <c r="AD582" s="52" t="str">
        <f>IFERROR(__xludf.DUMMYFUNCTION("""COMPUTED_VALUE"""),"")</f>
        <v/>
      </c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</row>
    <row r="583">
      <c r="B583" s="49"/>
      <c r="C583" s="49" t="str">
        <f t="shared" si="2"/>
        <v/>
      </c>
      <c r="D583" s="50" t="str">
        <f t="shared" si="3"/>
        <v/>
      </c>
      <c r="E583" s="51" t="str">
        <f t="shared" ref="E583:T583" si="584">IFERROR(VLOOKUP($A583,INDIRECT("'" &amp; E$1 &amp; "'!$C:$G"), 5, FALSE),"")</f>
        <v/>
      </c>
      <c r="F583" s="51" t="str">
        <f t="shared" si="584"/>
        <v/>
      </c>
      <c r="G583" s="51" t="str">
        <f t="shared" si="584"/>
        <v/>
      </c>
      <c r="H583" s="51" t="str">
        <f t="shared" si="584"/>
        <v/>
      </c>
      <c r="I583" s="51" t="str">
        <f t="shared" si="584"/>
        <v/>
      </c>
      <c r="J583" s="51" t="str">
        <f t="shared" si="584"/>
        <v/>
      </c>
      <c r="K583" s="51" t="str">
        <f t="shared" si="584"/>
        <v/>
      </c>
      <c r="L583" s="51" t="str">
        <f t="shared" si="584"/>
        <v/>
      </c>
      <c r="M583" s="51" t="str">
        <f t="shared" si="584"/>
        <v/>
      </c>
      <c r="N583" s="51" t="str">
        <f t="shared" si="584"/>
        <v/>
      </c>
      <c r="O583" s="51" t="str">
        <f t="shared" si="584"/>
        <v/>
      </c>
      <c r="P583" s="51" t="str">
        <f t="shared" si="584"/>
        <v/>
      </c>
      <c r="Q583" s="51" t="str">
        <f t="shared" si="584"/>
        <v/>
      </c>
      <c r="R583" s="51" t="str">
        <f t="shared" si="584"/>
        <v/>
      </c>
      <c r="S583" s="51" t="str">
        <f t="shared" si="584"/>
        <v/>
      </c>
      <c r="T583" s="51" t="str">
        <f t="shared" si="584"/>
        <v/>
      </c>
      <c r="U583" s="52"/>
      <c r="V583" s="52" t="str">
        <f>IFERROR(__xludf.DUMMYFUNCTION("""COMPUTED_VALUE"""),"")</f>
        <v/>
      </c>
      <c r="W583" s="52" t="str">
        <f>IFERROR(__xludf.DUMMYFUNCTION("""COMPUTED_VALUE"""),"")</f>
        <v/>
      </c>
      <c r="X583" s="52" t="str">
        <f>IFERROR(__xludf.DUMMYFUNCTION("""COMPUTED_VALUE"""),"")</f>
        <v/>
      </c>
      <c r="Y583" s="52" t="str">
        <f>IFERROR(__xludf.DUMMYFUNCTION("""COMPUTED_VALUE"""),"")</f>
        <v/>
      </c>
      <c r="Z583" s="52" t="str">
        <f>IFERROR(__xludf.DUMMYFUNCTION("""COMPUTED_VALUE"""),"")</f>
        <v/>
      </c>
      <c r="AA583" s="52" t="str">
        <f>IFERROR(__xludf.DUMMYFUNCTION("""COMPUTED_VALUE"""),"")</f>
        <v/>
      </c>
      <c r="AB583" s="52" t="str">
        <f>IFERROR(__xludf.DUMMYFUNCTION("""COMPUTED_VALUE"""),"")</f>
        <v/>
      </c>
      <c r="AC583" s="52" t="str">
        <f>IFERROR(__xludf.DUMMYFUNCTION("""COMPUTED_VALUE"""),"")</f>
        <v/>
      </c>
      <c r="AD583" s="52" t="str">
        <f>IFERROR(__xludf.DUMMYFUNCTION("""COMPUTED_VALUE"""),"")</f>
        <v/>
      </c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</row>
    <row r="584">
      <c r="B584" s="49"/>
      <c r="C584" s="49" t="str">
        <f t="shared" si="2"/>
        <v/>
      </c>
      <c r="D584" s="50" t="str">
        <f t="shared" si="3"/>
        <v/>
      </c>
      <c r="E584" s="51" t="str">
        <f t="shared" ref="E584:T584" si="585">IFERROR(VLOOKUP($A584,INDIRECT("'" &amp; E$1 &amp; "'!$C:$G"), 5, FALSE),"")</f>
        <v/>
      </c>
      <c r="F584" s="51" t="str">
        <f t="shared" si="585"/>
        <v/>
      </c>
      <c r="G584" s="51" t="str">
        <f t="shared" si="585"/>
        <v/>
      </c>
      <c r="H584" s="51" t="str">
        <f t="shared" si="585"/>
        <v/>
      </c>
      <c r="I584" s="51" t="str">
        <f t="shared" si="585"/>
        <v/>
      </c>
      <c r="J584" s="51" t="str">
        <f t="shared" si="585"/>
        <v/>
      </c>
      <c r="K584" s="51" t="str">
        <f t="shared" si="585"/>
        <v/>
      </c>
      <c r="L584" s="51" t="str">
        <f t="shared" si="585"/>
        <v/>
      </c>
      <c r="M584" s="51" t="str">
        <f t="shared" si="585"/>
        <v/>
      </c>
      <c r="N584" s="51" t="str">
        <f t="shared" si="585"/>
        <v/>
      </c>
      <c r="O584" s="51" t="str">
        <f t="shared" si="585"/>
        <v/>
      </c>
      <c r="P584" s="51" t="str">
        <f t="shared" si="585"/>
        <v/>
      </c>
      <c r="Q584" s="51" t="str">
        <f t="shared" si="585"/>
        <v/>
      </c>
      <c r="R584" s="51" t="str">
        <f t="shared" si="585"/>
        <v/>
      </c>
      <c r="S584" s="51" t="str">
        <f t="shared" si="585"/>
        <v/>
      </c>
      <c r="T584" s="51" t="str">
        <f t="shared" si="585"/>
        <v/>
      </c>
      <c r="U584" s="52"/>
      <c r="V584" s="52" t="str">
        <f>IFERROR(__xludf.DUMMYFUNCTION("""COMPUTED_VALUE"""),"")</f>
        <v/>
      </c>
      <c r="W584" s="52" t="str">
        <f>IFERROR(__xludf.DUMMYFUNCTION("""COMPUTED_VALUE"""),"")</f>
        <v/>
      </c>
      <c r="X584" s="52" t="str">
        <f>IFERROR(__xludf.DUMMYFUNCTION("""COMPUTED_VALUE"""),"")</f>
        <v/>
      </c>
      <c r="Y584" s="52" t="str">
        <f>IFERROR(__xludf.DUMMYFUNCTION("""COMPUTED_VALUE"""),"")</f>
        <v/>
      </c>
      <c r="Z584" s="52" t="str">
        <f>IFERROR(__xludf.DUMMYFUNCTION("""COMPUTED_VALUE"""),"")</f>
        <v/>
      </c>
      <c r="AA584" s="52" t="str">
        <f>IFERROR(__xludf.DUMMYFUNCTION("""COMPUTED_VALUE"""),"")</f>
        <v/>
      </c>
      <c r="AB584" s="52" t="str">
        <f>IFERROR(__xludf.DUMMYFUNCTION("""COMPUTED_VALUE"""),"")</f>
        <v/>
      </c>
      <c r="AC584" s="52" t="str">
        <f>IFERROR(__xludf.DUMMYFUNCTION("""COMPUTED_VALUE"""),"")</f>
        <v/>
      </c>
      <c r="AD584" s="52" t="str">
        <f>IFERROR(__xludf.DUMMYFUNCTION("""COMPUTED_VALUE"""),"")</f>
        <v/>
      </c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</row>
    <row r="585">
      <c r="B585" s="49"/>
      <c r="C585" s="49" t="str">
        <f t="shared" si="2"/>
        <v/>
      </c>
      <c r="D585" s="50" t="str">
        <f t="shared" si="3"/>
        <v/>
      </c>
      <c r="E585" s="51" t="str">
        <f t="shared" ref="E585:T585" si="586">IFERROR(VLOOKUP($A585,INDIRECT("'" &amp; E$1 &amp; "'!$C:$G"), 5, FALSE),"")</f>
        <v/>
      </c>
      <c r="F585" s="51" t="str">
        <f t="shared" si="586"/>
        <v/>
      </c>
      <c r="G585" s="51" t="str">
        <f t="shared" si="586"/>
        <v/>
      </c>
      <c r="H585" s="51" t="str">
        <f t="shared" si="586"/>
        <v/>
      </c>
      <c r="I585" s="51" t="str">
        <f t="shared" si="586"/>
        <v/>
      </c>
      <c r="J585" s="51" t="str">
        <f t="shared" si="586"/>
        <v/>
      </c>
      <c r="K585" s="51" t="str">
        <f t="shared" si="586"/>
        <v/>
      </c>
      <c r="L585" s="51" t="str">
        <f t="shared" si="586"/>
        <v/>
      </c>
      <c r="M585" s="51" t="str">
        <f t="shared" si="586"/>
        <v/>
      </c>
      <c r="N585" s="51" t="str">
        <f t="shared" si="586"/>
        <v/>
      </c>
      <c r="O585" s="51" t="str">
        <f t="shared" si="586"/>
        <v/>
      </c>
      <c r="P585" s="51" t="str">
        <f t="shared" si="586"/>
        <v/>
      </c>
      <c r="Q585" s="51" t="str">
        <f t="shared" si="586"/>
        <v/>
      </c>
      <c r="R585" s="51" t="str">
        <f t="shared" si="586"/>
        <v/>
      </c>
      <c r="S585" s="51" t="str">
        <f t="shared" si="586"/>
        <v/>
      </c>
      <c r="T585" s="51" t="str">
        <f t="shared" si="586"/>
        <v/>
      </c>
      <c r="U585" s="52"/>
      <c r="V585" s="52" t="str">
        <f>IFERROR(__xludf.DUMMYFUNCTION("""COMPUTED_VALUE"""),"")</f>
        <v/>
      </c>
      <c r="W585" s="52" t="str">
        <f>IFERROR(__xludf.DUMMYFUNCTION("""COMPUTED_VALUE"""),"")</f>
        <v/>
      </c>
      <c r="X585" s="52" t="str">
        <f>IFERROR(__xludf.DUMMYFUNCTION("""COMPUTED_VALUE"""),"")</f>
        <v/>
      </c>
      <c r="Y585" s="52" t="str">
        <f>IFERROR(__xludf.DUMMYFUNCTION("""COMPUTED_VALUE"""),"")</f>
        <v/>
      </c>
      <c r="Z585" s="52" t="str">
        <f>IFERROR(__xludf.DUMMYFUNCTION("""COMPUTED_VALUE"""),"")</f>
        <v/>
      </c>
      <c r="AA585" s="52" t="str">
        <f>IFERROR(__xludf.DUMMYFUNCTION("""COMPUTED_VALUE"""),"")</f>
        <v/>
      </c>
      <c r="AB585" s="52" t="str">
        <f>IFERROR(__xludf.DUMMYFUNCTION("""COMPUTED_VALUE"""),"")</f>
        <v/>
      </c>
      <c r="AC585" s="52" t="str">
        <f>IFERROR(__xludf.DUMMYFUNCTION("""COMPUTED_VALUE"""),"")</f>
        <v/>
      </c>
      <c r="AD585" s="52" t="str">
        <f>IFERROR(__xludf.DUMMYFUNCTION("""COMPUTED_VALUE"""),"")</f>
        <v/>
      </c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</row>
    <row r="586">
      <c r="B586" s="49"/>
      <c r="C586" s="49" t="str">
        <f t="shared" si="2"/>
        <v/>
      </c>
      <c r="D586" s="50" t="str">
        <f t="shared" si="3"/>
        <v/>
      </c>
      <c r="E586" s="51" t="str">
        <f t="shared" ref="E586:T586" si="587">IFERROR(VLOOKUP($A586,INDIRECT("'" &amp; E$1 &amp; "'!$C:$G"), 5, FALSE),"")</f>
        <v/>
      </c>
      <c r="F586" s="51" t="str">
        <f t="shared" si="587"/>
        <v/>
      </c>
      <c r="G586" s="51" t="str">
        <f t="shared" si="587"/>
        <v/>
      </c>
      <c r="H586" s="51" t="str">
        <f t="shared" si="587"/>
        <v/>
      </c>
      <c r="I586" s="51" t="str">
        <f t="shared" si="587"/>
        <v/>
      </c>
      <c r="J586" s="51" t="str">
        <f t="shared" si="587"/>
        <v/>
      </c>
      <c r="K586" s="51" t="str">
        <f t="shared" si="587"/>
        <v/>
      </c>
      <c r="L586" s="51" t="str">
        <f t="shared" si="587"/>
        <v/>
      </c>
      <c r="M586" s="51" t="str">
        <f t="shared" si="587"/>
        <v/>
      </c>
      <c r="N586" s="51" t="str">
        <f t="shared" si="587"/>
        <v/>
      </c>
      <c r="O586" s="51" t="str">
        <f t="shared" si="587"/>
        <v/>
      </c>
      <c r="P586" s="51" t="str">
        <f t="shared" si="587"/>
        <v/>
      </c>
      <c r="Q586" s="51" t="str">
        <f t="shared" si="587"/>
        <v/>
      </c>
      <c r="R586" s="51" t="str">
        <f t="shared" si="587"/>
        <v/>
      </c>
      <c r="S586" s="51" t="str">
        <f t="shared" si="587"/>
        <v/>
      </c>
      <c r="T586" s="51" t="str">
        <f t="shared" si="587"/>
        <v/>
      </c>
      <c r="U586" s="52"/>
      <c r="V586" s="52" t="str">
        <f>IFERROR(__xludf.DUMMYFUNCTION("""COMPUTED_VALUE"""),"")</f>
        <v/>
      </c>
      <c r="W586" s="52" t="str">
        <f>IFERROR(__xludf.DUMMYFUNCTION("""COMPUTED_VALUE"""),"")</f>
        <v/>
      </c>
      <c r="X586" s="52" t="str">
        <f>IFERROR(__xludf.DUMMYFUNCTION("""COMPUTED_VALUE"""),"")</f>
        <v/>
      </c>
      <c r="Y586" s="52" t="str">
        <f>IFERROR(__xludf.DUMMYFUNCTION("""COMPUTED_VALUE"""),"")</f>
        <v/>
      </c>
      <c r="Z586" s="52" t="str">
        <f>IFERROR(__xludf.DUMMYFUNCTION("""COMPUTED_VALUE"""),"")</f>
        <v/>
      </c>
      <c r="AA586" s="52" t="str">
        <f>IFERROR(__xludf.DUMMYFUNCTION("""COMPUTED_VALUE"""),"")</f>
        <v/>
      </c>
      <c r="AB586" s="52" t="str">
        <f>IFERROR(__xludf.DUMMYFUNCTION("""COMPUTED_VALUE"""),"")</f>
        <v/>
      </c>
      <c r="AC586" s="52" t="str">
        <f>IFERROR(__xludf.DUMMYFUNCTION("""COMPUTED_VALUE"""),"")</f>
        <v/>
      </c>
      <c r="AD586" s="52" t="str">
        <f>IFERROR(__xludf.DUMMYFUNCTION("""COMPUTED_VALUE"""),"")</f>
        <v/>
      </c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</row>
    <row r="587">
      <c r="B587" s="49"/>
      <c r="C587" s="49" t="str">
        <f t="shared" si="2"/>
        <v/>
      </c>
      <c r="D587" s="50" t="str">
        <f t="shared" si="3"/>
        <v/>
      </c>
      <c r="E587" s="51" t="str">
        <f t="shared" ref="E587:T587" si="588">IFERROR(VLOOKUP($A587,INDIRECT("'" &amp; E$1 &amp; "'!$C:$G"), 5, FALSE),"")</f>
        <v/>
      </c>
      <c r="F587" s="51" t="str">
        <f t="shared" si="588"/>
        <v/>
      </c>
      <c r="G587" s="51" t="str">
        <f t="shared" si="588"/>
        <v/>
      </c>
      <c r="H587" s="51" t="str">
        <f t="shared" si="588"/>
        <v/>
      </c>
      <c r="I587" s="51" t="str">
        <f t="shared" si="588"/>
        <v/>
      </c>
      <c r="J587" s="51" t="str">
        <f t="shared" si="588"/>
        <v/>
      </c>
      <c r="K587" s="51" t="str">
        <f t="shared" si="588"/>
        <v/>
      </c>
      <c r="L587" s="51" t="str">
        <f t="shared" si="588"/>
        <v/>
      </c>
      <c r="M587" s="51" t="str">
        <f t="shared" si="588"/>
        <v/>
      </c>
      <c r="N587" s="51" t="str">
        <f t="shared" si="588"/>
        <v/>
      </c>
      <c r="O587" s="51" t="str">
        <f t="shared" si="588"/>
        <v/>
      </c>
      <c r="P587" s="51" t="str">
        <f t="shared" si="588"/>
        <v/>
      </c>
      <c r="Q587" s="51" t="str">
        <f t="shared" si="588"/>
        <v/>
      </c>
      <c r="R587" s="51" t="str">
        <f t="shared" si="588"/>
        <v/>
      </c>
      <c r="S587" s="51" t="str">
        <f t="shared" si="588"/>
        <v/>
      </c>
      <c r="T587" s="51" t="str">
        <f t="shared" si="588"/>
        <v/>
      </c>
      <c r="U587" s="52"/>
      <c r="V587" s="52" t="str">
        <f>IFERROR(__xludf.DUMMYFUNCTION("""COMPUTED_VALUE"""),"")</f>
        <v/>
      </c>
      <c r="W587" s="52" t="str">
        <f>IFERROR(__xludf.DUMMYFUNCTION("""COMPUTED_VALUE"""),"")</f>
        <v/>
      </c>
      <c r="X587" s="52" t="str">
        <f>IFERROR(__xludf.DUMMYFUNCTION("""COMPUTED_VALUE"""),"")</f>
        <v/>
      </c>
      <c r="Y587" s="52" t="str">
        <f>IFERROR(__xludf.DUMMYFUNCTION("""COMPUTED_VALUE"""),"")</f>
        <v/>
      </c>
      <c r="Z587" s="52" t="str">
        <f>IFERROR(__xludf.DUMMYFUNCTION("""COMPUTED_VALUE"""),"")</f>
        <v/>
      </c>
      <c r="AA587" s="52" t="str">
        <f>IFERROR(__xludf.DUMMYFUNCTION("""COMPUTED_VALUE"""),"")</f>
        <v/>
      </c>
      <c r="AB587" s="52" t="str">
        <f>IFERROR(__xludf.DUMMYFUNCTION("""COMPUTED_VALUE"""),"")</f>
        <v/>
      </c>
      <c r="AC587" s="52" t="str">
        <f>IFERROR(__xludf.DUMMYFUNCTION("""COMPUTED_VALUE"""),"")</f>
        <v/>
      </c>
      <c r="AD587" s="52" t="str">
        <f>IFERROR(__xludf.DUMMYFUNCTION("""COMPUTED_VALUE"""),"")</f>
        <v/>
      </c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</row>
    <row r="588">
      <c r="B588" s="49"/>
      <c r="C588" s="49" t="str">
        <f t="shared" si="2"/>
        <v/>
      </c>
      <c r="D588" s="50" t="str">
        <f t="shared" si="3"/>
        <v/>
      </c>
      <c r="E588" s="51" t="str">
        <f t="shared" ref="E588:T588" si="589">IFERROR(VLOOKUP($A588,INDIRECT("'" &amp; E$1 &amp; "'!$C:$G"), 5, FALSE),"")</f>
        <v/>
      </c>
      <c r="F588" s="51" t="str">
        <f t="shared" si="589"/>
        <v/>
      </c>
      <c r="G588" s="51" t="str">
        <f t="shared" si="589"/>
        <v/>
      </c>
      <c r="H588" s="51" t="str">
        <f t="shared" si="589"/>
        <v/>
      </c>
      <c r="I588" s="51" t="str">
        <f t="shared" si="589"/>
        <v/>
      </c>
      <c r="J588" s="51" t="str">
        <f t="shared" si="589"/>
        <v/>
      </c>
      <c r="K588" s="51" t="str">
        <f t="shared" si="589"/>
        <v/>
      </c>
      <c r="L588" s="51" t="str">
        <f t="shared" si="589"/>
        <v/>
      </c>
      <c r="M588" s="51" t="str">
        <f t="shared" si="589"/>
        <v/>
      </c>
      <c r="N588" s="51" t="str">
        <f t="shared" si="589"/>
        <v/>
      </c>
      <c r="O588" s="51" t="str">
        <f t="shared" si="589"/>
        <v/>
      </c>
      <c r="P588" s="51" t="str">
        <f t="shared" si="589"/>
        <v/>
      </c>
      <c r="Q588" s="51" t="str">
        <f t="shared" si="589"/>
        <v/>
      </c>
      <c r="R588" s="51" t="str">
        <f t="shared" si="589"/>
        <v/>
      </c>
      <c r="S588" s="51" t="str">
        <f t="shared" si="589"/>
        <v/>
      </c>
      <c r="T588" s="51" t="str">
        <f t="shared" si="589"/>
        <v/>
      </c>
      <c r="U588" s="52"/>
      <c r="V588" s="52" t="str">
        <f>IFERROR(__xludf.DUMMYFUNCTION("""COMPUTED_VALUE"""),"")</f>
        <v/>
      </c>
      <c r="W588" s="52" t="str">
        <f>IFERROR(__xludf.DUMMYFUNCTION("""COMPUTED_VALUE"""),"")</f>
        <v/>
      </c>
      <c r="X588" s="52" t="str">
        <f>IFERROR(__xludf.DUMMYFUNCTION("""COMPUTED_VALUE"""),"")</f>
        <v/>
      </c>
      <c r="Y588" s="52" t="str">
        <f>IFERROR(__xludf.DUMMYFUNCTION("""COMPUTED_VALUE"""),"")</f>
        <v/>
      </c>
      <c r="Z588" s="52" t="str">
        <f>IFERROR(__xludf.DUMMYFUNCTION("""COMPUTED_VALUE"""),"")</f>
        <v/>
      </c>
      <c r="AA588" s="52" t="str">
        <f>IFERROR(__xludf.DUMMYFUNCTION("""COMPUTED_VALUE"""),"")</f>
        <v/>
      </c>
      <c r="AB588" s="52" t="str">
        <f>IFERROR(__xludf.DUMMYFUNCTION("""COMPUTED_VALUE"""),"")</f>
        <v/>
      </c>
      <c r="AC588" s="52" t="str">
        <f>IFERROR(__xludf.DUMMYFUNCTION("""COMPUTED_VALUE"""),"")</f>
        <v/>
      </c>
      <c r="AD588" s="52" t="str">
        <f>IFERROR(__xludf.DUMMYFUNCTION("""COMPUTED_VALUE"""),"")</f>
        <v/>
      </c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</row>
    <row r="589">
      <c r="B589" s="49"/>
      <c r="C589" s="49" t="str">
        <f t="shared" si="2"/>
        <v/>
      </c>
      <c r="D589" s="50" t="str">
        <f t="shared" si="3"/>
        <v/>
      </c>
      <c r="E589" s="51" t="str">
        <f t="shared" ref="E589:T589" si="590">IFERROR(VLOOKUP($A589,INDIRECT("'" &amp; E$1 &amp; "'!$C:$G"), 5, FALSE),"")</f>
        <v/>
      </c>
      <c r="F589" s="51" t="str">
        <f t="shared" si="590"/>
        <v/>
      </c>
      <c r="G589" s="51" t="str">
        <f t="shared" si="590"/>
        <v/>
      </c>
      <c r="H589" s="51" t="str">
        <f t="shared" si="590"/>
        <v/>
      </c>
      <c r="I589" s="51" t="str">
        <f t="shared" si="590"/>
        <v/>
      </c>
      <c r="J589" s="51" t="str">
        <f t="shared" si="590"/>
        <v/>
      </c>
      <c r="K589" s="51" t="str">
        <f t="shared" si="590"/>
        <v/>
      </c>
      <c r="L589" s="51" t="str">
        <f t="shared" si="590"/>
        <v/>
      </c>
      <c r="M589" s="51" t="str">
        <f t="shared" si="590"/>
        <v/>
      </c>
      <c r="N589" s="51" t="str">
        <f t="shared" si="590"/>
        <v/>
      </c>
      <c r="O589" s="51" t="str">
        <f t="shared" si="590"/>
        <v/>
      </c>
      <c r="P589" s="51" t="str">
        <f t="shared" si="590"/>
        <v/>
      </c>
      <c r="Q589" s="51" t="str">
        <f t="shared" si="590"/>
        <v/>
      </c>
      <c r="R589" s="51" t="str">
        <f t="shared" si="590"/>
        <v/>
      </c>
      <c r="S589" s="51" t="str">
        <f t="shared" si="590"/>
        <v/>
      </c>
      <c r="T589" s="51" t="str">
        <f t="shared" si="590"/>
        <v/>
      </c>
      <c r="U589" s="52"/>
      <c r="V589" s="52" t="str">
        <f>IFERROR(__xludf.DUMMYFUNCTION("""COMPUTED_VALUE"""),"")</f>
        <v/>
      </c>
      <c r="W589" s="52" t="str">
        <f>IFERROR(__xludf.DUMMYFUNCTION("""COMPUTED_VALUE"""),"")</f>
        <v/>
      </c>
      <c r="X589" s="52" t="str">
        <f>IFERROR(__xludf.DUMMYFUNCTION("""COMPUTED_VALUE"""),"")</f>
        <v/>
      </c>
      <c r="Y589" s="52" t="str">
        <f>IFERROR(__xludf.DUMMYFUNCTION("""COMPUTED_VALUE"""),"")</f>
        <v/>
      </c>
      <c r="Z589" s="52" t="str">
        <f>IFERROR(__xludf.DUMMYFUNCTION("""COMPUTED_VALUE"""),"")</f>
        <v/>
      </c>
      <c r="AA589" s="52" t="str">
        <f>IFERROR(__xludf.DUMMYFUNCTION("""COMPUTED_VALUE"""),"")</f>
        <v/>
      </c>
      <c r="AB589" s="52" t="str">
        <f>IFERROR(__xludf.DUMMYFUNCTION("""COMPUTED_VALUE"""),"")</f>
        <v/>
      </c>
      <c r="AC589" s="52" t="str">
        <f>IFERROR(__xludf.DUMMYFUNCTION("""COMPUTED_VALUE"""),"")</f>
        <v/>
      </c>
      <c r="AD589" s="52" t="str">
        <f>IFERROR(__xludf.DUMMYFUNCTION("""COMPUTED_VALUE"""),"")</f>
        <v/>
      </c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</row>
    <row r="590">
      <c r="B590" s="49"/>
      <c r="C590" s="49" t="str">
        <f t="shared" si="2"/>
        <v/>
      </c>
      <c r="D590" s="50" t="str">
        <f t="shared" si="3"/>
        <v/>
      </c>
      <c r="E590" s="51" t="str">
        <f t="shared" ref="E590:T590" si="591">IFERROR(VLOOKUP($A590,INDIRECT("'" &amp; E$1 &amp; "'!$C:$G"), 5, FALSE),"")</f>
        <v/>
      </c>
      <c r="F590" s="51" t="str">
        <f t="shared" si="591"/>
        <v/>
      </c>
      <c r="G590" s="51" t="str">
        <f t="shared" si="591"/>
        <v/>
      </c>
      <c r="H590" s="51" t="str">
        <f t="shared" si="591"/>
        <v/>
      </c>
      <c r="I590" s="51" t="str">
        <f t="shared" si="591"/>
        <v/>
      </c>
      <c r="J590" s="51" t="str">
        <f t="shared" si="591"/>
        <v/>
      </c>
      <c r="K590" s="51" t="str">
        <f t="shared" si="591"/>
        <v/>
      </c>
      <c r="L590" s="51" t="str">
        <f t="shared" si="591"/>
        <v/>
      </c>
      <c r="M590" s="51" t="str">
        <f t="shared" si="591"/>
        <v/>
      </c>
      <c r="N590" s="51" t="str">
        <f t="shared" si="591"/>
        <v/>
      </c>
      <c r="O590" s="51" t="str">
        <f t="shared" si="591"/>
        <v/>
      </c>
      <c r="P590" s="51" t="str">
        <f t="shared" si="591"/>
        <v/>
      </c>
      <c r="Q590" s="51" t="str">
        <f t="shared" si="591"/>
        <v/>
      </c>
      <c r="R590" s="51" t="str">
        <f t="shared" si="591"/>
        <v/>
      </c>
      <c r="S590" s="51" t="str">
        <f t="shared" si="591"/>
        <v/>
      </c>
      <c r="T590" s="51" t="str">
        <f t="shared" si="591"/>
        <v/>
      </c>
      <c r="U590" s="52"/>
      <c r="V590" s="52" t="str">
        <f>IFERROR(__xludf.DUMMYFUNCTION("""COMPUTED_VALUE"""),"")</f>
        <v/>
      </c>
      <c r="W590" s="52" t="str">
        <f>IFERROR(__xludf.DUMMYFUNCTION("""COMPUTED_VALUE"""),"")</f>
        <v/>
      </c>
      <c r="X590" s="52" t="str">
        <f>IFERROR(__xludf.DUMMYFUNCTION("""COMPUTED_VALUE"""),"")</f>
        <v/>
      </c>
      <c r="Y590" s="52" t="str">
        <f>IFERROR(__xludf.DUMMYFUNCTION("""COMPUTED_VALUE"""),"")</f>
        <v/>
      </c>
      <c r="Z590" s="52" t="str">
        <f>IFERROR(__xludf.DUMMYFUNCTION("""COMPUTED_VALUE"""),"")</f>
        <v/>
      </c>
      <c r="AA590" s="52" t="str">
        <f>IFERROR(__xludf.DUMMYFUNCTION("""COMPUTED_VALUE"""),"")</f>
        <v/>
      </c>
      <c r="AB590" s="52" t="str">
        <f>IFERROR(__xludf.DUMMYFUNCTION("""COMPUTED_VALUE"""),"")</f>
        <v/>
      </c>
      <c r="AC590" s="52" t="str">
        <f>IFERROR(__xludf.DUMMYFUNCTION("""COMPUTED_VALUE"""),"")</f>
        <v/>
      </c>
      <c r="AD590" s="52" t="str">
        <f>IFERROR(__xludf.DUMMYFUNCTION("""COMPUTED_VALUE"""),"")</f>
        <v/>
      </c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</row>
    <row r="591">
      <c r="B591" s="49"/>
      <c r="C591" s="49" t="str">
        <f t="shared" si="2"/>
        <v/>
      </c>
      <c r="D591" s="50" t="str">
        <f t="shared" si="3"/>
        <v/>
      </c>
      <c r="E591" s="51" t="str">
        <f t="shared" ref="E591:T591" si="592">IFERROR(VLOOKUP($A591,INDIRECT("'" &amp; E$1 &amp; "'!$C:$G"), 5, FALSE),"")</f>
        <v/>
      </c>
      <c r="F591" s="51" t="str">
        <f t="shared" si="592"/>
        <v/>
      </c>
      <c r="G591" s="51" t="str">
        <f t="shared" si="592"/>
        <v/>
      </c>
      <c r="H591" s="51" t="str">
        <f t="shared" si="592"/>
        <v/>
      </c>
      <c r="I591" s="51" t="str">
        <f t="shared" si="592"/>
        <v/>
      </c>
      <c r="J591" s="51" t="str">
        <f t="shared" si="592"/>
        <v/>
      </c>
      <c r="K591" s="51" t="str">
        <f t="shared" si="592"/>
        <v/>
      </c>
      <c r="L591" s="51" t="str">
        <f t="shared" si="592"/>
        <v/>
      </c>
      <c r="M591" s="51" t="str">
        <f t="shared" si="592"/>
        <v/>
      </c>
      <c r="N591" s="51" t="str">
        <f t="shared" si="592"/>
        <v/>
      </c>
      <c r="O591" s="51" t="str">
        <f t="shared" si="592"/>
        <v/>
      </c>
      <c r="P591" s="51" t="str">
        <f t="shared" si="592"/>
        <v/>
      </c>
      <c r="Q591" s="51" t="str">
        <f t="shared" si="592"/>
        <v/>
      </c>
      <c r="R591" s="51" t="str">
        <f t="shared" si="592"/>
        <v/>
      </c>
      <c r="S591" s="51" t="str">
        <f t="shared" si="592"/>
        <v/>
      </c>
      <c r="T591" s="51" t="str">
        <f t="shared" si="592"/>
        <v/>
      </c>
      <c r="U591" s="52"/>
      <c r="V591" s="52" t="str">
        <f>IFERROR(__xludf.DUMMYFUNCTION("""COMPUTED_VALUE"""),"")</f>
        <v/>
      </c>
      <c r="W591" s="52" t="str">
        <f>IFERROR(__xludf.DUMMYFUNCTION("""COMPUTED_VALUE"""),"")</f>
        <v/>
      </c>
      <c r="X591" s="52" t="str">
        <f>IFERROR(__xludf.DUMMYFUNCTION("""COMPUTED_VALUE"""),"")</f>
        <v/>
      </c>
      <c r="Y591" s="52" t="str">
        <f>IFERROR(__xludf.DUMMYFUNCTION("""COMPUTED_VALUE"""),"")</f>
        <v/>
      </c>
      <c r="Z591" s="52" t="str">
        <f>IFERROR(__xludf.DUMMYFUNCTION("""COMPUTED_VALUE"""),"")</f>
        <v/>
      </c>
      <c r="AA591" s="52" t="str">
        <f>IFERROR(__xludf.DUMMYFUNCTION("""COMPUTED_VALUE"""),"")</f>
        <v/>
      </c>
      <c r="AB591" s="52" t="str">
        <f>IFERROR(__xludf.DUMMYFUNCTION("""COMPUTED_VALUE"""),"")</f>
        <v/>
      </c>
      <c r="AC591" s="52" t="str">
        <f>IFERROR(__xludf.DUMMYFUNCTION("""COMPUTED_VALUE"""),"")</f>
        <v/>
      </c>
      <c r="AD591" s="52" t="str">
        <f>IFERROR(__xludf.DUMMYFUNCTION("""COMPUTED_VALUE"""),"")</f>
        <v/>
      </c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</row>
    <row r="592">
      <c r="B592" s="49"/>
      <c r="C592" s="49" t="str">
        <f t="shared" si="2"/>
        <v/>
      </c>
      <c r="D592" s="50" t="str">
        <f t="shared" si="3"/>
        <v/>
      </c>
      <c r="E592" s="51" t="str">
        <f t="shared" ref="E592:T592" si="593">IFERROR(VLOOKUP($A592,INDIRECT("'" &amp; E$1 &amp; "'!$C:$G"), 5, FALSE),"")</f>
        <v/>
      </c>
      <c r="F592" s="51" t="str">
        <f t="shared" si="593"/>
        <v/>
      </c>
      <c r="G592" s="51" t="str">
        <f t="shared" si="593"/>
        <v/>
      </c>
      <c r="H592" s="51" t="str">
        <f t="shared" si="593"/>
        <v/>
      </c>
      <c r="I592" s="51" t="str">
        <f t="shared" si="593"/>
        <v/>
      </c>
      <c r="J592" s="51" t="str">
        <f t="shared" si="593"/>
        <v/>
      </c>
      <c r="K592" s="51" t="str">
        <f t="shared" si="593"/>
        <v/>
      </c>
      <c r="L592" s="51" t="str">
        <f t="shared" si="593"/>
        <v/>
      </c>
      <c r="M592" s="51" t="str">
        <f t="shared" si="593"/>
        <v/>
      </c>
      <c r="N592" s="51" t="str">
        <f t="shared" si="593"/>
        <v/>
      </c>
      <c r="O592" s="51" t="str">
        <f t="shared" si="593"/>
        <v/>
      </c>
      <c r="P592" s="51" t="str">
        <f t="shared" si="593"/>
        <v/>
      </c>
      <c r="Q592" s="51" t="str">
        <f t="shared" si="593"/>
        <v/>
      </c>
      <c r="R592" s="51" t="str">
        <f t="shared" si="593"/>
        <v/>
      </c>
      <c r="S592" s="51" t="str">
        <f t="shared" si="593"/>
        <v/>
      </c>
      <c r="T592" s="51" t="str">
        <f t="shared" si="593"/>
        <v/>
      </c>
      <c r="U592" s="52"/>
      <c r="V592" s="52" t="str">
        <f>IFERROR(__xludf.DUMMYFUNCTION("""COMPUTED_VALUE"""),"")</f>
        <v/>
      </c>
      <c r="W592" s="52" t="str">
        <f>IFERROR(__xludf.DUMMYFUNCTION("""COMPUTED_VALUE"""),"")</f>
        <v/>
      </c>
      <c r="X592" s="52" t="str">
        <f>IFERROR(__xludf.DUMMYFUNCTION("""COMPUTED_VALUE"""),"")</f>
        <v/>
      </c>
      <c r="Y592" s="52" t="str">
        <f>IFERROR(__xludf.DUMMYFUNCTION("""COMPUTED_VALUE"""),"")</f>
        <v/>
      </c>
      <c r="Z592" s="52" t="str">
        <f>IFERROR(__xludf.DUMMYFUNCTION("""COMPUTED_VALUE"""),"")</f>
        <v/>
      </c>
      <c r="AA592" s="52" t="str">
        <f>IFERROR(__xludf.DUMMYFUNCTION("""COMPUTED_VALUE"""),"")</f>
        <v/>
      </c>
      <c r="AB592" s="52" t="str">
        <f>IFERROR(__xludf.DUMMYFUNCTION("""COMPUTED_VALUE"""),"")</f>
        <v/>
      </c>
      <c r="AC592" s="52" t="str">
        <f>IFERROR(__xludf.DUMMYFUNCTION("""COMPUTED_VALUE"""),"")</f>
        <v/>
      </c>
      <c r="AD592" s="52" t="str">
        <f>IFERROR(__xludf.DUMMYFUNCTION("""COMPUTED_VALUE"""),"")</f>
        <v/>
      </c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</row>
    <row r="593">
      <c r="B593" s="49"/>
      <c r="C593" s="49" t="str">
        <f t="shared" si="2"/>
        <v/>
      </c>
      <c r="D593" s="50" t="str">
        <f t="shared" si="3"/>
        <v/>
      </c>
      <c r="E593" s="51" t="str">
        <f t="shared" ref="E593:T593" si="594">IFERROR(VLOOKUP($A593,INDIRECT("'" &amp; E$1 &amp; "'!$C:$G"), 5, FALSE),"")</f>
        <v/>
      </c>
      <c r="F593" s="51" t="str">
        <f t="shared" si="594"/>
        <v/>
      </c>
      <c r="G593" s="51" t="str">
        <f t="shared" si="594"/>
        <v/>
      </c>
      <c r="H593" s="51" t="str">
        <f t="shared" si="594"/>
        <v/>
      </c>
      <c r="I593" s="51" t="str">
        <f t="shared" si="594"/>
        <v/>
      </c>
      <c r="J593" s="51" t="str">
        <f t="shared" si="594"/>
        <v/>
      </c>
      <c r="K593" s="51" t="str">
        <f t="shared" si="594"/>
        <v/>
      </c>
      <c r="L593" s="51" t="str">
        <f t="shared" si="594"/>
        <v/>
      </c>
      <c r="M593" s="51" t="str">
        <f t="shared" si="594"/>
        <v/>
      </c>
      <c r="N593" s="51" t="str">
        <f t="shared" si="594"/>
        <v/>
      </c>
      <c r="O593" s="51" t="str">
        <f t="shared" si="594"/>
        <v/>
      </c>
      <c r="P593" s="51" t="str">
        <f t="shared" si="594"/>
        <v/>
      </c>
      <c r="Q593" s="51" t="str">
        <f t="shared" si="594"/>
        <v/>
      </c>
      <c r="R593" s="51" t="str">
        <f t="shared" si="594"/>
        <v/>
      </c>
      <c r="S593" s="51" t="str">
        <f t="shared" si="594"/>
        <v/>
      </c>
      <c r="T593" s="51" t="str">
        <f t="shared" si="594"/>
        <v/>
      </c>
      <c r="U593" s="52"/>
      <c r="V593" s="52" t="str">
        <f>IFERROR(__xludf.DUMMYFUNCTION("""COMPUTED_VALUE"""),"")</f>
        <v/>
      </c>
      <c r="W593" s="52" t="str">
        <f>IFERROR(__xludf.DUMMYFUNCTION("""COMPUTED_VALUE"""),"")</f>
        <v/>
      </c>
      <c r="X593" s="52" t="str">
        <f>IFERROR(__xludf.DUMMYFUNCTION("""COMPUTED_VALUE"""),"")</f>
        <v/>
      </c>
      <c r="Y593" s="52" t="str">
        <f>IFERROR(__xludf.DUMMYFUNCTION("""COMPUTED_VALUE"""),"")</f>
        <v/>
      </c>
      <c r="Z593" s="52" t="str">
        <f>IFERROR(__xludf.DUMMYFUNCTION("""COMPUTED_VALUE"""),"")</f>
        <v/>
      </c>
      <c r="AA593" s="52" t="str">
        <f>IFERROR(__xludf.DUMMYFUNCTION("""COMPUTED_VALUE"""),"")</f>
        <v/>
      </c>
      <c r="AB593" s="52" t="str">
        <f>IFERROR(__xludf.DUMMYFUNCTION("""COMPUTED_VALUE"""),"")</f>
        <v/>
      </c>
      <c r="AC593" s="52" t="str">
        <f>IFERROR(__xludf.DUMMYFUNCTION("""COMPUTED_VALUE"""),"")</f>
        <v/>
      </c>
      <c r="AD593" s="52" t="str">
        <f>IFERROR(__xludf.DUMMYFUNCTION("""COMPUTED_VALUE"""),"")</f>
        <v/>
      </c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</row>
    <row r="594">
      <c r="B594" s="49"/>
      <c r="C594" s="49" t="str">
        <f t="shared" si="2"/>
        <v/>
      </c>
      <c r="D594" s="50" t="str">
        <f t="shared" si="3"/>
        <v/>
      </c>
      <c r="E594" s="51" t="str">
        <f t="shared" ref="E594:T594" si="595">IFERROR(VLOOKUP($A594,INDIRECT("'" &amp; E$1 &amp; "'!$C:$G"), 5, FALSE),"")</f>
        <v/>
      </c>
      <c r="F594" s="51" t="str">
        <f t="shared" si="595"/>
        <v/>
      </c>
      <c r="G594" s="51" t="str">
        <f t="shared" si="595"/>
        <v/>
      </c>
      <c r="H594" s="51" t="str">
        <f t="shared" si="595"/>
        <v/>
      </c>
      <c r="I594" s="51" t="str">
        <f t="shared" si="595"/>
        <v/>
      </c>
      <c r="J594" s="51" t="str">
        <f t="shared" si="595"/>
        <v/>
      </c>
      <c r="K594" s="51" t="str">
        <f t="shared" si="595"/>
        <v/>
      </c>
      <c r="L594" s="51" t="str">
        <f t="shared" si="595"/>
        <v/>
      </c>
      <c r="M594" s="51" t="str">
        <f t="shared" si="595"/>
        <v/>
      </c>
      <c r="N594" s="51" t="str">
        <f t="shared" si="595"/>
        <v/>
      </c>
      <c r="O594" s="51" t="str">
        <f t="shared" si="595"/>
        <v/>
      </c>
      <c r="P594" s="51" t="str">
        <f t="shared" si="595"/>
        <v/>
      </c>
      <c r="Q594" s="51" t="str">
        <f t="shared" si="595"/>
        <v/>
      </c>
      <c r="R594" s="51" t="str">
        <f t="shared" si="595"/>
        <v/>
      </c>
      <c r="S594" s="51" t="str">
        <f t="shared" si="595"/>
        <v/>
      </c>
      <c r="T594" s="51" t="str">
        <f t="shared" si="595"/>
        <v/>
      </c>
      <c r="U594" s="52"/>
      <c r="V594" s="52" t="str">
        <f>IFERROR(__xludf.DUMMYFUNCTION("""COMPUTED_VALUE"""),"")</f>
        <v/>
      </c>
      <c r="W594" s="52" t="str">
        <f>IFERROR(__xludf.DUMMYFUNCTION("""COMPUTED_VALUE"""),"")</f>
        <v/>
      </c>
      <c r="X594" s="52" t="str">
        <f>IFERROR(__xludf.DUMMYFUNCTION("""COMPUTED_VALUE"""),"")</f>
        <v/>
      </c>
      <c r="Y594" s="52" t="str">
        <f>IFERROR(__xludf.DUMMYFUNCTION("""COMPUTED_VALUE"""),"")</f>
        <v/>
      </c>
      <c r="Z594" s="52" t="str">
        <f>IFERROR(__xludf.DUMMYFUNCTION("""COMPUTED_VALUE"""),"")</f>
        <v/>
      </c>
      <c r="AA594" s="52" t="str">
        <f>IFERROR(__xludf.DUMMYFUNCTION("""COMPUTED_VALUE"""),"")</f>
        <v/>
      </c>
      <c r="AB594" s="52" t="str">
        <f>IFERROR(__xludf.DUMMYFUNCTION("""COMPUTED_VALUE"""),"")</f>
        <v/>
      </c>
      <c r="AC594" s="52" t="str">
        <f>IFERROR(__xludf.DUMMYFUNCTION("""COMPUTED_VALUE"""),"")</f>
        <v/>
      </c>
      <c r="AD594" s="52" t="str">
        <f>IFERROR(__xludf.DUMMYFUNCTION("""COMPUTED_VALUE"""),"")</f>
        <v/>
      </c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</row>
    <row r="595">
      <c r="B595" s="49"/>
      <c r="C595" s="49" t="str">
        <f t="shared" si="2"/>
        <v/>
      </c>
      <c r="D595" s="50" t="str">
        <f t="shared" si="3"/>
        <v/>
      </c>
      <c r="E595" s="51" t="str">
        <f t="shared" ref="E595:T595" si="596">IFERROR(VLOOKUP($A595,INDIRECT("'" &amp; E$1 &amp; "'!$C:$G"), 5, FALSE),"")</f>
        <v/>
      </c>
      <c r="F595" s="51" t="str">
        <f t="shared" si="596"/>
        <v/>
      </c>
      <c r="G595" s="51" t="str">
        <f t="shared" si="596"/>
        <v/>
      </c>
      <c r="H595" s="51" t="str">
        <f t="shared" si="596"/>
        <v/>
      </c>
      <c r="I595" s="51" t="str">
        <f t="shared" si="596"/>
        <v/>
      </c>
      <c r="J595" s="51" t="str">
        <f t="shared" si="596"/>
        <v/>
      </c>
      <c r="K595" s="51" t="str">
        <f t="shared" si="596"/>
        <v/>
      </c>
      <c r="L595" s="51" t="str">
        <f t="shared" si="596"/>
        <v/>
      </c>
      <c r="M595" s="51" t="str">
        <f t="shared" si="596"/>
        <v/>
      </c>
      <c r="N595" s="51" t="str">
        <f t="shared" si="596"/>
        <v/>
      </c>
      <c r="O595" s="51" t="str">
        <f t="shared" si="596"/>
        <v/>
      </c>
      <c r="P595" s="51" t="str">
        <f t="shared" si="596"/>
        <v/>
      </c>
      <c r="Q595" s="51" t="str">
        <f t="shared" si="596"/>
        <v/>
      </c>
      <c r="R595" s="51" t="str">
        <f t="shared" si="596"/>
        <v/>
      </c>
      <c r="S595" s="51" t="str">
        <f t="shared" si="596"/>
        <v/>
      </c>
      <c r="T595" s="51" t="str">
        <f t="shared" si="596"/>
        <v/>
      </c>
      <c r="U595" s="52"/>
      <c r="V595" s="52" t="str">
        <f>IFERROR(__xludf.DUMMYFUNCTION("""COMPUTED_VALUE"""),"")</f>
        <v/>
      </c>
      <c r="W595" s="52" t="str">
        <f>IFERROR(__xludf.DUMMYFUNCTION("""COMPUTED_VALUE"""),"")</f>
        <v/>
      </c>
      <c r="X595" s="52" t="str">
        <f>IFERROR(__xludf.DUMMYFUNCTION("""COMPUTED_VALUE"""),"")</f>
        <v/>
      </c>
      <c r="Y595" s="52" t="str">
        <f>IFERROR(__xludf.DUMMYFUNCTION("""COMPUTED_VALUE"""),"")</f>
        <v/>
      </c>
      <c r="Z595" s="52" t="str">
        <f>IFERROR(__xludf.DUMMYFUNCTION("""COMPUTED_VALUE"""),"")</f>
        <v/>
      </c>
      <c r="AA595" s="52" t="str">
        <f>IFERROR(__xludf.DUMMYFUNCTION("""COMPUTED_VALUE"""),"")</f>
        <v/>
      </c>
      <c r="AB595" s="52" t="str">
        <f>IFERROR(__xludf.DUMMYFUNCTION("""COMPUTED_VALUE"""),"")</f>
        <v/>
      </c>
      <c r="AC595" s="52" t="str">
        <f>IFERROR(__xludf.DUMMYFUNCTION("""COMPUTED_VALUE"""),"")</f>
        <v/>
      </c>
      <c r="AD595" s="52" t="str">
        <f>IFERROR(__xludf.DUMMYFUNCTION("""COMPUTED_VALUE"""),"")</f>
        <v/>
      </c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</row>
    <row r="596">
      <c r="B596" s="49"/>
      <c r="C596" s="49" t="str">
        <f t="shared" si="2"/>
        <v/>
      </c>
      <c r="D596" s="50" t="str">
        <f t="shared" si="3"/>
        <v/>
      </c>
      <c r="E596" s="51" t="str">
        <f t="shared" ref="E596:T596" si="597">IFERROR(VLOOKUP($A596,INDIRECT("'" &amp; E$1 &amp; "'!$C:$G"), 5, FALSE),"")</f>
        <v/>
      </c>
      <c r="F596" s="51" t="str">
        <f t="shared" si="597"/>
        <v/>
      </c>
      <c r="G596" s="51" t="str">
        <f t="shared" si="597"/>
        <v/>
      </c>
      <c r="H596" s="51" t="str">
        <f t="shared" si="597"/>
        <v/>
      </c>
      <c r="I596" s="51" t="str">
        <f t="shared" si="597"/>
        <v/>
      </c>
      <c r="J596" s="51" t="str">
        <f t="shared" si="597"/>
        <v/>
      </c>
      <c r="K596" s="51" t="str">
        <f t="shared" si="597"/>
        <v/>
      </c>
      <c r="L596" s="51" t="str">
        <f t="shared" si="597"/>
        <v/>
      </c>
      <c r="M596" s="51" t="str">
        <f t="shared" si="597"/>
        <v/>
      </c>
      <c r="N596" s="51" t="str">
        <f t="shared" si="597"/>
        <v/>
      </c>
      <c r="O596" s="51" t="str">
        <f t="shared" si="597"/>
        <v/>
      </c>
      <c r="P596" s="51" t="str">
        <f t="shared" si="597"/>
        <v/>
      </c>
      <c r="Q596" s="51" t="str">
        <f t="shared" si="597"/>
        <v/>
      </c>
      <c r="R596" s="51" t="str">
        <f t="shared" si="597"/>
        <v/>
      </c>
      <c r="S596" s="51" t="str">
        <f t="shared" si="597"/>
        <v/>
      </c>
      <c r="T596" s="51" t="str">
        <f t="shared" si="597"/>
        <v/>
      </c>
      <c r="U596" s="52"/>
      <c r="V596" s="52" t="str">
        <f>IFERROR(__xludf.DUMMYFUNCTION("""COMPUTED_VALUE"""),"")</f>
        <v/>
      </c>
      <c r="W596" s="52" t="str">
        <f>IFERROR(__xludf.DUMMYFUNCTION("""COMPUTED_VALUE"""),"")</f>
        <v/>
      </c>
      <c r="X596" s="52" t="str">
        <f>IFERROR(__xludf.DUMMYFUNCTION("""COMPUTED_VALUE"""),"")</f>
        <v/>
      </c>
      <c r="Y596" s="52" t="str">
        <f>IFERROR(__xludf.DUMMYFUNCTION("""COMPUTED_VALUE"""),"")</f>
        <v/>
      </c>
      <c r="Z596" s="52" t="str">
        <f>IFERROR(__xludf.DUMMYFUNCTION("""COMPUTED_VALUE"""),"")</f>
        <v/>
      </c>
      <c r="AA596" s="52" t="str">
        <f>IFERROR(__xludf.DUMMYFUNCTION("""COMPUTED_VALUE"""),"")</f>
        <v/>
      </c>
      <c r="AB596" s="52" t="str">
        <f>IFERROR(__xludf.DUMMYFUNCTION("""COMPUTED_VALUE"""),"")</f>
        <v/>
      </c>
      <c r="AC596" s="52" t="str">
        <f>IFERROR(__xludf.DUMMYFUNCTION("""COMPUTED_VALUE"""),"")</f>
        <v/>
      </c>
      <c r="AD596" s="52" t="str">
        <f>IFERROR(__xludf.DUMMYFUNCTION("""COMPUTED_VALUE"""),"")</f>
        <v/>
      </c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</row>
    <row r="597">
      <c r="B597" s="49"/>
      <c r="C597" s="49" t="str">
        <f t="shared" si="2"/>
        <v/>
      </c>
      <c r="D597" s="50" t="str">
        <f t="shared" si="3"/>
        <v/>
      </c>
      <c r="E597" s="51" t="str">
        <f t="shared" ref="E597:T597" si="598">IFERROR(VLOOKUP($A597,INDIRECT("'" &amp; E$1 &amp; "'!$C:$G"), 5, FALSE),"")</f>
        <v/>
      </c>
      <c r="F597" s="51" t="str">
        <f t="shared" si="598"/>
        <v/>
      </c>
      <c r="G597" s="51" t="str">
        <f t="shared" si="598"/>
        <v/>
      </c>
      <c r="H597" s="51" t="str">
        <f t="shared" si="598"/>
        <v/>
      </c>
      <c r="I597" s="51" t="str">
        <f t="shared" si="598"/>
        <v/>
      </c>
      <c r="J597" s="51" t="str">
        <f t="shared" si="598"/>
        <v/>
      </c>
      <c r="K597" s="51" t="str">
        <f t="shared" si="598"/>
        <v/>
      </c>
      <c r="L597" s="51" t="str">
        <f t="shared" si="598"/>
        <v/>
      </c>
      <c r="M597" s="51" t="str">
        <f t="shared" si="598"/>
        <v/>
      </c>
      <c r="N597" s="51" t="str">
        <f t="shared" si="598"/>
        <v/>
      </c>
      <c r="O597" s="51" t="str">
        <f t="shared" si="598"/>
        <v/>
      </c>
      <c r="P597" s="51" t="str">
        <f t="shared" si="598"/>
        <v/>
      </c>
      <c r="Q597" s="51" t="str">
        <f t="shared" si="598"/>
        <v/>
      </c>
      <c r="R597" s="51" t="str">
        <f t="shared" si="598"/>
        <v/>
      </c>
      <c r="S597" s="51" t="str">
        <f t="shared" si="598"/>
        <v/>
      </c>
      <c r="T597" s="51" t="str">
        <f t="shared" si="598"/>
        <v/>
      </c>
      <c r="U597" s="52"/>
      <c r="V597" s="52" t="str">
        <f>IFERROR(__xludf.DUMMYFUNCTION("""COMPUTED_VALUE"""),"")</f>
        <v/>
      </c>
      <c r="W597" s="52" t="str">
        <f>IFERROR(__xludf.DUMMYFUNCTION("""COMPUTED_VALUE"""),"")</f>
        <v/>
      </c>
      <c r="X597" s="52" t="str">
        <f>IFERROR(__xludf.DUMMYFUNCTION("""COMPUTED_VALUE"""),"")</f>
        <v/>
      </c>
      <c r="Y597" s="52" t="str">
        <f>IFERROR(__xludf.DUMMYFUNCTION("""COMPUTED_VALUE"""),"")</f>
        <v/>
      </c>
      <c r="Z597" s="52" t="str">
        <f>IFERROR(__xludf.DUMMYFUNCTION("""COMPUTED_VALUE"""),"")</f>
        <v/>
      </c>
      <c r="AA597" s="52" t="str">
        <f>IFERROR(__xludf.DUMMYFUNCTION("""COMPUTED_VALUE"""),"")</f>
        <v/>
      </c>
      <c r="AB597" s="52" t="str">
        <f>IFERROR(__xludf.DUMMYFUNCTION("""COMPUTED_VALUE"""),"")</f>
        <v/>
      </c>
      <c r="AC597" s="52" t="str">
        <f>IFERROR(__xludf.DUMMYFUNCTION("""COMPUTED_VALUE"""),"")</f>
        <v/>
      </c>
      <c r="AD597" s="52" t="str">
        <f>IFERROR(__xludf.DUMMYFUNCTION("""COMPUTED_VALUE"""),"")</f>
        <v/>
      </c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</row>
    <row r="598">
      <c r="B598" s="49"/>
      <c r="C598" s="49" t="str">
        <f t="shared" si="2"/>
        <v/>
      </c>
      <c r="D598" s="50" t="str">
        <f t="shared" si="3"/>
        <v/>
      </c>
      <c r="E598" s="51" t="str">
        <f t="shared" ref="E598:T598" si="599">IFERROR(VLOOKUP($A598,INDIRECT("'" &amp; E$1 &amp; "'!$C:$G"), 5, FALSE),"")</f>
        <v/>
      </c>
      <c r="F598" s="51" t="str">
        <f t="shared" si="599"/>
        <v/>
      </c>
      <c r="G598" s="51" t="str">
        <f t="shared" si="599"/>
        <v/>
      </c>
      <c r="H598" s="51" t="str">
        <f t="shared" si="599"/>
        <v/>
      </c>
      <c r="I598" s="51" t="str">
        <f t="shared" si="599"/>
        <v/>
      </c>
      <c r="J598" s="51" t="str">
        <f t="shared" si="599"/>
        <v/>
      </c>
      <c r="K598" s="51" t="str">
        <f t="shared" si="599"/>
        <v/>
      </c>
      <c r="L598" s="51" t="str">
        <f t="shared" si="599"/>
        <v/>
      </c>
      <c r="M598" s="51" t="str">
        <f t="shared" si="599"/>
        <v/>
      </c>
      <c r="N598" s="51" t="str">
        <f t="shared" si="599"/>
        <v/>
      </c>
      <c r="O598" s="51" t="str">
        <f t="shared" si="599"/>
        <v/>
      </c>
      <c r="P598" s="51" t="str">
        <f t="shared" si="599"/>
        <v/>
      </c>
      <c r="Q598" s="51" t="str">
        <f t="shared" si="599"/>
        <v/>
      </c>
      <c r="R598" s="51" t="str">
        <f t="shared" si="599"/>
        <v/>
      </c>
      <c r="S598" s="51" t="str">
        <f t="shared" si="599"/>
        <v/>
      </c>
      <c r="T598" s="51" t="str">
        <f t="shared" si="599"/>
        <v/>
      </c>
      <c r="U598" s="52"/>
      <c r="V598" s="52" t="str">
        <f>IFERROR(__xludf.DUMMYFUNCTION("""COMPUTED_VALUE"""),"")</f>
        <v/>
      </c>
      <c r="W598" s="52" t="str">
        <f>IFERROR(__xludf.DUMMYFUNCTION("""COMPUTED_VALUE"""),"")</f>
        <v/>
      </c>
      <c r="X598" s="52" t="str">
        <f>IFERROR(__xludf.DUMMYFUNCTION("""COMPUTED_VALUE"""),"")</f>
        <v/>
      </c>
      <c r="Y598" s="52" t="str">
        <f>IFERROR(__xludf.DUMMYFUNCTION("""COMPUTED_VALUE"""),"")</f>
        <v/>
      </c>
      <c r="Z598" s="52" t="str">
        <f>IFERROR(__xludf.DUMMYFUNCTION("""COMPUTED_VALUE"""),"")</f>
        <v/>
      </c>
      <c r="AA598" s="52" t="str">
        <f>IFERROR(__xludf.DUMMYFUNCTION("""COMPUTED_VALUE"""),"")</f>
        <v/>
      </c>
      <c r="AB598" s="52" t="str">
        <f>IFERROR(__xludf.DUMMYFUNCTION("""COMPUTED_VALUE"""),"")</f>
        <v/>
      </c>
      <c r="AC598" s="52" t="str">
        <f>IFERROR(__xludf.DUMMYFUNCTION("""COMPUTED_VALUE"""),"")</f>
        <v/>
      </c>
      <c r="AD598" s="52" t="str">
        <f>IFERROR(__xludf.DUMMYFUNCTION("""COMPUTED_VALUE"""),"")</f>
        <v/>
      </c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</row>
    <row r="599">
      <c r="B599" s="49"/>
      <c r="C599" s="49" t="str">
        <f t="shared" si="2"/>
        <v/>
      </c>
      <c r="D599" s="50" t="str">
        <f t="shared" si="3"/>
        <v/>
      </c>
      <c r="E599" s="51" t="str">
        <f t="shared" ref="E599:T599" si="600">IFERROR(VLOOKUP($A599,INDIRECT("'" &amp; E$1 &amp; "'!$C:$G"), 5, FALSE),"")</f>
        <v/>
      </c>
      <c r="F599" s="51" t="str">
        <f t="shared" si="600"/>
        <v/>
      </c>
      <c r="G599" s="51" t="str">
        <f t="shared" si="600"/>
        <v/>
      </c>
      <c r="H599" s="51" t="str">
        <f t="shared" si="600"/>
        <v/>
      </c>
      <c r="I599" s="51" t="str">
        <f t="shared" si="600"/>
        <v/>
      </c>
      <c r="J599" s="51" t="str">
        <f t="shared" si="600"/>
        <v/>
      </c>
      <c r="K599" s="51" t="str">
        <f t="shared" si="600"/>
        <v/>
      </c>
      <c r="L599" s="51" t="str">
        <f t="shared" si="600"/>
        <v/>
      </c>
      <c r="M599" s="51" t="str">
        <f t="shared" si="600"/>
        <v/>
      </c>
      <c r="N599" s="51" t="str">
        <f t="shared" si="600"/>
        <v/>
      </c>
      <c r="O599" s="51" t="str">
        <f t="shared" si="600"/>
        <v/>
      </c>
      <c r="P599" s="51" t="str">
        <f t="shared" si="600"/>
        <v/>
      </c>
      <c r="Q599" s="51" t="str">
        <f t="shared" si="600"/>
        <v/>
      </c>
      <c r="R599" s="51" t="str">
        <f t="shared" si="600"/>
        <v/>
      </c>
      <c r="S599" s="51" t="str">
        <f t="shared" si="600"/>
        <v/>
      </c>
      <c r="T599" s="51" t="str">
        <f t="shared" si="600"/>
        <v/>
      </c>
      <c r="U599" s="52"/>
      <c r="V599" s="52" t="str">
        <f>IFERROR(__xludf.DUMMYFUNCTION("""COMPUTED_VALUE"""),"")</f>
        <v/>
      </c>
      <c r="W599" s="52" t="str">
        <f>IFERROR(__xludf.DUMMYFUNCTION("""COMPUTED_VALUE"""),"")</f>
        <v/>
      </c>
      <c r="X599" s="52" t="str">
        <f>IFERROR(__xludf.DUMMYFUNCTION("""COMPUTED_VALUE"""),"")</f>
        <v/>
      </c>
      <c r="Y599" s="52" t="str">
        <f>IFERROR(__xludf.DUMMYFUNCTION("""COMPUTED_VALUE"""),"")</f>
        <v/>
      </c>
      <c r="Z599" s="52" t="str">
        <f>IFERROR(__xludf.DUMMYFUNCTION("""COMPUTED_VALUE"""),"")</f>
        <v/>
      </c>
      <c r="AA599" s="52" t="str">
        <f>IFERROR(__xludf.DUMMYFUNCTION("""COMPUTED_VALUE"""),"")</f>
        <v/>
      </c>
      <c r="AB599" s="52" t="str">
        <f>IFERROR(__xludf.DUMMYFUNCTION("""COMPUTED_VALUE"""),"")</f>
        <v/>
      </c>
      <c r="AC599" s="52" t="str">
        <f>IFERROR(__xludf.DUMMYFUNCTION("""COMPUTED_VALUE"""),"")</f>
        <v/>
      </c>
      <c r="AD599" s="52" t="str">
        <f>IFERROR(__xludf.DUMMYFUNCTION("""COMPUTED_VALUE"""),"")</f>
        <v/>
      </c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</row>
    <row r="600">
      <c r="B600" s="49"/>
      <c r="C600" s="49" t="str">
        <f t="shared" si="2"/>
        <v/>
      </c>
      <c r="D600" s="50" t="str">
        <f t="shared" si="3"/>
        <v/>
      </c>
      <c r="E600" s="51" t="str">
        <f t="shared" ref="E600:T600" si="601">IFERROR(VLOOKUP($A600,INDIRECT("'" &amp; E$1 &amp; "'!$C:$G"), 5, FALSE),"")</f>
        <v/>
      </c>
      <c r="F600" s="51" t="str">
        <f t="shared" si="601"/>
        <v/>
      </c>
      <c r="G600" s="51" t="str">
        <f t="shared" si="601"/>
        <v/>
      </c>
      <c r="H600" s="51" t="str">
        <f t="shared" si="601"/>
        <v/>
      </c>
      <c r="I600" s="51" t="str">
        <f t="shared" si="601"/>
        <v/>
      </c>
      <c r="J600" s="51" t="str">
        <f t="shared" si="601"/>
        <v/>
      </c>
      <c r="K600" s="51" t="str">
        <f t="shared" si="601"/>
        <v/>
      </c>
      <c r="L600" s="51" t="str">
        <f t="shared" si="601"/>
        <v/>
      </c>
      <c r="M600" s="51" t="str">
        <f t="shared" si="601"/>
        <v/>
      </c>
      <c r="N600" s="51" t="str">
        <f t="shared" si="601"/>
        <v/>
      </c>
      <c r="O600" s="51" t="str">
        <f t="shared" si="601"/>
        <v/>
      </c>
      <c r="P600" s="51" t="str">
        <f t="shared" si="601"/>
        <v/>
      </c>
      <c r="Q600" s="51" t="str">
        <f t="shared" si="601"/>
        <v/>
      </c>
      <c r="R600" s="51" t="str">
        <f t="shared" si="601"/>
        <v/>
      </c>
      <c r="S600" s="51" t="str">
        <f t="shared" si="601"/>
        <v/>
      </c>
      <c r="T600" s="51" t="str">
        <f t="shared" si="601"/>
        <v/>
      </c>
      <c r="U600" s="52"/>
      <c r="V600" s="52" t="str">
        <f>IFERROR(__xludf.DUMMYFUNCTION("""COMPUTED_VALUE"""),"")</f>
        <v/>
      </c>
      <c r="W600" s="52" t="str">
        <f>IFERROR(__xludf.DUMMYFUNCTION("""COMPUTED_VALUE"""),"")</f>
        <v/>
      </c>
      <c r="X600" s="52" t="str">
        <f>IFERROR(__xludf.DUMMYFUNCTION("""COMPUTED_VALUE"""),"")</f>
        <v/>
      </c>
      <c r="Y600" s="52" t="str">
        <f>IFERROR(__xludf.DUMMYFUNCTION("""COMPUTED_VALUE"""),"")</f>
        <v/>
      </c>
      <c r="Z600" s="52" t="str">
        <f>IFERROR(__xludf.DUMMYFUNCTION("""COMPUTED_VALUE"""),"")</f>
        <v/>
      </c>
      <c r="AA600" s="52" t="str">
        <f>IFERROR(__xludf.DUMMYFUNCTION("""COMPUTED_VALUE"""),"")</f>
        <v/>
      </c>
      <c r="AB600" s="52" t="str">
        <f>IFERROR(__xludf.DUMMYFUNCTION("""COMPUTED_VALUE"""),"")</f>
        <v/>
      </c>
      <c r="AC600" s="52" t="str">
        <f>IFERROR(__xludf.DUMMYFUNCTION("""COMPUTED_VALUE"""),"")</f>
        <v/>
      </c>
      <c r="AD600" s="52" t="str">
        <f>IFERROR(__xludf.DUMMYFUNCTION("""COMPUTED_VALUE"""),"")</f>
        <v/>
      </c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</row>
    <row r="601">
      <c r="B601" s="49"/>
      <c r="C601" s="49" t="str">
        <f t="shared" si="2"/>
        <v/>
      </c>
      <c r="D601" s="50" t="str">
        <f t="shared" si="3"/>
        <v/>
      </c>
      <c r="E601" s="51" t="str">
        <f t="shared" ref="E601:T601" si="602">IFERROR(VLOOKUP($A601,INDIRECT("'" &amp; E$1 &amp; "'!$C:$G"), 5, FALSE),"")</f>
        <v/>
      </c>
      <c r="F601" s="51" t="str">
        <f t="shared" si="602"/>
        <v/>
      </c>
      <c r="G601" s="51" t="str">
        <f t="shared" si="602"/>
        <v/>
      </c>
      <c r="H601" s="51" t="str">
        <f t="shared" si="602"/>
        <v/>
      </c>
      <c r="I601" s="51" t="str">
        <f t="shared" si="602"/>
        <v/>
      </c>
      <c r="J601" s="51" t="str">
        <f t="shared" si="602"/>
        <v/>
      </c>
      <c r="K601" s="51" t="str">
        <f t="shared" si="602"/>
        <v/>
      </c>
      <c r="L601" s="51" t="str">
        <f t="shared" si="602"/>
        <v/>
      </c>
      <c r="M601" s="51" t="str">
        <f t="shared" si="602"/>
        <v/>
      </c>
      <c r="N601" s="51" t="str">
        <f t="shared" si="602"/>
        <v/>
      </c>
      <c r="O601" s="51" t="str">
        <f t="shared" si="602"/>
        <v/>
      </c>
      <c r="P601" s="51" t="str">
        <f t="shared" si="602"/>
        <v/>
      </c>
      <c r="Q601" s="51" t="str">
        <f t="shared" si="602"/>
        <v/>
      </c>
      <c r="R601" s="51" t="str">
        <f t="shared" si="602"/>
        <v/>
      </c>
      <c r="S601" s="51" t="str">
        <f t="shared" si="602"/>
        <v/>
      </c>
      <c r="T601" s="51" t="str">
        <f t="shared" si="602"/>
        <v/>
      </c>
      <c r="U601" s="52"/>
      <c r="V601" s="52" t="str">
        <f>IFERROR(__xludf.DUMMYFUNCTION("""COMPUTED_VALUE"""),"")</f>
        <v/>
      </c>
      <c r="W601" s="52" t="str">
        <f>IFERROR(__xludf.DUMMYFUNCTION("""COMPUTED_VALUE"""),"")</f>
        <v/>
      </c>
      <c r="X601" s="52" t="str">
        <f>IFERROR(__xludf.DUMMYFUNCTION("""COMPUTED_VALUE"""),"")</f>
        <v/>
      </c>
      <c r="Y601" s="52" t="str">
        <f>IFERROR(__xludf.DUMMYFUNCTION("""COMPUTED_VALUE"""),"")</f>
        <v/>
      </c>
      <c r="Z601" s="52" t="str">
        <f>IFERROR(__xludf.DUMMYFUNCTION("""COMPUTED_VALUE"""),"")</f>
        <v/>
      </c>
      <c r="AA601" s="52" t="str">
        <f>IFERROR(__xludf.DUMMYFUNCTION("""COMPUTED_VALUE"""),"")</f>
        <v/>
      </c>
      <c r="AB601" s="52" t="str">
        <f>IFERROR(__xludf.DUMMYFUNCTION("""COMPUTED_VALUE"""),"")</f>
        <v/>
      </c>
      <c r="AC601" s="52" t="str">
        <f>IFERROR(__xludf.DUMMYFUNCTION("""COMPUTED_VALUE"""),"")</f>
        <v/>
      </c>
      <c r="AD601" s="52" t="str">
        <f>IFERROR(__xludf.DUMMYFUNCTION("""COMPUTED_VALUE"""),"")</f>
        <v/>
      </c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</row>
    <row r="602">
      <c r="B602" s="49"/>
      <c r="C602" s="49" t="str">
        <f t="shared" si="2"/>
        <v/>
      </c>
      <c r="D602" s="50" t="str">
        <f t="shared" si="3"/>
        <v/>
      </c>
      <c r="E602" s="51" t="str">
        <f t="shared" ref="E602:T602" si="603">IFERROR(VLOOKUP($A602,INDIRECT("'" &amp; E$1 &amp; "'!$C:$G"), 5, FALSE),"")</f>
        <v/>
      </c>
      <c r="F602" s="51" t="str">
        <f t="shared" si="603"/>
        <v/>
      </c>
      <c r="G602" s="51" t="str">
        <f t="shared" si="603"/>
        <v/>
      </c>
      <c r="H602" s="51" t="str">
        <f t="shared" si="603"/>
        <v/>
      </c>
      <c r="I602" s="51" t="str">
        <f t="shared" si="603"/>
        <v/>
      </c>
      <c r="J602" s="51" t="str">
        <f t="shared" si="603"/>
        <v/>
      </c>
      <c r="K602" s="51" t="str">
        <f t="shared" si="603"/>
        <v/>
      </c>
      <c r="L602" s="51" t="str">
        <f t="shared" si="603"/>
        <v/>
      </c>
      <c r="M602" s="51" t="str">
        <f t="shared" si="603"/>
        <v/>
      </c>
      <c r="N602" s="51" t="str">
        <f t="shared" si="603"/>
        <v/>
      </c>
      <c r="O602" s="51" t="str">
        <f t="shared" si="603"/>
        <v/>
      </c>
      <c r="P602" s="51" t="str">
        <f t="shared" si="603"/>
        <v/>
      </c>
      <c r="Q602" s="51" t="str">
        <f t="shared" si="603"/>
        <v/>
      </c>
      <c r="R602" s="51" t="str">
        <f t="shared" si="603"/>
        <v/>
      </c>
      <c r="S602" s="51" t="str">
        <f t="shared" si="603"/>
        <v/>
      </c>
      <c r="T602" s="51" t="str">
        <f t="shared" si="603"/>
        <v/>
      </c>
      <c r="U602" s="52"/>
      <c r="V602" s="52" t="str">
        <f>IFERROR(__xludf.DUMMYFUNCTION("""COMPUTED_VALUE"""),"")</f>
        <v/>
      </c>
      <c r="W602" s="52" t="str">
        <f>IFERROR(__xludf.DUMMYFUNCTION("""COMPUTED_VALUE"""),"")</f>
        <v/>
      </c>
      <c r="X602" s="52" t="str">
        <f>IFERROR(__xludf.DUMMYFUNCTION("""COMPUTED_VALUE"""),"")</f>
        <v/>
      </c>
      <c r="Y602" s="52" t="str">
        <f>IFERROR(__xludf.DUMMYFUNCTION("""COMPUTED_VALUE"""),"")</f>
        <v/>
      </c>
      <c r="Z602" s="52" t="str">
        <f>IFERROR(__xludf.DUMMYFUNCTION("""COMPUTED_VALUE"""),"")</f>
        <v/>
      </c>
      <c r="AA602" s="52" t="str">
        <f>IFERROR(__xludf.DUMMYFUNCTION("""COMPUTED_VALUE"""),"")</f>
        <v/>
      </c>
      <c r="AB602" s="52" t="str">
        <f>IFERROR(__xludf.DUMMYFUNCTION("""COMPUTED_VALUE"""),"")</f>
        <v/>
      </c>
      <c r="AC602" s="52" t="str">
        <f>IFERROR(__xludf.DUMMYFUNCTION("""COMPUTED_VALUE"""),"")</f>
        <v/>
      </c>
      <c r="AD602" s="52" t="str">
        <f>IFERROR(__xludf.DUMMYFUNCTION("""COMPUTED_VALUE"""),"")</f>
        <v/>
      </c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</row>
    <row r="603">
      <c r="B603" s="49"/>
      <c r="C603" s="49" t="str">
        <f t="shared" si="2"/>
        <v/>
      </c>
      <c r="D603" s="50" t="str">
        <f t="shared" si="3"/>
        <v/>
      </c>
      <c r="E603" s="51" t="str">
        <f t="shared" ref="E603:T603" si="604">IFERROR(VLOOKUP($A603,INDIRECT("'" &amp; E$1 &amp; "'!$C:$G"), 5, FALSE),"")</f>
        <v/>
      </c>
      <c r="F603" s="51" t="str">
        <f t="shared" si="604"/>
        <v/>
      </c>
      <c r="G603" s="51" t="str">
        <f t="shared" si="604"/>
        <v/>
      </c>
      <c r="H603" s="51" t="str">
        <f t="shared" si="604"/>
        <v/>
      </c>
      <c r="I603" s="51" t="str">
        <f t="shared" si="604"/>
        <v/>
      </c>
      <c r="J603" s="51" t="str">
        <f t="shared" si="604"/>
        <v/>
      </c>
      <c r="K603" s="51" t="str">
        <f t="shared" si="604"/>
        <v/>
      </c>
      <c r="L603" s="51" t="str">
        <f t="shared" si="604"/>
        <v/>
      </c>
      <c r="M603" s="51" t="str">
        <f t="shared" si="604"/>
        <v/>
      </c>
      <c r="N603" s="51" t="str">
        <f t="shared" si="604"/>
        <v/>
      </c>
      <c r="O603" s="51" t="str">
        <f t="shared" si="604"/>
        <v/>
      </c>
      <c r="P603" s="51" t="str">
        <f t="shared" si="604"/>
        <v/>
      </c>
      <c r="Q603" s="51" t="str">
        <f t="shared" si="604"/>
        <v/>
      </c>
      <c r="R603" s="51" t="str">
        <f t="shared" si="604"/>
        <v/>
      </c>
      <c r="S603" s="51" t="str">
        <f t="shared" si="604"/>
        <v/>
      </c>
      <c r="T603" s="51" t="str">
        <f t="shared" si="604"/>
        <v/>
      </c>
      <c r="U603" s="52"/>
      <c r="V603" s="52" t="str">
        <f>IFERROR(__xludf.DUMMYFUNCTION("""COMPUTED_VALUE"""),"")</f>
        <v/>
      </c>
      <c r="W603" s="52" t="str">
        <f>IFERROR(__xludf.DUMMYFUNCTION("""COMPUTED_VALUE"""),"")</f>
        <v/>
      </c>
      <c r="X603" s="52" t="str">
        <f>IFERROR(__xludf.DUMMYFUNCTION("""COMPUTED_VALUE"""),"")</f>
        <v/>
      </c>
      <c r="Y603" s="52" t="str">
        <f>IFERROR(__xludf.DUMMYFUNCTION("""COMPUTED_VALUE"""),"")</f>
        <v/>
      </c>
      <c r="Z603" s="52" t="str">
        <f>IFERROR(__xludf.DUMMYFUNCTION("""COMPUTED_VALUE"""),"")</f>
        <v/>
      </c>
      <c r="AA603" s="52" t="str">
        <f>IFERROR(__xludf.DUMMYFUNCTION("""COMPUTED_VALUE"""),"")</f>
        <v/>
      </c>
      <c r="AB603" s="52" t="str">
        <f>IFERROR(__xludf.DUMMYFUNCTION("""COMPUTED_VALUE"""),"")</f>
        <v/>
      </c>
      <c r="AC603" s="52" t="str">
        <f>IFERROR(__xludf.DUMMYFUNCTION("""COMPUTED_VALUE"""),"")</f>
        <v/>
      </c>
      <c r="AD603" s="52" t="str">
        <f>IFERROR(__xludf.DUMMYFUNCTION("""COMPUTED_VALUE"""),"")</f>
        <v/>
      </c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</row>
    <row r="604">
      <c r="B604" s="49"/>
      <c r="C604" s="49" t="str">
        <f t="shared" si="2"/>
        <v/>
      </c>
      <c r="D604" s="50" t="str">
        <f t="shared" si="3"/>
        <v/>
      </c>
      <c r="E604" s="51" t="str">
        <f t="shared" ref="E604:T604" si="605">IFERROR(VLOOKUP($A604,INDIRECT("'" &amp; E$1 &amp; "'!$C:$G"), 5, FALSE),"")</f>
        <v/>
      </c>
      <c r="F604" s="51" t="str">
        <f t="shared" si="605"/>
        <v/>
      </c>
      <c r="G604" s="51" t="str">
        <f t="shared" si="605"/>
        <v/>
      </c>
      <c r="H604" s="51" t="str">
        <f t="shared" si="605"/>
        <v/>
      </c>
      <c r="I604" s="51" t="str">
        <f t="shared" si="605"/>
        <v/>
      </c>
      <c r="J604" s="51" t="str">
        <f t="shared" si="605"/>
        <v/>
      </c>
      <c r="K604" s="51" t="str">
        <f t="shared" si="605"/>
        <v/>
      </c>
      <c r="L604" s="51" t="str">
        <f t="shared" si="605"/>
        <v/>
      </c>
      <c r="M604" s="51" t="str">
        <f t="shared" si="605"/>
        <v/>
      </c>
      <c r="N604" s="51" t="str">
        <f t="shared" si="605"/>
        <v/>
      </c>
      <c r="O604" s="51" t="str">
        <f t="shared" si="605"/>
        <v/>
      </c>
      <c r="P604" s="51" t="str">
        <f t="shared" si="605"/>
        <v/>
      </c>
      <c r="Q604" s="51" t="str">
        <f t="shared" si="605"/>
        <v/>
      </c>
      <c r="R604" s="51" t="str">
        <f t="shared" si="605"/>
        <v/>
      </c>
      <c r="S604" s="51" t="str">
        <f t="shared" si="605"/>
        <v/>
      </c>
      <c r="T604" s="51" t="str">
        <f t="shared" si="605"/>
        <v/>
      </c>
      <c r="U604" s="52"/>
      <c r="V604" s="52" t="str">
        <f>IFERROR(__xludf.DUMMYFUNCTION("""COMPUTED_VALUE"""),"")</f>
        <v/>
      </c>
      <c r="W604" s="52" t="str">
        <f>IFERROR(__xludf.DUMMYFUNCTION("""COMPUTED_VALUE"""),"")</f>
        <v/>
      </c>
      <c r="X604" s="52" t="str">
        <f>IFERROR(__xludf.DUMMYFUNCTION("""COMPUTED_VALUE"""),"")</f>
        <v/>
      </c>
      <c r="Y604" s="52" t="str">
        <f>IFERROR(__xludf.DUMMYFUNCTION("""COMPUTED_VALUE"""),"")</f>
        <v/>
      </c>
      <c r="Z604" s="52" t="str">
        <f>IFERROR(__xludf.DUMMYFUNCTION("""COMPUTED_VALUE"""),"")</f>
        <v/>
      </c>
      <c r="AA604" s="52" t="str">
        <f>IFERROR(__xludf.DUMMYFUNCTION("""COMPUTED_VALUE"""),"")</f>
        <v/>
      </c>
      <c r="AB604" s="52" t="str">
        <f>IFERROR(__xludf.DUMMYFUNCTION("""COMPUTED_VALUE"""),"")</f>
        <v/>
      </c>
      <c r="AC604" s="52" t="str">
        <f>IFERROR(__xludf.DUMMYFUNCTION("""COMPUTED_VALUE"""),"")</f>
        <v/>
      </c>
      <c r="AD604" s="52" t="str">
        <f>IFERROR(__xludf.DUMMYFUNCTION("""COMPUTED_VALUE"""),"")</f>
        <v/>
      </c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</row>
    <row r="605">
      <c r="B605" s="49"/>
      <c r="C605" s="49" t="str">
        <f t="shared" si="2"/>
        <v/>
      </c>
      <c r="D605" s="50" t="str">
        <f t="shared" si="3"/>
        <v/>
      </c>
      <c r="E605" s="51" t="str">
        <f t="shared" ref="E605:T605" si="606">IFERROR(VLOOKUP($A605,INDIRECT("'" &amp; E$1 &amp; "'!$C:$G"), 5, FALSE),"")</f>
        <v/>
      </c>
      <c r="F605" s="51" t="str">
        <f t="shared" si="606"/>
        <v/>
      </c>
      <c r="G605" s="51" t="str">
        <f t="shared" si="606"/>
        <v/>
      </c>
      <c r="H605" s="51" t="str">
        <f t="shared" si="606"/>
        <v/>
      </c>
      <c r="I605" s="51" t="str">
        <f t="shared" si="606"/>
        <v/>
      </c>
      <c r="J605" s="51" t="str">
        <f t="shared" si="606"/>
        <v/>
      </c>
      <c r="K605" s="51" t="str">
        <f t="shared" si="606"/>
        <v/>
      </c>
      <c r="L605" s="51" t="str">
        <f t="shared" si="606"/>
        <v/>
      </c>
      <c r="M605" s="51" t="str">
        <f t="shared" si="606"/>
        <v/>
      </c>
      <c r="N605" s="51" t="str">
        <f t="shared" si="606"/>
        <v/>
      </c>
      <c r="O605" s="51" t="str">
        <f t="shared" si="606"/>
        <v/>
      </c>
      <c r="P605" s="51" t="str">
        <f t="shared" si="606"/>
        <v/>
      </c>
      <c r="Q605" s="51" t="str">
        <f t="shared" si="606"/>
        <v/>
      </c>
      <c r="R605" s="51" t="str">
        <f t="shared" si="606"/>
        <v/>
      </c>
      <c r="S605" s="51" t="str">
        <f t="shared" si="606"/>
        <v/>
      </c>
      <c r="T605" s="51" t="str">
        <f t="shared" si="606"/>
        <v/>
      </c>
      <c r="U605" s="52"/>
      <c r="V605" s="52" t="str">
        <f>IFERROR(__xludf.DUMMYFUNCTION("""COMPUTED_VALUE"""),"")</f>
        <v/>
      </c>
      <c r="W605" s="52" t="str">
        <f>IFERROR(__xludf.DUMMYFUNCTION("""COMPUTED_VALUE"""),"")</f>
        <v/>
      </c>
      <c r="X605" s="52" t="str">
        <f>IFERROR(__xludf.DUMMYFUNCTION("""COMPUTED_VALUE"""),"")</f>
        <v/>
      </c>
      <c r="Y605" s="52" t="str">
        <f>IFERROR(__xludf.DUMMYFUNCTION("""COMPUTED_VALUE"""),"")</f>
        <v/>
      </c>
      <c r="Z605" s="52" t="str">
        <f>IFERROR(__xludf.DUMMYFUNCTION("""COMPUTED_VALUE"""),"")</f>
        <v/>
      </c>
      <c r="AA605" s="52" t="str">
        <f>IFERROR(__xludf.DUMMYFUNCTION("""COMPUTED_VALUE"""),"")</f>
        <v/>
      </c>
      <c r="AB605" s="52" t="str">
        <f>IFERROR(__xludf.DUMMYFUNCTION("""COMPUTED_VALUE"""),"")</f>
        <v/>
      </c>
      <c r="AC605" s="52" t="str">
        <f>IFERROR(__xludf.DUMMYFUNCTION("""COMPUTED_VALUE"""),"")</f>
        <v/>
      </c>
      <c r="AD605" s="52" t="str">
        <f>IFERROR(__xludf.DUMMYFUNCTION("""COMPUTED_VALUE"""),"")</f>
        <v/>
      </c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</row>
    <row r="606">
      <c r="B606" s="49"/>
      <c r="C606" s="49" t="str">
        <f t="shared" si="2"/>
        <v/>
      </c>
      <c r="D606" s="50" t="str">
        <f t="shared" si="3"/>
        <v/>
      </c>
      <c r="E606" s="51" t="str">
        <f t="shared" ref="E606:T606" si="607">IFERROR(VLOOKUP($A606,INDIRECT("'" &amp; E$1 &amp; "'!$C:$G"), 5, FALSE),"")</f>
        <v/>
      </c>
      <c r="F606" s="51" t="str">
        <f t="shared" si="607"/>
        <v/>
      </c>
      <c r="G606" s="51" t="str">
        <f t="shared" si="607"/>
        <v/>
      </c>
      <c r="H606" s="51" t="str">
        <f t="shared" si="607"/>
        <v/>
      </c>
      <c r="I606" s="51" t="str">
        <f t="shared" si="607"/>
        <v/>
      </c>
      <c r="J606" s="51" t="str">
        <f t="shared" si="607"/>
        <v/>
      </c>
      <c r="K606" s="51" t="str">
        <f t="shared" si="607"/>
        <v/>
      </c>
      <c r="L606" s="51" t="str">
        <f t="shared" si="607"/>
        <v/>
      </c>
      <c r="M606" s="51" t="str">
        <f t="shared" si="607"/>
        <v/>
      </c>
      <c r="N606" s="51" t="str">
        <f t="shared" si="607"/>
        <v/>
      </c>
      <c r="O606" s="51" t="str">
        <f t="shared" si="607"/>
        <v/>
      </c>
      <c r="P606" s="51" t="str">
        <f t="shared" si="607"/>
        <v/>
      </c>
      <c r="Q606" s="51" t="str">
        <f t="shared" si="607"/>
        <v/>
      </c>
      <c r="R606" s="51" t="str">
        <f t="shared" si="607"/>
        <v/>
      </c>
      <c r="S606" s="51" t="str">
        <f t="shared" si="607"/>
        <v/>
      </c>
      <c r="T606" s="51" t="str">
        <f t="shared" si="607"/>
        <v/>
      </c>
      <c r="U606" s="52"/>
      <c r="V606" s="52" t="str">
        <f>IFERROR(__xludf.DUMMYFUNCTION("""COMPUTED_VALUE"""),"")</f>
        <v/>
      </c>
      <c r="W606" s="52" t="str">
        <f>IFERROR(__xludf.DUMMYFUNCTION("""COMPUTED_VALUE"""),"")</f>
        <v/>
      </c>
      <c r="X606" s="52" t="str">
        <f>IFERROR(__xludf.DUMMYFUNCTION("""COMPUTED_VALUE"""),"")</f>
        <v/>
      </c>
      <c r="Y606" s="52" t="str">
        <f>IFERROR(__xludf.DUMMYFUNCTION("""COMPUTED_VALUE"""),"")</f>
        <v/>
      </c>
      <c r="Z606" s="52" t="str">
        <f>IFERROR(__xludf.DUMMYFUNCTION("""COMPUTED_VALUE"""),"")</f>
        <v/>
      </c>
      <c r="AA606" s="52" t="str">
        <f>IFERROR(__xludf.DUMMYFUNCTION("""COMPUTED_VALUE"""),"")</f>
        <v/>
      </c>
      <c r="AB606" s="52" t="str">
        <f>IFERROR(__xludf.DUMMYFUNCTION("""COMPUTED_VALUE"""),"")</f>
        <v/>
      </c>
      <c r="AC606" s="52" t="str">
        <f>IFERROR(__xludf.DUMMYFUNCTION("""COMPUTED_VALUE"""),"")</f>
        <v/>
      </c>
      <c r="AD606" s="52" t="str">
        <f>IFERROR(__xludf.DUMMYFUNCTION("""COMPUTED_VALUE"""),"")</f>
        <v/>
      </c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</row>
    <row r="607">
      <c r="B607" s="49"/>
      <c r="C607" s="49" t="str">
        <f t="shared" si="2"/>
        <v/>
      </c>
      <c r="D607" s="50" t="str">
        <f t="shared" si="3"/>
        <v/>
      </c>
      <c r="E607" s="51" t="str">
        <f t="shared" ref="E607:T607" si="608">IFERROR(VLOOKUP($A607,INDIRECT("'" &amp; E$1 &amp; "'!$C:$G"), 5, FALSE),"")</f>
        <v/>
      </c>
      <c r="F607" s="51" t="str">
        <f t="shared" si="608"/>
        <v/>
      </c>
      <c r="G607" s="51" t="str">
        <f t="shared" si="608"/>
        <v/>
      </c>
      <c r="H607" s="51" t="str">
        <f t="shared" si="608"/>
        <v/>
      </c>
      <c r="I607" s="51" t="str">
        <f t="shared" si="608"/>
        <v/>
      </c>
      <c r="J607" s="51" t="str">
        <f t="shared" si="608"/>
        <v/>
      </c>
      <c r="K607" s="51" t="str">
        <f t="shared" si="608"/>
        <v/>
      </c>
      <c r="L607" s="51" t="str">
        <f t="shared" si="608"/>
        <v/>
      </c>
      <c r="M607" s="51" t="str">
        <f t="shared" si="608"/>
        <v/>
      </c>
      <c r="N607" s="51" t="str">
        <f t="shared" si="608"/>
        <v/>
      </c>
      <c r="O607" s="51" t="str">
        <f t="shared" si="608"/>
        <v/>
      </c>
      <c r="P607" s="51" t="str">
        <f t="shared" si="608"/>
        <v/>
      </c>
      <c r="Q607" s="51" t="str">
        <f t="shared" si="608"/>
        <v/>
      </c>
      <c r="R607" s="51" t="str">
        <f t="shared" si="608"/>
        <v/>
      </c>
      <c r="S607" s="51" t="str">
        <f t="shared" si="608"/>
        <v/>
      </c>
      <c r="T607" s="51" t="str">
        <f t="shared" si="608"/>
        <v/>
      </c>
      <c r="U607" s="52"/>
      <c r="V607" s="52" t="str">
        <f>IFERROR(__xludf.DUMMYFUNCTION("""COMPUTED_VALUE"""),"")</f>
        <v/>
      </c>
      <c r="W607" s="52" t="str">
        <f>IFERROR(__xludf.DUMMYFUNCTION("""COMPUTED_VALUE"""),"")</f>
        <v/>
      </c>
      <c r="X607" s="52" t="str">
        <f>IFERROR(__xludf.DUMMYFUNCTION("""COMPUTED_VALUE"""),"")</f>
        <v/>
      </c>
      <c r="Y607" s="52" t="str">
        <f>IFERROR(__xludf.DUMMYFUNCTION("""COMPUTED_VALUE"""),"")</f>
        <v/>
      </c>
      <c r="Z607" s="52" t="str">
        <f>IFERROR(__xludf.DUMMYFUNCTION("""COMPUTED_VALUE"""),"")</f>
        <v/>
      </c>
      <c r="AA607" s="52" t="str">
        <f>IFERROR(__xludf.DUMMYFUNCTION("""COMPUTED_VALUE"""),"")</f>
        <v/>
      </c>
      <c r="AB607" s="52" t="str">
        <f>IFERROR(__xludf.DUMMYFUNCTION("""COMPUTED_VALUE"""),"")</f>
        <v/>
      </c>
      <c r="AC607" s="52" t="str">
        <f>IFERROR(__xludf.DUMMYFUNCTION("""COMPUTED_VALUE"""),"")</f>
        <v/>
      </c>
      <c r="AD607" s="52" t="str">
        <f>IFERROR(__xludf.DUMMYFUNCTION("""COMPUTED_VALUE"""),"")</f>
        <v/>
      </c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</row>
    <row r="608">
      <c r="B608" s="49"/>
      <c r="C608" s="49" t="str">
        <f t="shared" si="2"/>
        <v/>
      </c>
      <c r="D608" s="50" t="str">
        <f t="shared" si="3"/>
        <v/>
      </c>
      <c r="E608" s="51" t="str">
        <f t="shared" ref="E608:T608" si="609">IFERROR(VLOOKUP($A608,INDIRECT("'" &amp; E$1 &amp; "'!$C:$G"), 5, FALSE),"")</f>
        <v/>
      </c>
      <c r="F608" s="51" t="str">
        <f t="shared" si="609"/>
        <v/>
      </c>
      <c r="G608" s="51" t="str">
        <f t="shared" si="609"/>
        <v/>
      </c>
      <c r="H608" s="51" t="str">
        <f t="shared" si="609"/>
        <v/>
      </c>
      <c r="I608" s="51" t="str">
        <f t="shared" si="609"/>
        <v/>
      </c>
      <c r="J608" s="51" t="str">
        <f t="shared" si="609"/>
        <v/>
      </c>
      <c r="K608" s="51" t="str">
        <f t="shared" si="609"/>
        <v/>
      </c>
      <c r="L608" s="51" t="str">
        <f t="shared" si="609"/>
        <v/>
      </c>
      <c r="M608" s="51" t="str">
        <f t="shared" si="609"/>
        <v/>
      </c>
      <c r="N608" s="51" t="str">
        <f t="shared" si="609"/>
        <v/>
      </c>
      <c r="O608" s="51" t="str">
        <f t="shared" si="609"/>
        <v/>
      </c>
      <c r="P608" s="51" t="str">
        <f t="shared" si="609"/>
        <v/>
      </c>
      <c r="Q608" s="51" t="str">
        <f t="shared" si="609"/>
        <v/>
      </c>
      <c r="R608" s="51" t="str">
        <f t="shared" si="609"/>
        <v/>
      </c>
      <c r="S608" s="51" t="str">
        <f t="shared" si="609"/>
        <v/>
      </c>
      <c r="T608" s="51" t="str">
        <f t="shared" si="609"/>
        <v/>
      </c>
      <c r="U608" s="52"/>
      <c r="V608" s="52" t="str">
        <f>IFERROR(__xludf.DUMMYFUNCTION("""COMPUTED_VALUE"""),"")</f>
        <v/>
      </c>
      <c r="W608" s="52" t="str">
        <f>IFERROR(__xludf.DUMMYFUNCTION("""COMPUTED_VALUE"""),"")</f>
        <v/>
      </c>
      <c r="X608" s="52" t="str">
        <f>IFERROR(__xludf.DUMMYFUNCTION("""COMPUTED_VALUE"""),"")</f>
        <v/>
      </c>
      <c r="Y608" s="52" t="str">
        <f>IFERROR(__xludf.DUMMYFUNCTION("""COMPUTED_VALUE"""),"")</f>
        <v/>
      </c>
      <c r="Z608" s="52" t="str">
        <f>IFERROR(__xludf.DUMMYFUNCTION("""COMPUTED_VALUE"""),"")</f>
        <v/>
      </c>
      <c r="AA608" s="52" t="str">
        <f>IFERROR(__xludf.DUMMYFUNCTION("""COMPUTED_VALUE"""),"")</f>
        <v/>
      </c>
      <c r="AB608" s="52" t="str">
        <f>IFERROR(__xludf.DUMMYFUNCTION("""COMPUTED_VALUE"""),"")</f>
        <v/>
      </c>
      <c r="AC608" s="52" t="str">
        <f>IFERROR(__xludf.DUMMYFUNCTION("""COMPUTED_VALUE"""),"")</f>
        <v/>
      </c>
      <c r="AD608" s="52" t="str">
        <f>IFERROR(__xludf.DUMMYFUNCTION("""COMPUTED_VALUE"""),"")</f>
        <v/>
      </c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</row>
    <row r="609">
      <c r="B609" s="49"/>
      <c r="C609" s="49" t="str">
        <f t="shared" si="2"/>
        <v/>
      </c>
      <c r="D609" s="50" t="str">
        <f t="shared" si="3"/>
        <v/>
      </c>
      <c r="E609" s="51" t="str">
        <f t="shared" ref="E609:T609" si="610">IFERROR(VLOOKUP($A609,INDIRECT("'" &amp; E$1 &amp; "'!$C:$G"), 5, FALSE),"")</f>
        <v/>
      </c>
      <c r="F609" s="51" t="str">
        <f t="shared" si="610"/>
        <v/>
      </c>
      <c r="G609" s="51" t="str">
        <f t="shared" si="610"/>
        <v/>
      </c>
      <c r="H609" s="51" t="str">
        <f t="shared" si="610"/>
        <v/>
      </c>
      <c r="I609" s="51" t="str">
        <f t="shared" si="610"/>
        <v/>
      </c>
      <c r="J609" s="51" t="str">
        <f t="shared" si="610"/>
        <v/>
      </c>
      <c r="K609" s="51" t="str">
        <f t="shared" si="610"/>
        <v/>
      </c>
      <c r="L609" s="51" t="str">
        <f t="shared" si="610"/>
        <v/>
      </c>
      <c r="M609" s="51" t="str">
        <f t="shared" si="610"/>
        <v/>
      </c>
      <c r="N609" s="51" t="str">
        <f t="shared" si="610"/>
        <v/>
      </c>
      <c r="O609" s="51" t="str">
        <f t="shared" si="610"/>
        <v/>
      </c>
      <c r="P609" s="51" t="str">
        <f t="shared" si="610"/>
        <v/>
      </c>
      <c r="Q609" s="51" t="str">
        <f t="shared" si="610"/>
        <v/>
      </c>
      <c r="R609" s="51" t="str">
        <f t="shared" si="610"/>
        <v/>
      </c>
      <c r="S609" s="51" t="str">
        <f t="shared" si="610"/>
        <v/>
      </c>
      <c r="T609" s="51" t="str">
        <f t="shared" si="610"/>
        <v/>
      </c>
      <c r="U609" s="52"/>
      <c r="V609" s="52" t="str">
        <f>IFERROR(__xludf.DUMMYFUNCTION("""COMPUTED_VALUE"""),"")</f>
        <v/>
      </c>
      <c r="W609" s="52" t="str">
        <f>IFERROR(__xludf.DUMMYFUNCTION("""COMPUTED_VALUE"""),"")</f>
        <v/>
      </c>
      <c r="X609" s="52" t="str">
        <f>IFERROR(__xludf.DUMMYFUNCTION("""COMPUTED_VALUE"""),"")</f>
        <v/>
      </c>
      <c r="Y609" s="52" t="str">
        <f>IFERROR(__xludf.DUMMYFUNCTION("""COMPUTED_VALUE"""),"")</f>
        <v/>
      </c>
      <c r="Z609" s="52" t="str">
        <f>IFERROR(__xludf.DUMMYFUNCTION("""COMPUTED_VALUE"""),"")</f>
        <v/>
      </c>
      <c r="AA609" s="52" t="str">
        <f>IFERROR(__xludf.DUMMYFUNCTION("""COMPUTED_VALUE"""),"")</f>
        <v/>
      </c>
      <c r="AB609" s="52" t="str">
        <f>IFERROR(__xludf.DUMMYFUNCTION("""COMPUTED_VALUE"""),"")</f>
        <v/>
      </c>
      <c r="AC609" s="52" t="str">
        <f>IFERROR(__xludf.DUMMYFUNCTION("""COMPUTED_VALUE"""),"")</f>
        <v/>
      </c>
      <c r="AD609" s="52" t="str">
        <f>IFERROR(__xludf.DUMMYFUNCTION("""COMPUTED_VALUE"""),"")</f>
        <v/>
      </c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</row>
    <row r="610">
      <c r="B610" s="49"/>
      <c r="C610" s="49" t="str">
        <f t="shared" si="2"/>
        <v/>
      </c>
      <c r="D610" s="50" t="str">
        <f t="shared" si="3"/>
        <v/>
      </c>
      <c r="E610" s="51" t="str">
        <f t="shared" ref="E610:T610" si="611">IFERROR(VLOOKUP($A610,INDIRECT("'" &amp; E$1 &amp; "'!$C:$G"), 5, FALSE),"")</f>
        <v/>
      </c>
      <c r="F610" s="51" t="str">
        <f t="shared" si="611"/>
        <v/>
      </c>
      <c r="G610" s="51" t="str">
        <f t="shared" si="611"/>
        <v/>
      </c>
      <c r="H610" s="51" t="str">
        <f t="shared" si="611"/>
        <v/>
      </c>
      <c r="I610" s="51" t="str">
        <f t="shared" si="611"/>
        <v/>
      </c>
      <c r="J610" s="51" t="str">
        <f t="shared" si="611"/>
        <v/>
      </c>
      <c r="K610" s="51" t="str">
        <f t="shared" si="611"/>
        <v/>
      </c>
      <c r="L610" s="51" t="str">
        <f t="shared" si="611"/>
        <v/>
      </c>
      <c r="M610" s="51" t="str">
        <f t="shared" si="611"/>
        <v/>
      </c>
      <c r="N610" s="51" t="str">
        <f t="shared" si="611"/>
        <v/>
      </c>
      <c r="O610" s="51" t="str">
        <f t="shared" si="611"/>
        <v/>
      </c>
      <c r="P610" s="51" t="str">
        <f t="shared" si="611"/>
        <v/>
      </c>
      <c r="Q610" s="51" t="str">
        <f t="shared" si="611"/>
        <v/>
      </c>
      <c r="R610" s="51" t="str">
        <f t="shared" si="611"/>
        <v/>
      </c>
      <c r="S610" s="51" t="str">
        <f t="shared" si="611"/>
        <v/>
      </c>
      <c r="T610" s="51" t="str">
        <f t="shared" si="611"/>
        <v/>
      </c>
      <c r="U610" s="52"/>
      <c r="V610" s="52" t="str">
        <f>IFERROR(__xludf.DUMMYFUNCTION("""COMPUTED_VALUE"""),"")</f>
        <v/>
      </c>
      <c r="W610" s="52" t="str">
        <f>IFERROR(__xludf.DUMMYFUNCTION("""COMPUTED_VALUE"""),"")</f>
        <v/>
      </c>
      <c r="X610" s="52" t="str">
        <f>IFERROR(__xludf.DUMMYFUNCTION("""COMPUTED_VALUE"""),"")</f>
        <v/>
      </c>
      <c r="Y610" s="52" t="str">
        <f>IFERROR(__xludf.DUMMYFUNCTION("""COMPUTED_VALUE"""),"")</f>
        <v/>
      </c>
      <c r="Z610" s="52" t="str">
        <f>IFERROR(__xludf.DUMMYFUNCTION("""COMPUTED_VALUE"""),"")</f>
        <v/>
      </c>
      <c r="AA610" s="52" t="str">
        <f>IFERROR(__xludf.DUMMYFUNCTION("""COMPUTED_VALUE"""),"")</f>
        <v/>
      </c>
      <c r="AB610" s="52" t="str">
        <f>IFERROR(__xludf.DUMMYFUNCTION("""COMPUTED_VALUE"""),"")</f>
        <v/>
      </c>
      <c r="AC610" s="52" t="str">
        <f>IFERROR(__xludf.DUMMYFUNCTION("""COMPUTED_VALUE"""),"")</f>
        <v/>
      </c>
      <c r="AD610" s="52" t="str">
        <f>IFERROR(__xludf.DUMMYFUNCTION("""COMPUTED_VALUE"""),"")</f>
        <v/>
      </c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</row>
    <row r="611">
      <c r="B611" s="49"/>
      <c r="C611" s="49" t="str">
        <f t="shared" si="2"/>
        <v/>
      </c>
      <c r="D611" s="50" t="str">
        <f t="shared" si="3"/>
        <v/>
      </c>
      <c r="E611" s="51" t="str">
        <f t="shared" ref="E611:T611" si="612">IFERROR(VLOOKUP($A611,INDIRECT("'" &amp; E$1 &amp; "'!$C:$G"), 5, FALSE),"")</f>
        <v/>
      </c>
      <c r="F611" s="51" t="str">
        <f t="shared" si="612"/>
        <v/>
      </c>
      <c r="G611" s="51" t="str">
        <f t="shared" si="612"/>
        <v/>
      </c>
      <c r="H611" s="51" t="str">
        <f t="shared" si="612"/>
        <v/>
      </c>
      <c r="I611" s="51" t="str">
        <f t="shared" si="612"/>
        <v/>
      </c>
      <c r="J611" s="51" t="str">
        <f t="shared" si="612"/>
        <v/>
      </c>
      <c r="K611" s="51" t="str">
        <f t="shared" si="612"/>
        <v/>
      </c>
      <c r="L611" s="51" t="str">
        <f t="shared" si="612"/>
        <v/>
      </c>
      <c r="M611" s="51" t="str">
        <f t="shared" si="612"/>
        <v/>
      </c>
      <c r="N611" s="51" t="str">
        <f t="shared" si="612"/>
        <v/>
      </c>
      <c r="O611" s="51" t="str">
        <f t="shared" si="612"/>
        <v/>
      </c>
      <c r="P611" s="51" t="str">
        <f t="shared" si="612"/>
        <v/>
      </c>
      <c r="Q611" s="51" t="str">
        <f t="shared" si="612"/>
        <v/>
      </c>
      <c r="R611" s="51" t="str">
        <f t="shared" si="612"/>
        <v/>
      </c>
      <c r="S611" s="51" t="str">
        <f t="shared" si="612"/>
        <v/>
      </c>
      <c r="T611" s="51" t="str">
        <f t="shared" si="612"/>
        <v/>
      </c>
      <c r="U611" s="52"/>
      <c r="V611" s="52" t="str">
        <f>IFERROR(__xludf.DUMMYFUNCTION("""COMPUTED_VALUE"""),"")</f>
        <v/>
      </c>
      <c r="W611" s="52" t="str">
        <f>IFERROR(__xludf.DUMMYFUNCTION("""COMPUTED_VALUE"""),"")</f>
        <v/>
      </c>
      <c r="X611" s="52" t="str">
        <f>IFERROR(__xludf.DUMMYFUNCTION("""COMPUTED_VALUE"""),"")</f>
        <v/>
      </c>
      <c r="Y611" s="52" t="str">
        <f>IFERROR(__xludf.DUMMYFUNCTION("""COMPUTED_VALUE"""),"")</f>
        <v/>
      </c>
      <c r="Z611" s="52" t="str">
        <f>IFERROR(__xludf.DUMMYFUNCTION("""COMPUTED_VALUE"""),"")</f>
        <v/>
      </c>
      <c r="AA611" s="52" t="str">
        <f>IFERROR(__xludf.DUMMYFUNCTION("""COMPUTED_VALUE"""),"")</f>
        <v/>
      </c>
      <c r="AB611" s="52" t="str">
        <f>IFERROR(__xludf.DUMMYFUNCTION("""COMPUTED_VALUE"""),"")</f>
        <v/>
      </c>
      <c r="AC611" s="52" t="str">
        <f>IFERROR(__xludf.DUMMYFUNCTION("""COMPUTED_VALUE"""),"")</f>
        <v/>
      </c>
      <c r="AD611" s="52" t="str">
        <f>IFERROR(__xludf.DUMMYFUNCTION("""COMPUTED_VALUE"""),"")</f>
        <v/>
      </c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</row>
    <row r="612">
      <c r="B612" s="49"/>
      <c r="C612" s="49" t="str">
        <f t="shared" si="2"/>
        <v/>
      </c>
      <c r="D612" s="50" t="str">
        <f t="shared" si="3"/>
        <v/>
      </c>
      <c r="E612" s="51" t="str">
        <f t="shared" ref="E612:T612" si="613">IFERROR(VLOOKUP($A612,INDIRECT("'" &amp; E$1 &amp; "'!$C:$G"), 5, FALSE),"")</f>
        <v/>
      </c>
      <c r="F612" s="51" t="str">
        <f t="shared" si="613"/>
        <v/>
      </c>
      <c r="G612" s="51" t="str">
        <f t="shared" si="613"/>
        <v/>
      </c>
      <c r="H612" s="51" t="str">
        <f t="shared" si="613"/>
        <v/>
      </c>
      <c r="I612" s="51" t="str">
        <f t="shared" si="613"/>
        <v/>
      </c>
      <c r="J612" s="51" t="str">
        <f t="shared" si="613"/>
        <v/>
      </c>
      <c r="K612" s="51" t="str">
        <f t="shared" si="613"/>
        <v/>
      </c>
      <c r="L612" s="51" t="str">
        <f t="shared" si="613"/>
        <v/>
      </c>
      <c r="M612" s="51" t="str">
        <f t="shared" si="613"/>
        <v/>
      </c>
      <c r="N612" s="51" t="str">
        <f t="shared" si="613"/>
        <v/>
      </c>
      <c r="O612" s="51" t="str">
        <f t="shared" si="613"/>
        <v/>
      </c>
      <c r="P612" s="51" t="str">
        <f t="shared" si="613"/>
        <v/>
      </c>
      <c r="Q612" s="51" t="str">
        <f t="shared" si="613"/>
        <v/>
      </c>
      <c r="R612" s="51" t="str">
        <f t="shared" si="613"/>
        <v/>
      </c>
      <c r="S612" s="51" t="str">
        <f t="shared" si="613"/>
        <v/>
      </c>
      <c r="T612" s="51" t="str">
        <f t="shared" si="613"/>
        <v/>
      </c>
      <c r="U612" s="52"/>
      <c r="V612" s="52" t="str">
        <f>IFERROR(__xludf.DUMMYFUNCTION("""COMPUTED_VALUE"""),"")</f>
        <v/>
      </c>
      <c r="W612" s="52" t="str">
        <f>IFERROR(__xludf.DUMMYFUNCTION("""COMPUTED_VALUE"""),"")</f>
        <v/>
      </c>
      <c r="X612" s="52" t="str">
        <f>IFERROR(__xludf.DUMMYFUNCTION("""COMPUTED_VALUE"""),"")</f>
        <v/>
      </c>
      <c r="Y612" s="52" t="str">
        <f>IFERROR(__xludf.DUMMYFUNCTION("""COMPUTED_VALUE"""),"")</f>
        <v/>
      </c>
      <c r="Z612" s="52" t="str">
        <f>IFERROR(__xludf.DUMMYFUNCTION("""COMPUTED_VALUE"""),"")</f>
        <v/>
      </c>
      <c r="AA612" s="52" t="str">
        <f>IFERROR(__xludf.DUMMYFUNCTION("""COMPUTED_VALUE"""),"")</f>
        <v/>
      </c>
      <c r="AB612" s="52" t="str">
        <f>IFERROR(__xludf.DUMMYFUNCTION("""COMPUTED_VALUE"""),"")</f>
        <v/>
      </c>
      <c r="AC612" s="52" t="str">
        <f>IFERROR(__xludf.DUMMYFUNCTION("""COMPUTED_VALUE"""),"")</f>
        <v/>
      </c>
      <c r="AD612" s="52" t="str">
        <f>IFERROR(__xludf.DUMMYFUNCTION("""COMPUTED_VALUE"""),"")</f>
        <v/>
      </c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</row>
    <row r="613">
      <c r="B613" s="49"/>
      <c r="C613" s="49" t="str">
        <f t="shared" si="2"/>
        <v/>
      </c>
      <c r="D613" s="50" t="str">
        <f t="shared" si="3"/>
        <v/>
      </c>
      <c r="E613" s="51" t="str">
        <f t="shared" ref="E613:T613" si="614">IFERROR(VLOOKUP($A613,INDIRECT("'" &amp; E$1 &amp; "'!$C:$G"), 5, FALSE),"")</f>
        <v/>
      </c>
      <c r="F613" s="51" t="str">
        <f t="shared" si="614"/>
        <v/>
      </c>
      <c r="G613" s="51" t="str">
        <f t="shared" si="614"/>
        <v/>
      </c>
      <c r="H613" s="51" t="str">
        <f t="shared" si="614"/>
        <v/>
      </c>
      <c r="I613" s="51" t="str">
        <f t="shared" si="614"/>
        <v/>
      </c>
      <c r="J613" s="51" t="str">
        <f t="shared" si="614"/>
        <v/>
      </c>
      <c r="K613" s="51" t="str">
        <f t="shared" si="614"/>
        <v/>
      </c>
      <c r="L613" s="51" t="str">
        <f t="shared" si="614"/>
        <v/>
      </c>
      <c r="M613" s="51" t="str">
        <f t="shared" si="614"/>
        <v/>
      </c>
      <c r="N613" s="51" t="str">
        <f t="shared" si="614"/>
        <v/>
      </c>
      <c r="O613" s="51" t="str">
        <f t="shared" si="614"/>
        <v/>
      </c>
      <c r="P613" s="51" t="str">
        <f t="shared" si="614"/>
        <v/>
      </c>
      <c r="Q613" s="51" t="str">
        <f t="shared" si="614"/>
        <v/>
      </c>
      <c r="R613" s="51" t="str">
        <f t="shared" si="614"/>
        <v/>
      </c>
      <c r="S613" s="51" t="str">
        <f t="shared" si="614"/>
        <v/>
      </c>
      <c r="T613" s="51" t="str">
        <f t="shared" si="614"/>
        <v/>
      </c>
      <c r="U613" s="52"/>
      <c r="V613" s="52" t="str">
        <f>IFERROR(__xludf.DUMMYFUNCTION("""COMPUTED_VALUE"""),"")</f>
        <v/>
      </c>
      <c r="W613" s="52" t="str">
        <f>IFERROR(__xludf.DUMMYFUNCTION("""COMPUTED_VALUE"""),"")</f>
        <v/>
      </c>
      <c r="X613" s="52" t="str">
        <f>IFERROR(__xludf.DUMMYFUNCTION("""COMPUTED_VALUE"""),"")</f>
        <v/>
      </c>
      <c r="Y613" s="52" t="str">
        <f>IFERROR(__xludf.DUMMYFUNCTION("""COMPUTED_VALUE"""),"")</f>
        <v/>
      </c>
      <c r="Z613" s="52" t="str">
        <f>IFERROR(__xludf.DUMMYFUNCTION("""COMPUTED_VALUE"""),"")</f>
        <v/>
      </c>
      <c r="AA613" s="52" t="str">
        <f>IFERROR(__xludf.DUMMYFUNCTION("""COMPUTED_VALUE"""),"")</f>
        <v/>
      </c>
      <c r="AB613" s="52" t="str">
        <f>IFERROR(__xludf.DUMMYFUNCTION("""COMPUTED_VALUE"""),"")</f>
        <v/>
      </c>
      <c r="AC613" s="52" t="str">
        <f>IFERROR(__xludf.DUMMYFUNCTION("""COMPUTED_VALUE"""),"")</f>
        <v/>
      </c>
      <c r="AD613" s="52" t="str">
        <f>IFERROR(__xludf.DUMMYFUNCTION("""COMPUTED_VALUE"""),"")</f>
        <v/>
      </c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</row>
    <row r="614">
      <c r="B614" s="49"/>
      <c r="C614" s="49" t="str">
        <f t="shared" si="2"/>
        <v/>
      </c>
      <c r="D614" s="50" t="str">
        <f t="shared" si="3"/>
        <v/>
      </c>
      <c r="E614" s="51" t="str">
        <f t="shared" ref="E614:T614" si="615">IFERROR(VLOOKUP($A614,INDIRECT("'" &amp; E$1 &amp; "'!$C:$G"), 5, FALSE),"")</f>
        <v/>
      </c>
      <c r="F614" s="51" t="str">
        <f t="shared" si="615"/>
        <v/>
      </c>
      <c r="G614" s="51" t="str">
        <f t="shared" si="615"/>
        <v/>
      </c>
      <c r="H614" s="51" t="str">
        <f t="shared" si="615"/>
        <v/>
      </c>
      <c r="I614" s="51" t="str">
        <f t="shared" si="615"/>
        <v/>
      </c>
      <c r="J614" s="51" t="str">
        <f t="shared" si="615"/>
        <v/>
      </c>
      <c r="K614" s="51" t="str">
        <f t="shared" si="615"/>
        <v/>
      </c>
      <c r="L614" s="51" t="str">
        <f t="shared" si="615"/>
        <v/>
      </c>
      <c r="M614" s="51" t="str">
        <f t="shared" si="615"/>
        <v/>
      </c>
      <c r="N614" s="51" t="str">
        <f t="shared" si="615"/>
        <v/>
      </c>
      <c r="O614" s="51" t="str">
        <f t="shared" si="615"/>
        <v/>
      </c>
      <c r="P614" s="51" t="str">
        <f t="shared" si="615"/>
        <v/>
      </c>
      <c r="Q614" s="51" t="str">
        <f t="shared" si="615"/>
        <v/>
      </c>
      <c r="R614" s="51" t="str">
        <f t="shared" si="615"/>
        <v/>
      </c>
      <c r="S614" s="51" t="str">
        <f t="shared" si="615"/>
        <v/>
      </c>
      <c r="T614" s="51" t="str">
        <f t="shared" si="615"/>
        <v/>
      </c>
      <c r="U614" s="52"/>
      <c r="V614" s="52" t="str">
        <f>IFERROR(__xludf.DUMMYFUNCTION("""COMPUTED_VALUE"""),"")</f>
        <v/>
      </c>
      <c r="W614" s="52" t="str">
        <f>IFERROR(__xludf.DUMMYFUNCTION("""COMPUTED_VALUE"""),"")</f>
        <v/>
      </c>
      <c r="X614" s="52" t="str">
        <f>IFERROR(__xludf.DUMMYFUNCTION("""COMPUTED_VALUE"""),"")</f>
        <v/>
      </c>
      <c r="Y614" s="52" t="str">
        <f>IFERROR(__xludf.DUMMYFUNCTION("""COMPUTED_VALUE"""),"")</f>
        <v/>
      </c>
      <c r="Z614" s="52" t="str">
        <f>IFERROR(__xludf.DUMMYFUNCTION("""COMPUTED_VALUE"""),"")</f>
        <v/>
      </c>
      <c r="AA614" s="52" t="str">
        <f>IFERROR(__xludf.DUMMYFUNCTION("""COMPUTED_VALUE"""),"")</f>
        <v/>
      </c>
      <c r="AB614" s="52" t="str">
        <f>IFERROR(__xludf.DUMMYFUNCTION("""COMPUTED_VALUE"""),"")</f>
        <v/>
      </c>
      <c r="AC614" s="52" t="str">
        <f>IFERROR(__xludf.DUMMYFUNCTION("""COMPUTED_VALUE"""),"")</f>
        <v/>
      </c>
      <c r="AD614" s="52" t="str">
        <f>IFERROR(__xludf.DUMMYFUNCTION("""COMPUTED_VALUE"""),"")</f>
        <v/>
      </c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</row>
    <row r="615">
      <c r="B615" s="49"/>
      <c r="C615" s="49" t="str">
        <f t="shared" si="2"/>
        <v/>
      </c>
      <c r="D615" s="50" t="str">
        <f t="shared" si="3"/>
        <v/>
      </c>
      <c r="E615" s="51" t="str">
        <f t="shared" ref="E615:T615" si="616">IFERROR(VLOOKUP($A615,INDIRECT("'" &amp; E$1 &amp; "'!$C:$G"), 5, FALSE),"")</f>
        <v/>
      </c>
      <c r="F615" s="51" t="str">
        <f t="shared" si="616"/>
        <v/>
      </c>
      <c r="G615" s="51" t="str">
        <f t="shared" si="616"/>
        <v/>
      </c>
      <c r="H615" s="51" t="str">
        <f t="shared" si="616"/>
        <v/>
      </c>
      <c r="I615" s="51" t="str">
        <f t="shared" si="616"/>
        <v/>
      </c>
      <c r="J615" s="51" t="str">
        <f t="shared" si="616"/>
        <v/>
      </c>
      <c r="K615" s="51" t="str">
        <f t="shared" si="616"/>
        <v/>
      </c>
      <c r="L615" s="51" t="str">
        <f t="shared" si="616"/>
        <v/>
      </c>
      <c r="M615" s="51" t="str">
        <f t="shared" si="616"/>
        <v/>
      </c>
      <c r="N615" s="51" t="str">
        <f t="shared" si="616"/>
        <v/>
      </c>
      <c r="O615" s="51" t="str">
        <f t="shared" si="616"/>
        <v/>
      </c>
      <c r="P615" s="51" t="str">
        <f t="shared" si="616"/>
        <v/>
      </c>
      <c r="Q615" s="51" t="str">
        <f t="shared" si="616"/>
        <v/>
      </c>
      <c r="R615" s="51" t="str">
        <f t="shared" si="616"/>
        <v/>
      </c>
      <c r="S615" s="51" t="str">
        <f t="shared" si="616"/>
        <v/>
      </c>
      <c r="T615" s="51" t="str">
        <f t="shared" si="616"/>
        <v/>
      </c>
      <c r="U615" s="52"/>
      <c r="V615" s="52" t="str">
        <f>IFERROR(__xludf.DUMMYFUNCTION("""COMPUTED_VALUE"""),"")</f>
        <v/>
      </c>
      <c r="W615" s="52" t="str">
        <f>IFERROR(__xludf.DUMMYFUNCTION("""COMPUTED_VALUE"""),"")</f>
        <v/>
      </c>
      <c r="X615" s="52" t="str">
        <f>IFERROR(__xludf.DUMMYFUNCTION("""COMPUTED_VALUE"""),"")</f>
        <v/>
      </c>
      <c r="Y615" s="52" t="str">
        <f>IFERROR(__xludf.DUMMYFUNCTION("""COMPUTED_VALUE"""),"")</f>
        <v/>
      </c>
      <c r="Z615" s="52" t="str">
        <f>IFERROR(__xludf.DUMMYFUNCTION("""COMPUTED_VALUE"""),"")</f>
        <v/>
      </c>
      <c r="AA615" s="52" t="str">
        <f>IFERROR(__xludf.DUMMYFUNCTION("""COMPUTED_VALUE"""),"")</f>
        <v/>
      </c>
      <c r="AB615" s="52" t="str">
        <f>IFERROR(__xludf.DUMMYFUNCTION("""COMPUTED_VALUE"""),"")</f>
        <v/>
      </c>
      <c r="AC615" s="52" t="str">
        <f>IFERROR(__xludf.DUMMYFUNCTION("""COMPUTED_VALUE"""),"")</f>
        <v/>
      </c>
      <c r="AD615" s="52" t="str">
        <f>IFERROR(__xludf.DUMMYFUNCTION("""COMPUTED_VALUE"""),"")</f>
        <v/>
      </c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</row>
    <row r="616">
      <c r="B616" s="49"/>
      <c r="C616" s="49" t="str">
        <f t="shared" si="2"/>
        <v/>
      </c>
      <c r="D616" s="50" t="str">
        <f t="shared" si="3"/>
        <v/>
      </c>
      <c r="E616" s="51" t="str">
        <f t="shared" ref="E616:T616" si="617">IFERROR(VLOOKUP($A616,INDIRECT("'" &amp; E$1 &amp; "'!$C:$G"), 5, FALSE),"")</f>
        <v/>
      </c>
      <c r="F616" s="51" t="str">
        <f t="shared" si="617"/>
        <v/>
      </c>
      <c r="G616" s="51" t="str">
        <f t="shared" si="617"/>
        <v/>
      </c>
      <c r="H616" s="51" t="str">
        <f t="shared" si="617"/>
        <v/>
      </c>
      <c r="I616" s="51" t="str">
        <f t="shared" si="617"/>
        <v/>
      </c>
      <c r="J616" s="51" t="str">
        <f t="shared" si="617"/>
        <v/>
      </c>
      <c r="K616" s="51" t="str">
        <f t="shared" si="617"/>
        <v/>
      </c>
      <c r="L616" s="51" t="str">
        <f t="shared" si="617"/>
        <v/>
      </c>
      <c r="M616" s="51" t="str">
        <f t="shared" si="617"/>
        <v/>
      </c>
      <c r="N616" s="51" t="str">
        <f t="shared" si="617"/>
        <v/>
      </c>
      <c r="O616" s="51" t="str">
        <f t="shared" si="617"/>
        <v/>
      </c>
      <c r="P616" s="51" t="str">
        <f t="shared" si="617"/>
        <v/>
      </c>
      <c r="Q616" s="51" t="str">
        <f t="shared" si="617"/>
        <v/>
      </c>
      <c r="R616" s="51" t="str">
        <f t="shared" si="617"/>
        <v/>
      </c>
      <c r="S616" s="51" t="str">
        <f t="shared" si="617"/>
        <v/>
      </c>
      <c r="T616" s="51" t="str">
        <f t="shared" si="617"/>
        <v/>
      </c>
      <c r="U616" s="52"/>
      <c r="V616" s="52" t="str">
        <f>IFERROR(__xludf.DUMMYFUNCTION("""COMPUTED_VALUE"""),"")</f>
        <v/>
      </c>
      <c r="W616" s="52" t="str">
        <f>IFERROR(__xludf.DUMMYFUNCTION("""COMPUTED_VALUE"""),"")</f>
        <v/>
      </c>
      <c r="X616" s="52" t="str">
        <f>IFERROR(__xludf.DUMMYFUNCTION("""COMPUTED_VALUE"""),"")</f>
        <v/>
      </c>
      <c r="Y616" s="52" t="str">
        <f>IFERROR(__xludf.DUMMYFUNCTION("""COMPUTED_VALUE"""),"")</f>
        <v/>
      </c>
      <c r="Z616" s="52" t="str">
        <f>IFERROR(__xludf.DUMMYFUNCTION("""COMPUTED_VALUE"""),"")</f>
        <v/>
      </c>
      <c r="AA616" s="52" t="str">
        <f>IFERROR(__xludf.DUMMYFUNCTION("""COMPUTED_VALUE"""),"")</f>
        <v/>
      </c>
      <c r="AB616" s="52" t="str">
        <f>IFERROR(__xludf.DUMMYFUNCTION("""COMPUTED_VALUE"""),"")</f>
        <v/>
      </c>
      <c r="AC616" s="52" t="str">
        <f>IFERROR(__xludf.DUMMYFUNCTION("""COMPUTED_VALUE"""),"")</f>
        <v/>
      </c>
      <c r="AD616" s="52" t="str">
        <f>IFERROR(__xludf.DUMMYFUNCTION("""COMPUTED_VALUE"""),"")</f>
        <v/>
      </c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</row>
    <row r="617">
      <c r="B617" s="49"/>
      <c r="C617" s="49" t="str">
        <f t="shared" si="2"/>
        <v/>
      </c>
      <c r="D617" s="50" t="str">
        <f t="shared" si="3"/>
        <v/>
      </c>
      <c r="E617" s="51" t="str">
        <f t="shared" ref="E617:T617" si="618">IFERROR(VLOOKUP($A617,INDIRECT("'" &amp; E$1 &amp; "'!$C:$G"), 5, FALSE),"")</f>
        <v/>
      </c>
      <c r="F617" s="51" t="str">
        <f t="shared" si="618"/>
        <v/>
      </c>
      <c r="G617" s="51" t="str">
        <f t="shared" si="618"/>
        <v/>
      </c>
      <c r="H617" s="51" t="str">
        <f t="shared" si="618"/>
        <v/>
      </c>
      <c r="I617" s="51" t="str">
        <f t="shared" si="618"/>
        <v/>
      </c>
      <c r="J617" s="51" t="str">
        <f t="shared" si="618"/>
        <v/>
      </c>
      <c r="K617" s="51" t="str">
        <f t="shared" si="618"/>
        <v/>
      </c>
      <c r="L617" s="51" t="str">
        <f t="shared" si="618"/>
        <v/>
      </c>
      <c r="M617" s="51" t="str">
        <f t="shared" si="618"/>
        <v/>
      </c>
      <c r="N617" s="51" t="str">
        <f t="shared" si="618"/>
        <v/>
      </c>
      <c r="O617" s="51" t="str">
        <f t="shared" si="618"/>
        <v/>
      </c>
      <c r="P617" s="51" t="str">
        <f t="shared" si="618"/>
        <v/>
      </c>
      <c r="Q617" s="51" t="str">
        <f t="shared" si="618"/>
        <v/>
      </c>
      <c r="R617" s="51" t="str">
        <f t="shared" si="618"/>
        <v/>
      </c>
      <c r="S617" s="51" t="str">
        <f t="shared" si="618"/>
        <v/>
      </c>
      <c r="T617" s="51" t="str">
        <f t="shared" si="618"/>
        <v/>
      </c>
      <c r="U617" s="52"/>
      <c r="V617" s="52" t="str">
        <f>IFERROR(__xludf.DUMMYFUNCTION("""COMPUTED_VALUE"""),"")</f>
        <v/>
      </c>
      <c r="W617" s="52" t="str">
        <f>IFERROR(__xludf.DUMMYFUNCTION("""COMPUTED_VALUE"""),"")</f>
        <v/>
      </c>
      <c r="X617" s="52" t="str">
        <f>IFERROR(__xludf.DUMMYFUNCTION("""COMPUTED_VALUE"""),"")</f>
        <v/>
      </c>
      <c r="Y617" s="52" t="str">
        <f>IFERROR(__xludf.DUMMYFUNCTION("""COMPUTED_VALUE"""),"")</f>
        <v/>
      </c>
      <c r="Z617" s="52" t="str">
        <f>IFERROR(__xludf.DUMMYFUNCTION("""COMPUTED_VALUE"""),"")</f>
        <v/>
      </c>
      <c r="AA617" s="52" t="str">
        <f>IFERROR(__xludf.DUMMYFUNCTION("""COMPUTED_VALUE"""),"")</f>
        <v/>
      </c>
      <c r="AB617" s="52" t="str">
        <f>IFERROR(__xludf.DUMMYFUNCTION("""COMPUTED_VALUE"""),"")</f>
        <v/>
      </c>
      <c r="AC617" s="52" t="str">
        <f>IFERROR(__xludf.DUMMYFUNCTION("""COMPUTED_VALUE"""),"")</f>
        <v/>
      </c>
      <c r="AD617" s="52" t="str">
        <f>IFERROR(__xludf.DUMMYFUNCTION("""COMPUTED_VALUE"""),"")</f>
        <v/>
      </c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</row>
    <row r="618">
      <c r="B618" s="49"/>
      <c r="C618" s="49" t="str">
        <f t="shared" si="2"/>
        <v/>
      </c>
      <c r="D618" s="50" t="str">
        <f t="shared" si="3"/>
        <v/>
      </c>
      <c r="E618" s="51" t="str">
        <f t="shared" ref="E618:T618" si="619">IFERROR(VLOOKUP($A618,INDIRECT("'" &amp; E$1 &amp; "'!$C:$G"), 5, FALSE),"")</f>
        <v/>
      </c>
      <c r="F618" s="51" t="str">
        <f t="shared" si="619"/>
        <v/>
      </c>
      <c r="G618" s="51" t="str">
        <f t="shared" si="619"/>
        <v/>
      </c>
      <c r="H618" s="51" t="str">
        <f t="shared" si="619"/>
        <v/>
      </c>
      <c r="I618" s="51" t="str">
        <f t="shared" si="619"/>
        <v/>
      </c>
      <c r="J618" s="51" t="str">
        <f t="shared" si="619"/>
        <v/>
      </c>
      <c r="K618" s="51" t="str">
        <f t="shared" si="619"/>
        <v/>
      </c>
      <c r="L618" s="51" t="str">
        <f t="shared" si="619"/>
        <v/>
      </c>
      <c r="M618" s="51" t="str">
        <f t="shared" si="619"/>
        <v/>
      </c>
      <c r="N618" s="51" t="str">
        <f t="shared" si="619"/>
        <v/>
      </c>
      <c r="O618" s="51" t="str">
        <f t="shared" si="619"/>
        <v/>
      </c>
      <c r="P618" s="51" t="str">
        <f t="shared" si="619"/>
        <v/>
      </c>
      <c r="Q618" s="51" t="str">
        <f t="shared" si="619"/>
        <v/>
      </c>
      <c r="R618" s="51" t="str">
        <f t="shared" si="619"/>
        <v/>
      </c>
      <c r="S618" s="51" t="str">
        <f t="shared" si="619"/>
        <v/>
      </c>
      <c r="T618" s="51" t="str">
        <f t="shared" si="619"/>
        <v/>
      </c>
      <c r="U618" s="52"/>
      <c r="V618" s="52" t="str">
        <f>IFERROR(__xludf.DUMMYFUNCTION("""COMPUTED_VALUE"""),"")</f>
        <v/>
      </c>
      <c r="W618" s="52" t="str">
        <f>IFERROR(__xludf.DUMMYFUNCTION("""COMPUTED_VALUE"""),"")</f>
        <v/>
      </c>
      <c r="X618" s="52" t="str">
        <f>IFERROR(__xludf.DUMMYFUNCTION("""COMPUTED_VALUE"""),"")</f>
        <v/>
      </c>
      <c r="Y618" s="52" t="str">
        <f>IFERROR(__xludf.DUMMYFUNCTION("""COMPUTED_VALUE"""),"")</f>
        <v/>
      </c>
      <c r="Z618" s="52" t="str">
        <f>IFERROR(__xludf.DUMMYFUNCTION("""COMPUTED_VALUE"""),"")</f>
        <v/>
      </c>
      <c r="AA618" s="52" t="str">
        <f>IFERROR(__xludf.DUMMYFUNCTION("""COMPUTED_VALUE"""),"")</f>
        <v/>
      </c>
      <c r="AB618" s="52" t="str">
        <f>IFERROR(__xludf.DUMMYFUNCTION("""COMPUTED_VALUE"""),"")</f>
        <v/>
      </c>
      <c r="AC618" s="52" t="str">
        <f>IFERROR(__xludf.DUMMYFUNCTION("""COMPUTED_VALUE"""),"")</f>
        <v/>
      </c>
      <c r="AD618" s="52" t="str">
        <f>IFERROR(__xludf.DUMMYFUNCTION("""COMPUTED_VALUE"""),"")</f>
        <v/>
      </c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</row>
    <row r="619">
      <c r="B619" s="49"/>
      <c r="C619" s="49" t="str">
        <f t="shared" si="2"/>
        <v/>
      </c>
      <c r="D619" s="50" t="str">
        <f t="shared" si="3"/>
        <v/>
      </c>
      <c r="E619" s="51" t="str">
        <f t="shared" ref="E619:T619" si="620">IFERROR(VLOOKUP($A619,INDIRECT("'" &amp; E$1 &amp; "'!$C:$G"), 5, FALSE),"")</f>
        <v/>
      </c>
      <c r="F619" s="51" t="str">
        <f t="shared" si="620"/>
        <v/>
      </c>
      <c r="G619" s="51" t="str">
        <f t="shared" si="620"/>
        <v/>
      </c>
      <c r="H619" s="51" t="str">
        <f t="shared" si="620"/>
        <v/>
      </c>
      <c r="I619" s="51" t="str">
        <f t="shared" si="620"/>
        <v/>
      </c>
      <c r="J619" s="51" t="str">
        <f t="shared" si="620"/>
        <v/>
      </c>
      <c r="K619" s="51" t="str">
        <f t="shared" si="620"/>
        <v/>
      </c>
      <c r="L619" s="51" t="str">
        <f t="shared" si="620"/>
        <v/>
      </c>
      <c r="M619" s="51" t="str">
        <f t="shared" si="620"/>
        <v/>
      </c>
      <c r="N619" s="51" t="str">
        <f t="shared" si="620"/>
        <v/>
      </c>
      <c r="O619" s="51" t="str">
        <f t="shared" si="620"/>
        <v/>
      </c>
      <c r="P619" s="51" t="str">
        <f t="shared" si="620"/>
        <v/>
      </c>
      <c r="Q619" s="51" t="str">
        <f t="shared" si="620"/>
        <v/>
      </c>
      <c r="R619" s="51" t="str">
        <f t="shared" si="620"/>
        <v/>
      </c>
      <c r="S619" s="51" t="str">
        <f t="shared" si="620"/>
        <v/>
      </c>
      <c r="T619" s="51" t="str">
        <f t="shared" si="620"/>
        <v/>
      </c>
      <c r="U619" s="52"/>
      <c r="V619" s="52" t="str">
        <f>IFERROR(__xludf.DUMMYFUNCTION("""COMPUTED_VALUE"""),"")</f>
        <v/>
      </c>
      <c r="W619" s="52" t="str">
        <f>IFERROR(__xludf.DUMMYFUNCTION("""COMPUTED_VALUE"""),"")</f>
        <v/>
      </c>
      <c r="X619" s="52" t="str">
        <f>IFERROR(__xludf.DUMMYFUNCTION("""COMPUTED_VALUE"""),"")</f>
        <v/>
      </c>
      <c r="Y619" s="52" t="str">
        <f>IFERROR(__xludf.DUMMYFUNCTION("""COMPUTED_VALUE"""),"")</f>
        <v/>
      </c>
      <c r="Z619" s="52" t="str">
        <f>IFERROR(__xludf.DUMMYFUNCTION("""COMPUTED_VALUE"""),"")</f>
        <v/>
      </c>
      <c r="AA619" s="52" t="str">
        <f>IFERROR(__xludf.DUMMYFUNCTION("""COMPUTED_VALUE"""),"")</f>
        <v/>
      </c>
      <c r="AB619" s="52" t="str">
        <f>IFERROR(__xludf.DUMMYFUNCTION("""COMPUTED_VALUE"""),"")</f>
        <v/>
      </c>
      <c r="AC619" s="52" t="str">
        <f>IFERROR(__xludf.DUMMYFUNCTION("""COMPUTED_VALUE"""),"")</f>
        <v/>
      </c>
      <c r="AD619" s="52" t="str">
        <f>IFERROR(__xludf.DUMMYFUNCTION("""COMPUTED_VALUE"""),"")</f>
        <v/>
      </c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</row>
    <row r="620">
      <c r="B620" s="49"/>
      <c r="C620" s="49" t="str">
        <f t="shared" si="2"/>
        <v/>
      </c>
      <c r="D620" s="50" t="str">
        <f t="shared" si="3"/>
        <v/>
      </c>
      <c r="E620" s="51" t="str">
        <f t="shared" ref="E620:T620" si="621">IFERROR(VLOOKUP($A620,INDIRECT("'" &amp; E$1 &amp; "'!$C:$G"), 5, FALSE),"")</f>
        <v/>
      </c>
      <c r="F620" s="51" t="str">
        <f t="shared" si="621"/>
        <v/>
      </c>
      <c r="G620" s="51" t="str">
        <f t="shared" si="621"/>
        <v/>
      </c>
      <c r="H620" s="51" t="str">
        <f t="shared" si="621"/>
        <v/>
      </c>
      <c r="I620" s="51" t="str">
        <f t="shared" si="621"/>
        <v/>
      </c>
      <c r="J620" s="51" t="str">
        <f t="shared" si="621"/>
        <v/>
      </c>
      <c r="K620" s="51" t="str">
        <f t="shared" si="621"/>
        <v/>
      </c>
      <c r="L620" s="51" t="str">
        <f t="shared" si="621"/>
        <v/>
      </c>
      <c r="M620" s="51" t="str">
        <f t="shared" si="621"/>
        <v/>
      </c>
      <c r="N620" s="51" t="str">
        <f t="shared" si="621"/>
        <v/>
      </c>
      <c r="O620" s="51" t="str">
        <f t="shared" si="621"/>
        <v/>
      </c>
      <c r="P620" s="51" t="str">
        <f t="shared" si="621"/>
        <v/>
      </c>
      <c r="Q620" s="51" t="str">
        <f t="shared" si="621"/>
        <v/>
      </c>
      <c r="R620" s="51" t="str">
        <f t="shared" si="621"/>
        <v/>
      </c>
      <c r="S620" s="51" t="str">
        <f t="shared" si="621"/>
        <v/>
      </c>
      <c r="T620" s="51" t="str">
        <f t="shared" si="621"/>
        <v/>
      </c>
      <c r="U620" s="52"/>
      <c r="V620" s="52" t="str">
        <f>IFERROR(__xludf.DUMMYFUNCTION("""COMPUTED_VALUE"""),"")</f>
        <v/>
      </c>
      <c r="W620" s="52" t="str">
        <f>IFERROR(__xludf.DUMMYFUNCTION("""COMPUTED_VALUE"""),"")</f>
        <v/>
      </c>
      <c r="X620" s="52" t="str">
        <f>IFERROR(__xludf.DUMMYFUNCTION("""COMPUTED_VALUE"""),"")</f>
        <v/>
      </c>
      <c r="Y620" s="52" t="str">
        <f>IFERROR(__xludf.DUMMYFUNCTION("""COMPUTED_VALUE"""),"")</f>
        <v/>
      </c>
      <c r="Z620" s="52" t="str">
        <f>IFERROR(__xludf.DUMMYFUNCTION("""COMPUTED_VALUE"""),"")</f>
        <v/>
      </c>
      <c r="AA620" s="52" t="str">
        <f>IFERROR(__xludf.DUMMYFUNCTION("""COMPUTED_VALUE"""),"")</f>
        <v/>
      </c>
      <c r="AB620" s="52" t="str">
        <f>IFERROR(__xludf.DUMMYFUNCTION("""COMPUTED_VALUE"""),"")</f>
        <v/>
      </c>
      <c r="AC620" s="52" t="str">
        <f>IFERROR(__xludf.DUMMYFUNCTION("""COMPUTED_VALUE"""),"")</f>
        <v/>
      </c>
      <c r="AD620" s="52" t="str">
        <f>IFERROR(__xludf.DUMMYFUNCTION("""COMPUTED_VALUE"""),"")</f>
        <v/>
      </c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</row>
    <row r="621">
      <c r="B621" s="49"/>
      <c r="C621" s="49" t="str">
        <f t="shared" si="2"/>
        <v/>
      </c>
      <c r="D621" s="50" t="str">
        <f t="shared" si="3"/>
        <v/>
      </c>
      <c r="E621" s="51" t="str">
        <f t="shared" ref="E621:T621" si="622">IFERROR(VLOOKUP($A621,INDIRECT("'" &amp; E$1 &amp; "'!$C:$G"), 5, FALSE),"")</f>
        <v/>
      </c>
      <c r="F621" s="51" t="str">
        <f t="shared" si="622"/>
        <v/>
      </c>
      <c r="G621" s="51" t="str">
        <f t="shared" si="622"/>
        <v/>
      </c>
      <c r="H621" s="51" t="str">
        <f t="shared" si="622"/>
        <v/>
      </c>
      <c r="I621" s="51" t="str">
        <f t="shared" si="622"/>
        <v/>
      </c>
      <c r="J621" s="51" t="str">
        <f t="shared" si="622"/>
        <v/>
      </c>
      <c r="K621" s="51" t="str">
        <f t="shared" si="622"/>
        <v/>
      </c>
      <c r="L621" s="51" t="str">
        <f t="shared" si="622"/>
        <v/>
      </c>
      <c r="M621" s="51" t="str">
        <f t="shared" si="622"/>
        <v/>
      </c>
      <c r="N621" s="51" t="str">
        <f t="shared" si="622"/>
        <v/>
      </c>
      <c r="O621" s="51" t="str">
        <f t="shared" si="622"/>
        <v/>
      </c>
      <c r="P621" s="51" t="str">
        <f t="shared" si="622"/>
        <v/>
      </c>
      <c r="Q621" s="51" t="str">
        <f t="shared" si="622"/>
        <v/>
      </c>
      <c r="R621" s="51" t="str">
        <f t="shared" si="622"/>
        <v/>
      </c>
      <c r="S621" s="51" t="str">
        <f t="shared" si="622"/>
        <v/>
      </c>
      <c r="T621" s="51" t="str">
        <f t="shared" si="622"/>
        <v/>
      </c>
      <c r="U621" s="52"/>
      <c r="V621" s="52" t="str">
        <f>IFERROR(__xludf.DUMMYFUNCTION("""COMPUTED_VALUE"""),"")</f>
        <v/>
      </c>
      <c r="W621" s="52" t="str">
        <f>IFERROR(__xludf.DUMMYFUNCTION("""COMPUTED_VALUE"""),"")</f>
        <v/>
      </c>
      <c r="X621" s="52" t="str">
        <f>IFERROR(__xludf.DUMMYFUNCTION("""COMPUTED_VALUE"""),"")</f>
        <v/>
      </c>
      <c r="Y621" s="52" t="str">
        <f>IFERROR(__xludf.DUMMYFUNCTION("""COMPUTED_VALUE"""),"")</f>
        <v/>
      </c>
      <c r="Z621" s="52" t="str">
        <f>IFERROR(__xludf.DUMMYFUNCTION("""COMPUTED_VALUE"""),"")</f>
        <v/>
      </c>
      <c r="AA621" s="52" t="str">
        <f>IFERROR(__xludf.DUMMYFUNCTION("""COMPUTED_VALUE"""),"")</f>
        <v/>
      </c>
      <c r="AB621" s="52" t="str">
        <f>IFERROR(__xludf.DUMMYFUNCTION("""COMPUTED_VALUE"""),"")</f>
        <v/>
      </c>
      <c r="AC621" s="52" t="str">
        <f>IFERROR(__xludf.DUMMYFUNCTION("""COMPUTED_VALUE"""),"")</f>
        <v/>
      </c>
      <c r="AD621" s="52" t="str">
        <f>IFERROR(__xludf.DUMMYFUNCTION("""COMPUTED_VALUE"""),"")</f>
        <v/>
      </c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</row>
    <row r="622">
      <c r="B622" s="49"/>
      <c r="C622" s="49" t="str">
        <f t="shared" si="2"/>
        <v/>
      </c>
      <c r="D622" s="50" t="str">
        <f t="shared" si="3"/>
        <v/>
      </c>
      <c r="E622" s="51" t="str">
        <f t="shared" ref="E622:T622" si="623">IFERROR(VLOOKUP($A622,INDIRECT("'" &amp; E$1 &amp; "'!$C:$G"), 5, FALSE),"")</f>
        <v/>
      </c>
      <c r="F622" s="51" t="str">
        <f t="shared" si="623"/>
        <v/>
      </c>
      <c r="G622" s="51" t="str">
        <f t="shared" si="623"/>
        <v/>
      </c>
      <c r="H622" s="51" t="str">
        <f t="shared" si="623"/>
        <v/>
      </c>
      <c r="I622" s="51" t="str">
        <f t="shared" si="623"/>
        <v/>
      </c>
      <c r="J622" s="51" t="str">
        <f t="shared" si="623"/>
        <v/>
      </c>
      <c r="K622" s="51" t="str">
        <f t="shared" si="623"/>
        <v/>
      </c>
      <c r="L622" s="51" t="str">
        <f t="shared" si="623"/>
        <v/>
      </c>
      <c r="M622" s="51" t="str">
        <f t="shared" si="623"/>
        <v/>
      </c>
      <c r="N622" s="51" t="str">
        <f t="shared" si="623"/>
        <v/>
      </c>
      <c r="O622" s="51" t="str">
        <f t="shared" si="623"/>
        <v/>
      </c>
      <c r="P622" s="51" t="str">
        <f t="shared" si="623"/>
        <v/>
      </c>
      <c r="Q622" s="51" t="str">
        <f t="shared" si="623"/>
        <v/>
      </c>
      <c r="R622" s="51" t="str">
        <f t="shared" si="623"/>
        <v/>
      </c>
      <c r="S622" s="51" t="str">
        <f t="shared" si="623"/>
        <v/>
      </c>
      <c r="T622" s="51" t="str">
        <f t="shared" si="623"/>
        <v/>
      </c>
      <c r="U622" s="52"/>
      <c r="V622" s="52" t="str">
        <f>IFERROR(__xludf.DUMMYFUNCTION("""COMPUTED_VALUE"""),"")</f>
        <v/>
      </c>
      <c r="W622" s="52" t="str">
        <f>IFERROR(__xludf.DUMMYFUNCTION("""COMPUTED_VALUE"""),"")</f>
        <v/>
      </c>
      <c r="X622" s="52" t="str">
        <f>IFERROR(__xludf.DUMMYFUNCTION("""COMPUTED_VALUE"""),"")</f>
        <v/>
      </c>
      <c r="Y622" s="52" t="str">
        <f>IFERROR(__xludf.DUMMYFUNCTION("""COMPUTED_VALUE"""),"")</f>
        <v/>
      </c>
      <c r="Z622" s="52" t="str">
        <f>IFERROR(__xludf.DUMMYFUNCTION("""COMPUTED_VALUE"""),"")</f>
        <v/>
      </c>
      <c r="AA622" s="52" t="str">
        <f>IFERROR(__xludf.DUMMYFUNCTION("""COMPUTED_VALUE"""),"")</f>
        <v/>
      </c>
      <c r="AB622" s="52" t="str">
        <f>IFERROR(__xludf.DUMMYFUNCTION("""COMPUTED_VALUE"""),"")</f>
        <v/>
      </c>
      <c r="AC622" s="52" t="str">
        <f>IFERROR(__xludf.DUMMYFUNCTION("""COMPUTED_VALUE"""),"")</f>
        <v/>
      </c>
      <c r="AD622" s="52" t="str">
        <f>IFERROR(__xludf.DUMMYFUNCTION("""COMPUTED_VALUE"""),"")</f>
        <v/>
      </c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</row>
    <row r="623">
      <c r="B623" s="49"/>
      <c r="C623" s="49" t="str">
        <f t="shared" si="2"/>
        <v/>
      </c>
      <c r="D623" s="50" t="str">
        <f t="shared" si="3"/>
        <v/>
      </c>
      <c r="E623" s="51" t="str">
        <f t="shared" ref="E623:T623" si="624">IFERROR(VLOOKUP($A623,INDIRECT("'" &amp; E$1 &amp; "'!$C:$G"), 5, FALSE),"")</f>
        <v/>
      </c>
      <c r="F623" s="51" t="str">
        <f t="shared" si="624"/>
        <v/>
      </c>
      <c r="G623" s="51" t="str">
        <f t="shared" si="624"/>
        <v/>
      </c>
      <c r="H623" s="51" t="str">
        <f t="shared" si="624"/>
        <v/>
      </c>
      <c r="I623" s="51" t="str">
        <f t="shared" si="624"/>
        <v/>
      </c>
      <c r="J623" s="51" t="str">
        <f t="shared" si="624"/>
        <v/>
      </c>
      <c r="K623" s="51" t="str">
        <f t="shared" si="624"/>
        <v/>
      </c>
      <c r="L623" s="51" t="str">
        <f t="shared" si="624"/>
        <v/>
      </c>
      <c r="M623" s="51" t="str">
        <f t="shared" si="624"/>
        <v/>
      </c>
      <c r="N623" s="51" t="str">
        <f t="shared" si="624"/>
        <v/>
      </c>
      <c r="O623" s="51" t="str">
        <f t="shared" si="624"/>
        <v/>
      </c>
      <c r="P623" s="51" t="str">
        <f t="shared" si="624"/>
        <v/>
      </c>
      <c r="Q623" s="51" t="str">
        <f t="shared" si="624"/>
        <v/>
      </c>
      <c r="R623" s="51" t="str">
        <f t="shared" si="624"/>
        <v/>
      </c>
      <c r="S623" s="51" t="str">
        <f t="shared" si="624"/>
        <v/>
      </c>
      <c r="T623" s="51" t="str">
        <f t="shared" si="624"/>
        <v/>
      </c>
      <c r="U623" s="52"/>
      <c r="V623" s="52" t="str">
        <f>IFERROR(__xludf.DUMMYFUNCTION("""COMPUTED_VALUE"""),"")</f>
        <v/>
      </c>
      <c r="W623" s="52" t="str">
        <f>IFERROR(__xludf.DUMMYFUNCTION("""COMPUTED_VALUE"""),"")</f>
        <v/>
      </c>
      <c r="X623" s="52" t="str">
        <f>IFERROR(__xludf.DUMMYFUNCTION("""COMPUTED_VALUE"""),"")</f>
        <v/>
      </c>
      <c r="Y623" s="52" t="str">
        <f>IFERROR(__xludf.DUMMYFUNCTION("""COMPUTED_VALUE"""),"")</f>
        <v/>
      </c>
      <c r="Z623" s="52" t="str">
        <f>IFERROR(__xludf.DUMMYFUNCTION("""COMPUTED_VALUE"""),"")</f>
        <v/>
      </c>
      <c r="AA623" s="52" t="str">
        <f>IFERROR(__xludf.DUMMYFUNCTION("""COMPUTED_VALUE"""),"")</f>
        <v/>
      </c>
      <c r="AB623" s="52" t="str">
        <f>IFERROR(__xludf.DUMMYFUNCTION("""COMPUTED_VALUE"""),"")</f>
        <v/>
      </c>
      <c r="AC623" s="52" t="str">
        <f>IFERROR(__xludf.DUMMYFUNCTION("""COMPUTED_VALUE"""),"")</f>
        <v/>
      </c>
      <c r="AD623" s="52" t="str">
        <f>IFERROR(__xludf.DUMMYFUNCTION("""COMPUTED_VALUE"""),"")</f>
        <v/>
      </c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</row>
    <row r="624">
      <c r="B624" s="49"/>
      <c r="C624" s="49" t="str">
        <f t="shared" si="2"/>
        <v/>
      </c>
      <c r="D624" s="50" t="str">
        <f t="shared" si="3"/>
        <v/>
      </c>
      <c r="E624" s="51" t="str">
        <f t="shared" ref="E624:T624" si="625">IFERROR(VLOOKUP($A624,INDIRECT("'" &amp; E$1 &amp; "'!$C:$G"), 5, FALSE),"")</f>
        <v/>
      </c>
      <c r="F624" s="51" t="str">
        <f t="shared" si="625"/>
        <v/>
      </c>
      <c r="G624" s="51" t="str">
        <f t="shared" si="625"/>
        <v/>
      </c>
      <c r="H624" s="51" t="str">
        <f t="shared" si="625"/>
        <v/>
      </c>
      <c r="I624" s="51" t="str">
        <f t="shared" si="625"/>
        <v/>
      </c>
      <c r="J624" s="51" t="str">
        <f t="shared" si="625"/>
        <v/>
      </c>
      <c r="K624" s="51" t="str">
        <f t="shared" si="625"/>
        <v/>
      </c>
      <c r="L624" s="51" t="str">
        <f t="shared" si="625"/>
        <v/>
      </c>
      <c r="M624" s="51" t="str">
        <f t="shared" si="625"/>
        <v/>
      </c>
      <c r="N624" s="51" t="str">
        <f t="shared" si="625"/>
        <v/>
      </c>
      <c r="O624" s="51" t="str">
        <f t="shared" si="625"/>
        <v/>
      </c>
      <c r="P624" s="51" t="str">
        <f t="shared" si="625"/>
        <v/>
      </c>
      <c r="Q624" s="51" t="str">
        <f t="shared" si="625"/>
        <v/>
      </c>
      <c r="R624" s="51" t="str">
        <f t="shared" si="625"/>
        <v/>
      </c>
      <c r="S624" s="51" t="str">
        <f t="shared" si="625"/>
        <v/>
      </c>
      <c r="T624" s="51" t="str">
        <f t="shared" si="625"/>
        <v/>
      </c>
      <c r="U624" s="52"/>
      <c r="V624" s="52" t="str">
        <f>IFERROR(__xludf.DUMMYFUNCTION("""COMPUTED_VALUE"""),"")</f>
        <v/>
      </c>
      <c r="W624" s="52" t="str">
        <f>IFERROR(__xludf.DUMMYFUNCTION("""COMPUTED_VALUE"""),"")</f>
        <v/>
      </c>
      <c r="X624" s="52" t="str">
        <f>IFERROR(__xludf.DUMMYFUNCTION("""COMPUTED_VALUE"""),"")</f>
        <v/>
      </c>
      <c r="Y624" s="52" t="str">
        <f>IFERROR(__xludf.DUMMYFUNCTION("""COMPUTED_VALUE"""),"")</f>
        <v/>
      </c>
      <c r="Z624" s="52" t="str">
        <f>IFERROR(__xludf.DUMMYFUNCTION("""COMPUTED_VALUE"""),"")</f>
        <v/>
      </c>
      <c r="AA624" s="52" t="str">
        <f>IFERROR(__xludf.DUMMYFUNCTION("""COMPUTED_VALUE"""),"")</f>
        <v/>
      </c>
      <c r="AB624" s="52" t="str">
        <f>IFERROR(__xludf.DUMMYFUNCTION("""COMPUTED_VALUE"""),"")</f>
        <v/>
      </c>
      <c r="AC624" s="52" t="str">
        <f>IFERROR(__xludf.DUMMYFUNCTION("""COMPUTED_VALUE"""),"")</f>
        <v/>
      </c>
      <c r="AD624" s="52" t="str">
        <f>IFERROR(__xludf.DUMMYFUNCTION("""COMPUTED_VALUE"""),"")</f>
        <v/>
      </c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</row>
    <row r="625">
      <c r="B625" s="49"/>
      <c r="C625" s="49" t="str">
        <f t="shared" si="2"/>
        <v/>
      </c>
      <c r="D625" s="50" t="str">
        <f t="shared" si="3"/>
        <v/>
      </c>
      <c r="E625" s="51" t="str">
        <f t="shared" ref="E625:T625" si="626">IFERROR(VLOOKUP($A625,INDIRECT("'" &amp; E$1 &amp; "'!$C:$G"), 5, FALSE),"")</f>
        <v/>
      </c>
      <c r="F625" s="51" t="str">
        <f t="shared" si="626"/>
        <v/>
      </c>
      <c r="G625" s="51" t="str">
        <f t="shared" si="626"/>
        <v/>
      </c>
      <c r="H625" s="51" t="str">
        <f t="shared" si="626"/>
        <v/>
      </c>
      <c r="I625" s="51" t="str">
        <f t="shared" si="626"/>
        <v/>
      </c>
      <c r="J625" s="51" t="str">
        <f t="shared" si="626"/>
        <v/>
      </c>
      <c r="K625" s="51" t="str">
        <f t="shared" si="626"/>
        <v/>
      </c>
      <c r="L625" s="51" t="str">
        <f t="shared" si="626"/>
        <v/>
      </c>
      <c r="M625" s="51" t="str">
        <f t="shared" si="626"/>
        <v/>
      </c>
      <c r="N625" s="51" t="str">
        <f t="shared" si="626"/>
        <v/>
      </c>
      <c r="O625" s="51" t="str">
        <f t="shared" si="626"/>
        <v/>
      </c>
      <c r="P625" s="51" t="str">
        <f t="shared" si="626"/>
        <v/>
      </c>
      <c r="Q625" s="51" t="str">
        <f t="shared" si="626"/>
        <v/>
      </c>
      <c r="R625" s="51" t="str">
        <f t="shared" si="626"/>
        <v/>
      </c>
      <c r="S625" s="51" t="str">
        <f t="shared" si="626"/>
        <v/>
      </c>
      <c r="T625" s="51" t="str">
        <f t="shared" si="626"/>
        <v/>
      </c>
      <c r="U625" s="52"/>
      <c r="V625" s="52" t="str">
        <f>IFERROR(__xludf.DUMMYFUNCTION("""COMPUTED_VALUE"""),"")</f>
        <v/>
      </c>
      <c r="W625" s="52" t="str">
        <f>IFERROR(__xludf.DUMMYFUNCTION("""COMPUTED_VALUE"""),"")</f>
        <v/>
      </c>
      <c r="X625" s="52" t="str">
        <f>IFERROR(__xludf.DUMMYFUNCTION("""COMPUTED_VALUE"""),"")</f>
        <v/>
      </c>
      <c r="Y625" s="52" t="str">
        <f>IFERROR(__xludf.DUMMYFUNCTION("""COMPUTED_VALUE"""),"")</f>
        <v/>
      </c>
      <c r="Z625" s="52" t="str">
        <f>IFERROR(__xludf.DUMMYFUNCTION("""COMPUTED_VALUE"""),"")</f>
        <v/>
      </c>
      <c r="AA625" s="52" t="str">
        <f>IFERROR(__xludf.DUMMYFUNCTION("""COMPUTED_VALUE"""),"")</f>
        <v/>
      </c>
      <c r="AB625" s="52" t="str">
        <f>IFERROR(__xludf.DUMMYFUNCTION("""COMPUTED_VALUE"""),"")</f>
        <v/>
      </c>
      <c r="AC625" s="52" t="str">
        <f>IFERROR(__xludf.DUMMYFUNCTION("""COMPUTED_VALUE"""),"")</f>
        <v/>
      </c>
      <c r="AD625" s="52" t="str">
        <f>IFERROR(__xludf.DUMMYFUNCTION("""COMPUTED_VALUE"""),"")</f>
        <v/>
      </c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</row>
    <row r="626">
      <c r="B626" s="49"/>
      <c r="C626" s="49" t="str">
        <f t="shared" si="2"/>
        <v/>
      </c>
      <c r="D626" s="50" t="str">
        <f t="shared" si="3"/>
        <v/>
      </c>
      <c r="E626" s="51" t="str">
        <f t="shared" ref="E626:T626" si="627">IFERROR(VLOOKUP($A626,INDIRECT("'" &amp; E$1 &amp; "'!$C:$G"), 5, FALSE),"")</f>
        <v/>
      </c>
      <c r="F626" s="51" t="str">
        <f t="shared" si="627"/>
        <v/>
      </c>
      <c r="G626" s="51" t="str">
        <f t="shared" si="627"/>
        <v/>
      </c>
      <c r="H626" s="51" t="str">
        <f t="shared" si="627"/>
        <v/>
      </c>
      <c r="I626" s="51" t="str">
        <f t="shared" si="627"/>
        <v/>
      </c>
      <c r="J626" s="51" t="str">
        <f t="shared" si="627"/>
        <v/>
      </c>
      <c r="K626" s="51" t="str">
        <f t="shared" si="627"/>
        <v/>
      </c>
      <c r="L626" s="51" t="str">
        <f t="shared" si="627"/>
        <v/>
      </c>
      <c r="M626" s="51" t="str">
        <f t="shared" si="627"/>
        <v/>
      </c>
      <c r="N626" s="51" t="str">
        <f t="shared" si="627"/>
        <v/>
      </c>
      <c r="O626" s="51" t="str">
        <f t="shared" si="627"/>
        <v/>
      </c>
      <c r="P626" s="51" t="str">
        <f t="shared" si="627"/>
        <v/>
      </c>
      <c r="Q626" s="51" t="str">
        <f t="shared" si="627"/>
        <v/>
      </c>
      <c r="R626" s="51" t="str">
        <f t="shared" si="627"/>
        <v/>
      </c>
      <c r="S626" s="51" t="str">
        <f t="shared" si="627"/>
        <v/>
      </c>
      <c r="T626" s="51" t="str">
        <f t="shared" si="627"/>
        <v/>
      </c>
      <c r="U626" s="52"/>
      <c r="V626" s="52" t="str">
        <f>IFERROR(__xludf.DUMMYFUNCTION("""COMPUTED_VALUE"""),"")</f>
        <v/>
      </c>
      <c r="W626" s="52" t="str">
        <f>IFERROR(__xludf.DUMMYFUNCTION("""COMPUTED_VALUE"""),"")</f>
        <v/>
      </c>
      <c r="X626" s="52" t="str">
        <f>IFERROR(__xludf.DUMMYFUNCTION("""COMPUTED_VALUE"""),"")</f>
        <v/>
      </c>
      <c r="Y626" s="52" t="str">
        <f>IFERROR(__xludf.DUMMYFUNCTION("""COMPUTED_VALUE"""),"")</f>
        <v/>
      </c>
      <c r="Z626" s="52" t="str">
        <f>IFERROR(__xludf.DUMMYFUNCTION("""COMPUTED_VALUE"""),"")</f>
        <v/>
      </c>
      <c r="AA626" s="52" t="str">
        <f>IFERROR(__xludf.DUMMYFUNCTION("""COMPUTED_VALUE"""),"")</f>
        <v/>
      </c>
      <c r="AB626" s="52" t="str">
        <f>IFERROR(__xludf.DUMMYFUNCTION("""COMPUTED_VALUE"""),"")</f>
        <v/>
      </c>
      <c r="AC626" s="52" t="str">
        <f>IFERROR(__xludf.DUMMYFUNCTION("""COMPUTED_VALUE"""),"")</f>
        <v/>
      </c>
      <c r="AD626" s="52" t="str">
        <f>IFERROR(__xludf.DUMMYFUNCTION("""COMPUTED_VALUE"""),"")</f>
        <v/>
      </c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</row>
    <row r="627">
      <c r="B627" s="49"/>
      <c r="C627" s="49" t="str">
        <f t="shared" si="2"/>
        <v/>
      </c>
      <c r="D627" s="50" t="str">
        <f t="shared" si="3"/>
        <v/>
      </c>
      <c r="E627" s="51" t="str">
        <f t="shared" ref="E627:T627" si="628">IFERROR(VLOOKUP($A627,INDIRECT("'" &amp; E$1 &amp; "'!$C:$G"), 5, FALSE),"")</f>
        <v/>
      </c>
      <c r="F627" s="51" t="str">
        <f t="shared" si="628"/>
        <v/>
      </c>
      <c r="G627" s="51" t="str">
        <f t="shared" si="628"/>
        <v/>
      </c>
      <c r="H627" s="51" t="str">
        <f t="shared" si="628"/>
        <v/>
      </c>
      <c r="I627" s="51" t="str">
        <f t="shared" si="628"/>
        <v/>
      </c>
      <c r="J627" s="51" t="str">
        <f t="shared" si="628"/>
        <v/>
      </c>
      <c r="K627" s="51" t="str">
        <f t="shared" si="628"/>
        <v/>
      </c>
      <c r="L627" s="51" t="str">
        <f t="shared" si="628"/>
        <v/>
      </c>
      <c r="M627" s="51" t="str">
        <f t="shared" si="628"/>
        <v/>
      </c>
      <c r="N627" s="51" t="str">
        <f t="shared" si="628"/>
        <v/>
      </c>
      <c r="O627" s="51" t="str">
        <f t="shared" si="628"/>
        <v/>
      </c>
      <c r="P627" s="51" t="str">
        <f t="shared" si="628"/>
        <v/>
      </c>
      <c r="Q627" s="51" t="str">
        <f t="shared" si="628"/>
        <v/>
      </c>
      <c r="R627" s="51" t="str">
        <f t="shared" si="628"/>
        <v/>
      </c>
      <c r="S627" s="51" t="str">
        <f t="shared" si="628"/>
        <v/>
      </c>
      <c r="T627" s="51" t="str">
        <f t="shared" si="628"/>
        <v/>
      </c>
      <c r="U627" s="52"/>
      <c r="V627" s="52" t="str">
        <f>IFERROR(__xludf.DUMMYFUNCTION("""COMPUTED_VALUE"""),"")</f>
        <v/>
      </c>
      <c r="W627" s="52" t="str">
        <f>IFERROR(__xludf.DUMMYFUNCTION("""COMPUTED_VALUE"""),"")</f>
        <v/>
      </c>
      <c r="X627" s="52" t="str">
        <f>IFERROR(__xludf.DUMMYFUNCTION("""COMPUTED_VALUE"""),"")</f>
        <v/>
      </c>
      <c r="Y627" s="52" t="str">
        <f>IFERROR(__xludf.DUMMYFUNCTION("""COMPUTED_VALUE"""),"")</f>
        <v/>
      </c>
      <c r="Z627" s="52" t="str">
        <f>IFERROR(__xludf.DUMMYFUNCTION("""COMPUTED_VALUE"""),"")</f>
        <v/>
      </c>
      <c r="AA627" s="52" t="str">
        <f>IFERROR(__xludf.DUMMYFUNCTION("""COMPUTED_VALUE"""),"")</f>
        <v/>
      </c>
      <c r="AB627" s="52" t="str">
        <f>IFERROR(__xludf.DUMMYFUNCTION("""COMPUTED_VALUE"""),"")</f>
        <v/>
      </c>
      <c r="AC627" s="52" t="str">
        <f>IFERROR(__xludf.DUMMYFUNCTION("""COMPUTED_VALUE"""),"")</f>
        <v/>
      </c>
      <c r="AD627" s="52" t="str">
        <f>IFERROR(__xludf.DUMMYFUNCTION("""COMPUTED_VALUE"""),"")</f>
        <v/>
      </c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</row>
    <row r="628">
      <c r="B628" s="49"/>
      <c r="C628" s="49" t="str">
        <f t="shared" si="2"/>
        <v/>
      </c>
      <c r="D628" s="50" t="str">
        <f t="shared" si="3"/>
        <v/>
      </c>
      <c r="E628" s="51" t="str">
        <f t="shared" ref="E628:T628" si="629">IFERROR(VLOOKUP($A628,INDIRECT("'" &amp; E$1 &amp; "'!$C:$G"), 5, FALSE),"")</f>
        <v/>
      </c>
      <c r="F628" s="51" t="str">
        <f t="shared" si="629"/>
        <v/>
      </c>
      <c r="G628" s="51" t="str">
        <f t="shared" si="629"/>
        <v/>
      </c>
      <c r="H628" s="51" t="str">
        <f t="shared" si="629"/>
        <v/>
      </c>
      <c r="I628" s="51" t="str">
        <f t="shared" si="629"/>
        <v/>
      </c>
      <c r="J628" s="51" t="str">
        <f t="shared" si="629"/>
        <v/>
      </c>
      <c r="K628" s="51" t="str">
        <f t="shared" si="629"/>
        <v/>
      </c>
      <c r="L628" s="51" t="str">
        <f t="shared" si="629"/>
        <v/>
      </c>
      <c r="M628" s="51" t="str">
        <f t="shared" si="629"/>
        <v/>
      </c>
      <c r="N628" s="51" t="str">
        <f t="shared" si="629"/>
        <v/>
      </c>
      <c r="O628" s="51" t="str">
        <f t="shared" si="629"/>
        <v/>
      </c>
      <c r="P628" s="51" t="str">
        <f t="shared" si="629"/>
        <v/>
      </c>
      <c r="Q628" s="51" t="str">
        <f t="shared" si="629"/>
        <v/>
      </c>
      <c r="R628" s="51" t="str">
        <f t="shared" si="629"/>
        <v/>
      </c>
      <c r="S628" s="51" t="str">
        <f t="shared" si="629"/>
        <v/>
      </c>
      <c r="T628" s="51" t="str">
        <f t="shared" si="629"/>
        <v/>
      </c>
      <c r="U628" s="52"/>
      <c r="V628" s="52" t="str">
        <f>IFERROR(__xludf.DUMMYFUNCTION("""COMPUTED_VALUE"""),"")</f>
        <v/>
      </c>
      <c r="W628" s="52" t="str">
        <f>IFERROR(__xludf.DUMMYFUNCTION("""COMPUTED_VALUE"""),"")</f>
        <v/>
      </c>
      <c r="X628" s="52" t="str">
        <f>IFERROR(__xludf.DUMMYFUNCTION("""COMPUTED_VALUE"""),"")</f>
        <v/>
      </c>
      <c r="Y628" s="52" t="str">
        <f>IFERROR(__xludf.DUMMYFUNCTION("""COMPUTED_VALUE"""),"")</f>
        <v/>
      </c>
      <c r="Z628" s="52" t="str">
        <f>IFERROR(__xludf.DUMMYFUNCTION("""COMPUTED_VALUE"""),"")</f>
        <v/>
      </c>
      <c r="AA628" s="52" t="str">
        <f>IFERROR(__xludf.DUMMYFUNCTION("""COMPUTED_VALUE"""),"")</f>
        <v/>
      </c>
      <c r="AB628" s="52" t="str">
        <f>IFERROR(__xludf.DUMMYFUNCTION("""COMPUTED_VALUE"""),"")</f>
        <v/>
      </c>
      <c r="AC628" s="52" t="str">
        <f>IFERROR(__xludf.DUMMYFUNCTION("""COMPUTED_VALUE"""),"")</f>
        <v/>
      </c>
      <c r="AD628" s="52" t="str">
        <f>IFERROR(__xludf.DUMMYFUNCTION("""COMPUTED_VALUE"""),"")</f>
        <v/>
      </c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</row>
    <row r="629">
      <c r="B629" s="49"/>
      <c r="C629" s="49" t="str">
        <f t="shared" si="2"/>
        <v/>
      </c>
      <c r="D629" s="50" t="str">
        <f t="shared" si="3"/>
        <v/>
      </c>
      <c r="E629" s="51" t="str">
        <f t="shared" ref="E629:T629" si="630">IFERROR(VLOOKUP($A629,INDIRECT("'" &amp; E$1 &amp; "'!$C:$G"), 5, FALSE),"")</f>
        <v/>
      </c>
      <c r="F629" s="51" t="str">
        <f t="shared" si="630"/>
        <v/>
      </c>
      <c r="G629" s="51" t="str">
        <f t="shared" si="630"/>
        <v/>
      </c>
      <c r="H629" s="51" t="str">
        <f t="shared" si="630"/>
        <v/>
      </c>
      <c r="I629" s="51" t="str">
        <f t="shared" si="630"/>
        <v/>
      </c>
      <c r="J629" s="51" t="str">
        <f t="shared" si="630"/>
        <v/>
      </c>
      <c r="K629" s="51" t="str">
        <f t="shared" si="630"/>
        <v/>
      </c>
      <c r="L629" s="51" t="str">
        <f t="shared" si="630"/>
        <v/>
      </c>
      <c r="M629" s="51" t="str">
        <f t="shared" si="630"/>
        <v/>
      </c>
      <c r="N629" s="51" t="str">
        <f t="shared" si="630"/>
        <v/>
      </c>
      <c r="O629" s="51" t="str">
        <f t="shared" si="630"/>
        <v/>
      </c>
      <c r="P629" s="51" t="str">
        <f t="shared" si="630"/>
        <v/>
      </c>
      <c r="Q629" s="51" t="str">
        <f t="shared" si="630"/>
        <v/>
      </c>
      <c r="R629" s="51" t="str">
        <f t="shared" si="630"/>
        <v/>
      </c>
      <c r="S629" s="51" t="str">
        <f t="shared" si="630"/>
        <v/>
      </c>
      <c r="T629" s="51" t="str">
        <f t="shared" si="630"/>
        <v/>
      </c>
      <c r="U629" s="52"/>
      <c r="V629" s="52" t="str">
        <f>IFERROR(__xludf.DUMMYFUNCTION("""COMPUTED_VALUE"""),"")</f>
        <v/>
      </c>
      <c r="W629" s="52" t="str">
        <f>IFERROR(__xludf.DUMMYFUNCTION("""COMPUTED_VALUE"""),"")</f>
        <v/>
      </c>
      <c r="X629" s="52" t="str">
        <f>IFERROR(__xludf.DUMMYFUNCTION("""COMPUTED_VALUE"""),"")</f>
        <v/>
      </c>
      <c r="Y629" s="52" t="str">
        <f>IFERROR(__xludf.DUMMYFUNCTION("""COMPUTED_VALUE"""),"")</f>
        <v/>
      </c>
      <c r="Z629" s="52" t="str">
        <f>IFERROR(__xludf.DUMMYFUNCTION("""COMPUTED_VALUE"""),"")</f>
        <v/>
      </c>
      <c r="AA629" s="52" t="str">
        <f>IFERROR(__xludf.DUMMYFUNCTION("""COMPUTED_VALUE"""),"")</f>
        <v/>
      </c>
      <c r="AB629" s="52" t="str">
        <f>IFERROR(__xludf.DUMMYFUNCTION("""COMPUTED_VALUE"""),"")</f>
        <v/>
      </c>
      <c r="AC629" s="52" t="str">
        <f>IFERROR(__xludf.DUMMYFUNCTION("""COMPUTED_VALUE"""),"")</f>
        <v/>
      </c>
      <c r="AD629" s="52" t="str">
        <f>IFERROR(__xludf.DUMMYFUNCTION("""COMPUTED_VALUE"""),"")</f>
        <v/>
      </c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</row>
    <row r="630">
      <c r="B630" s="49"/>
      <c r="C630" s="49" t="str">
        <f t="shared" si="2"/>
        <v/>
      </c>
      <c r="D630" s="50" t="str">
        <f t="shared" si="3"/>
        <v/>
      </c>
      <c r="E630" s="51" t="str">
        <f t="shared" ref="E630:T630" si="631">IFERROR(VLOOKUP($A630,INDIRECT("'" &amp; E$1 &amp; "'!$C:$G"), 5, FALSE),"")</f>
        <v/>
      </c>
      <c r="F630" s="51" t="str">
        <f t="shared" si="631"/>
        <v/>
      </c>
      <c r="G630" s="51" t="str">
        <f t="shared" si="631"/>
        <v/>
      </c>
      <c r="H630" s="51" t="str">
        <f t="shared" si="631"/>
        <v/>
      </c>
      <c r="I630" s="51" t="str">
        <f t="shared" si="631"/>
        <v/>
      </c>
      <c r="J630" s="51" t="str">
        <f t="shared" si="631"/>
        <v/>
      </c>
      <c r="K630" s="51" t="str">
        <f t="shared" si="631"/>
        <v/>
      </c>
      <c r="L630" s="51" t="str">
        <f t="shared" si="631"/>
        <v/>
      </c>
      <c r="M630" s="51" t="str">
        <f t="shared" si="631"/>
        <v/>
      </c>
      <c r="N630" s="51" t="str">
        <f t="shared" si="631"/>
        <v/>
      </c>
      <c r="O630" s="51" t="str">
        <f t="shared" si="631"/>
        <v/>
      </c>
      <c r="P630" s="51" t="str">
        <f t="shared" si="631"/>
        <v/>
      </c>
      <c r="Q630" s="51" t="str">
        <f t="shared" si="631"/>
        <v/>
      </c>
      <c r="R630" s="51" t="str">
        <f t="shared" si="631"/>
        <v/>
      </c>
      <c r="S630" s="51" t="str">
        <f t="shared" si="631"/>
        <v/>
      </c>
      <c r="T630" s="51" t="str">
        <f t="shared" si="631"/>
        <v/>
      </c>
      <c r="U630" s="52"/>
      <c r="V630" s="52" t="str">
        <f>IFERROR(__xludf.DUMMYFUNCTION("""COMPUTED_VALUE"""),"")</f>
        <v/>
      </c>
      <c r="W630" s="52" t="str">
        <f>IFERROR(__xludf.DUMMYFUNCTION("""COMPUTED_VALUE"""),"")</f>
        <v/>
      </c>
      <c r="X630" s="52" t="str">
        <f>IFERROR(__xludf.DUMMYFUNCTION("""COMPUTED_VALUE"""),"")</f>
        <v/>
      </c>
      <c r="Y630" s="52" t="str">
        <f>IFERROR(__xludf.DUMMYFUNCTION("""COMPUTED_VALUE"""),"")</f>
        <v/>
      </c>
      <c r="Z630" s="52" t="str">
        <f>IFERROR(__xludf.DUMMYFUNCTION("""COMPUTED_VALUE"""),"")</f>
        <v/>
      </c>
      <c r="AA630" s="52" t="str">
        <f>IFERROR(__xludf.DUMMYFUNCTION("""COMPUTED_VALUE"""),"")</f>
        <v/>
      </c>
      <c r="AB630" s="52" t="str">
        <f>IFERROR(__xludf.DUMMYFUNCTION("""COMPUTED_VALUE"""),"")</f>
        <v/>
      </c>
      <c r="AC630" s="52" t="str">
        <f>IFERROR(__xludf.DUMMYFUNCTION("""COMPUTED_VALUE"""),"")</f>
        <v/>
      </c>
      <c r="AD630" s="52" t="str">
        <f>IFERROR(__xludf.DUMMYFUNCTION("""COMPUTED_VALUE"""),"")</f>
        <v/>
      </c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</row>
    <row r="631">
      <c r="B631" s="49"/>
      <c r="C631" s="49" t="str">
        <f t="shared" si="2"/>
        <v/>
      </c>
      <c r="D631" s="50" t="str">
        <f t="shared" si="3"/>
        <v/>
      </c>
      <c r="E631" s="51" t="str">
        <f t="shared" ref="E631:T631" si="632">IFERROR(VLOOKUP($A631,INDIRECT("'" &amp; E$1 &amp; "'!$C:$G"), 5, FALSE),"")</f>
        <v/>
      </c>
      <c r="F631" s="51" t="str">
        <f t="shared" si="632"/>
        <v/>
      </c>
      <c r="G631" s="51" t="str">
        <f t="shared" si="632"/>
        <v/>
      </c>
      <c r="H631" s="51" t="str">
        <f t="shared" si="632"/>
        <v/>
      </c>
      <c r="I631" s="51" t="str">
        <f t="shared" si="632"/>
        <v/>
      </c>
      <c r="J631" s="51" t="str">
        <f t="shared" si="632"/>
        <v/>
      </c>
      <c r="K631" s="51" t="str">
        <f t="shared" si="632"/>
        <v/>
      </c>
      <c r="L631" s="51" t="str">
        <f t="shared" si="632"/>
        <v/>
      </c>
      <c r="M631" s="51" t="str">
        <f t="shared" si="632"/>
        <v/>
      </c>
      <c r="N631" s="51" t="str">
        <f t="shared" si="632"/>
        <v/>
      </c>
      <c r="O631" s="51" t="str">
        <f t="shared" si="632"/>
        <v/>
      </c>
      <c r="P631" s="51" t="str">
        <f t="shared" si="632"/>
        <v/>
      </c>
      <c r="Q631" s="51" t="str">
        <f t="shared" si="632"/>
        <v/>
      </c>
      <c r="R631" s="51" t="str">
        <f t="shared" si="632"/>
        <v/>
      </c>
      <c r="S631" s="51" t="str">
        <f t="shared" si="632"/>
        <v/>
      </c>
      <c r="T631" s="51" t="str">
        <f t="shared" si="632"/>
        <v/>
      </c>
      <c r="U631" s="52"/>
      <c r="V631" s="52" t="str">
        <f>IFERROR(__xludf.DUMMYFUNCTION("""COMPUTED_VALUE"""),"")</f>
        <v/>
      </c>
      <c r="W631" s="52" t="str">
        <f>IFERROR(__xludf.DUMMYFUNCTION("""COMPUTED_VALUE"""),"")</f>
        <v/>
      </c>
      <c r="X631" s="52" t="str">
        <f>IFERROR(__xludf.DUMMYFUNCTION("""COMPUTED_VALUE"""),"")</f>
        <v/>
      </c>
      <c r="Y631" s="52" t="str">
        <f>IFERROR(__xludf.DUMMYFUNCTION("""COMPUTED_VALUE"""),"")</f>
        <v/>
      </c>
      <c r="Z631" s="52" t="str">
        <f>IFERROR(__xludf.DUMMYFUNCTION("""COMPUTED_VALUE"""),"")</f>
        <v/>
      </c>
      <c r="AA631" s="52" t="str">
        <f>IFERROR(__xludf.DUMMYFUNCTION("""COMPUTED_VALUE"""),"")</f>
        <v/>
      </c>
      <c r="AB631" s="52" t="str">
        <f>IFERROR(__xludf.DUMMYFUNCTION("""COMPUTED_VALUE"""),"")</f>
        <v/>
      </c>
      <c r="AC631" s="52" t="str">
        <f>IFERROR(__xludf.DUMMYFUNCTION("""COMPUTED_VALUE"""),"")</f>
        <v/>
      </c>
      <c r="AD631" s="52" t="str">
        <f>IFERROR(__xludf.DUMMYFUNCTION("""COMPUTED_VALUE"""),"")</f>
        <v/>
      </c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</row>
    <row r="632">
      <c r="B632" s="49"/>
      <c r="C632" s="49" t="str">
        <f t="shared" si="2"/>
        <v/>
      </c>
      <c r="D632" s="50" t="str">
        <f t="shared" si="3"/>
        <v/>
      </c>
      <c r="E632" s="51" t="str">
        <f t="shared" ref="E632:T632" si="633">IFERROR(VLOOKUP($A632,INDIRECT("'" &amp; E$1 &amp; "'!$C:$G"), 5, FALSE),"")</f>
        <v/>
      </c>
      <c r="F632" s="51" t="str">
        <f t="shared" si="633"/>
        <v/>
      </c>
      <c r="G632" s="51" t="str">
        <f t="shared" si="633"/>
        <v/>
      </c>
      <c r="H632" s="51" t="str">
        <f t="shared" si="633"/>
        <v/>
      </c>
      <c r="I632" s="51" t="str">
        <f t="shared" si="633"/>
        <v/>
      </c>
      <c r="J632" s="51" t="str">
        <f t="shared" si="633"/>
        <v/>
      </c>
      <c r="K632" s="51" t="str">
        <f t="shared" si="633"/>
        <v/>
      </c>
      <c r="L632" s="51" t="str">
        <f t="shared" si="633"/>
        <v/>
      </c>
      <c r="M632" s="51" t="str">
        <f t="shared" si="633"/>
        <v/>
      </c>
      <c r="N632" s="51" t="str">
        <f t="shared" si="633"/>
        <v/>
      </c>
      <c r="O632" s="51" t="str">
        <f t="shared" si="633"/>
        <v/>
      </c>
      <c r="P632" s="51" t="str">
        <f t="shared" si="633"/>
        <v/>
      </c>
      <c r="Q632" s="51" t="str">
        <f t="shared" si="633"/>
        <v/>
      </c>
      <c r="R632" s="51" t="str">
        <f t="shared" si="633"/>
        <v/>
      </c>
      <c r="S632" s="51" t="str">
        <f t="shared" si="633"/>
        <v/>
      </c>
      <c r="T632" s="51" t="str">
        <f t="shared" si="633"/>
        <v/>
      </c>
      <c r="U632" s="52"/>
      <c r="V632" s="52" t="str">
        <f>IFERROR(__xludf.DUMMYFUNCTION("""COMPUTED_VALUE"""),"")</f>
        <v/>
      </c>
      <c r="W632" s="52" t="str">
        <f>IFERROR(__xludf.DUMMYFUNCTION("""COMPUTED_VALUE"""),"")</f>
        <v/>
      </c>
      <c r="X632" s="52" t="str">
        <f>IFERROR(__xludf.DUMMYFUNCTION("""COMPUTED_VALUE"""),"")</f>
        <v/>
      </c>
      <c r="Y632" s="52" t="str">
        <f>IFERROR(__xludf.DUMMYFUNCTION("""COMPUTED_VALUE"""),"")</f>
        <v/>
      </c>
      <c r="Z632" s="52" t="str">
        <f>IFERROR(__xludf.DUMMYFUNCTION("""COMPUTED_VALUE"""),"")</f>
        <v/>
      </c>
      <c r="AA632" s="52" t="str">
        <f>IFERROR(__xludf.DUMMYFUNCTION("""COMPUTED_VALUE"""),"")</f>
        <v/>
      </c>
      <c r="AB632" s="52" t="str">
        <f>IFERROR(__xludf.DUMMYFUNCTION("""COMPUTED_VALUE"""),"")</f>
        <v/>
      </c>
      <c r="AC632" s="52" t="str">
        <f>IFERROR(__xludf.DUMMYFUNCTION("""COMPUTED_VALUE"""),"")</f>
        <v/>
      </c>
      <c r="AD632" s="52" t="str">
        <f>IFERROR(__xludf.DUMMYFUNCTION("""COMPUTED_VALUE"""),"")</f>
        <v/>
      </c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</row>
    <row r="633">
      <c r="B633" s="49"/>
      <c r="C633" s="49" t="str">
        <f t="shared" si="2"/>
        <v/>
      </c>
      <c r="D633" s="50" t="str">
        <f t="shared" si="3"/>
        <v/>
      </c>
      <c r="E633" s="51" t="str">
        <f t="shared" ref="E633:T633" si="634">IFERROR(VLOOKUP($A633,INDIRECT("'" &amp; E$1 &amp; "'!$C:$G"), 5, FALSE),"")</f>
        <v/>
      </c>
      <c r="F633" s="51" t="str">
        <f t="shared" si="634"/>
        <v/>
      </c>
      <c r="G633" s="51" t="str">
        <f t="shared" si="634"/>
        <v/>
      </c>
      <c r="H633" s="51" t="str">
        <f t="shared" si="634"/>
        <v/>
      </c>
      <c r="I633" s="51" t="str">
        <f t="shared" si="634"/>
        <v/>
      </c>
      <c r="J633" s="51" t="str">
        <f t="shared" si="634"/>
        <v/>
      </c>
      <c r="K633" s="51" t="str">
        <f t="shared" si="634"/>
        <v/>
      </c>
      <c r="L633" s="51" t="str">
        <f t="shared" si="634"/>
        <v/>
      </c>
      <c r="M633" s="51" t="str">
        <f t="shared" si="634"/>
        <v/>
      </c>
      <c r="N633" s="51" t="str">
        <f t="shared" si="634"/>
        <v/>
      </c>
      <c r="O633" s="51" t="str">
        <f t="shared" si="634"/>
        <v/>
      </c>
      <c r="P633" s="51" t="str">
        <f t="shared" si="634"/>
        <v/>
      </c>
      <c r="Q633" s="51" t="str">
        <f t="shared" si="634"/>
        <v/>
      </c>
      <c r="R633" s="51" t="str">
        <f t="shared" si="634"/>
        <v/>
      </c>
      <c r="S633" s="51" t="str">
        <f t="shared" si="634"/>
        <v/>
      </c>
      <c r="T633" s="51" t="str">
        <f t="shared" si="634"/>
        <v/>
      </c>
      <c r="U633" s="52"/>
      <c r="V633" s="52" t="str">
        <f>IFERROR(__xludf.DUMMYFUNCTION("""COMPUTED_VALUE"""),"")</f>
        <v/>
      </c>
      <c r="W633" s="52" t="str">
        <f>IFERROR(__xludf.DUMMYFUNCTION("""COMPUTED_VALUE"""),"")</f>
        <v/>
      </c>
      <c r="X633" s="52" t="str">
        <f>IFERROR(__xludf.DUMMYFUNCTION("""COMPUTED_VALUE"""),"")</f>
        <v/>
      </c>
      <c r="Y633" s="52" t="str">
        <f>IFERROR(__xludf.DUMMYFUNCTION("""COMPUTED_VALUE"""),"")</f>
        <v/>
      </c>
      <c r="Z633" s="52" t="str">
        <f>IFERROR(__xludf.DUMMYFUNCTION("""COMPUTED_VALUE"""),"")</f>
        <v/>
      </c>
      <c r="AA633" s="52" t="str">
        <f>IFERROR(__xludf.DUMMYFUNCTION("""COMPUTED_VALUE"""),"")</f>
        <v/>
      </c>
      <c r="AB633" s="52" t="str">
        <f>IFERROR(__xludf.DUMMYFUNCTION("""COMPUTED_VALUE"""),"")</f>
        <v/>
      </c>
      <c r="AC633" s="52" t="str">
        <f>IFERROR(__xludf.DUMMYFUNCTION("""COMPUTED_VALUE"""),"")</f>
        <v/>
      </c>
      <c r="AD633" s="52" t="str">
        <f>IFERROR(__xludf.DUMMYFUNCTION("""COMPUTED_VALUE"""),"")</f>
        <v/>
      </c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</row>
    <row r="634">
      <c r="B634" s="49"/>
      <c r="C634" s="49" t="str">
        <f t="shared" si="2"/>
        <v/>
      </c>
      <c r="D634" s="50" t="str">
        <f t="shared" si="3"/>
        <v/>
      </c>
      <c r="E634" s="51" t="str">
        <f t="shared" ref="E634:T634" si="635">IFERROR(VLOOKUP($A634,INDIRECT("'" &amp; E$1 &amp; "'!$C:$G"), 5, FALSE),"")</f>
        <v/>
      </c>
      <c r="F634" s="51" t="str">
        <f t="shared" si="635"/>
        <v/>
      </c>
      <c r="G634" s="51" t="str">
        <f t="shared" si="635"/>
        <v/>
      </c>
      <c r="H634" s="51" t="str">
        <f t="shared" si="635"/>
        <v/>
      </c>
      <c r="I634" s="51" t="str">
        <f t="shared" si="635"/>
        <v/>
      </c>
      <c r="J634" s="51" t="str">
        <f t="shared" si="635"/>
        <v/>
      </c>
      <c r="K634" s="51" t="str">
        <f t="shared" si="635"/>
        <v/>
      </c>
      <c r="L634" s="51" t="str">
        <f t="shared" si="635"/>
        <v/>
      </c>
      <c r="M634" s="51" t="str">
        <f t="shared" si="635"/>
        <v/>
      </c>
      <c r="N634" s="51" t="str">
        <f t="shared" si="635"/>
        <v/>
      </c>
      <c r="O634" s="51" t="str">
        <f t="shared" si="635"/>
        <v/>
      </c>
      <c r="P634" s="51" t="str">
        <f t="shared" si="635"/>
        <v/>
      </c>
      <c r="Q634" s="51" t="str">
        <f t="shared" si="635"/>
        <v/>
      </c>
      <c r="R634" s="51" t="str">
        <f t="shared" si="635"/>
        <v/>
      </c>
      <c r="S634" s="51" t="str">
        <f t="shared" si="635"/>
        <v/>
      </c>
      <c r="T634" s="51" t="str">
        <f t="shared" si="635"/>
        <v/>
      </c>
      <c r="U634" s="52"/>
      <c r="V634" s="52" t="str">
        <f>IFERROR(__xludf.DUMMYFUNCTION("""COMPUTED_VALUE"""),"")</f>
        <v/>
      </c>
      <c r="W634" s="52" t="str">
        <f>IFERROR(__xludf.DUMMYFUNCTION("""COMPUTED_VALUE"""),"")</f>
        <v/>
      </c>
      <c r="X634" s="52" t="str">
        <f>IFERROR(__xludf.DUMMYFUNCTION("""COMPUTED_VALUE"""),"")</f>
        <v/>
      </c>
      <c r="Y634" s="52" t="str">
        <f>IFERROR(__xludf.DUMMYFUNCTION("""COMPUTED_VALUE"""),"")</f>
        <v/>
      </c>
      <c r="Z634" s="52" t="str">
        <f>IFERROR(__xludf.DUMMYFUNCTION("""COMPUTED_VALUE"""),"")</f>
        <v/>
      </c>
      <c r="AA634" s="52" t="str">
        <f>IFERROR(__xludf.DUMMYFUNCTION("""COMPUTED_VALUE"""),"")</f>
        <v/>
      </c>
      <c r="AB634" s="52" t="str">
        <f>IFERROR(__xludf.DUMMYFUNCTION("""COMPUTED_VALUE"""),"")</f>
        <v/>
      </c>
      <c r="AC634" s="52" t="str">
        <f>IFERROR(__xludf.DUMMYFUNCTION("""COMPUTED_VALUE"""),"")</f>
        <v/>
      </c>
      <c r="AD634" s="52" t="str">
        <f>IFERROR(__xludf.DUMMYFUNCTION("""COMPUTED_VALUE"""),"")</f>
        <v/>
      </c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</row>
    <row r="635">
      <c r="B635" s="49"/>
      <c r="C635" s="49" t="str">
        <f t="shared" si="2"/>
        <v/>
      </c>
      <c r="D635" s="50" t="str">
        <f t="shared" si="3"/>
        <v/>
      </c>
      <c r="E635" s="51" t="str">
        <f t="shared" ref="E635:T635" si="636">IFERROR(VLOOKUP($A635,INDIRECT("'" &amp; E$1 &amp; "'!$C:$G"), 5, FALSE),"")</f>
        <v/>
      </c>
      <c r="F635" s="51" t="str">
        <f t="shared" si="636"/>
        <v/>
      </c>
      <c r="G635" s="51" t="str">
        <f t="shared" si="636"/>
        <v/>
      </c>
      <c r="H635" s="51" t="str">
        <f t="shared" si="636"/>
        <v/>
      </c>
      <c r="I635" s="51" t="str">
        <f t="shared" si="636"/>
        <v/>
      </c>
      <c r="J635" s="51" t="str">
        <f t="shared" si="636"/>
        <v/>
      </c>
      <c r="K635" s="51" t="str">
        <f t="shared" si="636"/>
        <v/>
      </c>
      <c r="L635" s="51" t="str">
        <f t="shared" si="636"/>
        <v/>
      </c>
      <c r="M635" s="51" t="str">
        <f t="shared" si="636"/>
        <v/>
      </c>
      <c r="N635" s="51" t="str">
        <f t="shared" si="636"/>
        <v/>
      </c>
      <c r="O635" s="51" t="str">
        <f t="shared" si="636"/>
        <v/>
      </c>
      <c r="P635" s="51" t="str">
        <f t="shared" si="636"/>
        <v/>
      </c>
      <c r="Q635" s="51" t="str">
        <f t="shared" si="636"/>
        <v/>
      </c>
      <c r="R635" s="51" t="str">
        <f t="shared" si="636"/>
        <v/>
      </c>
      <c r="S635" s="51" t="str">
        <f t="shared" si="636"/>
        <v/>
      </c>
      <c r="T635" s="51" t="str">
        <f t="shared" si="636"/>
        <v/>
      </c>
      <c r="U635" s="52"/>
      <c r="V635" s="52" t="str">
        <f>IFERROR(__xludf.DUMMYFUNCTION("""COMPUTED_VALUE"""),"")</f>
        <v/>
      </c>
      <c r="W635" s="52" t="str">
        <f>IFERROR(__xludf.DUMMYFUNCTION("""COMPUTED_VALUE"""),"")</f>
        <v/>
      </c>
      <c r="X635" s="52" t="str">
        <f>IFERROR(__xludf.DUMMYFUNCTION("""COMPUTED_VALUE"""),"")</f>
        <v/>
      </c>
      <c r="Y635" s="52" t="str">
        <f>IFERROR(__xludf.DUMMYFUNCTION("""COMPUTED_VALUE"""),"")</f>
        <v/>
      </c>
      <c r="Z635" s="52" t="str">
        <f>IFERROR(__xludf.DUMMYFUNCTION("""COMPUTED_VALUE"""),"")</f>
        <v/>
      </c>
      <c r="AA635" s="52" t="str">
        <f>IFERROR(__xludf.DUMMYFUNCTION("""COMPUTED_VALUE"""),"")</f>
        <v/>
      </c>
      <c r="AB635" s="52" t="str">
        <f>IFERROR(__xludf.DUMMYFUNCTION("""COMPUTED_VALUE"""),"")</f>
        <v/>
      </c>
      <c r="AC635" s="52" t="str">
        <f>IFERROR(__xludf.DUMMYFUNCTION("""COMPUTED_VALUE"""),"")</f>
        <v/>
      </c>
      <c r="AD635" s="52" t="str">
        <f>IFERROR(__xludf.DUMMYFUNCTION("""COMPUTED_VALUE"""),"")</f>
        <v/>
      </c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</row>
    <row r="636">
      <c r="B636" s="49"/>
      <c r="C636" s="49" t="str">
        <f t="shared" si="2"/>
        <v/>
      </c>
      <c r="D636" s="50" t="str">
        <f t="shared" si="3"/>
        <v/>
      </c>
      <c r="E636" s="51" t="str">
        <f t="shared" ref="E636:T636" si="637">IFERROR(VLOOKUP($A636,INDIRECT("'" &amp; E$1 &amp; "'!$C:$G"), 5, FALSE),"")</f>
        <v/>
      </c>
      <c r="F636" s="51" t="str">
        <f t="shared" si="637"/>
        <v/>
      </c>
      <c r="G636" s="51" t="str">
        <f t="shared" si="637"/>
        <v/>
      </c>
      <c r="H636" s="51" t="str">
        <f t="shared" si="637"/>
        <v/>
      </c>
      <c r="I636" s="51" t="str">
        <f t="shared" si="637"/>
        <v/>
      </c>
      <c r="J636" s="51" t="str">
        <f t="shared" si="637"/>
        <v/>
      </c>
      <c r="K636" s="51" t="str">
        <f t="shared" si="637"/>
        <v/>
      </c>
      <c r="L636" s="51" t="str">
        <f t="shared" si="637"/>
        <v/>
      </c>
      <c r="M636" s="51" t="str">
        <f t="shared" si="637"/>
        <v/>
      </c>
      <c r="N636" s="51" t="str">
        <f t="shared" si="637"/>
        <v/>
      </c>
      <c r="O636" s="51" t="str">
        <f t="shared" si="637"/>
        <v/>
      </c>
      <c r="P636" s="51" t="str">
        <f t="shared" si="637"/>
        <v/>
      </c>
      <c r="Q636" s="51" t="str">
        <f t="shared" si="637"/>
        <v/>
      </c>
      <c r="R636" s="51" t="str">
        <f t="shared" si="637"/>
        <v/>
      </c>
      <c r="S636" s="51" t="str">
        <f t="shared" si="637"/>
        <v/>
      </c>
      <c r="T636" s="51" t="str">
        <f t="shared" si="637"/>
        <v/>
      </c>
      <c r="U636" s="52"/>
      <c r="V636" s="52" t="str">
        <f>IFERROR(__xludf.DUMMYFUNCTION("""COMPUTED_VALUE"""),"")</f>
        <v/>
      </c>
      <c r="W636" s="52" t="str">
        <f>IFERROR(__xludf.DUMMYFUNCTION("""COMPUTED_VALUE"""),"")</f>
        <v/>
      </c>
      <c r="X636" s="52" t="str">
        <f>IFERROR(__xludf.DUMMYFUNCTION("""COMPUTED_VALUE"""),"")</f>
        <v/>
      </c>
      <c r="Y636" s="52" t="str">
        <f>IFERROR(__xludf.DUMMYFUNCTION("""COMPUTED_VALUE"""),"")</f>
        <v/>
      </c>
      <c r="Z636" s="52" t="str">
        <f>IFERROR(__xludf.DUMMYFUNCTION("""COMPUTED_VALUE"""),"")</f>
        <v/>
      </c>
      <c r="AA636" s="52" t="str">
        <f>IFERROR(__xludf.DUMMYFUNCTION("""COMPUTED_VALUE"""),"")</f>
        <v/>
      </c>
      <c r="AB636" s="52" t="str">
        <f>IFERROR(__xludf.DUMMYFUNCTION("""COMPUTED_VALUE"""),"")</f>
        <v/>
      </c>
      <c r="AC636" s="52" t="str">
        <f>IFERROR(__xludf.DUMMYFUNCTION("""COMPUTED_VALUE"""),"")</f>
        <v/>
      </c>
      <c r="AD636" s="52" t="str">
        <f>IFERROR(__xludf.DUMMYFUNCTION("""COMPUTED_VALUE"""),"")</f>
        <v/>
      </c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</row>
    <row r="637">
      <c r="B637" s="49"/>
      <c r="C637" s="49" t="str">
        <f t="shared" si="2"/>
        <v/>
      </c>
      <c r="D637" s="50" t="str">
        <f t="shared" si="3"/>
        <v/>
      </c>
      <c r="E637" s="51" t="str">
        <f t="shared" ref="E637:T637" si="638">IFERROR(VLOOKUP($A637,INDIRECT("'" &amp; E$1 &amp; "'!$C:$G"), 5, FALSE),"")</f>
        <v/>
      </c>
      <c r="F637" s="51" t="str">
        <f t="shared" si="638"/>
        <v/>
      </c>
      <c r="G637" s="51" t="str">
        <f t="shared" si="638"/>
        <v/>
      </c>
      <c r="H637" s="51" t="str">
        <f t="shared" si="638"/>
        <v/>
      </c>
      <c r="I637" s="51" t="str">
        <f t="shared" si="638"/>
        <v/>
      </c>
      <c r="J637" s="51" t="str">
        <f t="shared" si="638"/>
        <v/>
      </c>
      <c r="K637" s="51" t="str">
        <f t="shared" si="638"/>
        <v/>
      </c>
      <c r="L637" s="51" t="str">
        <f t="shared" si="638"/>
        <v/>
      </c>
      <c r="M637" s="51" t="str">
        <f t="shared" si="638"/>
        <v/>
      </c>
      <c r="N637" s="51" t="str">
        <f t="shared" si="638"/>
        <v/>
      </c>
      <c r="O637" s="51" t="str">
        <f t="shared" si="638"/>
        <v/>
      </c>
      <c r="P637" s="51" t="str">
        <f t="shared" si="638"/>
        <v/>
      </c>
      <c r="Q637" s="51" t="str">
        <f t="shared" si="638"/>
        <v/>
      </c>
      <c r="R637" s="51" t="str">
        <f t="shared" si="638"/>
        <v/>
      </c>
      <c r="S637" s="51" t="str">
        <f t="shared" si="638"/>
        <v/>
      </c>
      <c r="T637" s="51" t="str">
        <f t="shared" si="638"/>
        <v/>
      </c>
      <c r="U637" s="52"/>
      <c r="V637" s="52" t="str">
        <f>IFERROR(__xludf.DUMMYFUNCTION("""COMPUTED_VALUE"""),"")</f>
        <v/>
      </c>
      <c r="W637" s="52" t="str">
        <f>IFERROR(__xludf.DUMMYFUNCTION("""COMPUTED_VALUE"""),"")</f>
        <v/>
      </c>
      <c r="X637" s="52" t="str">
        <f>IFERROR(__xludf.DUMMYFUNCTION("""COMPUTED_VALUE"""),"")</f>
        <v/>
      </c>
      <c r="Y637" s="52" t="str">
        <f>IFERROR(__xludf.DUMMYFUNCTION("""COMPUTED_VALUE"""),"")</f>
        <v/>
      </c>
      <c r="Z637" s="52" t="str">
        <f>IFERROR(__xludf.DUMMYFUNCTION("""COMPUTED_VALUE"""),"")</f>
        <v/>
      </c>
      <c r="AA637" s="52" t="str">
        <f>IFERROR(__xludf.DUMMYFUNCTION("""COMPUTED_VALUE"""),"")</f>
        <v/>
      </c>
      <c r="AB637" s="52" t="str">
        <f>IFERROR(__xludf.DUMMYFUNCTION("""COMPUTED_VALUE"""),"")</f>
        <v/>
      </c>
      <c r="AC637" s="52" t="str">
        <f>IFERROR(__xludf.DUMMYFUNCTION("""COMPUTED_VALUE"""),"")</f>
        <v/>
      </c>
      <c r="AD637" s="52" t="str">
        <f>IFERROR(__xludf.DUMMYFUNCTION("""COMPUTED_VALUE"""),"")</f>
        <v/>
      </c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</row>
    <row r="638">
      <c r="B638" s="49"/>
      <c r="C638" s="49" t="str">
        <f t="shared" si="2"/>
        <v/>
      </c>
      <c r="D638" s="50" t="str">
        <f t="shared" si="3"/>
        <v/>
      </c>
      <c r="E638" s="51" t="str">
        <f t="shared" ref="E638:T638" si="639">IFERROR(VLOOKUP($A638,INDIRECT("'" &amp; E$1 &amp; "'!$C:$G"), 5, FALSE),"")</f>
        <v/>
      </c>
      <c r="F638" s="51" t="str">
        <f t="shared" si="639"/>
        <v/>
      </c>
      <c r="G638" s="51" t="str">
        <f t="shared" si="639"/>
        <v/>
      </c>
      <c r="H638" s="51" t="str">
        <f t="shared" si="639"/>
        <v/>
      </c>
      <c r="I638" s="51" t="str">
        <f t="shared" si="639"/>
        <v/>
      </c>
      <c r="J638" s="51" t="str">
        <f t="shared" si="639"/>
        <v/>
      </c>
      <c r="K638" s="51" t="str">
        <f t="shared" si="639"/>
        <v/>
      </c>
      <c r="L638" s="51" t="str">
        <f t="shared" si="639"/>
        <v/>
      </c>
      <c r="M638" s="51" t="str">
        <f t="shared" si="639"/>
        <v/>
      </c>
      <c r="N638" s="51" t="str">
        <f t="shared" si="639"/>
        <v/>
      </c>
      <c r="O638" s="51" t="str">
        <f t="shared" si="639"/>
        <v/>
      </c>
      <c r="P638" s="51" t="str">
        <f t="shared" si="639"/>
        <v/>
      </c>
      <c r="Q638" s="51" t="str">
        <f t="shared" si="639"/>
        <v/>
      </c>
      <c r="R638" s="51" t="str">
        <f t="shared" si="639"/>
        <v/>
      </c>
      <c r="S638" s="51" t="str">
        <f t="shared" si="639"/>
        <v/>
      </c>
      <c r="T638" s="51" t="str">
        <f t="shared" si="639"/>
        <v/>
      </c>
      <c r="U638" s="52"/>
      <c r="V638" s="52" t="str">
        <f>IFERROR(__xludf.DUMMYFUNCTION("""COMPUTED_VALUE"""),"")</f>
        <v/>
      </c>
      <c r="W638" s="52" t="str">
        <f>IFERROR(__xludf.DUMMYFUNCTION("""COMPUTED_VALUE"""),"")</f>
        <v/>
      </c>
      <c r="X638" s="52" t="str">
        <f>IFERROR(__xludf.DUMMYFUNCTION("""COMPUTED_VALUE"""),"")</f>
        <v/>
      </c>
      <c r="Y638" s="52" t="str">
        <f>IFERROR(__xludf.DUMMYFUNCTION("""COMPUTED_VALUE"""),"")</f>
        <v/>
      </c>
      <c r="Z638" s="52" t="str">
        <f>IFERROR(__xludf.DUMMYFUNCTION("""COMPUTED_VALUE"""),"")</f>
        <v/>
      </c>
      <c r="AA638" s="52" t="str">
        <f>IFERROR(__xludf.DUMMYFUNCTION("""COMPUTED_VALUE"""),"")</f>
        <v/>
      </c>
      <c r="AB638" s="52" t="str">
        <f>IFERROR(__xludf.DUMMYFUNCTION("""COMPUTED_VALUE"""),"")</f>
        <v/>
      </c>
      <c r="AC638" s="52" t="str">
        <f>IFERROR(__xludf.DUMMYFUNCTION("""COMPUTED_VALUE"""),"")</f>
        <v/>
      </c>
      <c r="AD638" s="52" t="str">
        <f>IFERROR(__xludf.DUMMYFUNCTION("""COMPUTED_VALUE"""),"")</f>
        <v/>
      </c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</row>
    <row r="639">
      <c r="B639" s="49"/>
      <c r="C639" s="49" t="str">
        <f t="shared" si="2"/>
        <v/>
      </c>
      <c r="D639" s="50" t="str">
        <f t="shared" si="3"/>
        <v/>
      </c>
      <c r="E639" s="51" t="str">
        <f t="shared" ref="E639:T639" si="640">IFERROR(VLOOKUP($A639,INDIRECT("'" &amp; E$1 &amp; "'!$C:$G"), 5, FALSE),"")</f>
        <v/>
      </c>
      <c r="F639" s="51" t="str">
        <f t="shared" si="640"/>
        <v/>
      </c>
      <c r="G639" s="51" t="str">
        <f t="shared" si="640"/>
        <v/>
      </c>
      <c r="H639" s="51" t="str">
        <f t="shared" si="640"/>
        <v/>
      </c>
      <c r="I639" s="51" t="str">
        <f t="shared" si="640"/>
        <v/>
      </c>
      <c r="J639" s="51" t="str">
        <f t="shared" si="640"/>
        <v/>
      </c>
      <c r="K639" s="51" t="str">
        <f t="shared" si="640"/>
        <v/>
      </c>
      <c r="L639" s="51" t="str">
        <f t="shared" si="640"/>
        <v/>
      </c>
      <c r="M639" s="51" t="str">
        <f t="shared" si="640"/>
        <v/>
      </c>
      <c r="N639" s="51" t="str">
        <f t="shared" si="640"/>
        <v/>
      </c>
      <c r="O639" s="51" t="str">
        <f t="shared" si="640"/>
        <v/>
      </c>
      <c r="P639" s="51" t="str">
        <f t="shared" si="640"/>
        <v/>
      </c>
      <c r="Q639" s="51" t="str">
        <f t="shared" si="640"/>
        <v/>
      </c>
      <c r="R639" s="51" t="str">
        <f t="shared" si="640"/>
        <v/>
      </c>
      <c r="S639" s="51" t="str">
        <f t="shared" si="640"/>
        <v/>
      </c>
      <c r="T639" s="51" t="str">
        <f t="shared" si="640"/>
        <v/>
      </c>
      <c r="U639" s="52"/>
      <c r="V639" s="52" t="str">
        <f>IFERROR(__xludf.DUMMYFUNCTION("""COMPUTED_VALUE"""),"")</f>
        <v/>
      </c>
      <c r="W639" s="52" t="str">
        <f>IFERROR(__xludf.DUMMYFUNCTION("""COMPUTED_VALUE"""),"")</f>
        <v/>
      </c>
      <c r="X639" s="52" t="str">
        <f>IFERROR(__xludf.DUMMYFUNCTION("""COMPUTED_VALUE"""),"")</f>
        <v/>
      </c>
      <c r="Y639" s="52" t="str">
        <f>IFERROR(__xludf.DUMMYFUNCTION("""COMPUTED_VALUE"""),"")</f>
        <v/>
      </c>
      <c r="Z639" s="52" t="str">
        <f>IFERROR(__xludf.DUMMYFUNCTION("""COMPUTED_VALUE"""),"")</f>
        <v/>
      </c>
      <c r="AA639" s="52" t="str">
        <f>IFERROR(__xludf.DUMMYFUNCTION("""COMPUTED_VALUE"""),"")</f>
        <v/>
      </c>
      <c r="AB639" s="52" t="str">
        <f>IFERROR(__xludf.DUMMYFUNCTION("""COMPUTED_VALUE"""),"")</f>
        <v/>
      </c>
      <c r="AC639" s="52" t="str">
        <f>IFERROR(__xludf.DUMMYFUNCTION("""COMPUTED_VALUE"""),"")</f>
        <v/>
      </c>
      <c r="AD639" s="52" t="str">
        <f>IFERROR(__xludf.DUMMYFUNCTION("""COMPUTED_VALUE"""),"")</f>
        <v/>
      </c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</row>
    <row r="640">
      <c r="B640" s="49"/>
      <c r="C640" s="49" t="str">
        <f t="shared" si="2"/>
        <v/>
      </c>
      <c r="D640" s="50" t="str">
        <f t="shared" si="3"/>
        <v/>
      </c>
      <c r="E640" s="51" t="str">
        <f t="shared" ref="E640:T640" si="641">IFERROR(VLOOKUP($A640,INDIRECT("'" &amp; E$1 &amp; "'!$C:$G"), 5, FALSE),"")</f>
        <v/>
      </c>
      <c r="F640" s="51" t="str">
        <f t="shared" si="641"/>
        <v/>
      </c>
      <c r="G640" s="51" t="str">
        <f t="shared" si="641"/>
        <v/>
      </c>
      <c r="H640" s="51" t="str">
        <f t="shared" si="641"/>
        <v/>
      </c>
      <c r="I640" s="51" t="str">
        <f t="shared" si="641"/>
        <v/>
      </c>
      <c r="J640" s="51" t="str">
        <f t="shared" si="641"/>
        <v/>
      </c>
      <c r="K640" s="51" t="str">
        <f t="shared" si="641"/>
        <v/>
      </c>
      <c r="L640" s="51" t="str">
        <f t="shared" si="641"/>
        <v/>
      </c>
      <c r="M640" s="51" t="str">
        <f t="shared" si="641"/>
        <v/>
      </c>
      <c r="N640" s="51" t="str">
        <f t="shared" si="641"/>
        <v/>
      </c>
      <c r="O640" s="51" t="str">
        <f t="shared" si="641"/>
        <v/>
      </c>
      <c r="P640" s="51" t="str">
        <f t="shared" si="641"/>
        <v/>
      </c>
      <c r="Q640" s="51" t="str">
        <f t="shared" si="641"/>
        <v/>
      </c>
      <c r="R640" s="51" t="str">
        <f t="shared" si="641"/>
        <v/>
      </c>
      <c r="S640" s="51" t="str">
        <f t="shared" si="641"/>
        <v/>
      </c>
      <c r="T640" s="51" t="str">
        <f t="shared" si="641"/>
        <v/>
      </c>
      <c r="U640" s="52"/>
      <c r="V640" s="52" t="str">
        <f>IFERROR(__xludf.DUMMYFUNCTION("""COMPUTED_VALUE"""),"")</f>
        <v/>
      </c>
      <c r="W640" s="52" t="str">
        <f>IFERROR(__xludf.DUMMYFUNCTION("""COMPUTED_VALUE"""),"")</f>
        <v/>
      </c>
      <c r="X640" s="52" t="str">
        <f>IFERROR(__xludf.DUMMYFUNCTION("""COMPUTED_VALUE"""),"")</f>
        <v/>
      </c>
      <c r="Y640" s="52" t="str">
        <f>IFERROR(__xludf.DUMMYFUNCTION("""COMPUTED_VALUE"""),"")</f>
        <v/>
      </c>
      <c r="Z640" s="52" t="str">
        <f>IFERROR(__xludf.DUMMYFUNCTION("""COMPUTED_VALUE"""),"")</f>
        <v/>
      </c>
      <c r="AA640" s="52" t="str">
        <f>IFERROR(__xludf.DUMMYFUNCTION("""COMPUTED_VALUE"""),"")</f>
        <v/>
      </c>
      <c r="AB640" s="52" t="str">
        <f>IFERROR(__xludf.DUMMYFUNCTION("""COMPUTED_VALUE"""),"")</f>
        <v/>
      </c>
      <c r="AC640" s="52" t="str">
        <f>IFERROR(__xludf.DUMMYFUNCTION("""COMPUTED_VALUE"""),"")</f>
        <v/>
      </c>
      <c r="AD640" s="52" t="str">
        <f>IFERROR(__xludf.DUMMYFUNCTION("""COMPUTED_VALUE"""),"")</f>
        <v/>
      </c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</row>
    <row r="641">
      <c r="B641" s="49"/>
      <c r="C641" s="49" t="str">
        <f t="shared" si="2"/>
        <v/>
      </c>
      <c r="D641" s="50" t="str">
        <f t="shared" si="3"/>
        <v/>
      </c>
      <c r="E641" s="51" t="str">
        <f t="shared" ref="E641:T641" si="642">IFERROR(VLOOKUP($A641,INDIRECT("'" &amp; E$1 &amp; "'!$C:$G"), 5, FALSE),"")</f>
        <v/>
      </c>
      <c r="F641" s="51" t="str">
        <f t="shared" si="642"/>
        <v/>
      </c>
      <c r="G641" s="51" t="str">
        <f t="shared" si="642"/>
        <v/>
      </c>
      <c r="H641" s="51" t="str">
        <f t="shared" si="642"/>
        <v/>
      </c>
      <c r="I641" s="51" t="str">
        <f t="shared" si="642"/>
        <v/>
      </c>
      <c r="J641" s="51" t="str">
        <f t="shared" si="642"/>
        <v/>
      </c>
      <c r="K641" s="51" t="str">
        <f t="shared" si="642"/>
        <v/>
      </c>
      <c r="L641" s="51" t="str">
        <f t="shared" si="642"/>
        <v/>
      </c>
      <c r="M641" s="51" t="str">
        <f t="shared" si="642"/>
        <v/>
      </c>
      <c r="N641" s="51" t="str">
        <f t="shared" si="642"/>
        <v/>
      </c>
      <c r="O641" s="51" t="str">
        <f t="shared" si="642"/>
        <v/>
      </c>
      <c r="P641" s="51" t="str">
        <f t="shared" si="642"/>
        <v/>
      </c>
      <c r="Q641" s="51" t="str">
        <f t="shared" si="642"/>
        <v/>
      </c>
      <c r="R641" s="51" t="str">
        <f t="shared" si="642"/>
        <v/>
      </c>
      <c r="S641" s="51" t="str">
        <f t="shared" si="642"/>
        <v/>
      </c>
      <c r="T641" s="51" t="str">
        <f t="shared" si="642"/>
        <v/>
      </c>
      <c r="U641" s="52"/>
      <c r="V641" s="52" t="str">
        <f>IFERROR(__xludf.DUMMYFUNCTION("""COMPUTED_VALUE"""),"")</f>
        <v/>
      </c>
      <c r="W641" s="52" t="str">
        <f>IFERROR(__xludf.DUMMYFUNCTION("""COMPUTED_VALUE"""),"")</f>
        <v/>
      </c>
      <c r="X641" s="52" t="str">
        <f>IFERROR(__xludf.DUMMYFUNCTION("""COMPUTED_VALUE"""),"")</f>
        <v/>
      </c>
      <c r="Y641" s="52" t="str">
        <f>IFERROR(__xludf.DUMMYFUNCTION("""COMPUTED_VALUE"""),"")</f>
        <v/>
      </c>
      <c r="Z641" s="52" t="str">
        <f>IFERROR(__xludf.DUMMYFUNCTION("""COMPUTED_VALUE"""),"")</f>
        <v/>
      </c>
      <c r="AA641" s="52" t="str">
        <f>IFERROR(__xludf.DUMMYFUNCTION("""COMPUTED_VALUE"""),"")</f>
        <v/>
      </c>
      <c r="AB641" s="52" t="str">
        <f>IFERROR(__xludf.DUMMYFUNCTION("""COMPUTED_VALUE"""),"")</f>
        <v/>
      </c>
      <c r="AC641" s="52" t="str">
        <f>IFERROR(__xludf.DUMMYFUNCTION("""COMPUTED_VALUE"""),"")</f>
        <v/>
      </c>
      <c r="AD641" s="52" t="str">
        <f>IFERROR(__xludf.DUMMYFUNCTION("""COMPUTED_VALUE"""),"")</f>
        <v/>
      </c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</row>
    <row r="642">
      <c r="B642" s="49"/>
      <c r="C642" s="49" t="str">
        <f t="shared" si="2"/>
        <v/>
      </c>
      <c r="D642" s="50" t="str">
        <f t="shared" si="3"/>
        <v/>
      </c>
      <c r="E642" s="51" t="str">
        <f t="shared" ref="E642:T642" si="643">IFERROR(VLOOKUP($A642,INDIRECT("'" &amp; E$1 &amp; "'!$C:$G"), 5, FALSE),"")</f>
        <v/>
      </c>
      <c r="F642" s="51" t="str">
        <f t="shared" si="643"/>
        <v/>
      </c>
      <c r="G642" s="51" t="str">
        <f t="shared" si="643"/>
        <v/>
      </c>
      <c r="H642" s="51" t="str">
        <f t="shared" si="643"/>
        <v/>
      </c>
      <c r="I642" s="51" t="str">
        <f t="shared" si="643"/>
        <v/>
      </c>
      <c r="J642" s="51" t="str">
        <f t="shared" si="643"/>
        <v/>
      </c>
      <c r="K642" s="51" t="str">
        <f t="shared" si="643"/>
        <v/>
      </c>
      <c r="L642" s="51" t="str">
        <f t="shared" si="643"/>
        <v/>
      </c>
      <c r="M642" s="51" t="str">
        <f t="shared" si="643"/>
        <v/>
      </c>
      <c r="N642" s="51" t="str">
        <f t="shared" si="643"/>
        <v/>
      </c>
      <c r="O642" s="51" t="str">
        <f t="shared" si="643"/>
        <v/>
      </c>
      <c r="P642" s="51" t="str">
        <f t="shared" si="643"/>
        <v/>
      </c>
      <c r="Q642" s="51" t="str">
        <f t="shared" si="643"/>
        <v/>
      </c>
      <c r="R642" s="51" t="str">
        <f t="shared" si="643"/>
        <v/>
      </c>
      <c r="S642" s="51" t="str">
        <f t="shared" si="643"/>
        <v/>
      </c>
      <c r="T642" s="51" t="str">
        <f t="shared" si="643"/>
        <v/>
      </c>
      <c r="U642" s="52"/>
      <c r="V642" s="52" t="str">
        <f>IFERROR(__xludf.DUMMYFUNCTION("""COMPUTED_VALUE"""),"")</f>
        <v/>
      </c>
      <c r="W642" s="52" t="str">
        <f>IFERROR(__xludf.DUMMYFUNCTION("""COMPUTED_VALUE"""),"")</f>
        <v/>
      </c>
      <c r="X642" s="52" t="str">
        <f>IFERROR(__xludf.DUMMYFUNCTION("""COMPUTED_VALUE"""),"")</f>
        <v/>
      </c>
      <c r="Y642" s="52" t="str">
        <f>IFERROR(__xludf.DUMMYFUNCTION("""COMPUTED_VALUE"""),"")</f>
        <v/>
      </c>
      <c r="Z642" s="52" t="str">
        <f>IFERROR(__xludf.DUMMYFUNCTION("""COMPUTED_VALUE"""),"")</f>
        <v/>
      </c>
      <c r="AA642" s="52" t="str">
        <f>IFERROR(__xludf.DUMMYFUNCTION("""COMPUTED_VALUE"""),"")</f>
        <v/>
      </c>
      <c r="AB642" s="52" t="str">
        <f>IFERROR(__xludf.DUMMYFUNCTION("""COMPUTED_VALUE"""),"")</f>
        <v/>
      </c>
      <c r="AC642" s="52" t="str">
        <f>IFERROR(__xludf.DUMMYFUNCTION("""COMPUTED_VALUE"""),"")</f>
        <v/>
      </c>
      <c r="AD642" s="52" t="str">
        <f>IFERROR(__xludf.DUMMYFUNCTION("""COMPUTED_VALUE"""),"")</f>
        <v/>
      </c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</row>
    <row r="643">
      <c r="B643" s="49"/>
      <c r="C643" s="49" t="str">
        <f t="shared" si="2"/>
        <v/>
      </c>
      <c r="D643" s="50" t="str">
        <f t="shared" si="3"/>
        <v/>
      </c>
      <c r="E643" s="51" t="str">
        <f t="shared" ref="E643:T643" si="644">IFERROR(VLOOKUP($A643,INDIRECT("'" &amp; E$1 &amp; "'!$C:$G"), 5, FALSE),"")</f>
        <v/>
      </c>
      <c r="F643" s="51" t="str">
        <f t="shared" si="644"/>
        <v/>
      </c>
      <c r="G643" s="51" t="str">
        <f t="shared" si="644"/>
        <v/>
      </c>
      <c r="H643" s="51" t="str">
        <f t="shared" si="644"/>
        <v/>
      </c>
      <c r="I643" s="51" t="str">
        <f t="shared" si="644"/>
        <v/>
      </c>
      <c r="J643" s="51" t="str">
        <f t="shared" si="644"/>
        <v/>
      </c>
      <c r="K643" s="51" t="str">
        <f t="shared" si="644"/>
        <v/>
      </c>
      <c r="L643" s="51" t="str">
        <f t="shared" si="644"/>
        <v/>
      </c>
      <c r="M643" s="51" t="str">
        <f t="shared" si="644"/>
        <v/>
      </c>
      <c r="N643" s="51" t="str">
        <f t="shared" si="644"/>
        <v/>
      </c>
      <c r="O643" s="51" t="str">
        <f t="shared" si="644"/>
        <v/>
      </c>
      <c r="P643" s="51" t="str">
        <f t="shared" si="644"/>
        <v/>
      </c>
      <c r="Q643" s="51" t="str">
        <f t="shared" si="644"/>
        <v/>
      </c>
      <c r="R643" s="51" t="str">
        <f t="shared" si="644"/>
        <v/>
      </c>
      <c r="S643" s="51" t="str">
        <f t="shared" si="644"/>
        <v/>
      </c>
      <c r="T643" s="51" t="str">
        <f t="shared" si="644"/>
        <v/>
      </c>
      <c r="U643" s="52"/>
      <c r="V643" s="52" t="str">
        <f>IFERROR(__xludf.DUMMYFUNCTION("""COMPUTED_VALUE"""),"")</f>
        <v/>
      </c>
      <c r="W643" s="52" t="str">
        <f>IFERROR(__xludf.DUMMYFUNCTION("""COMPUTED_VALUE"""),"")</f>
        <v/>
      </c>
      <c r="X643" s="52" t="str">
        <f>IFERROR(__xludf.DUMMYFUNCTION("""COMPUTED_VALUE"""),"")</f>
        <v/>
      </c>
      <c r="Y643" s="52" t="str">
        <f>IFERROR(__xludf.DUMMYFUNCTION("""COMPUTED_VALUE"""),"")</f>
        <v/>
      </c>
      <c r="Z643" s="52" t="str">
        <f>IFERROR(__xludf.DUMMYFUNCTION("""COMPUTED_VALUE"""),"")</f>
        <v/>
      </c>
      <c r="AA643" s="52" t="str">
        <f>IFERROR(__xludf.DUMMYFUNCTION("""COMPUTED_VALUE"""),"")</f>
        <v/>
      </c>
      <c r="AB643" s="52" t="str">
        <f>IFERROR(__xludf.DUMMYFUNCTION("""COMPUTED_VALUE"""),"")</f>
        <v/>
      </c>
      <c r="AC643" s="52" t="str">
        <f>IFERROR(__xludf.DUMMYFUNCTION("""COMPUTED_VALUE"""),"")</f>
        <v/>
      </c>
      <c r="AD643" s="52" t="str">
        <f>IFERROR(__xludf.DUMMYFUNCTION("""COMPUTED_VALUE"""),"")</f>
        <v/>
      </c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</row>
    <row r="644">
      <c r="B644" s="49"/>
      <c r="C644" s="49" t="str">
        <f t="shared" si="2"/>
        <v/>
      </c>
      <c r="D644" s="50" t="str">
        <f t="shared" si="3"/>
        <v/>
      </c>
      <c r="E644" s="51" t="str">
        <f t="shared" ref="E644:T644" si="645">IFERROR(VLOOKUP($A644,INDIRECT("'" &amp; E$1 &amp; "'!$C:$G"), 5, FALSE),"")</f>
        <v/>
      </c>
      <c r="F644" s="51" t="str">
        <f t="shared" si="645"/>
        <v/>
      </c>
      <c r="G644" s="51" t="str">
        <f t="shared" si="645"/>
        <v/>
      </c>
      <c r="H644" s="51" t="str">
        <f t="shared" si="645"/>
        <v/>
      </c>
      <c r="I644" s="51" t="str">
        <f t="shared" si="645"/>
        <v/>
      </c>
      <c r="J644" s="51" t="str">
        <f t="shared" si="645"/>
        <v/>
      </c>
      <c r="K644" s="51" t="str">
        <f t="shared" si="645"/>
        <v/>
      </c>
      <c r="L644" s="51" t="str">
        <f t="shared" si="645"/>
        <v/>
      </c>
      <c r="M644" s="51" t="str">
        <f t="shared" si="645"/>
        <v/>
      </c>
      <c r="N644" s="51" t="str">
        <f t="shared" si="645"/>
        <v/>
      </c>
      <c r="O644" s="51" t="str">
        <f t="shared" si="645"/>
        <v/>
      </c>
      <c r="P644" s="51" t="str">
        <f t="shared" si="645"/>
        <v/>
      </c>
      <c r="Q644" s="51" t="str">
        <f t="shared" si="645"/>
        <v/>
      </c>
      <c r="R644" s="51" t="str">
        <f t="shared" si="645"/>
        <v/>
      </c>
      <c r="S644" s="51" t="str">
        <f t="shared" si="645"/>
        <v/>
      </c>
      <c r="T644" s="51" t="str">
        <f t="shared" si="645"/>
        <v/>
      </c>
      <c r="U644" s="52"/>
      <c r="V644" s="52" t="str">
        <f>IFERROR(__xludf.DUMMYFUNCTION("""COMPUTED_VALUE"""),"")</f>
        <v/>
      </c>
      <c r="W644" s="52" t="str">
        <f>IFERROR(__xludf.DUMMYFUNCTION("""COMPUTED_VALUE"""),"")</f>
        <v/>
      </c>
      <c r="X644" s="52" t="str">
        <f>IFERROR(__xludf.DUMMYFUNCTION("""COMPUTED_VALUE"""),"")</f>
        <v/>
      </c>
      <c r="Y644" s="52" t="str">
        <f>IFERROR(__xludf.DUMMYFUNCTION("""COMPUTED_VALUE"""),"")</f>
        <v/>
      </c>
      <c r="Z644" s="52" t="str">
        <f>IFERROR(__xludf.DUMMYFUNCTION("""COMPUTED_VALUE"""),"")</f>
        <v/>
      </c>
      <c r="AA644" s="52" t="str">
        <f>IFERROR(__xludf.DUMMYFUNCTION("""COMPUTED_VALUE"""),"")</f>
        <v/>
      </c>
      <c r="AB644" s="52" t="str">
        <f>IFERROR(__xludf.DUMMYFUNCTION("""COMPUTED_VALUE"""),"")</f>
        <v/>
      </c>
      <c r="AC644" s="52" t="str">
        <f>IFERROR(__xludf.DUMMYFUNCTION("""COMPUTED_VALUE"""),"")</f>
        <v/>
      </c>
      <c r="AD644" s="52" t="str">
        <f>IFERROR(__xludf.DUMMYFUNCTION("""COMPUTED_VALUE"""),"")</f>
        <v/>
      </c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</row>
    <row r="645">
      <c r="B645" s="49"/>
      <c r="C645" s="49" t="str">
        <f t="shared" si="2"/>
        <v/>
      </c>
      <c r="D645" s="50" t="str">
        <f t="shared" si="3"/>
        <v/>
      </c>
      <c r="E645" s="51" t="str">
        <f t="shared" ref="E645:T645" si="646">IFERROR(VLOOKUP($A645,INDIRECT("'" &amp; E$1 &amp; "'!$C:$G"), 5, FALSE),"")</f>
        <v/>
      </c>
      <c r="F645" s="51" t="str">
        <f t="shared" si="646"/>
        <v/>
      </c>
      <c r="G645" s="51" t="str">
        <f t="shared" si="646"/>
        <v/>
      </c>
      <c r="H645" s="51" t="str">
        <f t="shared" si="646"/>
        <v/>
      </c>
      <c r="I645" s="51" t="str">
        <f t="shared" si="646"/>
        <v/>
      </c>
      <c r="J645" s="51" t="str">
        <f t="shared" si="646"/>
        <v/>
      </c>
      <c r="K645" s="51" t="str">
        <f t="shared" si="646"/>
        <v/>
      </c>
      <c r="L645" s="51" t="str">
        <f t="shared" si="646"/>
        <v/>
      </c>
      <c r="M645" s="51" t="str">
        <f t="shared" si="646"/>
        <v/>
      </c>
      <c r="N645" s="51" t="str">
        <f t="shared" si="646"/>
        <v/>
      </c>
      <c r="O645" s="51" t="str">
        <f t="shared" si="646"/>
        <v/>
      </c>
      <c r="P645" s="51" t="str">
        <f t="shared" si="646"/>
        <v/>
      </c>
      <c r="Q645" s="51" t="str">
        <f t="shared" si="646"/>
        <v/>
      </c>
      <c r="R645" s="51" t="str">
        <f t="shared" si="646"/>
        <v/>
      </c>
      <c r="S645" s="51" t="str">
        <f t="shared" si="646"/>
        <v/>
      </c>
      <c r="T645" s="51" t="str">
        <f t="shared" si="646"/>
        <v/>
      </c>
      <c r="U645" s="52"/>
      <c r="V645" s="52" t="str">
        <f>IFERROR(__xludf.DUMMYFUNCTION("""COMPUTED_VALUE"""),"")</f>
        <v/>
      </c>
      <c r="W645" s="52" t="str">
        <f>IFERROR(__xludf.DUMMYFUNCTION("""COMPUTED_VALUE"""),"")</f>
        <v/>
      </c>
      <c r="X645" s="52" t="str">
        <f>IFERROR(__xludf.DUMMYFUNCTION("""COMPUTED_VALUE"""),"")</f>
        <v/>
      </c>
      <c r="Y645" s="52" t="str">
        <f>IFERROR(__xludf.DUMMYFUNCTION("""COMPUTED_VALUE"""),"")</f>
        <v/>
      </c>
      <c r="Z645" s="52" t="str">
        <f>IFERROR(__xludf.DUMMYFUNCTION("""COMPUTED_VALUE"""),"")</f>
        <v/>
      </c>
      <c r="AA645" s="52" t="str">
        <f>IFERROR(__xludf.DUMMYFUNCTION("""COMPUTED_VALUE"""),"")</f>
        <v/>
      </c>
      <c r="AB645" s="52" t="str">
        <f>IFERROR(__xludf.DUMMYFUNCTION("""COMPUTED_VALUE"""),"")</f>
        <v/>
      </c>
      <c r="AC645" s="52" t="str">
        <f>IFERROR(__xludf.DUMMYFUNCTION("""COMPUTED_VALUE"""),"")</f>
        <v/>
      </c>
      <c r="AD645" s="52" t="str">
        <f>IFERROR(__xludf.DUMMYFUNCTION("""COMPUTED_VALUE"""),"")</f>
        <v/>
      </c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</row>
    <row r="646">
      <c r="B646" s="49"/>
      <c r="C646" s="49" t="str">
        <f t="shared" si="2"/>
        <v/>
      </c>
      <c r="D646" s="50" t="str">
        <f t="shared" si="3"/>
        <v/>
      </c>
      <c r="E646" s="51" t="str">
        <f t="shared" ref="E646:T646" si="647">IFERROR(VLOOKUP($A646,INDIRECT("'" &amp; E$1 &amp; "'!$C:$G"), 5, FALSE),"")</f>
        <v/>
      </c>
      <c r="F646" s="51" t="str">
        <f t="shared" si="647"/>
        <v/>
      </c>
      <c r="G646" s="51" t="str">
        <f t="shared" si="647"/>
        <v/>
      </c>
      <c r="H646" s="51" t="str">
        <f t="shared" si="647"/>
        <v/>
      </c>
      <c r="I646" s="51" t="str">
        <f t="shared" si="647"/>
        <v/>
      </c>
      <c r="J646" s="51" t="str">
        <f t="shared" si="647"/>
        <v/>
      </c>
      <c r="K646" s="51" t="str">
        <f t="shared" si="647"/>
        <v/>
      </c>
      <c r="L646" s="51" t="str">
        <f t="shared" si="647"/>
        <v/>
      </c>
      <c r="M646" s="51" t="str">
        <f t="shared" si="647"/>
        <v/>
      </c>
      <c r="N646" s="51" t="str">
        <f t="shared" si="647"/>
        <v/>
      </c>
      <c r="O646" s="51" t="str">
        <f t="shared" si="647"/>
        <v/>
      </c>
      <c r="P646" s="51" t="str">
        <f t="shared" si="647"/>
        <v/>
      </c>
      <c r="Q646" s="51" t="str">
        <f t="shared" si="647"/>
        <v/>
      </c>
      <c r="R646" s="51" t="str">
        <f t="shared" si="647"/>
        <v/>
      </c>
      <c r="S646" s="51" t="str">
        <f t="shared" si="647"/>
        <v/>
      </c>
      <c r="T646" s="51" t="str">
        <f t="shared" si="647"/>
        <v/>
      </c>
      <c r="U646" s="52"/>
      <c r="V646" s="52" t="str">
        <f>IFERROR(__xludf.DUMMYFUNCTION("""COMPUTED_VALUE"""),"")</f>
        <v/>
      </c>
      <c r="W646" s="52" t="str">
        <f>IFERROR(__xludf.DUMMYFUNCTION("""COMPUTED_VALUE"""),"")</f>
        <v/>
      </c>
      <c r="X646" s="52" t="str">
        <f>IFERROR(__xludf.DUMMYFUNCTION("""COMPUTED_VALUE"""),"")</f>
        <v/>
      </c>
      <c r="Y646" s="52" t="str">
        <f>IFERROR(__xludf.DUMMYFUNCTION("""COMPUTED_VALUE"""),"")</f>
        <v/>
      </c>
      <c r="Z646" s="52" t="str">
        <f>IFERROR(__xludf.DUMMYFUNCTION("""COMPUTED_VALUE"""),"")</f>
        <v/>
      </c>
      <c r="AA646" s="52" t="str">
        <f>IFERROR(__xludf.DUMMYFUNCTION("""COMPUTED_VALUE"""),"")</f>
        <v/>
      </c>
      <c r="AB646" s="52" t="str">
        <f>IFERROR(__xludf.DUMMYFUNCTION("""COMPUTED_VALUE"""),"")</f>
        <v/>
      </c>
      <c r="AC646" s="52" t="str">
        <f>IFERROR(__xludf.DUMMYFUNCTION("""COMPUTED_VALUE"""),"")</f>
        <v/>
      </c>
      <c r="AD646" s="52" t="str">
        <f>IFERROR(__xludf.DUMMYFUNCTION("""COMPUTED_VALUE"""),"")</f>
        <v/>
      </c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</row>
    <row r="647">
      <c r="B647" s="49"/>
      <c r="C647" s="49" t="str">
        <f t="shared" si="2"/>
        <v/>
      </c>
      <c r="D647" s="50" t="str">
        <f t="shared" si="3"/>
        <v/>
      </c>
      <c r="E647" s="51" t="str">
        <f t="shared" ref="E647:T647" si="648">IFERROR(VLOOKUP($A647,INDIRECT("'" &amp; E$1 &amp; "'!$C:$G"), 5, FALSE),"")</f>
        <v/>
      </c>
      <c r="F647" s="51" t="str">
        <f t="shared" si="648"/>
        <v/>
      </c>
      <c r="G647" s="51" t="str">
        <f t="shared" si="648"/>
        <v/>
      </c>
      <c r="H647" s="51" t="str">
        <f t="shared" si="648"/>
        <v/>
      </c>
      <c r="I647" s="51" t="str">
        <f t="shared" si="648"/>
        <v/>
      </c>
      <c r="J647" s="51" t="str">
        <f t="shared" si="648"/>
        <v/>
      </c>
      <c r="K647" s="51" t="str">
        <f t="shared" si="648"/>
        <v/>
      </c>
      <c r="L647" s="51" t="str">
        <f t="shared" si="648"/>
        <v/>
      </c>
      <c r="M647" s="51" t="str">
        <f t="shared" si="648"/>
        <v/>
      </c>
      <c r="N647" s="51" t="str">
        <f t="shared" si="648"/>
        <v/>
      </c>
      <c r="O647" s="51" t="str">
        <f t="shared" si="648"/>
        <v/>
      </c>
      <c r="P647" s="51" t="str">
        <f t="shared" si="648"/>
        <v/>
      </c>
      <c r="Q647" s="51" t="str">
        <f t="shared" si="648"/>
        <v/>
      </c>
      <c r="R647" s="51" t="str">
        <f t="shared" si="648"/>
        <v/>
      </c>
      <c r="S647" s="51" t="str">
        <f t="shared" si="648"/>
        <v/>
      </c>
      <c r="T647" s="51" t="str">
        <f t="shared" si="648"/>
        <v/>
      </c>
      <c r="U647" s="52"/>
      <c r="V647" s="52" t="str">
        <f>IFERROR(__xludf.DUMMYFUNCTION("""COMPUTED_VALUE"""),"")</f>
        <v/>
      </c>
      <c r="W647" s="52" t="str">
        <f>IFERROR(__xludf.DUMMYFUNCTION("""COMPUTED_VALUE"""),"")</f>
        <v/>
      </c>
      <c r="X647" s="52" t="str">
        <f>IFERROR(__xludf.DUMMYFUNCTION("""COMPUTED_VALUE"""),"")</f>
        <v/>
      </c>
      <c r="Y647" s="52" t="str">
        <f>IFERROR(__xludf.DUMMYFUNCTION("""COMPUTED_VALUE"""),"")</f>
        <v/>
      </c>
      <c r="Z647" s="52" t="str">
        <f>IFERROR(__xludf.DUMMYFUNCTION("""COMPUTED_VALUE"""),"")</f>
        <v/>
      </c>
      <c r="AA647" s="52" t="str">
        <f>IFERROR(__xludf.DUMMYFUNCTION("""COMPUTED_VALUE"""),"")</f>
        <v/>
      </c>
      <c r="AB647" s="52" t="str">
        <f>IFERROR(__xludf.DUMMYFUNCTION("""COMPUTED_VALUE"""),"")</f>
        <v/>
      </c>
      <c r="AC647" s="52" t="str">
        <f>IFERROR(__xludf.DUMMYFUNCTION("""COMPUTED_VALUE"""),"")</f>
        <v/>
      </c>
      <c r="AD647" s="52" t="str">
        <f>IFERROR(__xludf.DUMMYFUNCTION("""COMPUTED_VALUE"""),"")</f>
        <v/>
      </c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</row>
    <row r="648">
      <c r="B648" s="49"/>
      <c r="C648" s="49" t="str">
        <f t="shared" si="2"/>
        <v/>
      </c>
      <c r="D648" s="50" t="str">
        <f t="shared" si="3"/>
        <v/>
      </c>
      <c r="E648" s="51" t="str">
        <f t="shared" ref="E648:T648" si="649">IFERROR(VLOOKUP($A648,INDIRECT("'" &amp; E$1 &amp; "'!$C:$G"), 5, FALSE),"")</f>
        <v/>
      </c>
      <c r="F648" s="51" t="str">
        <f t="shared" si="649"/>
        <v/>
      </c>
      <c r="G648" s="51" t="str">
        <f t="shared" si="649"/>
        <v/>
      </c>
      <c r="H648" s="51" t="str">
        <f t="shared" si="649"/>
        <v/>
      </c>
      <c r="I648" s="51" t="str">
        <f t="shared" si="649"/>
        <v/>
      </c>
      <c r="J648" s="51" t="str">
        <f t="shared" si="649"/>
        <v/>
      </c>
      <c r="K648" s="51" t="str">
        <f t="shared" si="649"/>
        <v/>
      </c>
      <c r="L648" s="51" t="str">
        <f t="shared" si="649"/>
        <v/>
      </c>
      <c r="M648" s="51" t="str">
        <f t="shared" si="649"/>
        <v/>
      </c>
      <c r="N648" s="51" t="str">
        <f t="shared" si="649"/>
        <v/>
      </c>
      <c r="O648" s="51" t="str">
        <f t="shared" si="649"/>
        <v/>
      </c>
      <c r="P648" s="51" t="str">
        <f t="shared" si="649"/>
        <v/>
      </c>
      <c r="Q648" s="51" t="str">
        <f t="shared" si="649"/>
        <v/>
      </c>
      <c r="R648" s="51" t="str">
        <f t="shared" si="649"/>
        <v/>
      </c>
      <c r="S648" s="51" t="str">
        <f t="shared" si="649"/>
        <v/>
      </c>
      <c r="T648" s="51" t="str">
        <f t="shared" si="649"/>
        <v/>
      </c>
      <c r="U648" s="52"/>
      <c r="V648" s="52" t="str">
        <f>IFERROR(__xludf.DUMMYFUNCTION("""COMPUTED_VALUE"""),"")</f>
        <v/>
      </c>
      <c r="W648" s="52" t="str">
        <f>IFERROR(__xludf.DUMMYFUNCTION("""COMPUTED_VALUE"""),"")</f>
        <v/>
      </c>
      <c r="X648" s="52" t="str">
        <f>IFERROR(__xludf.DUMMYFUNCTION("""COMPUTED_VALUE"""),"")</f>
        <v/>
      </c>
      <c r="Y648" s="52" t="str">
        <f>IFERROR(__xludf.DUMMYFUNCTION("""COMPUTED_VALUE"""),"")</f>
        <v/>
      </c>
      <c r="Z648" s="52" t="str">
        <f>IFERROR(__xludf.DUMMYFUNCTION("""COMPUTED_VALUE"""),"")</f>
        <v/>
      </c>
      <c r="AA648" s="52" t="str">
        <f>IFERROR(__xludf.DUMMYFUNCTION("""COMPUTED_VALUE"""),"")</f>
        <v/>
      </c>
      <c r="AB648" s="52" t="str">
        <f>IFERROR(__xludf.DUMMYFUNCTION("""COMPUTED_VALUE"""),"")</f>
        <v/>
      </c>
      <c r="AC648" s="52" t="str">
        <f>IFERROR(__xludf.DUMMYFUNCTION("""COMPUTED_VALUE"""),"")</f>
        <v/>
      </c>
      <c r="AD648" s="52" t="str">
        <f>IFERROR(__xludf.DUMMYFUNCTION("""COMPUTED_VALUE"""),"")</f>
        <v/>
      </c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</row>
    <row r="649">
      <c r="B649" s="49"/>
      <c r="C649" s="49" t="str">
        <f t="shared" si="2"/>
        <v/>
      </c>
      <c r="D649" s="50" t="str">
        <f t="shared" si="3"/>
        <v/>
      </c>
      <c r="E649" s="51" t="str">
        <f t="shared" ref="E649:T649" si="650">IFERROR(VLOOKUP($A649,INDIRECT("'" &amp; E$1 &amp; "'!$C:$G"), 5, FALSE),"")</f>
        <v/>
      </c>
      <c r="F649" s="51" t="str">
        <f t="shared" si="650"/>
        <v/>
      </c>
      <c r="G649" s="51" t="str">
        <f t="shared" si="650"/>
        <v/>
      </c>
      <c r="H649" s="51" t="str">
        <f t="shared" si="650"/>
        <v/>
      </c>
      <c r="I649" s="51" t="str">
        <f t="shared" si="650"/>
        <v/>
      </c>
      <c r="J649" s="51" t="str">
        <f t="shared" si="650"/>
        <v/>
      </c>
      <c r="K649" s="51" t="str">
        <f t="shared" si="650"/>
        <v/>
      </c>
      <c r="L649" s="51" t="str">
        <f t="shared" si="650"/>
        <v/>
      </c>
      <c r="M649" s="51" t="str">
        <f t="shared" si="650"/>
        <v/>
      </c>
      <c r="N649" s="51" t="str">
        <f t="shared" si="650"/>
        <v/>
      </c>
      <c r="O649" s="51" t="str">
        <f t="shared" si="650"/>
        <v/>
      </c>
      <c r="P649" s="51" t="str">
        <f t="shared" si="650"/>
        <v/>
      </c>
      <c r="Q649" s="51" t="str">
        <f t="shared" si="650"/>
        <v/>
      </c>
      <c r="R649" s="51" t="str">
        <f t="shared" si="650"/>
        <v/>
      </c>
      <c r="S649" s="51" t="str">
        <f t="shared" si="650"/>
        <v/>
      </c>
      <c r="T649" s="51" t="str">
        <f t="shared" si="650"/>
        <v/>
      </c>
      <c r="U649" s="52"/>
      <c r="V649" s="52" t="str">
        <f>IFERROR(__xludf.DUMMYFUNCTION("""COMPUTED_VALUE"""),"")</f>
        <v/>
      </c>
      <c r="W649" s="52" t="str">
        <f>IFERROR(__xludf.DUMMYFUNCTION("""COMPUTED_VALUE"""),"")</f>
        <v/>
      </c>
      <c r="X649" s="52" t="str">
        <f>IFERROR(__xludf.DUMMYFUNCTION("""COMPUTED_VALUE"""),"")</f>
        <v/>
      </c>
      <c r="Y649" s="52" t="str">
        <f>IFERROR(__xludf.DUMMYFUNCTION("""COMPUTED_VALUE"""),"")</f>
        <v/>
      </c>
      <c r="Z649" s="52" t="str">
        <f>IFERROR(__xludf.DUMMYFUNCTION("""COMPUTED_VALUE"""),"")</f>
        <v/>
      </c>
      <c r="AA649" s="52" t="str">
        <f>IFERROR(__xludf.DUMMYFUNCTION("""COMPUTED_VALUE"""),"")</f>
        <v/>
      </c>
      <c r="AB649" s="52" t="str">
        <f>IFERROR(__xludf.DUMMYFUNCTION("""COMPUTED_VALUE"""),"")</f>
        <v/>
      </c>
      <c r="AC649" s="52" t="str">
        <f>IFERROR(__xludf.DUMMYFUNCTION("""COMPUTED_VALUE"""),"")</f>
        <v/>
      </c>
      <c r="AD649" s="52" t="str">
        <f>IFERROR(__xludf.DUMMYFUNCTION("""COMPUTED_VALUE"""),"")</f>
        <v/>
      </c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</row>
    <row r="650">
      <c r="B650" s="49"/>
      <c r="C650" s="49" t="str">
        <f t="shared" si="2"/>
        <v/>
      </c>
      <c r="D650" s="50" t="str">
        <f t="shared" si="3"/>
        <v/>
      </c>
      <c r="E650" s="51" t="str">
        <f t="shared" ref="E650:T650" si="651">IFERROR(VLOOKUP($A650,INDIRECT("'" &amp; E$1 &amp; "'!$C:$G"), 5, FALSE),"")</f>
        <v/>
      </c>
      <c r="F650" s="51" t="str">
        <f t="shared" si="651"/>
        <v/>
      </c>
      <c r="G650" s="51" t="str">
        <f t="shared" si="651"/>
        <v/>
      </c>
      <c r="H650" s="51" t="str">
        <f t="shared" si="651"/>
        <v/>
      </c>
      <c r="I650" s="51" t="str">
        <f t="shared" si="651"/>
        <v/>
      </c>
      <c r="J650" s="51" t="str">
        <f t="shared" si="651"/>
        <v/>
      </c>
      <c r="K650" s="51" t="str">
        <f t="shared" si="651"/>
        <v/>
      </c>
      <c r="L650" s="51" t="str">
        <f t="shared" si="651"/>
        <v/>
      </c>
      <c r="M650" s="51" t="str">
        <f t="shared" si="651"/>
        <v/>
      </c>
      <c r="N650" s="51" t="str">
        <f t="shared" si="651"/>
        <v/>
      </c>
      <c r="O650" s="51" t="str">
        <f t="shared" si="651"/>
        <v/>
      </c>
      <c r="P650" s="51" t="str">
        <f t="shared" si="651"/>
        <v/>
      </c>
      <c r="Q650" s="51" t="str">
        <f t="shared" si="651"/>
        <v/>
      </c>
      <c r="R650" s="51" t="str">
        <f t="shared" si="651"/>
        <v/>
      </c>
      <c r="S650" s="51" t="str">
        <f t="shared" si="651"/>
        <v/>
      </c>
      <c r="T650" s="51" t="str">
        <f t="shared" si="651"/>
        <v/>
      </c>
      <c r="U650" s="52"/>
      <c r="V650" s="52" t="str">
        <f>IFERROR(__xludf.DUMMYFUNCTION("""COMPUTED_VALUE"""),"")</f>
        <v/>
      </c>
      <c r="W650" s="52" t="str">
        <f>IFERROR(__xludf.DUMMYFUNCTION("""COMPUTED_VALUE"""),"")</f>
        <v/>
      </c>
      <c r="X650" s="52" t="str">
        <f>IFERROR(__xludf.DUMMYFUNCTION("""COMPUTED_VALUE"""),"")</f>
        <v/>
      </c>
      <c r="Y650" s="52" t="str">
        <f>IFERROR(__xludf.DUMMYFUNCTION("""COMPUTED_VALUE"""),"")</f>
        <v/>
      </c>
      <c r="Z650" s="52" t="str">
        <f>IFERROR(__xludf.DUMMYFUNCTION("""COMPUTED_VALUE"""),"")</f>
        <v/>
      </c>
      <c r="AA650" s="52" t="str">
        <f>IFERROR(__xludf.DUMMYFUNCTION("""COMPUTED_VALUE"""),"")</f>
        <v/>
      </c>
      <c r="AB650" s="52" t="str">
        <f>IFERROR(__xludf.DUMMYFUNCTION("""COMPUTED_VALUE"""),"")</f>
        <v/>
      </c>
      <c r="AC650" s="52" t="str">
        <f>IFERROR(__xludf.DUMMYFUNCTION("""COMPUTED_VALUE"""),"")</f>
        <v/>
      </c>
      <c r="AD650" s="52" t="str">
        <f>IFERROR(__xludf.DUMMYFUNCTION("""COMPUTED_VALUE"""),"")</f>
        <v/>
      </c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</row>
    <row r="651">
      <c r="B651" s="49"/>
      <c r="C651" s="49" t="str">
        <f t="shared" si="2"/>
        <v/>
      </c>
      <c r="D651" s="50" t="str">
        <f t="shared" si="3"/>
        <v/>
      </c>
      <c r="E651" s="51" t="str">
        <f t="shared" ref="E651:T651" si="652">IFERROR(VLOOKUP($A651,INDIRECT("'" &amp; E$1 &amp; "'!$C:$G"), 5, FALSE),"")</f>
        <v/>
      </c>
      <c r="F651" s="51" t="str">
        <f t="shared" si="652"/>
        <v/>
      </c>
      <c r="G651" s="51" t="str">
        <f t="shared" si="652"/>
        <v/>
      </c>
      <c r="H651" s="51" t="str">
        <f t="shared" si="652"/>
        <v/>
      </c>
      <c r="I651" s="51" t="str">
        <f t="shared" si="652"/>
        <v/>
      </c>
      <c r="J651" s="51" t="str">
        <f t="shared" si="652"/>
        <v/>
      </c>
      <c r="K651" s="51" t="str">
        <f t="shared" si="652"/>
        <v/>
      </c>
      <c r="L651" s="51" t="str">
        <f t="shared" si="652"/>
        <v/>
      </c>
      <c r="M651" s="51" t="str">
        <f t="shared" si="652"/>
        <v/>
      </c>
      <c r="N651" s="51" t="str">
        <f t="shared" si="652"/>
        <v/>
      </c>
      <c r="O651" s="51" t="str">
        <f t="shared" si="652"/>
        <v/>
      </c>
      <c r="P651" s="51" t="str">
        <f t="shared" si="652"/>
        <v/>
      </c>
      <c r="Q651" s="51" t="str">
        <f t="shared" si="652"/>
        <v/>
      </c>
      <c r="R651" s="51" t="str">
        <f t="shared" si="652"/>
        <v/>
      </c>
      <c r="S651" s="51" t="str">
        <f t="shared" si="652"/>
        <v/>
      </c>
      <c r="T651" s="51" t="str">
        <f t="shared" si="652"/>
        <v/>
      </c>
      <c r="U651" s="52"/>
      <c r="V651" s="52" t="str">
        <f>IFERROR(__xludf.DUMMYFUNCTION("""COMPUTED_VALUE"""),"")</f>
        <v/>
      </c>
      <c r="W651" s="52" t="str">
        <f>IFERROR(__xludf.DUMMYFUNCTION("""COMPUTED_VALUE"""),"")</f>
        <v/>
      </c>
      <c r="X651" s="52" t="str">
        <f>IFERROR(__xludf.DUMMYFUNCTION("""COMPUTED_VALUE"""),"")</f>
        <v/>
      </c>
      <c r="Y651" s="52" t="str">
        <f>IFERROR(__xludf.DUMMYFUNCTION("""COMPUTED_VALUE"""),"")</f>
        <v/>
      </c>
      <c r="Z651" s="52" t="str">
        <f>IFERROR(__xludf.DUMMYFUNCTION("""COMPUTED_VALUE"""),"")</f>
        <v/>
      </c>
      <c r="AA651" s="52" t="str">
        <f>IFERROR(__xludf.DUMMYFUNCTION("""COMPUTED_VALUE"""),"")</f>
        <v/>
      </c>
      <c r="AB651" s="52" t="str">
        <f>IFERROR(__xludf.DUMMYFUNCTION("""COMPUTED_VALUE"""),"")</f>
        <v/>
      </c>
      <c r="AC651" s="52" t="str">
        <f>IFERROR(__xludf.DUMMYFUNCTION("""COMPUTED_VALUE"""),"")</f>
        <v/>
      </c>
      <c r="AD651" s="52" t="str">
        <f>IFERROR(__xludf.DUMMYFUNCTION("""COMPUTED_VALUE"""),"")</f>
        <v/>
      </c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</row>
    <row r="652">
      <c r="B652" s="49"/>
      <c r="C652" s="49" t="str">
        <f t="shared" si="2"/>
        <v/>
      </c>
      <c r="D652" s="50" t="str">
        <f t="shared" si="3"/>
        <v/>
      </c>
      <c r="E652" s="51" t="str">
        <f t="shared" ref="E652:T652" si="653">IFERROR(VLOOKUP($A652,INDIRECT("'" &amp; E$1 &amp; "'!$C:$G"), 5, FALSE),"")</f>
        <v/>
      </c>
      <c r="F652" s="51" t="str">
        <f t="shared" si="653"/>
        <v/>
      </c>
      <c r="G652" s="51" t="str">
        <f t="shared" si="653"/>
        <v/>
      </c>
      <c r="H652" s="51" t="str">
        <f t="shared" si="653"/>
        <v/>
      </c>
      <c r="I652" s="51" t="str">
        <f t="shared" si="653"/>
        <v/>
      </c>
      <c r="J652" s="51" t="str">
        <f t="shared" si="653"/>
        <v/>
      </c>
      <c r="K652" s="51" t="str">
        <f t="shared" si="653"/>
        <v/>
      </c>
      <c r="L652" s="51" t="str">
        <f t="shared" si="653"/>
        <v/>
      </c>
      <c r="M652" s="51" t="str">
        <f t="shared" si="653"/>
        <v/>
      </c>
      <c r="N652" s="51" t="str">
        <f t="shared" si="653"/>
        <v/>
      </c>
      <c r="O652" s="51" t="str">
        <f t="shared" si="653"/>
        <v/>
      </c>
      <c r="P652" s="51" t="str">
        <f t="shared" si="653"/>
        <v/>
      </c>
      <c r="Q652" s="51" t="str">
        <f t="shared" si="653"/>
        <v/>
      </c>
      <c r="R652" s="51" t="str">
        <f t="shared" si="653"/>
        <v/>
      </c>
      <c r="S652" s="51" t="str">
        <f t="shared" si="653"/>
        <v/>
      </c>
      <c r="T652" s="51" t="str">
        <f t="shared" si="653"/>
        <v/>
      </c>
      <c r="U652" s="52"/>
      <c r="V652" s="52" t="str">
        <f>IFERROR(__xludf.DUMMYFUNCTION("""COMPUTED_VALUE"""),"")</f>
        <v/>
      </c>
      <c r="W652" s="52" t="str">
        <f>IFERROR(__xludf.DUMMYFUNCTION("""COMPUTED_VALUE"""),"")</f>
        <v/>
      </c>
      <c r="X652" s="52" t="str">
        <f>IFERROR(__xludf.DUMMYFUNCTION("""COMPUTED_VALUE"""),"")</f>
        <v/>
      </c>
      <c r="Y652" s="52" t="str">
        <f>IFERROR(__xludf.DUMMYFUNCTION("""COMPUTED_VALUE"""),"")</f>
        <v/>
      </c>
      <c r="Z652" s="52" t="str">
        <f>IFERROR(__xludf.DUMMYFUNCTION("""COMPUTED_VALUE"""),"")</f>
        <v/>
      </c>
      <c r="AA652" s="52" t="str">
        <f>IFERROR(__xludf.DUMMYFUNCTION("""COMPUTED_VALUE"""),"")</f>
        <v/>
      </c>
      <c r="AB652" s="52" t="str">
        <f>IFERROR(__xludf.DUMMYFUNCTION("""COMPUTED_VALUE"""),"")</f>
        <v/>
      </c>
      <c r="AC652" s="52" t="str">
        <f>IFERROR(__xludf.DUMMYFUNCTION("""COMPUTED_VALUE"""),"")</f>
        <v/>
      </c>
      <c r="AD652" s="52" t="str">
        <f>IFERROR(__xludf.DUMMYFUNCTION("""COMPUTED_VALUE"""),"")</f>
        <v/>
      </c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</row>
    <row r="653">
      <c r="B653" s="49"/>
      <c r="C653" s="49" t="str">
        <f t="shared" si="2"/>
        <v/>
      </c>
      <c r="D653" s="50" t="str">
        <f t="shared" si="3"/>
        <v/>
      </c>
      <c r="E653" s="51" t="str">
        <f t="shared" ref="E653:T653" si="654">IFERROR(VLOOKUP($A653,INDIRECT("'" &amp; E$1 &amp; "'!$C:$G"), 5, FALSE),"")</f>
        <v/>
      </c>
      <c r="F653" s="51" t="str">
        <f t="shared" si="654"/>
        <v/>
      </c>
      <c r="G653" s="51" t="str">
        <f t="shared" si="654"/>
        <v/>
      </c>
      <c r="H653" s="51" t="str">
        <f t="shared" si="654"/>
        <v/>
      </c>
      <c r="I653" s="51" t="str">
        <f t="shared" si="654"/>
        <v/>
      </c>
      <c r="J653" s="51" t="str">
        <f t="shared" si="654"/>
        <v/>
      </c>
      <c r="K653" s="51" t="str">
        <f t="shared" si="654"/>
        <v/>
      </c>
      <c r="L653" s="51" t="str">
        <f t="shared" si="654"/>
        <v/>
      </c>
      <c r="M653" s="51" t="str">
        <f t="shared" si="654"/>
        <v/>
      </c>
      <c r="N653" s="51" t="str">
        <f t="shared" si="654"/>
        <v/>
      </c>
      <c r="O653" s="51" t="str">
        <f t="shared" si="654"/>
        <v/>
      </c>
      <c r="P653" s="51" t="str">
        <f t="shared" si="654"/>
        <v/>
      </c>
      <c r="Q653" s="51" t="str">
        <f t="shared" si="654"/>
        <v/>
      </c>
      <c r="R653" s="51" t="str">
        <f t="shared" si="654"/>
        <v/>
      </c>
      <c r="S653" s="51" t="str">
        <f t="shared" si="654"/>
        <v/>
      </c>
      <c r="T653" s="51" t="str">
        <f t="shared" si="654"/>
        <v/>
      </c>
      <c r="U653" s="52"/>
      <c r="V653" s="52" t="str">
        <f>IFERROR(__xludf.DUMMYFUNCTION("""COMPUTED_VALUE"""),"")</f>
        <v/>
      </c>
      <c r="W653" s="52" t="str">
        <f>IFERROR(__xludf.DUMMYFUNCTION("""COMPUTED_VALUE"""),"")</f>
        <v/>
      </c>
      <c r="X653" s="52" t="str">
        <f>IFERROR(__xludf.DUMMYFUNCTION("""COMPUTED_VALUE"""),"")</f>
        <v/>
      </c>
      <c r="Y653" s="52" t="str">
        <f>IFERROR(__xludf.DUMMYFUNCTION("""COMPUTED_VALUE"""),"")</f>
        <v/>
      </c>
      <c r="Z653" s="52" t="str">
        <f>IFERROR(__xludf.DUMMYFUNCTION("""COMPUTED_VALUE"""),"")</f>
        <v/>
      </c>
      <c r="AA653" s="52" t="str">
        <f>IFERROR(__xludf.DUMMYFUNCTION("""COMPUTED_VALUE"""),"")</f>
        <v/>
      </c>
      <c r="AB653" s="52" t="str">
        <f>IFERROR(__xludf.DUMMYFUNCTION("""COMPUTED_VALUE"""),"")</f>
        <v/>
      </c>
      <c r="AC653" s="52" t="str">
        <f>IFERROR(__xludf.DUMMYFUNCTION("""COMPUTED_VALUE"""),"")</f>
        <v/>
      </c>
      <c r="AD653" s="52" t="str">
        <f>IFERROR(__xludf.DUMMYFUNCTION("""COMPUTED_VALUE"""),"")</f>
        <v/>
      </c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</row>
    <row r="654">
      <c r="B654" s="49"/>
      <c r="C654" s="49" t="str">
        <f t="shared" si="2"/>
        <v/>
      </c>
      <c r="D654" s="50" t="str">
        <f t="shared" si="3"/>
        <v/>
      </c>
      <c r="E654" s="51" t="str">
        <f t="shared" ref="E654:T654" si="655">IFERROR(VLOOKUP($A654,INDIRECT("'" &amp; E$1 &amp; "'!$C:$G"), 5, FALSE),"")</f>
        <v/>
      </c>
      <c r="F654" s="51" t="str">
        <f t="shared" si="655"/>
        <v/>
      </c>
      <c r="G654" s="51" t="str">
        <f t="shared" si="655"/>
        <v/>
      </c>
      <c r="H654" s="51" t="str">
        <f t="shared" si="655"/>
        <v/>
      </c>
      <c r="I654" s="51" t="str">
        <f t="shared" si="655"/>
        <v/>
      </c>
      <c r="J654" s="51" t="str">
        <f t="shared" si="655"/>
        <v/>
      </c>
      <c r="K654" s="51" t="str">
        <f t="shared" si="655"/>
        <v/>
      </c>
      <c r="L654" s="51" t="str">
        <f t="shared" si="655"/>
        <v/>
      </c>
      <c r="M654" s="51" t="str">
        <f t="shared" si="655"/>
        <v/>
      </c>
      <c r="N654" s="51" t="str">
        <f t="shared" si="655"/>
        <v/>
      </c>
      <c r="O654" s="51" t="str">
        <f t="shared" si="655"/>
        <v/>
      </c>
      <c r="P654" s="51" t="str">
        <f t="shared" si="655"/>
        <v/>
      </c>
      <c r="Q654" s="51" t="str">
        <f t="shared" si="655"/>
        <v/>
      </c>
      <c r="R654" s="51" t="str">
        <f t="shared" si="655"/>
        <v/>
      </c>
      <c r="S654" s="51" t="str">
        <f t="shared" si="655"/>
        <v/>
      </c>
      <c r="T654" s="51" t="str">
        <f t="shared" si="655"/>
        <v/>
      </c>
      <c r="U654" s="52"/>
      <c r="V654" s="52" t="str">
        <f>IFERROR(__xludf.DUMMYFUNCTION("""COMPUTED_VALUE"""),"")</f>
        <v/>
      </c>
      <c r="W654" s="52" t="str">
        <f>IFERROR(__xludf.DUMMYFUNCTION("""COMPUTED_VALUE"""),"")</f>
        <v/>
      </c>
      <c r="X654" s="52" t="str">
        <f>IFERROR(__xludf.DUMMYFUNCTION("""COMPUTED_VALUE"""),"")</f>
        <v/>
      </c>
      <c r="Y654" s="52" t="str">
        <f>IFERROR(__xludf.DUMMYFUNCTION("""COMPUTED_VALUE"""),"")</f>
        <v/>
      </c>
      <c r="Z654" s="52" t="str">
        <f>IFERROR(__xludf.DUMMYFUNCTION("""COMPUTED_VALUE"""),"")</f>
        <v/>
      </c>
      <c r="AA654" s="52" t="str">
        <f>IFERROR(__xludf.DUMMYFUNCTION("""COMPUTED_VALUE"""),"")</f>
        <v/>
      </c>
      <c r="AB654" s="52" t="str">
        <f>IFERROR(__xludf.DUMMYFUNCTION("""COMPUTED_VALUE"""),"")</f>
        <v/>
      </c>
      <c r="AC654" s="52" t="str">
        <f>IFERROR(__xludf.DUMMYFUNCTION("""COMPUTED_VALUE"""),"")</f>
        <v/>
      </c>
      <c r="AD654" s="52" t="str">
        <f>IFERROR(__xludf.DUMMYFUNCTION("""COMPUTED_VALUE"""),"")</f>
        <v/>
      </c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</row>
    <row r="655">
      <c r="B655" s="49"/>
      <c r="C655" s="49" t="str">
        <f t="shared" si="2"/>
        <v/>
      </c>
      <c r="D655" s="50" t="str">
        <f t="shared" si="3"/>
        <v/>
      </c>
      <c r="E655" s="51" t="str">
        <f t="shared" ref="E655:T655" si="656">IFERROR(VLOOKUP($A655,INDIRECT("'" &amp; E$1 &amp; "'!$C:$G"), 5, FALSE),"")</f>
        <v/>
      </c>
      <c r="F655" s="51" t="str">
        <f t="shared" si="656"/>
        <v/>
      </c>
      <c r="G655" s="51" t="str">
        <f t="shared" si="656"/>
        <v/>
      </c>
      <c r="H655" s="51" t="str">
        <f t="shared" si="656"/>
        <v/>
      </c>
      <c r="I655" s="51" t="str">
        <f t="shared" si="656"/>
        <v/>
      </c>
      <c r="J655" s="51" t="str">
        <f t="shared" si="656"/>
        <v/>
      </c>
      <c r="K655" s="51" t="str">
        <f t="shared" si="656"/>
        <v/>
      </c>
      <c r="L655" s="51" t="str">
        <f t="shared" si="656"/>
        <v/>
      </c>
      <c r="M655" s="51" t="str">
        <f t="shared" si="656"/>
        <v/>
      </c>
      <c r="N655" s="51" t="str">
        <f t="shared" si="656"/>
        <v/>
      </c>
      <c r="O655" s="51" t="str">
        <f t="shared" si="656"/>
        <v/>
      </c>
      <c r="P655" s="51" t="str">
        <f t="shared" si="656"/>
        <v/>
      </c>
      <c r="Q655" s="51" t="str">
        <f t="shared" si="656"/>
        <v/>
      </c>
      <c r="R655" s="51" t="str">
        <f t="shared" si="656"/>
        <v/>
      </c>
      <c r="S655" s="51" t="str">
        <f t="shared" si="656"/>
        <v/>
      </c>
      <c r="T655" s="51" t="str">
        <f t="shared" si="656"/>
        <v/>
      </c>
      <c r="U655" s="52"/>
      <c r="V655" s="52" t="str">
        <f>IFERROR(__xludf.DUMMYFUNCTION("""COMPUTED_VALUE"""),"")</f>
        <v/>
      </c>
      <c r="W655" s="52" t="str">
        <f>IFERROR(__xludf.DUMMYFUNCTION("""COMPUTED_VALUE"""),"")</f>
        <v/>
      </c>
      <c r="X655" s="52" t="str">
        <f>IFERROR(__xludf.DUMMYFUNCTION("""COMPUTED_VALUE"""),"")</f>
        <v/>
      </c>
      <c r="Y655" s="52" t="str">
        <f>IFERROR(__xludf.DUMMYFUNCTION("""COMPUTED_VALUE"""),"")</f>
        <v/>
      </c>
      <c r="Z655" s="52" t="str">
        <f>IFERROR(__xludf.DUMMYFUNCTION("""COMPUTED_VALUE"""),"")</f>
        <v/>
      </c>
      <c r="AA655" s="52" t="str">
        <f>IFERROR(__xludf.DUMMYFUNCTION("""COMPUTED_VALUE"""),"")</f>
        <v/>
      </c>
      <c r="AB655" s="52" t="str">
        <f>IFERROR(__xludf.DUMMYFUNCTION("""COMPUTED_VALUE"""),"")</f>
        <v/>
      </c>
      <c r="AC655" s="52" t="str">
        <f>IFERROR(__xludf.DUMMYFUNCTION("""COMPUTED_VALUE"""),"")</f>
        <v/>
      </c>
      <c r="AD655" s="52" t="str">
        <f>IFERROR(__xludf.DUMMYFUNCTION("""COMPUTED_VALUE"""),"")</f>
        <v/>
      </c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</row>
    <row r="656">
      <c r="B656" s="49"/>
      <c r="C656" s="49" t="str">
        <f t="shared" si="2"/>
        <v/>
      </c>
      <c r="D656" s="50" t="str">
        <f t="shared" si="3"/>
        <v/>
      </c>
      <c r="E656" s="51" t="str">
        <f t="shared" ref="E656:T656" si="657">IFERROR(VLOOKUP($A656,INDIRECT("'" &amp; E$1 &amp; "'!$C:$G"), 5, FALSE),"")</f>
        <v/>
      </c>
      <c r="F656" s="51" t="str">
        <f t="shared" si="657"/>
        <v/>
      </c>
      <c r="G656" s="51" t="str">
        <f t="shared" si="657"/>
        <v/>
      </c>
      <c r="H656" s="51" t="str">
        <f t="shared" si="657"/>
        <v/>
      </c>
      <c r="I656" s="51" t="str">
        <f t="shared" si="657"/>
        <v/>
      </c>
      <c r="J656" s="51" t="str">
        <f t="shared" si="657"/>
        <v/>
      </c>
      <c r="K656" s="51" t="str">
        <f t="shared" si="657"/>
        <v/>
      </c>
      <c r="L656" s="51" t="str">
        <f t="shared" si="657"/>
        <v/>
      </c>
      <c r="M656" s="51" t="str">
        <f t="shared" si="657"/>
        <v/>
      </c>
      <c r="N656" s="51" t="str">
        <f t="shared" si="657"/>
        <v/>
      </c>
      <c r="O656" s="51" t="str">
        <f t="shared" si="657"/>
        <v/>
      </c>
      <c r="P656" s="51" t="str">
        <f t="shared" si="657"/>
        <v/>
      </c>
      <c r="Q656" s="51" t="str">
        <f t="shared" si="657"/>
        <v/>
      </c>
      <c r="R656" s="51" t="str">
        <f t="shared" si="657"/>
        <v/>
      </c>
      <c r="S656" s="51" t="str">
        <f t="shared" si="657"/>
        <v/>
      </c>
      <c r="T656" s="51" t="str">
        <f t="shared" si="657"/>
        <v/>
      </c>
      <c r="U656" s="52"/>
      <c r="V656" s="52" t="str">
        <f>IFERROR(__xludf.DUMMYFUNCTION("""COMPUTED_VALUE"""),"")</f>
        <v/>
      </c>
      <c r="W656" s="52" t="str">
        <f>IFERROR(__xludf.DUMMYFUNCTION("""COMPUTED_VALUE"""),"")</f>
        <v/>
      </c>
      <c r="X656" s="52" t="str">
        <f>IFERROR(__xludf.DUMMYFUNCTION("""COMPUTED_VALUE"""),"")</f>
        <v/>
      </c>
      <c r="Y656" s="52" t="str">
        <f>IFERROR(__xludf.DUMMYFUNCTION("""COMPUTED_VALUE"""),"")</f>
        <v/>
      </c>
      <c r="Z656" s="52" t="str">
        <f>IFERROR(__xludf.DUMMYFUNCTION("""COMPUTED_VALUE"""),"")</f>
        <v/>
      </c>
      <c r="AA656" s="52" t="str">
        <f>IFERROR(__xludf.DUMMYFUNCTION("""COMPUTED_VALUE"""),"")</f>
        <v/>
      </c>
      <c r="AB656" s="52" t="str">
        <f>IFERROR(__xludf.DUMMYFUNCTION("""COMPUTED_VALUE"""),"")</f>
        <v/>
      </c>
      <c r="AC656" s="52" t="str">
        <f>IFERROR(__xludf.DUMMYFUNCTION("""COMPUTED_VALUE"""),"")</f>
        <v/>
      </c>
      <c r="AD656" s="52" t="str">
        <f>IFERROR(__xludf.DUMMYFUNCTION("""COMPUTED_VALUE"""),"")</f>
        <v/>
      </c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</row>
    <row r="657">
      <c r="B657" s="49"/>
      <c r="C657" s="49" t="str">
        <f t="shared" si="2"/>
        <v/>
      </c>
      <c r="D657" s="50" t="str">
        <f t="shared" si="3"/>
        <v/>
      </c>
      <c r="E657" s="51" t="str">
        <f t="shared" ref="E657:T657" si="658">IFERROR(VLOOKUP($A657,INDIRECT("'" &amp; E$1 &amp; "'!$C:$G"), 5, FALSE),"")</f>
        <v/>
      </c>
      <c r="F657" s="51" t="str">
        <f t="shared" si="658"/>
        <v/>
      </c>
      <c r="G657" s="51" t="str">
        <f t="shared" si="658"/>
        <v/>
      </c>
      <c r="H657" s="51" t="str">
        <f t="shared" si="658"/>
        <v/>
      </c>
      <c r="I657" s="51" t="str">
        <f t="shared" si="658"/>
        <v/>
      </c>
      <c r="J657" s="51" t="str">
        <f t="shared" si="658"/>
        <v/>
      </c>
      <c r="K657" s="51" t="str">
        <f t="shared" si="658"/>
        <v/>
      </c>
      <c r="L657" s="51" t="str">
        <f t="shared" si="658"/>
        <v/>
      </c>
      <c r="M657" s="51" t="str">
        <f t="shared" si="658"/>
        <v/>
      </c>
      <c r="N657" s="51" t="str">
        <f t="shared" si="658"/>
        <v/>
      </c>
      <c r="O657" s="51" t="str">
        <f t="shared" si="658"/>
        <v/>
      </c>
      <c r="P657" s="51" t="str">
        <f t="shared" si="658"/>
        <v/>
      </c>
      <c r="Q657" s="51" t="str">
        <f t="shared" si="658"/>
        <v/>
      </c>
      <c r="R657" s="51" t="str">
        <f t="shared" si="658"/>
        <v/>
      </c>
      <c r="S657" s="51" t="str">
        <f t="shared" si="658"/>
        <v/>
      </c>
      <c r="T657" s="51" t="str">
        <f t="shared" si="658"/>
        <v/>
      </c>
      <c r="U657" s="52"/>
      <c r="V657" s="52" t="str">
        <f>IFERROR(__xludf.DUMMYFUNCTION("""COMPUTED_VALUE"""),"")</f>
        <v/>
      </c>
      <c r="W657" s="52" t="str">
        <f>IFERROR(__xludf.DUMMYFUNCTION("""COMPUTED_VALUE"""),"")</f>
        <v/>
      </c>
      <c r="X657" s="52" t="str">
        <f>IFERROR(__xludf.DUMMYFUNCTION("""COMPUTED_VALUE"""),"")</f>
        <v/>
      </c>
      <c r="Y657" s="52" t="str">
        <f>IFERROR(__xludf.DUMMYFUNCTION("""COMPUTED_VALUE"""),"")</f>
        <v/>
      </c>
      <c r="Z657" s="52" t="str">
        <f>IFERROR(__xludf.DUMMYFUNCTION("""COMPUTED_VALUE"""),"")</f>
        <v/>
      </c>
      <c r="AA657" s="52" t="str">
        <f>IFERROR(__xludf.DUMMYFUNCTION("""COMPUTED_VALUE"""),"")</f>
        <v/>
      </c>
      <c r="AB657" s="52" t="str">
        <f>IFERROR(__xludf.DUMMYFUNCTION("""COMPUTED_VALUE"""),"")</f>
        <v/>
      </c>
      <c r="AC657" s="52" t="str">
        <f>IFERROR(__xludf.DUMMYFUNCTION("""COMPUTED_VALUE"""),"")</f>
        <v/>
      </c>
      <c r="AD657" s="52" t="str">
        <f>IFERROR(__xludf.DUMMYFUNCTION("""COMPUTED_VALUE"""),"")</f>
        <v/>
      </c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</row>
    <row r="658">
      <c r="B658" s="49"/>
      <c r="C658" s="49" t="str">
        <f t="shared" si="2"/>
        <v/>
      </c>
      <c r="D658" s="50" t="str">
        <f t="shared" si="3"/>
        <v/>
      </c>
      <c r="E658" s="51" t="str">
        <f t="shared" ref="E658:T658" si="659">IFERROR(VLOOKUP($A658,INDIRECT("'" &amp; E$1 &amp; "'!$C:$G"), 5, FALSE),"")</f>
        <v/>
      </c>
      <c r="F658" s="51" t="str">
        <f t="shared" si="659"/>
        <v/>
      </c>
      <c r="G658" s="51" t="str">
        <f t="shared" si="659"/>
        <v/>
      </c>
      <c r="H658" s="51" t="str">
        <f t="shared" si="659"/>
        <v/>
      </c>
      <c r="I658" s="51" t="str">
        <f t="shared" si="659"/>
        <v/>
      </c>
      <c r="J658" s="51" t="str">
        <f t="shared" si="659"/>
        <v/>
      </c>
      <c r="K658" s="51" t="str">
        <f t="shared" si="659"/>
        <v/>
      </c>
      <c r="L658" s="51" t="str">
        <f t="shared" si="659"/>
        <v/>
      </c>
      <c r="M658" s="51" t="str">
        <f t="shared" si="659"/>
        <v/>
      </c>
      <c r="N658" s="51" t="str">
        <f t="shared" si="659"/>
        <v/>
      </c>
      <c r="O658" s="51" t="str">
        <f t="shared" si="659"/>
        <v/>
      </c>
      <c r="P658" s="51" t="str">
        <f t="shared" si="659"/>
        <v/>
      </c>
      <c r="Q658" s="51" t="str">
        <f t="shared" si="659"/>
        <v/>
      </c>
      <c r="R658" s="51" t="str">
        <f t="shared" si="659"/>
        <v/>
      </c>
      <c r="S658" s="51" t="str">
        <f t="shared" si="659"/>
        <v/>
      </c>
      <c r="T658" s="51" t="str">
        <f t="shared" si="659"/>
        <v/>
      </c>
      <c r="U658" s="52"/>
      <c r="V658" s="52" t="str">
        <f>IFERROR(__xludf.DUMMYFUNCTION("""COMPUTED_VALUE"""),"")</f>
        <v/>
      </c>
      <c r="W658" s="52" t="str">
        <f>IFERROR(__xludf.DUMMYFUNCTION("""COMPUTED_VALUE"""),"")</f>
        <v/>
      </c>
      <c r="X658" s="52" t="str">
        <f>IFERROR(__xludf.DUMMYFUNCTION("""COMPUTED_VALUE"""),"")</f>
        <v/>
      </c>
      <c r="Y658" s="52" t="str">
        <f>IFERROR(__xludf.DUMMYFUNCTION("""COMPUTED_VALUE"""),"")</f>
        <v/>
      </c>
      <c r="Z658" s="52" t="str">
        <f>IFERROR(__xludf.DUMMYFUNCTION("""COMPUTED_VALUE"""),"")</f>
        <v/>
      </c>
      <c r="AA658" s="52" t="str">
        <f>IFERROR(__xludf.DUMMYFUNCTION("""COMPUTED_VALUE"""),"")</f>
        <v/>
      </c>
      <c r="AB658" s="52" t="str">
        <f>IFERROR(__xludf.DUMMYFUNCTION("""COMPUTED_VALUE"""),"")</f>
        <v/>
      </c>
      <c r="AC658" s="52" t="str">
        <f>IFERROR(__xludf.DUMMYFUNCTION("""COMPUTED_VALUE"""),"")</f>
        <v/>
      </c>
      <c r="AD658" s="52" t="str">
        <f>IFERROR(__xludf.DUMMYFUNCTION("""COMPUTED_VALUE"""),"")</f>
        <v/>
      </c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</row>
    <row r="659">
      <c r="B659" s="49"/>
      <c r="C659" s="49" t="str">
        <f t="shared" si="2"/>
        <v/>
      </c>
      <c r="D659" s="50" t="str">
        <f t="shared" si="3"/>
        <v/>
      </c>
      <c r="E659" s="51" t="str">
        <f t="shared" ref="E659:T659" si="660">IFERROR(VLOOKUP($A659,INDIRECT("'" &amp; E$1 &amp; "'!$C:$G"), 5, FALSE),"")</f>
        <v/>
      </c>
      <c r="F659" s="51" t="str">
        <f t="shared" si="660"/>
        <v/>
      </c>
      <c r="G659" s="51" t="str">
        <f t="shared" si="660"/>
        <v/>
      </c>
      <c r="H659" s="51" t="str">
        <f t="shared" si="660"/>
        <v/>
      </c>
      <c r="I659" s="51" t="str">
        <f t="shared" si="660"/>
        <v/>
      </c>
      <c r="J659" s="51" t="str">
        <f t="shared" si="660"/>
        <v/>
      </c>
      <c r="K659" s="51" t="str">
        <f t="shared" si="660"/>
        <v/>
      </c>
      <c r="L659" s="51" t="str">
        <f t="shared" si="660"/>
        <v/>
      </c>
      <c r="M659" s="51" t="str">
        <f t="shared" si="660"/>
        <v/>
      </c>
      <c r="N659" s="51" t="str">
        <f t="shared" si="660"/>
        <v/>
      </c>
      <c r="O659" s="51" t="str">
        <f t="shared" si="660"/>
        <v/>
      </c>
      <c r="P659" s="51" t="str">
        <f t="shared" si="660"/>
        <v/>
      </c>
      <c r="Q659" s="51" t="str">
        <f t="shared" si="660"/>
        <v/>
      </c>
      <c r="R659" s="51" t="str">
        <f t="shared" si="660"/>
        <v/>
      </c>
      <c r="S659" s="51" t="str">
        <f t="shared" si="660"/>
        <v/>
      </c>
      <c r="T659" s="51" t="str">
        <f t="shared" si="660"/>
        <v/>
      </c>
      <c r="U659" s="52"/>
      <c r="V659" s="52" t="str">
        <f>IFERROR(__xludf.DUMMYFUNCTION("""COMPUTED_VALUE"""),"")</f>
        <v/>
      </c>
      <c r="W659" s="52" t="str">
        <f>IFERROR(__xludf.DUMMYFUNCTION("""COMPUTED_VALUE"""),"")</f>
        <v/>
      </c>
      <c r="X659" s="52" t="str">
        <f>IFERROR(__xludf.DUMMYFUNCTION("""COMPUTED_VALUE"""),"")</f>
        <v/>
      </c>
      <c r="Y659" s="52" t="str">
        <f>IFERROR(__xludf.DUMMYFUNCTION("""COMPUTED_VALUE"""),"")</f>
        <v/>
      </c>
      <c r="Z659" s="52" t="str">
        <f>IFERROR(__xludf.DUMMYFUNCTION("""COMPUTED_VALUE"""),"")</f>
        <v/>
      </c>
      <c r="AA659" s="52" t="str">
        <f>IFERROR(__xludf.DUMMYFUNCTION("""COMPUTED_VALUE"""),"")</f>
        <v/>
      </c>
      <c r="AB659" s="52" t="str">
        <f>IFERROR(__xludf.DUMMYFUNCTION("""COMPUTED_VALUE"""),"")</f>
        <v/>
      </c>
      <c r="AC659" s="52" t="str">
        <f>IFERROR(__xludf.DUMMYFUNCTION("""COMPUTED_VALUE"""),"")</f>
        <v/>
      </c>
      <c r="AD659" s="52" t="str">
        <f>IFERROR(__xludf.DUMMYFUNCTION("""COMPUTED_VALUE"""),"")</f>
        <v/>
      </c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</row>
    <row r="660">
      <c r="B660" s="49"/>
      <c r="C660" s="49" t="str">
        <f t="shared" si="2"/>
        <v/>
      </c>
      <c r="D660" s="50" t="str">
        <f t="shared" si="3"/>
        <v/>
      </c>
      <c r="E660" s="51" t="str">
        <f t="shared" ref="E660:T660" si="661">IFERROR(VLOOKUP($A660,INDIRECT("'" &amp; E$1 &amp; "'!$C:$G"), 5, FALSE),"")</f>
        <v/>
      </c>
      <c r="F660" s="51" t="str">
        <f t="shared" si="661"/>
        <v/>
      </c>
      <c r="G660" s="51" t="str">
        <f t="shared" si="661"/>
        <v/>
      </c>
      <c r="H660" s="51" t="str">
        <f t="shared" si="661"/>
        <v/>
      </c>
      <c r="I660" s="51" t="str">
        <f t="shared" si="661"/>
        <v/>
      </c>
      <c r="J660" s="51" t="str">
        <f t="shared" si="661"/>
        <v/>
      </c>
      <c r="K660" s="51" t="str">
        <f t="shared" si="661"/>
        <v/>
      </c>
      <c r="L660" s="51" t="str">
        <f t="shared" si="661"/>
        <v/>
      </c>
      <c r="M660" s="51" t="str">
        <f t="shared" si="661"/>
        <v/>
      </c>
      <c r="N660" s="51" t="str">
        <f t="shared" si="661"/>
        <v/>
      </c>
      <c r="O660" s="51" t="str">
        <f t="shared" si="661"/>
        <v/>
      </c>
      <c r="P660" s="51" t="str">
        <f t="shared" si="661"/>
        <v/>
      </c>
      <c r="Q660" s="51" t="str">
        <f t="shared" si="661"/>
        <v/>
      </c>
      <c r="R660" s="51" t="str">
        <f t="shared" si="661"/>
        <v/>
      </c>
      <c r="S660" s="51" t="str">
        <f t="shared" si="661"/>
        <v/>
      </c>
      <c r="T660" s="51" t="str">
        <f t="shared" si="661"/>
        <v/>
      </c>
      <c r="U660" s="52"/>
      <c r="V660" s="52" t="str">
        <f>IFERROR(__xludf.DUMMYFUNCTION("""COMPUTED_VALUE"""),"")</f>
        <v/>
      </c>
      <c r="W660" s="52" t="str">
        <f>IFERROR(__xludf.DUMMYFUNCTION("""COMPUTED_VALUE"""),"")</f>
        <v/>
      </c>
      <c r="X660" s="52" t="str">
        <f>IFERROR(__xludf.DUMMYFUNCTION("""COMPUTED_VALUE"""),"")</f>
        <v/>
      </c>
      <c r="Y660" s="52" t="str">
        <f>IFERROR(__xludf.DUMMYFUNCTION("""COMPUTED_VALUE"""),"")</f>
        <v/>
      </c>
      <c r="Z660" s="52" t="str">
        <f>IFERROR(__xludf.DUMMYFUNCTION("""COMPUTED_VALUE"""),"")</f>
        <v/>
      </c>
      <c r="AA660" s="52" t="str">
        <f>IFERROR(__xludf.DUMMYFUNCTION("""COMPUTED_VALUE"""),"")</f>
        <v/>
      </c>
      <c r="AB660" s="52" t="str">
        <f>IFERROR(__xludf.DUMMYFUNCTION("""COMPUTED_VALUE"""),"")</f>
        <v/>
      </c>
      <c r="AC660" s="52" t="str">
        <f>IFERROR(__xludf.DUMMYFUNCTION("""COMPUTED_VALUE"""),"")</f>
        <v/>
      </c>
      <c r="AD660" s="52" t="str">
        <f>IFERROR(__xludf.DUMMYFUNCTION("""COMPUTED_VALUE"""),"")</f>
        <v/>
      </c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</row>
    <row r="661">
      <c r="B661" s="49"/>
      <c r="C661" s="49" t="str">
        <f t="shared" si="2"/>
        <v/>
      </c>
      <c r="D661" s="50" t="str">
        <f t="shared" si="3"/>
        <v/>
      </c>
      <c r="E661" s="51" t="str">
        <f t="shared" ref="E661:T661" si="662">IFERROR(VLOOKUP($A661,INDIRECT("'" &amp; E$1 &amp; "'!$C:$G"), 5, FALSE),"")</f>
        <v/>
      </c>
      <c r="F661" s="51" t="str">
        <f t="shared" si="662"/>
        <v/>
      </c>
      <c r="G661" s="51" t="str">
        <f t="shared" si="662"/>
        <v/>
      </c>
      <c r="H661" s="51" t="str">
        <f t="shared" si="662"/>
        <v/>
      </c>
      <c r="I661" s="51" t="str">
        <f t="shared" si="662"/>
        <v/>
      </c>
      <c r="J661" s="51" t="str">
        <f t="shared" si="662"/>
        <v/>
      </c>
      <c r="K661" s="51" t="str">
        <f t="shared" si="662"/>
        <v/>
      </c>
      <c r="L661" s="51" t="str">
        <f t="shared" si="662"/>
        <v/>
      </c>
      <c r="M661" s="51" t="str">
        <f t="shared" si="662"/>
        <v/>
      </c>
      <c r="N661" s="51" t="str">
        <f t="shared" si="662"/>
        <v/>
      </c>
      <c r="O661" s="51" t="str">
        <f t="shared" si="662"/>
        <v/>
      </c>
      <c r="P661" s="51" t="str">
        <f t="shared" si="662"/>
        <v/>
      </c>
      <c r="Q661" s="51" t="str">
        <f t="shared" si="662"/>
        <v/>
      </c>
      <c r="R661" s="51" t="str">
        <f t="shared" si="662"/>
        <v/>
      </c>
      <c r="S661" s="51" t="str">
        <f t="shared" si="662"/>
        <v/>
      </c>
      <c r="T661" s="51" t="str">
        <f t="shared" si="662"/>
        <v/>
      </c>
      <c r="U661" s="52"/>
      <c r="V661" s="52" t="str">
        <f>IFERROR(__xludf.DUMMYFUNCTION("""COMPUTED_VALUE"""),"")</f>
        <v/>
      </c>
      <c r="W661" s="52" t="str">
        <f>IFERROR(__xludf.DUMMYFUNCTION("""COMPUTED_VALUE"""),"")</f>
        <v/>
      </c>
      <c r="X661" s="52" t="str">
        <f>IFERROR(__xludf.DUMMYFUNCTION("""COMPUTED_VALUE"""),"")</f>
        <v/>
      </c>
      <c r="Y661" s="52" t="str">
        <f>IFERROR(__xludf.DUMMYFUNCTION("""COMPUTED_VALUE"""),"")</f>
        <v/>
      </c>
      <c r="Z661" s="52" t="str">
        <f>IFERROR(__xludf.DUMMYFUNCTION("""COMPUTED_VALUE"""),"")</f>
        <v/>
      </c>
      <c r="AA661" s="52" t="str">
        <f>IFERROR(__xludf.DUMMYFUNCTION("""COMPUTED_VALUE"""),"")</f>
        <v/>
      </c>
      <c r="AB661" s="52" t="str">
        <f>IFERROR(__xludf.DUMMYFUNCTION("""COMPUTED_VALUE"""),"")</f>
        <v/>
      </c>
      <c r="AC661" s="52" t="str">
        <f>IFERROR(__xludf.DUMMYFUNCTION("""COMPUTED_VALUE"""),"")</f>
        <v/>
      </c>
      <c r="AD661" s="52" t="str">
        <f>IFERROR(__xludf.DUMMYFUNCTION("""COMPUTED_VALUE"""),"")</f>
        <v/>
      </c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</row>
    <row r="662">
      <c r="B662" s="49"/>
      <c r="C662" s="49" t="str">
        <f t="shared" si="2"/>
        <v/>
      </c>
      <c r="D662" s="50" t="str">
        <f t="shared" si="3"/>
        <v/>
      </c>
      <c r="E662" s="51" t="str">
        <f t="shared" ref="E662:T662" si="663">IFERROR(VLOOKUP($A662,INDIRECT("'" &amp; E$1 &amp; "'!$C:$G"), 5, FALSE),"")</f>
        <v/>
      </c>
      <c r="F662" s="51" t="str">
        <f t="shared" si="663"/>
        <v/>
      </c>
      <c r="G662" s="51" t="str">
        <f t="shared" si="663"/>
        <v/>
      </c>
      <c r="H662" s="51" t="str">
        <f t="shared" si="663"/>
        <v/>
      </c>
      <c r="I662" s="51" t="str">
        <f t="shared" si="663"/>
        <v/>
      </c>
      <c r="J662" s="51" t="str">
        <f t="shared" si="663"/>
        <v/>
      </c>
      <c r="K662" s="51" t="str">
        <f t="shared" si="663"/>
        <v/>
      </c>
      <c r="L662" s="51" t="str">
        <f t="shared" si="663"/>
        <v/>
      </c>
      <c r="M662" s="51" t="str">
        <f t="shared" si="663"/>
        <v/>
      </c>
      <c r="N662" s="51" t="str">
        <f t="shared" si="663"/>
        <v/>
      </c>
      <c r="O662" s="51" t="str">
        <f t="shared" si="663"/>
        <v/>
      </c>
      <c r="P662" s="51" t="str">
        <f t="shared" si="663"/>
        <v/>
      </c>
      <c r="Q662" s="51" t="str">
        <f t="shared" si="663"/>
        <v/>
      </c>
      <c r="R662" s="51" t="str">
        <f t="shared" si="663"/>
        <v/>
      </c>
      <c r="S662" s="51" t="str">
        <f t="shared" si="663"/>
        <v/>
      </c>
      <c r="T662" s="51" t="str">
        <f t="shared" si="663"/>
        <v/>
      </c>
      <c r="U662" s="52"/>
      <c r="V662" s="52" t="str">
        <f>IFERROR(__xludf.DUMMYFUNCTION("""COMPUTED_VALUE"""),"")</f>
        <v/>
      </c>
      <c r="W662" s="52" t="str">
        <f>IFERROR(__xludf.DUMMYFUNCTION("""COMPUTED_VALUE"""),"")</f>
        <v/>
      </c>
      <c r="X662" s="52" t="str">
        <f>IFERROR(__xludf.DUMMYFUNCTION("""COMPUTED_VALUE"""),"")</f>
        <v/>
      </c>
      <c r="Y662" s="52" t="str">
        <f>IFERROR(__xludf.DUMMYFUNCTION("""COMPUTED_VALUE"""),"")</f>
        <v/>
      </c>
      <c r="Z662" s="52" t="str">
        <f>IFERROR(__xludf.DUMMYFUNCTION("""COMPUTED_VALUE"""),"")</f>
        <v/>
      </c>
      <c r="AA662" s="52" t="str">
        <f>IFERROR(__xludf.DUMMYFUNCTION("""COMPUTED_VALUE"""),"")</f>
        <v/>
      </c>
      <c r="AB662" s="52" t="str">
        <f>IFERROR(__xludf.DUMMYFUNCTION("""COMPUTED_VALUE"""),"")</f>
        <v/>
      </c>
      <c r="AC662" s="52" t="str">
        <f>IFERROR(__xludf.DUMMYFUNCTION("""COMPUTED_VALUE"""),"")</f>
        <v/>
      </c>
      <c r="AD662" s="52" t="str">
        <f>IFERROR(__xludf.DUMMYFUNCTION("""COMPUTED_VALUE"""),"")</f>
        <v/>
      </c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</row>
    <row r="663">
      <c r="B663" s="49"/>
      <c r="C663" s="49" t="str">
        <f t="shared" si="2"/>
        <v/>
      </c>
      <c r="D663" s="50" t="str">
        <f t="shared" si="3"/>
        <v/>
      </c>
      <c r="E663" s="51" t="str">
        <f t="shared" ref="E663:T663" si="664">IFERROR(VLOOKUP($A663,INDIRECT("'" &amp; E$1 &amp; "'!$C:$G"), 5, FALSE),"")</f>
        <v/>
      </c>
      <c r="F663" s="51" t="str">
        <f t="shared" si="664"/>
        <v/>
      </c>
      <c r="G663" s="51" t="str">
        <f t="shared" si="664"/>
        <v/>
      </c>
      <c r="H663" s="51" t="str">
        <f t="shared" si="664"/>
        <v/>
      </c>
      <c r="I663" s="51" t="str">
        <f t="shared" si="664"/>
        <v/>
      </c>
      <c r="J663" s="51" t="str">
        <f t="shared" si="664"/>
        <v/>
      </c>
      <c r="K663" s="51" t="str">
        <f t="shared" si="664"/>
        <v/>
      </c>
      <c r="L663" s="51" t="str">
        <f t="shared" si="664"/>
        <v/>
      </c>
      <c r="M663" s="51" t="str">
        <f t="shared" si="664"/>
        <v/>
      </c>
      <c r="N663" s="51" t="str">
        <f t="shared" si="664"/>
        <v/>
      </c>
      <c r="O663" s="51" t="str">
        <f t="shared" si="664"/>
        <v/>
      </c>
      <c r="P663" s="51" t="str">
        <f t="shared" si="664"/>
        <v/>
      </c>
      <c r="Q663" s="51" t="str">
        <f t="shared" si="664"/>
        <v/>
      </c>
      <c r="R663" s="51" t="str">
        <f t="shared" si="664"/>
        <v/>
      </c>
      <c r="S663" s="51" t="str">
        <f t="shared" si="664"/>
        <v/>
      </c>
      <c r="T663" s="51" t="str">
        <f t="shared" si="664"/>
        <v/>
      </c>
      <c r="U663" s="52"/>
      <c r="V663" s="52" t="str">
        <f>IFERROR(__xludf.DUMMYFUNCTION("""COMPUTED_VALUE"""),"")</f>
        <v/>
      </c>
      <c r="W663" s="52" t="str">
        <f>IFERROR(__xludf.DUMMYFUNCTION("""COMPUTED_VALUE"""),"")</f>
        <v/>
      </c>
      <c r="X663" s="52" t="str">
        <f>IFERROR(__xludf.DUMMYFUNCTION("""COMPUTED_VALUE"""),"")</f>
        <v/>
      </c>
      <c r="Y663" s="52" t="str">
        <f>IFERROR(__xludf.DUMMYFUNCTION("""COMPUTED_VALUE"""),"")</f>
        <v/>
      </c>
      <c r="Z663" s="52" t="str">
        <f>IFERROR(__xludf.DUMMYFUNCTION("""COMPUTED_VALUE"""),"")</f>
        <v/>
      </c>
      <c r="AA663" s="52" t="str">
        <f>IFERROR(__xludf.DUMMYFUNCTION("""COMPUTED_VALUE"""),"")</f>
        <v/>
      </c>
      <c r="AB663" s="52" t="str">
        <f>IFERROR(__xludf.DUMMYFUNCTION("""COMPUTED_VALUE"""),"")</f>
        <v/>
      </c>
      <c r="AC663" s="52" t="str">
        <f>IFERROR(__xludf.DUMMYFUNCTION("""COMPUTED_VALUE"""),"")</f>
        <v/>
      </c>
      <c r="AD663" s="52" t="str">
        <f>IFERROR(__xludf.DUMMYFUNCTION("""COMPUTED_VALUE"""),"")</f>
        <v/>
      </c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</row>
    <row r="664">
      <c r="B664" s="49"/>
      <c r="C664" s="49" t="str">
        <f t="shared" si="2"/>
        <v/>
      </c>
      <c r="D664" s="50" t="str">
        <f t="shared" si="3"/>
        <v/>
      </c>
      <c r="E664" s="51" t="str">
        <f t="shared" ref="E664:T664" si="665">IFERROR(VLOOKUP($A664,INDIRECT("'" &amp; E$1 &amp; "'!$C:$G"), 5, FALSE),"")</f>
        <v/>
      </c>
      <c r="F664" s="51" t="str">
        <f t="shared" si="665"/>
        <v/>
      </c>
      <c r="G664" s="51" t="str">
        <f t="shared" si="665"/>
        <v/>
      </c>
      <c r="H664" s="51" t="str">
        <f t="shared" si="665"/>
        <v/>
      </c>
      <c r="I664" s="51" t="str">
        <f t="shared" si="665"/>
        <v/>
      </c>
      <c r="J664" s="51" t="str">
        <f t="shared" si="665"/>
        <v/>
      </c>
      <c r="K664" s="51" t="str">
        <f t="shared" si="665"/>
        <v/>
      </c>
      <c r="L664" s="51" t="str">
        <f t="shared" si="665"/>
        <v/>
      </c>
      <c r="M664" s="51" t="str">
        <f t="shared" si="665"/>
        <v/>
      </c>
      <c r="N664" s="51" t="str">
        <f t="shared" si="665"/>
        <v/>
      </c>
      <c r="O664" s="51" t="str">
        <f t="shared" si="665"/>
        <v/>
      </c>
      <c r="P664" s="51" t="str">
        <f t="shared" si="665"/>
        <v/>
      </c>
      <c r="Q664" s="51" t="str">
        <f t="shared" si="665"/>
        <v/>
      </c>
      <c r="R664" s="51" t="str">
        <f t="shared" si="665"/>
        <v/>
      </c>
      <c r="S664" s="51" t="str">
        <f t="shared" si="665"/>
        <v/>
      </c>
      <c r="T664" s="51" t="str">
        <f t="shared" si="665"/>
        <v/>
      </c>
      <c r="U664" s="52"/>
      <c r="V664" s="52" t="str">
        <f>IFERROR(__xludf.DUMMYFUNCTION("""COMPUTED_VALUE"""),"")</f>
        <v/>
      </c>
      <c r="W664" s="52" t="str">
        <f>IFERROR(__xludf.DUMMYFUNCTION("""COMPUTED_VALUE"""),"")</f>
        <v/>
      </c>
      <c r="X664" s="52" t="str">
        <f>IFERROR(__xludf.DUMMYFUNCTION("""COMPUTED_VALUE"""),"")</f>
        <v/>
      </c>
      <c r="Y664" s="52" t="str">
        <f>IFERROR(__xludf.DUMMYFUNCTION("""COMPUTED_VALUE"""),"")</f>
        <v/>
      </c>
      <c r="Z664" s="52" t="str">
        <f>IFERROR(__xludf.DUMMYFUNCTION("""COMPUTED_VALUE"""),"")</f>
        <v/>
      </c>
      <c r="AA664" s="52" t="str">
        <f>IFERROR(__xludf.DUMMYFUNCTION("""COMPUTED_VALUE"""),"")</f>
        <v/>
      </c>
      <c r="AB664" s="52" t="str">
        <f>IFERROR(__xludf.DUMMYFUNCTION("""COMPUTED_VALUE"""),"")</f>
        <v/>
      </c>
      <c r="AC664" s="52" t="str">
        <f>IFERROR(__xludf.DUMMYFUNCTION("""COMPUTED_VALUE"""),"")</f>
        <v/>
      </c>
      <c r="AD664" s="52" t="str">
        <f>IFERROR(__xludf.DUMMYFUNCTION("""COMPUTED_VALUE"""),"")</f>
        <v/>
      </c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</row>
    <row r="665">
      <c r="B665" s="49"/>
      <c r="C665" s="49" t="str">
        <f t="shared" si="2"/>
        <v/>
      </c>
      <c r="D665" s="50" t="str">
        <f t="shared" si="3"/>
        <v/>
      </c>
      <c r="E665" s="51" t="str">
        <f t="shared" ref="E665:T665" si="666">IFERROR(VLOOKUP($A665,INDIRECT("'" &amp; E$1 &amp; "'!$C:$G"), 5, FALSE),"")</f>
        <v/>
      </c>
      <c r="F665" s="51" t="str">
        <f t="shared" si="666"/>
        <v/>
      </c>
      <c r="G665" s="51" t="str">
        <f t="shared" si="666"/>
        <v/>
      </c>
      <c r="H665" s="51" t="str">
        <f t="shared" si="666"/>
        <v/>
      </c>
      <c r="I665" s="51" t="str">
        <f t="shared" si="666"/>
        <v/>
      </c>
      <c r="J665" s="51" t="str">
        <f t="shared" si="666"/>
        <v/>
      </c>
      <c r="K665" s="51" t="str">
        <f t="shared" si="666"/>
        <v/>
      </c>
      <c r="L665" s="51" t="str">
        <f t="shared" si="666"/>
        <v/>
      </c>
      <c r="M665" s="51" t="str">
        <f t="shared" si="666"/>
        <v/>
      </c>
      <c r="N665" s="51" t="str">
        <f t="shared" si="666"/>
        <v/>
      </c>
      <c r="O665" s="51" t="str">
        <f t="shared" si="666"/>
        <v/>
      </c>
      <c r="P665" s="51" t="str">
        <f t="shared" si="666"/>
        <v/>
      </c>
      <c r="Q665" s="51" t="str">
        <f t="shared" si="666"/>
        <v/>
      </c>
      <c r="R665" s="51" t="str">
        <f t="shared" si="666"/>
        <v/>
      </c>
      <c r="S665" s="51" t="str">
        <f t="shared" si="666"/>
        <v/>
      </c>
      <c r="T665" s="51" t="str">
        <f t="shared" si="666"/>
        <v/>
      </c>
      <c r="U665" s="52"/>
      <c r="V665" s="52" t="str">
        <f>IFERROR(__xludf.DUMMYFUNCTION("""COMPUTED_VALUE"""),"")</f>
        <v/>
      </c>
      <c r="W665" s="52" t="str">
        <f>IFERROR(__xludf.DUMMYFUNCTION("""COMPUTED_VALUE"""),"")</f>
        <v/>
      </c>
      <c r="X665" s="52" t="str">
        <f>IFERROR(__xludf.DUMMYFUNCTION("""COMPUTED_VALUE"""),"")</f>
        <v/>
      </c>
      <c r="Y665" s="52" t="str">
        <f>IFERROR(__xludf.DUMMYFUNCTION("""COMPUTED_VALUE"""),"")</f>
        <v/>
      </c>
      <c r="Z665" s="52" t="str">
        <f>IFERROR(__xludf.DUMMYFUNCTION("""COMPUTED_VALUE"""),"")</f>
        <v/>
      </c>
      <c r="AA665" s="52" t="str">
        <f>IFERROR(__xludf.DUMMYFUNCTION("""COMPUTED_VALUE"""),"")</f>
        <v/>
      </c>
      <c r="AB665" s="52" t="str">
        <f>IFERROR(__xludf.DUMMYFUNCTION("""COMPUTED_VALUE"""),"")</f>
        <v/>
      </c>
      <c r="AC665" s="52" t="str">
        <f>IFERROR(__xludf.DUMMYFUNCTION("""COMPUTED_VALUE"""),"")</f>
        <v/>
      </c>
      <c r="AD665" s="52" t="str">
        <f>IFERROR(__xludf.DUMMYFUNCTION("""COMPUTED_VALUE"""),"")</f>
        <v/>
      </c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</row>
    <row r="666">
      <c r="B666" s="49"/>
      <c r="C666" s="49" t="str">
        <f t="shared" si="2"/>
        <v/>
      </c>
      <c r="D666" s="50" t="str">
        <f t="shared" si="3"/>
        <v/>
      </c>
      <c r="E666" s="51" t="str">
        <f t="shared" ref="E666:T666" si="667">IFERROR(VLOOKUP($A666,INDIRECT("'" &amp; E$1 &amp; "'!$C:$G"), 5, FALSE),"")</f>
        <v/>
      </c>
      <c r="F666" s="51" t="str">
        <f t="shared" si="667"/>
        <v/>
      </c>
      <c r="G666" s="51" t="str">
        <f t="shared" si="667"/>
        <v/>
      </c>
      <c r="H666" s="51" t="str">
        <f t="shared" si="667"/>
        <v/>
      </c>
      <c r="I666" s="51" t="str">
        <f t="shared" si="667"/>
        <v/>
      </c>
      <c r="J666" s="51" t="str">
        <f t="shared" si="667"/>
        <v/>
      </c>
      <c r="K666" s="51" t="str">
        <f t="shared" si="667"/>
        <v/>
      </c>
      <c r="L666" s="51" t="str">
        <f t="shared" si="667"/>
        <v/>
      </c>
      <c r="M666" s="51" t="str">
        <f t="shared" si="667"/>
        <v/>
      </c>
      <c r="N666" s="51" t="str">
        <f t="shared" si="667"/>
        <v/>
      </c>
      <c r="O666" s="51" t="str">
        <f t="shared" si="667"/>
        <v/>
      </c>
      <c r="P666" s="51" t="str">
        <f t="shared" si="667"/>
        <v/>
      </c>
      <c r="Q666" s="51" t="str">
        <f t="shared" si="667"/>
        <v/>
      </c>
      <c r="R666" s="51" t="str">
        <f t="shared" si="667"/>
        <v/>
      </c>
      <c r="S666" s="51" t="str">
        <f t="shared" si="667"/>
        <v/>
      </c>
      <c r="T666" s="51" t="str">
        <f t="shared" si="667"/>
        <v/>
      </c>
      <c r="U666" s="52"/>
      <c r="V666" s="52" t="str">
        <f>IFERROR(__xludf.DUMMYFUNCTION("""COMPUTED_VALUE"""),"")</f>
        <v/>
      </c>
      <c r="W666" s="52" t="str">
        <f>IFERROR(__xludf.DUMMYFUNCTION("""COMPUTED_VALUE"""),"")</f>
        <v/>
      </c>
      <c r="X666" s="52" t="str">
        <f>IFERROR(__xludf.DUMMYFUNCTION("""COMPUTED_VALUE"""),"")</f>
        <v/>
      </c>
      <c r="Y666" s="52" t="str">
        <f>IFERROR(__xludf.DUMMYFUNCTION("""COMPUTED_VALUE"""),"")</f>
        <v/>
      </c>
      <c r="Z666" s="52" t="str">
        <f>IFERROR(__xludf.DUMMYFUNCTION("""COMPUTED_VALUE"""),"")</f>
        <v/>
      </c>
      <c r="AA666" s="52" t="str">
        <f>IFERROR(__xludf.DUMMYFUNCTION("""COMPUTED_VALUE"""),"")</f>
        <v/>
      </c>
      <c r="AB666" s="52" t="str">
        <f>IFERROR(__xludf.DUMMYFUNCTION("""COMPUTED_VALUE"""),"")</f>
        <v/>
      </c>
      <c r="AC666" s="52" t="str">
        <f>IFERROR(__xludf.DUMMYFUNCTION("""COMPUTED_VALUE"""),"")</f>
        <v/>
      </c>
      <c r="AD666" s="52" t="str">
        <f>IFERROR(__xludf.DUMMYFUNCTION("""COMPUTED_VALUE"""),"")</f>
        <v/>
      </c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</row>
    <row r="667">
      <c r="B667" s="49"/>
      <c r="C667" s="49" t="str">
        <f t="shared" si="2"/>
        <v/>
      </c>
      <c r="D667" s="50" t="str">
        <f t="shared" si="3"/>
        <v/>
      </c>
      <c r="E667" s="51" t="str">
        <f t="shared" ref="E667:T667" si="668">IFERROR(VLOOKUP($A667,INDIRECT("'" &amp; E$1 &amp; "'!$C:$G"), 5, FALSE),"")</f>
        <v/>
      </c>
      <c r="F667" s="51" t="str">
        <f t="shared" si="668"/>
        <v/>
      </c>
      <c r="G667" s="51" t="str">
        <f t="shared" si="668"/>
        <v/>
      </c>
      <c r="H667" s="51" t="str">
        <f t="shared" si="668"/>
        <v/>
      </c>
      <c r="I667" s="51" t="str">
        <f t="shared" si="668"/>
        <v/>
      </c>
      <c r="J667" s="51" t="str">
        <f t="shared" si="668"/>
        <v/>
      </c>
      <c r="K667" s="51" t="str">
        <f t="shared" si="668"/>
        <v/>
      </c>
      <c r="L667" s="51" t="str">
        <f t="shared" si="668"/>
        <v/>
      </c>
      <c r="M667" s="51" t="str">
        <f t="shared" si="668"/>
        <v/>
      </c>
      <c r="N667" s="51" t="str">
        <f t="shared" si="668"/>
        <v/>
      </c>
      <c r="O667" s="51" t="str">
        <f t="shared" si="668"/>
        <v/>
      </c>
      <c r="P667" s="51" t="str">
        <f t="shared" si="668"/>
        <v/>
      </c>
      <c r="Q667" s="51" t="str">
        <f t="shared" si="668"/>
        <v/>
      </c>
      <c r="R667" s="51" t="str">
        <f t="shared" si="668"/>
        <v/>
      </c>
      <c r="S667" s="51" t="str">
        <f t="shared" si="668"/>
        <v/>
      </c>
      <c r="T667" s="51" t="str">
        <f t="shared" si="668"/>
        <v/>
      </c>
      <c r="U667" s="52"/>
      <c r="V667" s="52" t="str">
        <f>IFERROR(__xludf.DUMMYFUNCTION("""COMPUTED_VALUE"""),"")</f>
        <v/>
      </c>
      <c r="W667" s="52" t="str">
        <f>IFERROR(__xludf.DUMMYFUNCTION("""COMPUTED_VALUE"""),"")</f>
        <v/>
      </c>
      <c r="X667" s="52" t="str">
        <f>IFERROR(__xludf.DUMMYFUNCTION("""COMPUTED_VALUE"""),"")</f>
        <v/>
      </c>
      <c r="Y667" s="52" t="str">
        <f>IFERROR(__xludf.DUMMYFUNCTION("""COMPUTED_VALUE"""),"")</f>
        <v/>
      </c>
      <c r="Z667" s="52" t="str">
        <f>IFERROR(__xludf.DUMMYFUNCTION("""COMPUTED_VALUE"""),"")</f>
        <v/>
      </c>
      <c r="AA667" s="52" t="str">
        <f>IFERROR(__xludf.DUMMYFUNCTION("""COMPUTED_VALUE"""),"")</f>
        <v/>
      </c>
      <c r="AB667" s="52" t="str">
        <f>IFERROR(__xludf.DUMMYFUNCTION("""COMPUTED_VALUE"""),"")</f>
        <v/>
      </c>
      <c r="AC667" s="52" t="str">
        <f>IFERROR(__xludf.DUMMYFUNCTION("""COMPUTED_VALUE"""),"")</f>
        <v/>
      </c>
      <c r="AD667" s="52" t="str">
        <f>IFERROR(__xludf.DUMMYFUNCTION("""COMPUTED_VALUE"""),"")</f>
        <v/>
      </c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</row>
    <row r="668">
      <c r="B668" s="49"/>
      <c r="C668" s="49" t="str">
        <f t="shared" si="2"/>
        <v/>
      </c>
      <c r="D668" s="50" t="str">
        <f t="shared" si="3"/>
        <v/>
      </c>
      <c r="E668" s="51" t="str">
        <f t="shared" ref="E668:T668" si="669">IFERROR(VLOOKUP($A668,INDIRECT("'" &amp; E$1 &amp; "'!$C:$G"), 5, FALSE),"")</f>
        <v/>
      </c>
      <c r="F668" s="51" t="str">
        <f t="shared" si="669"/>
        <v/>
      </c>
      <c r="G668" s="51" t="str">
        <f t="shared" si="669"/>
        <v/>
      </c>
      <c r="H668" s="51" t="str">
        <f t="shared" si="669"/>
        <v/>
      </c>
      <c r="I668" s="51" t="str">
        <f t="shared" si="669"/>
        <v/>
      </c>
      <c r="J668" s="51" t="str">
        <f t="shared" si="669"/>
        <v/>
      </c>
      <c r="K668" s="51" t="str">
        <f t="shared" si="669"/>
        <v/>
      </c>
      <c r="L668" s="51" t="str">
        <f t="shared" si="669"/>
        <v/>
      </c>
      <c r="M668" s="51" t="str">
        <f t="shared" si="669"/>
        <v/>
      </c>
      <c r="N668" s="51" t="str">
        <f t="shared" si="669"/>
        <v/>
      </c>
      <c r="O668" s="51" t="str">
        <f t="shared" si="669"/>
        <v/>
      </c>
      <c r="P668" s="51" t="str">
        <f t="shared" si="669"/>
        <v/>
      </c>
      <c r="Q668" s="51" t="str">
        <f t="shared" si="669"/>
        <v/>
      </c>
      <c r="R668" s="51" t="str">
        <f t="shared" si="669"/>
        <v/>
      </c>
      <c r="S668" s="51" t="str">
        <f t="shared" si="669"/>
        <v/>
      </c>
      <c r="T668" s="51" t="str">
        <f t="shared" si="669"/>
        <v/>
      </c>
      <c r="U668" s="52"/>
      <c r="V668" s="52" t="str">
        <f>IFERROR(__xludf.DUMMYFUNCTION("""COMPUTED_VALUE"""),"")</f>
        <v/>
      </c>
      <c r="W668" s="52" t="str">
        <f>IFERROR(__xludf.DUMMYFUNCTION("""COMPUTED_VALUE"""),"")</f>
        <v/>
      </c>
      <c r="X668" s="52" t="str">
        <f>IFERROR(__xludf.DUMMYFUNCTION("""COMPUTED_VALUE"""),"")</f>
        <v/>
      </c>
      <c r="Y668" s="52" t="str">
        <f>IFERROR(__xludf.DUMMYFUNCTION("""COMPUTED_VALUE"""),"")</f>
        <v/>
      </c>
      <c r="Z668" s="52" t="str">
        <f>IFERROR(__xludf.DUMMYFUNCTION("""COMPUTED_VALUE"""),"")</f>
        <v/>
      </c>
      <c r="AA668" s="52" t="str">
        <f>IFERROR(__xludf.DUMMYFUNCTION("""COMPUTED_VALUE"""),"")</f>
        <v/>
      </c>
      <c r="AB668" s="52" t="str">
        <f>IFERROR(__xludf.DUMMYFUNCTION("""COMPUTED_VALUE"""),"")</f>
        <v/>
      </c>
      <c r="AC668" s="52" t="str">
        <f>IFERROR(__xludf.DUMMYFUNCTION("""COMPUTED_VALUE"""),"")</f>
        <v/>
      </c>
      <c r="AD668" s="52" t="str">
        <f>IFERROR(__xludf.DUMMYFUNCTION("""COMPUTED_VALUE"""),"")</f>
        <v/>
      </c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</row>
    <row r="669">
      <c r="B669" s="49"/>
      <c r="C669" s="49" t="str">
        <f t="shared" si="2"/>
        <v/>
      </c>
      <c r="D669" s="50" t="str">
        <f t="shared" si="3"/>
        <v/>
      </c>
      <c r="E669" s="51" t="str">
        <f t="shared" ref="E669:T669" si="670">IFERROR(VLOOKUP($A669,INDIRECT("'" &amp; E$1 &amp; "'!$C:$G"), 5, FALSE),"")</f>
        <v/>
      </c>
      <c r="F669" s="51" t="str">
        <f t="shared" si="670"/>
        <v/>
      </c>
      <c r="G669" s="51" t="str">
        <f t="shared" si="670"/>
        <v/>
      </c>
      <c r="H669" s="51" t="str">
        <f t="shared" si="670"/>
        <v/>
      </c>
      <c r="I669" s="51" t="str">
        <f t="shared" si="670"/>
        <v/>
      </c>
      <c r="J669" s="51" t="str">
        <f t="shared" si="670"/>
        <v/>
      </c>
      <c r="K669" s="51" t="str">
        <f t="shared" si="670"/>
        <v/>
      </c>
      <c r="L669" s="51" t="str">
        <f t="shared" si="670"/>
        <v/>
      </c>
      <c r="M669" s="51" t="str">
        <f t="shared" si="670"/>
        <v/>
      </c>
      <c r="N669" s="51" t="str">
        <f t="shared" si="670"/>
        <v/>
      </c>
      <c r="O669" s="51" t="str">
        <f t="shared" si="670"/>
        <v/>
      </c>
      <c r="P669" s="51" t="str">
        <f t="shared" si="670"/>
        <v/>
      </c>
      <c r="Q669" s="51" t="str">
        <f t="shared" si="670"/>
        <v/>
      </c>
      <c r="R669" s="51" t="str">
        <f t="shared" si="670"/>
        <v/>
      </c>
      <c r="S669" s="51" t="str">
        <f t="shared" si="670"/>
        <v/>
      </c>
      <c r="T669" s="51" t="str">
        <f t="shared" si="670"/>
        <v/>
      </c>
      <c r="U669" s="52"/>
      <c r="V669" s="52" t="str">
        <f>IFERROR(__xludf.DUMMYFUNCTION("""COMPUTED_VALUE"""),"")</f>
        <v/>
      </c>
      <c r="W669" s="52" t="str">
        <f>IFERROR(__xludf.DUMMYFUNCTION("""COMPUTED_VALUE"""),"")</f>
        <v/>
      </c>
      <c r="X669" s="52" t="str">
        <f>IFERROR(__xludf.DUMMYFUNCTION("""COMPUTED_VALUE"""),"")</f>
        <v/>
      </c>
      <c r="Y669" s="52" t="str">
        <f>IFERROR(__xludf.DUMMYFUNCTION("""COMPUTED_VALUE"""),"")</f>
        <v/>
      </c>
      <c r="Z669" s="52" t="str">
        <f>IFERROR(__xludf.DUMMYFUNCTION("""COMPUTED_VALUE"""),"")</f>
        <v/>
      </c>
      <c r="AA669" s="52" t="str">
        <f>IFERROR(__xludf.DUMMYFUNCTION("""COMPUTED_VALUE"""),"")</f>
        <v/>
      </c>
      <c r="AB669" s="52" t="str">
        <f>IFERROR(__xludf.DUMMYFUNCTION("""COMPUTED_VALUE"""),"")</f>
        <v/>
      </c>
      <c r="AC669" s="52" t="str">
        <f>IFERROR(__xludf.DUMMYFUNCTION("""COMPUTED_VALUE"""),"")</f>
        <v/>
      </c>
      <c r="AD669" s="52" t="str">
        <f>IFERROR(__xludf.DUMMYFUNCTION("""COMPUTED_VALUE"""),"")</f>
        <v/>
      </c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</row>
    <row r="670">
      <c r="B670" s="49"/>
      <c r="C670" s="49" t="str">
        <f t="shared" si="2"/>
        <v/>
      </c>
      <c r="D670" s="50" t="str">
        <f t="shared" si="3"/>
        <v/>
      </c>
      <c r="E670" s="51" t="str">
        <f t="shared" ref="E670:T670" si="671">IFERROR(VLOOKUP($A670,INDIRECT("'" &amp; E$1 &amp; "'!$C:$G"), 5, FALSE),"")</f>
        <v/>
      </c>
      <c r="F670" s="51" t="str">
        <f t="shared" si="671"/>
        <v/>
      </c>
      <c r="G670" s="51" t="str">
        <f t="shared" si="671"/>
        <v/>
      </c>
      <c r="H670" s="51" t="str">
        <f t="shared" si="671"/>
        <v/>
      </c>
      <c r="I670" s="51" t="str">
        <f t="shared" si="671"/>
        <v/>
      </c>
      <c r="J670" s="51" t="str">
        <f t="shared" si="671"/>
        <v/>
      </c>
      <c r="K670" s="51" t="str">
        <f t="shared" si="671"/>
        <v/>
      </c>
      <c r="L670" s="51" t="str">
        <f t="shared" si="671"/>
        <v/>
      </c>
      <c r="M670" s="51" t="str">
        <f t="shared" si="671"/>
        <v/>
      </c>
      <c r="N670" s="51" t="str">
        <f t="shared" si="671"/>
        <v/>
      </c>
      <c r="O670" s="51" t="str">
        <f t="shared" si="671"/>
        <v/>
      </c>
      <c r="P670" s="51" t="str">
        <f t="shared" si="671"/>
        <v/>
      </c>
      <c r="Q670" s="51" t="str">
        <f t="shared" si="671"/>
        <v/>
      </c>
      <c r="R670" s="51" t="str">
        <f t="shared" si="671"/>
        <v/>
      </c>
      <c r="S670" s="51" t="str">
        <f t="shared" si="671"/>
        <v/>
      </c>
      <c r="T670" s="51" t="str">
        <f t="shared" si="671"/>
        <v/>
      </c>
      <c r="U670" s="52"/>
      <c r="V670" s="52" t="str">
        <f>IFERROR(__xludf.DUMMYFUNCTION("""COMPUTED_VALUE"""),"")</f>
        <v/>
      </c>
      <c r="W670" s="52" t="str">
        <f>IFERROR(__xludf.DUMMYFUNCTION("""COMPUTED_VALUE"""),"")</f>
        <v/>
      </c>
      <c r="X670" s="52" t="str">
        <f>IFERROR(__xludf.DUMMYFUNCTION("""COMPUTED_VALUE"""),"")</f>
        <v/>
      </c>
      <c r="Y670" s="52" t="str">
        <f>IFERROR(__xludf.DUMMYFUNCTION("""COMPUTED_VALUE"""),"")</f>
        <v/>
      </c>
      <c r="Z670" s="52" t="str">
        <f>IFERROR(__xludf.DUMMYFUNCTION("""COMPUTED_VALUE"""),"")</f>
        <v/>
      </c>
      <c r="AA670" s="52" t="str">
        <f>IFERROR(__xludf.DUMMYFUNCTION("""COMPUTED_VALUE"""),"")</f>
        <v/>
      </c>
      <c r="AB670" s="52" t="str">
        <f>IFERROR(__xludf.DUMMYFUNCTION("""COMPUTED_VALUE"""),"")</f>
        <v/>
      </c>
      <c r="AC670" s="52" t="str">
        <f>IFERROR(__xludf.DUMMYFUNCTION("""COMPUTED_VALUE"""),"")</f>
        <v/>
      </c>
      <c r="AD670" s="52" t="str">
        <f>IFERROR(__xludf.DUMMYFUNCTION("""COMPUTED_VALUE"""),"")</f>
        <v/>
      </c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</row>
    <row r="671">
      <c r="B671" s="49"/>
      <c r="C671" s="49" t="str">
        <f t="shared" si="2"/>
        <v/>
      </c>
      <c r="D671" s="50" t="str">
        <f t="shared" si="3"/>
        <v/>
      </c>
      <c r="E671" s="51" t="str">
        <f t="shared" ref="E671:T671" si="672">IFERROR(VLOOKUP($A671,INDIRECT("'" &amp; E$1 &amp; "'!$C:$G"), 5, FALSE),"")</f>
        <v/>
      </c>
      <c r="F671" s="51" t="str">
        <f t="shared" si="672"/>
        <v/>
      </c>
      <c r="G671" s="51" t="str">
        <f t="shared" si="672"/>
        <v/>
      </c>
      <c r="H671" s="51" t="str">
        <f t="shared" si="672"/>
        <v/>
      </c>
      <c r="I671" s="51" t="str">
        <f t="shared" si="672"/>
        <v/>
      </c>
      <c r="J671" s="51" t="str">
        <f t="shared" si="672"/>
        <v/>
      </c>
      <c r="K671" s="51" t="str">
        <f t="shared" si="672"/>
        <v/>
      </c>
      <c r="L671" s="51" t="str">
        <f t="shared" si="672"/>
        <v/>
      </c>
      <c r="M671" s="51" t="str">
        <f t="shared" si="672"/>
        <v/>
      </c>
      <c r="N671" s="51" t="str">
        <f t="shared" si="672"/>
        <v/>
      </c>
      <c r="O671" s="51" t="str">
        <f t="shared" si="672"/>
        <v/>
      </c>
      <c r="P671" s="51" t="str">
        <f t="shared" si="672"/>
        <v/>
      </c>
      <c r="Q671" s="51" t="str">
        <f t="shared" si="672"/>
        <v/>
      </c>
      <c r="R671" s="51" t="str">
        <f t="shared" si="672"/>
        <v/>
      </c>
      <c r="S671" s="51" t="str">
        <f t="shared" si="672"/>
        <v/>
      </c>
      <c r="T671" s="51" t="str">
        <f t="shared" si="672"/>
        <v/>
      </c>
      <c r="U671" s="52"/>
      <c r="V671" s="52" t="str">
        <f>IFERROR(__xludf.DUMMYFUNCTION("""COMPUTED_VALUE"""),"")</f>
        <v/>
      </c>
      <c r="W671" s="52" t="str">
        <f>IFERROR(__xludf.DUMMYFUNCTION("""COMPUTED_VALUE"""),"")</f>
        <v/>
      </c>
      <c r="X671" s="52" t="str">
        <f>IFERROR(__xludf.DUMMYFUNCTION("""COMPUTED_VALUE"""),"")</f>
        <v/>
      </c>
      <c r="Y671" s="52" t="str">
        <f>IFERROR(__xludf.DUMMYFUNCTION("""COMPUTED_VALUE"""),"")</f>
        <v/>
      </c>
      <c r="Z671" s="52" t="str">
        <f>IFERROR(__xludf.DUMMYFUNCTION("""COMPUTED_VALUE"""),"")</f>
        <v/>
      </c>
      <c r="AA671" s="52" t="str">
        <f>IFERROR(__xludf.DUMMYFUNCTION("""COMPUTED_VALUE"""),"")</f>
        <v/>
      </c>
      <c r="AB671" s="52" t="str">
        <f>IFERROR(__xludf.DUMMYFUNCTION("""COMPUTED_VALUE"""),"")</f>
        <v/>
      </c>
      <c r="AC671" s="52" t="str">
        <f>IFERROR(__xludf.DUMMYFUNCTION("""COMPUTED_VALUE"""),"")</f>
        <v/>
      </c>
      <c r="AD671" s="52" t="str">
        <f>IFERROR(__xludf.DUMMYFUNCTION("""COMPUTED_VALUE"""),"")</f>
        <v/>
      </c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</row>
    <row r="672">
      <c r="B672" s="49"/>
      <c r="C672" s="49" t="str">
        <f t="shared" si="2"/>
        <v/>
      </c>
      <c r="D672" s="50" t="str">
        <f t="shared" si="3"/>
        <v/>
      </c>
      <c r="E672" s="51" t="str">
        <f t="shared" ref="E672:T672" si="673">IFERROR(VLOOKUP($A672,INDIRECT("'" &amp; E$1 &amp; "'!$C:$G"), 5, FALSE),"")</f>
        <v/>
      </c>
      <c r="F672" s="51" t="str">
        <f t="shared" si="673"/>
        <v/>
      </c>
      <c r="G672" s="51" t="str">
        <f t="shared" si="673"/>
        <v/>
      </c>
      <c r="H672" s="51" t="str">
        <f t="shared" si="673"/>
        <v/>
      </c>
      <c r="I672" s="51" t="str">
        <f t="shared" si="673"/>
        <v/>
      </c>
      <c r="J672" s="51" t="str">
        <f t="shared" si="673"/>
        <v/>
      </c>
      <c r="K672" s="51" t="str">
        <f t="shared" si="673"/>
        <v/>
      </c>
      <c r="L672" s="51" t="str">
        <f t="shared" si="673"/>
        <v/>
      </c>
      <c r="M672" s="51" t="str">
        <f t="shared" si="673"/>
        <v/>
      </c>
      <c r="N672" s="51" t="str">
        <f t="shared" si="673"/>
        <v/>
      </c>
      <c r="O672" s="51" t="str">
        <f t="shared" si="673"/>
        <v/>
      </c>
      <c r="P672" s="51" t="str">
        <f t="shared" si="673"/>
        <v/>
      </c>
      <c r="Q672" s="51" t="str">
        <f t="shared" si="673"/>
        <v/>
      </c>
      <c r="R672" s="51" t="str">
        <f t="shared" si="673"/>
        <v/>
      </c>
      <c r="S672" s="51" t="str">
        <f t="shared" si="673"/>
        <v/>
      </c>
      <c r="T672" s="51" t="str">
        <f t="shared" si="673"/>
        <v/>
      </c>
      <c r="U672" s="52"/>
      <c r="V672" s="52" t="str">
        <f>IFERROR(__xludf.DUMMYFUNCTION("""COMPUTED_VALUE"""),"")</f>
        <v/>
      </c>
      <c r="W672" s="52" t="str">
        <f>IFERROR(__xludf.DUMMYFUNCTION("""COMPUTED_VALUE"""),"")</f>
        <v/>
      </c>
      <c r="X672" s="52" t="str">
        <f>IFERROR(__xludf.DUMMYFUNCTION("""COMPUTED_VALUE"""),"")</f>
        <v/>
      </c>
      <c r="Y672" s="52" t="str">
        <f>IFERROR(__xludf.DUMMYFUNCTION("""COMPUTED_VALUE"""),"")</f>
        <v/>
      </c>
      <c r="Z672" s="52" t="str">
        <f>IFERROR(__xludf.DUMMYFUNCTION("""COMPUTED_VALUE"""),"")</f>
        <v/>
      </c>
      <c r="AA672" s="52" t="str">
        <f>IFERROR(__xludf.DUMMYFUNCTION("""COMPUTED_VALUE"""),"")</f>
        <v/>
      </c>
      <c r="AB672" s="52" t="str">
        <f>IFERROR(__xludf.DUMMYFUNCTION("""COMPUTED_VALUE"""),"")</f>
        <v/>
      </c>
      <c r="AC672" s="52" t="str">
        <f>IFERROR(__xludf.DUMMYFUNCTION("""COMPUTED_VALUE"""),"")</f>
        <v/>
      </c>
      <c r="AD672" s="52" t="str">
        <f>IFERROR(__xludf.DUMMYFUNCTION("""COMPUTED_VALUE"""),"")</f>
        <v/>
      </c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</row>
    <row r="673">
      <c r="B673" s="49"/>
      <c r="C673" s="49" t="str">
        <f t="shared" si="2"/>
        <v/>
      </c>
      <c r="D673" s="50" t="str">
        <f t="shared" si="3"/>
        <v/>
      </c>
      <c r="E673" s="51" t="str">
        <f t="shared" ref="E673:T673" si="674">IFERROR(VLOOKUP($A673,INDIRECT("'" &amp; E$1 &amp; "'!$C:$G"), 5, FALSE),"")</f>
        <v/>
      </c>
      <c r="F673" s="51" t="str">
        <f t="shared" si="674"/>
        <v/>
      </c>
      <c r="G673" s="51" t="str">
        <f t="shared" si="674"/>
        <v/>
      </c>
      <c r="H673" s="51" t="str">
        <f t="shared" si="674"/>
        <v/>
      </c>
      <c r="I673" s="51" t="str">
        <f t="shared" si="674"/>
        <v/>
      </c>
      <c r="J673" s="51" t="str">
        <f t="shared" si="674"/>
        <v/>
      </c>
      <c r="K673" s="51" t="str">
        <f t="shared" si="674"/>
        <v/>
      </c>
      <c r="L673" s="51" t="str">
        <f t="shared" si="674"/>
        <v/>
      </c>
      <c r="M673" s="51" t="str">
        <f t="shared" si="674"/>
        <v/>
      </c>
      <c r="N673" s="51" t="str">
        <f t="shared" si="674"/>
        <v/>
      </c>
      <c r="O673" s="51" t="str">
        <f t="shared" si="674"/>
        <v/>
      </c>
      <c r="P673" s="51" t="str">
        <f t="shared" si="674"/>
        <v/>
      </c>
      <c r="Q673" s="51" t="str">
        <f t="shared" si="674"/>
        <v/>
      </c>
      <c r="R673" s="51" t="str">
        <f t="shared" si="674"/>
        <v/>
      </c>
      <c r="S673" s="51" t="str">
        <f t="shared" si="674"/>
        <v/>
      </c>
      <c r="T673" s="51" t="str">
        <f t="shared" si="674"/>
        <v/>
      </c>
      <c r="U673" s="52"/>
      <c r="V673" s="52" t="str">
        <f>IFERROR(__xludf.DUMMYFUNCTION("""COMPUTED_VALUE"""),"")</f>
        <v/>
      </c>
      <c r="W673" s="52" t="str">
        <f>IFERROR(__xludf.DUMMYFUNCTION("""COMPUTED_VALUE"""),"")</f>
        <v/>
      </c>
      <c r="X673" s="52" t="str">
        <f>IFERROR(__xludf.DUMMYFUNCTION("""COMPUTED_VALUE"""),"")</f>
        <v/>
      </c>
      <c r="Y673" s="52" t="str">
        <f>IFERROR(__xludf.DUMMYFUNCTION("""COMPUTED_VALUE"""),"")</f>
        <v/>
      </c>
      <c r="Z673" s="52" t="str">
        <f>IFERROR(__xludf.DUMMYFUNCTION("""COMPUTED_VALUE"""),"")</f>
        <v/>
      </c>
      <c r="AA673" s="52" t="str">
        <f>IFERROR(__xludf.DUMMYFUNCTION("""COMPUTED_VALUE"""),"")</f>
        <v/>
      </c>
      <c r="AB673" s="52" t="str">
        <f>IFERROR(__xludf.DUMMYFUNCTION("""COMPUTED_VALUE"""),"")</f>
        <v/>
      </c>
      <c r="AC673" s="52" t="str">
        <f>IFERROR(__xludf.DUMMYFUNCTION("""COMPUTED_VALUE"""),"")</f>
        <v/>
      </c>
      <c r="AD673" s="52" t="str">
        <f>IFERROR(__xludf.DUMMYFUNCTION("""COMPUTED_VALUE"""),"")</f>
        <v/>
      </c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</row>
    <row r="674">
      <c r="B674" s="49"/>
      <c r="C674" s="49" t="str">
        <f t="shared" si="2"/>
        <v/>
      </c>
      <c r="D674" s="50" t="str">
        <f t="shared" si="3"/>
        <v/>
      </c>
      <c r="E674" s="51" t="str">
        <f t="shared" ref="E674:T674" si="675">IFERROR(VLOOKUP($A674,INDIRECT("'" &amp; E$1 &amp; "'!$C:$G"), 5, FALSE),"")</f>
        <v/>
      </c>
      <c r="F674" s="51" t="str">
        <f t="shared" si="675"/>
        <v/>
      </c>
      <c r="G674" s="51" t="str">
        <f t="shared" si="675"/>
        <v/>
      </c>
      <c r="H674" s="51" t="str">
        <f t="shared" si="675"/>
        <v/>
      </c>
      <c r="I674" s="51" t="str">
        <f t="shared" si="675"/>
        <v/>
      </c>
      <c r="J674" s="51" t="str">
        <f t="shared" si="675"/>
        <v/>
      </c>
      <c r="K674" s="51" t="str">
        <f t="shared" si="675"/>
        <v/>
      </c>
      <c r="L674" s="51" t="str">
        <f t="shared" si="675"/>
        <v/>
      </c>
      <c r="M674" s="51" t="str">
        <f t="shared" si="675"/>
        <v/>
      </c>
      <c r="N674" s="51" t="str">
        <f t="shared" si="675"/>
        <v/>
      </c>
      <c r="O674" s="51" t="str">
        <f t="shared" si="675"/>
        <v/>
      </c>
      <c r="P674" s="51" t="str">
        <f t="shared" si="675"/>
        <v/>
      </c>
      <c r="Q674" s="51" t="str">
        <f t="shared" si="675"/>
        <v/>
      </c>
      <c r="R674" s="51" t="str">
        <f t="shared" si="675"/>
        <v/>
      </c>
      <c r="S674" s="51" t="str">
        <f t="shared" si="675"/>
        <v/>
      </c>
      <c r="T674" s="51" t="str">
        <f t="shared" si="675"/>
        <v/>
      </c>
      <c r="U674" s="52"/>
      <c r="V674" s="52" t="str">
        <f>IFERROR(__xludf.DUMMYFUNCTION("""COMPUTED_VALUE"""),"")</f>
        <v/>
      </c>
      <c r="W674" s="52" t="str">
        <f>IFERROR(__xludf.DUMMYFUNCTION("""COMPUTED_VALUE"""),"")</f>
        <v/>
      </c>
      <c r="X674" s="52" t="str">
        <f>IFERROR(__xludf.DUMMYFUNCTION("""COMPUTED_VALUE"""),"")</f>
        <v/>
      </c>
      <c r="Y674" s="52" t="str">
        <f>IFERROR(__xludf.DUMMYFUNCTION("""COMPUTED_VALUE"""),"")</f>
        <v/>
      </c>
      <c r="Z674" s="52" t="str">
        <f>IFERROR(__xludf.DUMMYFUNCTION("""COMPUTED_VALUE"""),"")</f>
        <v/>
      </c>
      <c r="AA674" s="52" t="str">
        <f>IFERROR(__xludf.DUMMYFUNCTION("""COMPUTED_VALUE"""),"")</f>
        <v/>
      </c>
      <c r="AB674" s="52" t="str">
        <f>IFERROR(__xludf.DUMMYFUNCTION("""COMPUTED_VALUE"""),"")</f>
        <v/>
      </c>
      <c r="AC674" s="52" t="str">
        <f>IFERROR(__xludf.DUMMYFUNCTION("""COMPUTED_VALUE"""),"")</f>
        <v/>
      </c>
      <c r="AD674" s="52" t="str">
        <f>IFERROR(__xludf.DUMMYFUNCTION("""COMPUTED_VALUE"""),"")</f>
        <v/>
      </c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</row>
    <row r="675">
      <c r="B675" s="49"/>
      <c r="C675" s="49" t="str">
        <f t="shared" si="2"/>
        <v/>
      </c>
      <c r="D675" s="50" t="str">
        <f t="shared" si="3"/>
        <v/>
      </c>
      <c r="E675" s="51" t="str">
        <f t="shared" ref="E675:T675" si="676">IFERROR(VLOOKUP($A675,INDIRECT("'" &amp; E$1 &amp; "'!$C:$G"), 5, FALSE),"")</f>
        <v/>
      </c>
      <c r="F675" s="51" t="str">
        <f t="shared" si="676"/>
        <v/>
      </c>
      <c r="G675" s="51" t="str">
        <f t="shared" si="676"/>
        <v/>
      </c>
      <c r="H675" s="51" t="str">
        <f t="shared" si="676"/>
        <v/>
      </c>
      <c r="I675" s="51" t="str">
        <f t="shared" si="676"/>
        <v/>
      </c>
      <c r="J675" s="51" t="str">
        <f t="shared" si="676"/>
        <v/>
      </c>
      <c r="K675" s="51" t="str">
        <f t="shared" si="676"/>
        <v/>
      </c>
      <c r="L675" s="51" t="str">
        <f t="shared" si="676"/>
        <v/>
      </c>
      <c r="M675" s="51" t="str">
        <f t="shared" si="676"/>
        <v/>
      </c>
      <c r="N675" s="51" t="str">
        <f t="shared" si="676"/>
        <v/>
      </c>
      <c r="O675" s="51" t="str">
        <f t="shared" si="676"/>
        <v/>
      </c>
      <c r="P675" s="51" t="str">
        <f t="shared" si="676"/>
        <v/>
      </c>
      <c r="Q675" s="51" t="str">
        <f t="shared" si="676"/>
        <v/>
      </c>
      <c r="R675" s="51" t="str">
        <f t="shared" si="676"/>
        <v/>
      </c>
      <c r="S675" s="51" t="str">
        <f t="shared" si="676"/>
        <v/>
      </c>
      <c r="T675" s="51" t="str">
        <f t="shared" si="676"/>
        <v/>
      </c>
      <c r="U675" s="52"/>
      <c r="V675" s="52" t="str">
        <f>IFERROR(__xludf.DUMMYFUNCTION("""COMPUTED_VALUE"""),"")</f>
        <v/>
      </c>
      <c r="W675" s="52" t="str">
        <f>IFERROR(__xludf.DUMMYFUNCTION("""COMPUTED_VALUE"""),"")</f>
        <v/>
      </c>
      <c r="X675" s="52" t="str">
        <f>IFERROR(__xludf.DUMMYFUNCTION("""COMPUTED_VALUE"""),"")</f>
        <v/>
      </c>
      <c r="Y675" s="52" t="str">
        <f>IFERROR(__xludf.DUMMYFUNCTION("""COMPUTED_VALUE"""),"")</f>
        <v/>
      </c>
      <c r="Z675" s="52" t="str">
        <f>IFERROR(__xludf.DUMMYFUNCTION("""COMPUTED_VALUE"""),"")</f>
        <v/>
      </c>
      <c r="AA675" s="52" t="str">
        <f>IFERROR(__xludf.DUMMYFUNCTION("""COMPUTED_VALUE"""),"")</f>
        <v/>
      </c>
      <c r="AB675" s="52" t="str">
        <f>IFERROR(__xludf.DUMMYFUNCTION("""COMPUTED_VALUE"""),"")</f>
        <v/>
      </c>
      <c r="AC675" s="52" t="str">
        <f>IFERROR(__xludf.DUMMYFUNCTION("""COMPUTED_VALUE"""),"")</f>
        <v/>
      </c>
      <c r="AD675" s="52" t="str">
        <f>IFERROR(__xludf.DUMMYFUNCTION("""COMPUTED_VALUE"""),"")</f>
        <v/>
      </c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</row>
    <row r="676">
      <c r="B676" s="49"/>
      <c r="C676" s="49" t="str">
        <f t="shared" si="2"/>
        <v/>
      </c>
      <c r="D676" s="50" t="str">
        <f t="shared" si="3"/>
        <v/>
      </c>
      <c r="E676" s="51" t="str">
        <f t="shared" ref="E676:T676" si="677">IFERROR(VLOOKUP($A676,INDIRECT("'" &amp; E$1 &amp; "'!$C:$G"), 5, FALSE),"")</f>
        <v/>
      </c>
      <c r="F676" s="51" t="str">
        <f t="shared" si="677"/>
        <v/>
      </c>
      <c r="G676" s="51" t="str">
        <f t="shared" si="677"/>
        <v/>
      </c>
      <c r="H676" s="51" t="str">
        <f t="shared" si="677"/>
        <v/>
      </c>
      <c r="I676" s="51" t="str">
        <f t="shared" si="677"/>
        <v/>
      </c>
      <c r="J676" s="51" t="str">
        <f t="shared" si="677"/>
        <v/>
      </c>
      <c r="K676" s="51" t="str">
        <f t="shared" si="677"/>
        <v/>
      </c>
      <c r="L676" s="51" t="str">
        <f t="shared" si="677"/>
        <v/>
      </c>
      <c r="M676" s="51" t="str">
        <f t="shared" si="677"/>
        <v/>
      </c>
      <c r="N676" s="51" t="str">
        <f t="shared" si="677"/>
        <v/>
      </c>
      <c r="O676" s="51" t="str">
        <f t="shared" si="677"/>
        <v/>
      </c>
      <c r="P676" s="51" t="str">
        <f t="shared" si="677"/>
        <v/>
      </c>
      <c r="Q676" s="51" t="str">
        <f t="shared" si="677"/>
        <v/>
      </c>
      <c r="R676" s="51" t="str">
        <f t="shared" si="677"/>
        <v/>
      </c>
      <c r="S676" s="51" t="str">
        <f t="shared" si="677"/>
        <v/>
      </c>
      <c r="T676" s="51" t="str">
        <f t="shared" si="677"/>
        <v/>
      </c>
      <c r="U676" s="52"/>
      <c r="V676" s="52" t="str">
        <f>IFERROR(__xludf.DUMMYFUNCTION("""COMPUTED_VALUE"""),"")</f>
        <v/>
      </c>
      <c r="W676" s="52" t="str">
        <f>IFERROR(__xludf.DUMMYFUNCTION("""COMPUTED_VALUE"""),"")</f>
        <v/>
      </c>
      <c r="X676" s="52" t="str">
        <f>IFERROR(__xludf.DUMMYFUNCTION("""COMPUTED_VALUE"""),"")</f>
        <v/>
      </c>
      <c r="Y676" s="52" t="str">
        <f>IFERROR(__xludf.DUMMYFUNCTION("""COMPUTED_VALUE"""),"")</f>
        <v/>
      </c>
      <c r="Z676" s="52" t="str">
        <f>IFERROR(__xludf.DUMMYFUNCTION("""COMPUTED_VALUE"""),"")</f>
        <v/>
      </c>
      <c r="AA676" s="52" t="str">
        <f>IFERROR(__xludf.DUMMYFUNCTION("""COMPUTED_VALUE"""),"")</f>
        <v/>
      </c>
      <c r="AB676" s="52" t="str">
        <f>IFERROR(__xludf.DUMMYFUNCTION("""COMPUTED_VALUE"""),"")</f>
        <v/>
      </c>
      <c r="AC676" s="52" t="str">
        <f>IFERROR(__xludf.DUMMYFUNCTION("""COMPUTED_VALUE"""),"")</f>
        <v/>
      </c>
      <c r="AD676" s="52" t="str">
        <f>IFERROR(__xludf.DUMMYFUNCTION("""COMPUTED_VALUE"""),"")</f>
        <v/>
      </c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</row>
    <row r="677">
      <c r="B677" s="49"/>
      <c r="C677" s="49" t="str">
        <f t="shared" si="2"/>
        <v/>
      </c>
      <c r="D677" s="50" t="str">
        <f t="shared" si="3"/>
        <v/>
      </c>
      <c r="E677" s="51" t="str">
        <f t="shared" ref="E677:T677" si="678">IFERROR(VLOOKUP($A677,INDIRECT("'" &amp; E$1 &amp; "'!$C:$G"), 5, FALSE),"")</f>
        <v/>
      </c>
      <c r="F677" s="51" t="str">
        <f t="shared" si="678"/>
        <v/>
      </c>
      <c r="G677" s="51" t="str">
        <f t="shared" si="678"/>
        <v/>
      </c>
      <c r="H677" s="51" t="str">
        <f t="shared" si="678"/>
        <v/>
      </c>
      <c r="I677" s="51" t="str">
        <f t="shared" si="678"/>
        <v/>
      </c>
      <c r="J677" s="51" t="str">
        <f t="shared" si="678"/>
        <v/>
      </c>
      <c r="K677" s="51" t="str">
        <f t="shared" si="678"/>
        <v/>
      </c>
      <c r="L677" s="51" t="str">
        <f t="shared" si="678"/>
        <v/>
      </c>
      <c r="M677" s="51" t="str">
        <f t="shared" si="678"/>
        <v/>
      </c>
      <c r="N677" s="51" t="str">
        <f t="shared" si="678"/>
        <v/>
      </c>
      <c r="O677" s="51" t="str">
        <f t="shared" si="678"/>
        <v/>
      </c>
      <c r="P677" s="51" t="str">
        <f t="shared" si="678"/>
        <v/>
      </c>
      <c r="Q677" s="51" t="str">
        <f t="shared" si="678"/>
        <v/>
      </c>
      <c r="R677" s="51" t="str">
        <f t="shared" si="678"/>
        <v/>
      </c>
      <c r="S677" s="51" t="str">
        <f t="shared" si="678"/>
        <v/>
      </c>
      <c r="T677" s="51" t="str">
        <f t="shared" si="678"/>
        <v/>
      </c>
      <c r="U677" s="52"/>
      <c r="V677" s="52" t="str">
        <f>IFERROR(__xludf.DUMMYFUNCTION("""COMPUTED_VALUE"""),"")</f>
        <v/>
      </c>
      <c r="W677" s="52" t="str">
        <f>IFERROR(__xludf.DUMMYFUNCTION("""COMPUTED_VALUE"""),"")</f>
        <v/>
      </c>
      <c r="X677" s="52" t="str">
        <f>IFERROR(__xludf.DUMMYFUNCTION("""COMPUTED_VALUE"""),"")</f>
        <v/>
      </c>
      <c r="Y677" s="52" t="str">
        <f>IFERROR(__xludf.DUMMYFUNCTION("""COMPUTED_VALUE"""),"")</f>
        <v/>
      </c>
      <c r="Z677" s="52" t="str">
        <f>IFERROR(__xludf.DUMMYFUNCTION("""COMPUTED_VALUE"""),"")</f>
        <v/>
      </c>
      <c r="AA677" s="52" t="str">
        <f>IFERROR(__xludf.DUMMYFUNCTION("""COMPUTED_VALUE"""),"")</f>
        <v/>
      </c>
      <c r="AB677" s="52" t="str">
        <f>IFERROR(__xludf.DUMMYFUNCTION("""COMPUTED_VALUE"""),"")</f>
        <v/>
      </c>
      <c r="AC677" s="52" t="str">
        <f>IFERROR(__xludf.DUMMYFUNCTION("""COMPUTED_VALUE"""),"")</f>
        <v/>
      </c>
      <c r="AD677" s="52" t="str">
        <f>IFERROR(__xludf.DUMMYFUNCTION("""COMPUTED_VALUE"""),"")</f>
        <v/>
      </c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</row>
    <row r="678">
      <c r="B678" s="49"/>
      <c r="C678" s="49" t="str">
        <f t="shared" si="2"/>
        <v/>
      </c>
      <c r="D678" s="50" t="str">
        <f t="shared" si="3"/>
        <v/>
      </c>
      <c r="E678" s="51" t="str">
        <f t="shared" ref="E678:T678" si="679">IFERROR(VLOOKUP($A678,INDIRECT("'" &amp; E$1 &amp; "'!$C:$G"), 5, FALSE),"")</f>
        <v/>
      </c>
      <c r="F678" s="51" t="str">
        <f t="shared" si="679"/>
        <v/>
      </c>
      <c r="G678" s="51" t="str">
        <f t="shared" si="679"/>
        <v/>
      </c>
      <c r="H678" s="51" t="str">
        <f t="shared" si="679"/>
        <v/>
      </c>
      <c r="I678" s="51" t="str">
        <f t="shared" si="679"/>
        <v/>
      </c>
      <c r="J678" s="51" t="str">
        <f t="shared" si="679"/>
        <v/>
      </c>
      <c r="K678" s="51" t="str">
        <f t="shared" si="679"/>
        <v/>
      </c>
      <c r="L678" s="51" t="str">
        <f t="shared" si="679"/>
        <v/>
      </c>
      <c r="M678" s="51" t="str">
        <f t="shared" si="679"/>
        <v/>
      </c>
      <c r="N678" s="51" t="str">
        <f t="shared" si="679"/>
        <v/>
      </c>
      <c r="O678" s="51" t="str">
        <f t="shared" si="679"/>
        <v/>
      </c>
      <c r="P678" s="51" t="str">
        <f t="shared" si="679"/>
        <v/>
      </c>
      <c r="Q678" s="51" t="str">
        <f t="shared" si="679"/>
        <v/>
      </c>
      <c r="R678" s="51" t="str">
        <f t="shared" si="679"/>
        <v/>
      </c>
      <c r="S678" s="51" t="str">
        <f t="shared" si="679"/>
        <v/>
      </c>
      <c r="T678" s="51" t="str">
        <f t="shared" si="679"/>
        <v/>
      </c>
      <c r="U678" s="52"/>
      <c r="V678" s="52" t="str">
        <f>IFERROR(__xludf.DUMMYFUNCTION("""COMPUTED_VALUE"""),"")</f>
        <v/>
      </c>
      <c r="W678" s="52" t="str">
        <f>IFERROR(__xludf.DUMMYFUNCTION("""COMPUTED_VALUE"""),"")</f>
        <v/>
      </c>
      <c r="X678" s="52" t="str">
        <f>IFERROR(__xludf.DUMMYFUNCTION("""COMPUTED_VALUE"""),"")</f>
        <v/>
      </c>
      <c r="Y678" s="52" t="str">
        <f>IFERROR(__xludf.DUMMYFUNCTION("""COMPUTED_VALUE"""),"")</f>
        <v/>
      </c>
      <c r="Z678" s="52" t="str">
        <f>IFERROR(__xludf.DUMMYFUNCTION("""COMPUTED_VALUE"""),"")</f>
        <v/>
      </c>
      <c r="AA678" s="52" t="str">
        <f>IFERROR(__xludf.DUMMYFUNCTION("""COMPUTED_VALUE"""),"")</f>
        <v/>
      </c>
      <c r="AB678" s="52" t="str">
        <f>IFERROR(__xludf.DUMMYFUNCTION("""COMPUTED_VALUE"""),"")</f>
        <v/>
      </c>
      <c r="AC678" s="52" t="str">
        <f>IFERROR(__xludf.DUMMYFUNCTION("""COMPUTED_VALUE"""),"")</f>
        <v/>
      </c>
      <c r="AD678" s="52" t="str">
        <f>IFERROR(__xludf.DUMMYFUNCTION("""COMPUTED_VALUE"""),"")</f>
        <v/>
      </c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</row>
    <row r="679">
      <c r="B679" s="49"/>
      <c r="C679" s="49" t="str">
        <f t="shared" si="2"/>
        <v/>
      </c>
      <c r="D679" s="50" t="str">
        <f t="shared" si="3"/>
        <v/>
      </c>
      <c r="E679" s="51" t="str">
        <f t="shared" ref="E679:T679" si="680">IFERROR(VLOOKUP($A679,INDIRECT("'" &amp; E$1 &amp; "'!$C:$G"), 5, FALSE),"")</f>
        <v/>
      </c>
      <c r="F679" s="51" t="str">
        <f t="shared" si="680"/>
        <v/>
      </c>
      <c r="G679" s="51" t="str">
        <f t="shared" si="680"/>
        <v/>
      </c>
      <c r="H679" s="51" t="str">
        <f t="shared" si="680"/>
        <v/>
      </c>
      <c r="I679" s="51" t="str">
        <f t="shared" si="680"/>
        <v/>
      </c>
      <c r="J679" s="51" t="str">
        <f t="shared" si="680"/>
        <v/>
      </c>
      <c r="K679" s="51" t="str">
        <f t="shared" si="680"/>
        <v/>
      </c>
      <c r="L679" s="51" t="str">
        <f t="shared" si="680"/>
        <v/>
      </c>
      <c r="M679" s="51" t="str">
        <f t="shared" si="680"/>
        <v/>
      </c>
      <c r="N679" s="51" t="str">
        <f t="shared" si="680"/>
        <v/>
      </c>
      <c r="O679" s="51" t="str">
        <f t="shared" si="680"/>
        <v/>
      </c>
      <c r="P679" s="51" t="str">
        <f t="shared" si="680"/>
        <v/>
      </c>
      <c r="Q679" s="51" t="str">
        <f t="shared" si="680"/>
        <v/>
      </c>
      <c r="R679" s="51" t="str">
        <f t="shared" si="680"/>
        <v/>
      </c>
      <c r="S679" s="51" t="str">
        <f t="shared" si="680"/>
        <v/>
      </c>
      <c r="T679" s="51" t="str">
        <f t="shared" si="680"/>
        <v/>
      </c>
      <c r="U679" s="52"/>
      <c r="V679" s="52" t="str">
        <f>IFERROR(__xludf.DUMMYFUNCTION("""COMPUTED_VALUE"""),"")</f>
        <v/>
      </c>
      <c r="W679" s="52" t="str">
        <f>IFERROR(__xludf.DUMMYFUNCTION("""COMPUTED_VALUE"""),"")</f>
        <v/>
      </c>
      <c r="X679" s="52" t="str">
        <f>IFERROR(__xludf.DUMMYFUNCTION("""COMPUTED_VALUE"""),"")</f>
        <v/>
      </c>
      <c r="Y679" s="52" t="str">
        <f>IFERROR(__xludf.DUMMYFUNCTION("""COMPUTED_VALUE"""),"")</f>
        <v/>
      </c>
      <c r="Z679" s="52" t="str">
        <f>IFERROR(__xludf.DUMMYFUNCTION("""COMPUTED_VALUE"""),"")</f>
        <v/>
      </c>
      <c r="AA679" s="52" t="str">
        <f>IFERROR(__xludf.DUMMYFUNCTION("""COMPUTED_VALUE"""),"")</f>
        <v/>
      </c>
      <c r="AB679" s="52" t="str">
        <f>IFERROR(__xludf.DUMMYFUNCTION("""COMPUTED_VALUE"""),"")</f>
        <v/>
      </c>
      <c r="AC679" s="52" t="str">
        <f>IFERROR(__xludf.DUMMYFUNCTION("""COMPUTED_VALUE"""),"")</f>
        <v/>
      </c>
      <c r="AD679" s="52" t="str">
        <f>IFERROR(__xludf.DUMMYFUNCTION("""COMPUTED_VALUE"""),"")</f>
        <v/>
      </c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</row>
    <row r="680">
      <c r="B680" s="49"/>
      <c r="C680" s="49" t="str">
        <f t="shared" si="2"/>
        <v/>
      </c>
      <c r="D680" s="50" t="str">
        <f t="shared" si="3"/>
        <v/>
      </c>
      <c r="E680" s="51" t="str">
        <f t="shared" ref="E680:T680" si="681">IFERROR(VLOOKUP($A680,INDIRECT("'" &amp; E$1 &amp; "'!$C:$G"), 5, FALSE),"")</f>
        <v/>
      </c>
      <c r="F680" s="51" t="str">
        <f t="shared" si="681"/>
        <v/>
      </c>
      <c r="G680" s="51" t="str">
        <f t="shared" si="681"/>
        <v/>
      </c>
      <c r="H680" s="51" t="str">
        <f t="shared" si="681"/>
        <v/>
      </c>
      <c r="I680" s="51" t="str">
        <f t="shared" si="681"/>
        <v/>
      </c>
      <c r="J680" s="51" t="str">
        <f t="shared" si="681"/>
        <v/>
      </c>
      <c r="K680" s="51" t="str">
        <f t="shared" si="681"/>
        <v/>
      </c>
      <c r="L680" s="51" t="str">
        <f t="shared" si="681"/>
        <v/>
      </c>
      <c r="M680" s="51" t="str">
        <f t="shared" si="681"/>
        <v/>
      </c>
      <c r="N680" s="51" t="str">
        <f t="shared" si="681"/>
        <v/>
      </c>
      <c r="O680" s="51" t="str">
        <f t="shared" si="681"/>
        <v/>
      </c>
      <c r="P680" s="51" t="str">
        <f t="shared" si="681"/>
        <v/>
      </c>
      <c r="Q680" s="51" t="str">
        <f t="shared" si="681"/>
        <v/>
      </c>
      <c r="R680" s="51" t="str">
        <f t="shared" si="681"/>
        <v/>
      </c>
      <c r="S680" s="51" t="str">
        <f t="shared" si="681"/>
        <v/>
      </c>
      <c r="T680" s="51" t="str">
        <f t="shared" si="681"/>
        <v/>
      </c>
      <c r="U680" s="52"/>
      <c r="V680" s="52" t="str">
        <f>IFERROR(__xludf.DUMMYFUNCTION("""COMPUTED_VALUE"""),"")</f>
        <v/>
      </c>
      <c r="W680" s="52" t="str">
        <f>IFERROR(__xludf.DUMMYFUNCTION("""COMPUTED_VALUE"""),"")</f>
        <v/>
      </c>
      <c r="X680" s="52" t="str">
        <f>IFERROR(__xludf.DUMMYFUNCTION("""COMPUTED_VALUE"""),"")</f>
        <v/>
      </c>
      <c r="Y680" s="52" t="str">
        <f>IFERROR(__xludf.DUMMYFUNCTION("""COMPUTED_VALUE"""),"")</f>
        <v/>
      </c>
      <c r="Z680" s="52" t="str">
        <f>IFERROR(__xludf.DUMMYFUNCTION("""COMPUTED_VALUE"""),"")</f>
        <v/>
      </c>
      <c r="AA680" s="52" t="str">
        <f>IFERROR(__xludf.DUMMYFUNCTION("""COMPUTED_VALUE"""),"")</f>
        <v/>
      </c>
      <c r="AB680" s="52" t="str">
        <f>IFERROR(__xludf.DUMMYFUNCTION("""COMPUTED_VALUE"""),"")</f>
        <v/>
      </c>
      <c r="AC680" s="52" t="str">
        <f>IFERROR(__xludf.DUMMYFUNCTION("""COMPUTED_VALUE"""),"")</f>
        <v/>
      </c>
      <c r="AD680" s="52" t="str">
        <f>IFERROR(__xludf.DUMMYFUNCTION("""COMPUTED_VALUE"""),"")</f>
        <v/>
      </c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</row>
    <row r="681">
      <c r="B681" s="49"/>
      <c r="C681" s="49" t="str">
        <f t="shared" si="2"/>
        <v/>
      </c>
      <c r="D681" s="50" t="str">
        <f t="shared" si="3"/>
        <v/>
      </c>
      <c r="E681" s="51" t="str">
        <f t="shared" ref="E681:T681" si="682">IFERROR(VLOOKUP($A681,INDIRECT("'" &amp; E$1 &amp; "'!$C:$G"), 5, FALSE),"")</f>
        <v/>
      </c>
      <c r="F681" s="51" t="str">
        <f t="shared" si="682"/>
        <v/>
      </c>
      <c r="G681" s="51" t="str">
        <f t="shared" si="682"/>
        <v/>
      </c>
      <c r="H681" s="51" t="str">
        <f t="shared" si="682"/>
        <v/>
      </c>
      <c r="I681" s="51" t="str">
        <f t="shared" si="682"/>
        <v/>
      </c>
      <c r="J681" s="51" t="str">
        <f t="shared" si="682"/>
        <v/>
      </c>
      <c r="K681" s="51" t="str">
        <f t="shared" si="682"/>
        <v/>
      </c>
      <c r="L681" s="51" t="str">
        <f t="shared" si="682"/>
        <v/>
      </c>
      <c r="M681" s="51" t="str">
        <f t="shared" si="682"/>
        <v/>
      </c>
      <c r="N681" s="51" t="str">
        <f t="shared" si="682"/>
        <v/>
      </c>
      <c r="O681" s="51" t="str">
        <f t="shared" si="682"/>
        <v/>
      </c>
      <c r="P681" s="51" t="str">
        <f t="shared" si="682"/>
        <v/>
      </c>
      <c r="Q681" s="51" t="str">
        <f t="shared" si="682"/>
        <v/>
      </c>
      <c r="R681" s="51" t="str">
        <f t="shared" si="682"/>
        <v/>
      </c>
      <c r="S681" s="51" t="str">
        <f t="shared" si="682"/>
        <v/>
      </c>
      <c r="T681" s="51" t="str">
        <f t="shared" si="682"/>
        <v/>
      </c>
      <c r="U681" s="52"/>
      <c r="V681" s="52" t="str">
        <f>IFERROR(__xludf.DUMMYFUNCTION("""COMPUTED_VALUE"""),"")</f>
        <v/>
      </c>
      <c r="W681" s="52" t="str">
        <f>IFERROR(__xludf.DUMMYFUNCTION("""COMPUTED_VALUE"""),"")</f>
        <v/>
      </c>
      <c r="X681" s="52" t="str">
        <f>IFERROR(__xludf.DUMMYFUNCTION("""COMPUTED_VALUE"""),"")</f>
        <v/>
      </c>
      <c r="Y681" s="52" t="str">
        <f>IFERROR(__xludf.DUMMYFUNCTION("""COMPUTED_VALUE"""),"")</f>
        <v/>
      </c>
      <c r="Z681" s="52" t="str">
        <f>IFERROR(__xludf.DUMMYFUNCTION("""COMPUTED_VALUE"""),"")</f>
        <v/>
      </c>
      <c r="AA681" s="52" t="str">
        <f>IFERROR(__xludf.DUMMYFUNCTION("""COMPUTED_VALUE"""),"")</f>
        <v/>
      </c>
      <c r="AB681" s="52" t="str">
        <f>IFERROR(__xludf.DUMMYFUNCTION("""COMPUTED_VALUE"""),"")</f>
        <v/>
      </c>
      <c r="AC681" s="52" t="str">
        <f>IFERROR(__xludf.DUMMYFUNCTION("""COMPUTED_VALUE"""),"")</f>
        <v/>
      </c>
      <c r="AD681" s="52" t="str">
        <f>IFERROR(__xludf.DUMMYFUNCTION("""COMPUTED_VALUE"""),"")</f>
        <v/>
      </c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</row>
    <row r="682">
      <c r="B682" s="49"/>
      <c r="C682" s="49" t="str">
        <f t="shared" si="2"/>
        <v/>
      </c>
      <c r="D682" s="50" t="str">
        <f t="shared" si="3"/>
        <v/>
      </c>
      <c r="E682" s="51" t="str">
        <f t="shared" ref="E682:T682" si="683">IFERROR(VLOOKUP($A682,INDIRECT("'" &amp; E$1 &amp; "'!$C:$G"), 5, FALSE),"")</f>
        <v/>
      </c>
      <c r="F682" s="51" t="str">
        <f t="shared" si="683"/>
        <v/>
      </c>
      <c r="G682" s="51" t="str">
        <f t="shared" si="683"/>
        <v/>
      </c>
      <c r="H682" s="51" t="str">
        <f t="shared" si="683"/>
        <v/>
      </c>
      <c r="I682" s="51" t="str">
        <f t="shared" si="683"/>
        <v/>
      </c>
      <c r="J682" s="51" t="str">
        <f t="shared" si="683"/>
        <v/>
      </c>
      <c r="K682" s="51" t="str">
        <f t="shared" si="683"/>
        <v/>
      </c>
      <c r="L682" s="51" t="str">
        <f t="shared" si="683"/>
        <v/>
      </c>
      <c r="M682" s="51" t="str">
        <f t="shared" si="683"/>
        <v/>
      </c>
      <c r="N682" s="51" t="str">
        <f t="shared" si="683"/>
        <v/>
      </c>
      <c r="O682" s="51" t="str">
        <f t="shared" si="683"/>
        <v/>
      </c>
      <c r="P682" s="51" t="str">
        <f t="shared" si="683"/>
        <v/>
      </c>
      <c r="Q682" s="51" t="str">
        <f t="shared" si="683"/>
        <v/>
      </c>
      <c r="R682" s="51" t="str">
        <f t="shared" si="683"/>
        <v/>
      </c>
      <c r="S682" s="51" t="str">
        <f t="shared" si="683"/>
        <v/>
      </c>
      <c r="T682" s="51" t="str">
        <f t="shared" si="683"/>
        <v/>
      </c>
      <c r="U682" s="52"/>
      <c r="V682" s="52" t="str">
        <f>IFERROR(__xludf.DUMMYFUNCTION("""COMPUTED_VALUE"""),"")</f>
        <v/>
      </c>
      <c r="W682" s="52" t="str">
        <f>IFERROR(__xludf.DUMMYFUNCTION("""COMPUTED_VALUE"""),"")</f>
        <v/>
      </c>
      <c r="X682" s="52" t="str">
        <f>IFERROR(__xludf.DUMMYFUNCTION("""COMPUTED_VALUE"""),"")</f>
        <v/>
      </c>
      <c r="Y682" s="52" t="str">
        <f>IFERROR(__xludf.DUMMYFUNCTION("""COMPUTED_VALUE"""),"")</f>
        <v/>
      </c>
      <c r="Z682" s="52" t="str">
        <f>IFERROR(__xludf.DUMMYFUNCTION("""COMPUTED_VALUE"""),"")</f>
        <v/>
      </c>
      <c r="AA682" s="52" t="str">
        <f>IFERROR(__xludf.DUMMYFUNCTION("""COMPUTED_VALUE"""),"")</f>
        <v/>
      </c>
      <c r="AB682" s="52" t="str">
        <f>IFERROR(__xludf.DUMMYFUNCTION("""COMPUTED_VALUE"""),"")</f>
        <v/>
      </c>
      <c r="AC682" s="52" t="str">
        <f>IFERROR(__xludf.DUMMYFUNCTION("""COMPUTED_VALUE"""),"")</f>
        <v/>
      </c>
      <c r="AD682" s="52" t="str">
        <f>IFERROR(__xludf.DUMMYFUNCTION("""COMPUTED_VALUE"""),"")</f>
        <v/>
      </c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</row>
    <row r="683">
      <c r="B683" s="49"/>
      <c r="C683" s="49" t="str">
        <f t="shared" si="2"/>
        <v/>
      </c>
      <c r="D683" s="50" t="str">
        <f t="shared" si="3"/>
        <v/>
      </c>
      <c r="E683" s="51" t="str">
        <f t="shared" ref="E683:T683" si="684">IFERROR(VLOOKUP($A683,INDIRECT("'" &amp; E$1 &amp; "'!$C:$G"), 5, FALSE),"")</f>
        <v/>
      </c>
      <c r="F683" s="51" t="str">
        <f t="shared" si="684"/>
        <v/>
      </c>
      <c r="G683" s="51" t="str">
        <f t="shared" si="684"/>
        <v/>
      </c>
      <c r="H683" s="51" t="str">
        <f t="shared" si="684"/>
        <v/>
      </c>
      <c r="I683" s="51" t="str">
        <f t="shared" si="684"/>
        <v/>
      </c>
      <c r="J683" s="51" t="str">
        <f t="shared" si="684"/>
        <v/>
      </c>
      <c r="K683" s="51" t="str">
        <f t="shared" si="684"/>
        <v/>
      </c>
      <c r="L683" s="51" t="str">
        <f t="shared" si="684"/>
        <v/>
      </c>
      <c r="M683" s="51" t="str">
        <f t="shared" si="684"/>
        <v/>
      </c>
      <c r="N683" s="51" t="str">
        <f t="shared" si="684"/>
        <v/>
      </c>
      <c r="O683" s="51" t="str">
        <f t="shared" si="684"/>
        <v/>
      </c>
      <c r="P683" s="51" t="str">
        <f t="shared" si="684"/>
        <v/>
      </c>
      <c r="Q683" s="51" t="str">
        <f t="shared" si="684"/>
        <v/>
      </c>
      <c r="R683" s="51" t="str">
        <f t="shared" si="684"/>
        <v/>
      </c>
      <c r="S683" s="51" t="str">
        <f t="shared" si="684"/>
        <v/>
      </c>
      <c r="T683" s="51" t="str">
        <f t="shared" si="684"/>
        <v/>
      </c>
      <c r="U683" s="52"/>
      <c r="V683" s="52" t="str">
        <f>IFERROR(__xludf.DUMMYFUNCTION("""COMPUTED_VALUE"""),"")</f>
        <v/>
      </c>
      <c r="W683" s="52" t="str">
        <f>IFERROR(__xludf.DUMMYFUNCTION("""COMPUTED_VALUE"""),"")</f>
        <v/>
      </c>
      <c r="X683" s="52" t="str">
        <f>IFERROR(__xludf.DUMMYFUNCTION("""COMPUTED_VALUE"""),"")</f>
        <v/>
      </c>
      <c r="Y683" s="52" t="str">
        <f>IFERROR(__xludf.DUMMYFUNCTION("""COMPUTED_VALUE"""),"")</f>
        <v/>
      </c>
      <c r="Z683" s="52" t="str">
        <f>IFERROR(__xludf.DUMMYFUNCTION("""COMPUTED_VALUE"""),"")</f>
        <v/>
      </c>
      <c r="AA683" s="52" t="str">
        <f>IFERROR(__xludf.DUMMYFUNCTION("""COMPUTED_VALUE"""),"")</f>
        <v/>
      </c>
      <c r="AB683" s="52" t="str">
        <f>IFERROR(__xludf.DUMMYFUNCTION("""COMPUTED_VALUE"""),"")</f>
        <v/>
      </c>
      <c r="AC683" s="52" t="str">
        <f>IFERROR(__xludf.DUMMYFUNCTION("""COMPUTED_VALUE"""),"")</f>
        <v/>
      </c>
      <c r="AD683" s="52" t="str">
        <f>IFERROR(__xludf.DUMMYFUNCTION("""COMPUTED_VALUE"""),"")</f>
        <v/>
      </c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</row>
    <row r="684">
      <c r="B684" s="49"/>
      <c r="C684" s="49" t="str">
        <f t="shared" si="2"/>
        <v/>
      </c>
      <c r="D684" s="50" t="str">
        <f t="shared" si="3"/>
        <v/>
      </c>
      <c r="E684" s="51" t="str">
        <f t="shared" ref="E684:T684" si="685">IFERROR(VLOOKUP($A684,INDIRECT("'" &amp; E$1 &amp; "'!$C:$G"), 5, FALSE),"")</f>
        <v/>
      </c>
      <c r="F684" s="51" t="str">
        <f t="shared" si="685"/>
        <v/>
      </c>
      <c r="G684" s="51" t="str">
        <f t="shared" si="685"/>
        <v/>
      </c>
      <c r="H684" s="51" t="str">
        <f t="shared" si="685"/>
        <v/>
      </c>
      <c r="I684" s="51" t="str">
        <f t="shared" si="685"/>
        <v/>
      </c>
      <c r="J684" s="51" t="str">
        <f t="shared" si="685"/>
        <v/>
      </c>
      <c r="K684" s="51" t="str">
        <f t="shared" si="685"/>
        <v/>
      </c>
      <c r="L684" s="51" t="str">
        <f t="shared" si="685"/>
        <v/>
      </c>
      <c r="M684" s="51" t="str">
        <f t="shared" si="685"/>
        <v/>
      </c>
      <c r="N684" s="51" t="str">
        <f t="shared" si="685"/>
        <v/>
      </c>
      <c r="O684" s="51" t="str">
        <f t="shared" si="685"/>
        <v/>
      </c>
      <c r="P684" s="51" t="str">
        <f t="shared" si="685"/>
        <v/>
      </c>
      <c r="Q684" s="51" t="str">
        <f t="shared" si="685"/>
        <v/>
      </c>
      <c r="R684" s="51" t="str">
        <f t="shared" si="685"/>
        <v/>
      </c>
      <c r="S684" s="51" t="str">
        <f t="shared" si="685"/>
        <v/>
      </c>
      <c r="T684" s="51" t="str">
        <f t="shared" si="685"/>
        <v/>
      </c>
      <c r="U684" s="52"/>
      <c r="V684" s="52" t="str">
        <f>IFERROR(__xludf.DUMMYFUNCTION("""COMPUTED_VALUE"""),"")</f>
        <v/>
      </c>
      <c r="W684" s="52" t="str">
        <f>IFERROR(__xludf.DUMMYFUNCTION("""COMPUTED_VALUE"""),"")</f>
        <v/>
      </c>
      <c r="X684" s="52" t="str">
        <f>IFERROR(__xludf.DUMMYFUNCTION("""COMPUTED_VALUE"""),"")</f>
        <v/>
      </c>
      <c r="Y684" s="52" t="str">
        <f>IFERROR(__xludf.DUMMYFUNCTION("""COMPUTED_VALUE"""),"")</f>
        <v/>
      </c>
      <c r="Z684" s="52" t="str">
        <f>IFERROR(__xludf.DUMMYFUNCTION("""COMPUTED_VALUE"""),"")</f>
        <v/>
      </c>
      <c r="AA684" s="52" t="str">
        <f>IFERROR(__xludf.DUMMYFUNCTION("""COMPUTED_VALUE"""),"")</f>
        <v/>
      </c>
      <c r="AB684" s="52" t="str">
        <f>IFERROR(__xludf.DUMMYFUNCTION("""COMPUTED_VALUE"""),"")</f>
        <v/>
      </c>
      <c r="AC684" s="52" t="str">
        <f>IFERROR(__xludf.DUMMYFUNCTION("""COMPUTED_VALUE"""),"")</f>
        <v/>
      </c>
      <c r="AD684" s="52" t="str">
        <f>IFERROR(__xludf.DUMMYFUNCTION("""COMPUTED_VALUE"""),"")</f>
        <v/>
      </c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</row>
    <row r="685">
      <c r="B685" s="49"/>
      <c r="C685" s="49" t="str">
        <f t="shared" si="2"/>
        <v/>
      </c>
      <c r="D685" s="50" t="str">
        <f t="shared" si="3"/>
        <v/>
      </c>
      <c r="E685" s="51" t="str">
        <f t="shared" ref="E685:T685" si="686">IFERROR(VLOOKUP($A685,INDIRECT("'" &amp; E$1 &amp; "'!$C:$G"), 5, FALSE),"")</f>
        <v/>
      </c>
      <c r="F685" s="51" t="str">
        <f t="shared" si="686"/>
        <v/>
      </c>
      <c r="G685" s="51" t="str">
        <f t="shared" si="686"/>
        <v/>
      </c>
      <c r="H685" s="51" t="str">
        <f t="shared" si="686"/>
        <v/>
      </c>
      <c r="I685" s="51" t="str">
        <f t="shared" si="686"/>
        <v/>
      </c>
      <c r="J685" s="51" t="str">
        <f t="shared" si="686"/>
        <v/>
      </c>
      <c r="K685" s="51" t="str">
        <f t="shared" si="686"/>
        <v/>
      </c>
      <c r="L685" s="51" t="str">
        <f t="shared" si="686"/>
        <v/>
      </c>
      <c r="M685" s="51" t="str">
        <f t="shared" si="686"/>
        <v/>
      </c>
      <c r="N685" s="51" t="str">
        <f t="shared" si="686"/>
        <v/>
      </c>
      <c r="O685" s="51" t="str">
        <f t="shared" si="686"/>
        <v/>
      </c>
      <c r="P685" s="51" t="str">
        <f t="shared" si="686"/>
        <v/>
      </c>
      <c r="Q685" s="51" t="str">
        <f t="shared" si="686"/>
        <v/>
      </c>
      <c r="R685" s="51" t="str">
        <f t="shared" si="686"/>
        <v/>
      </c>
      <c r="S685" s="51" t="str">
        <f t="shared" si="686"/>
        <v/>
      </c>
      <c r="T685" s="51" t="str">
        <f t="shared" si="686"/>
        <v/>
      </c>
      <c r="U685" s="52"/>
      <c r="V685" s="52" t="str">
        <f>IFERROR(__xludf.DUMMYFUNCTION("""COMPUTED_VALUE"""),"")</f>
        <v/>
      </c>
      <c r="W685" s="52" t="str">
        <f>IFERROR(__xludf.DUMMYFUNCTION("""COMPUTED_VALUE"""),"")</f>
        <v/>
      </c>
      <c r="X685" s="52" t="str">
        <f>IFERROR(__xludf.DUMMYFUNCTION("""COMPUTED_VALUE"""),"")</f>
        <v/>
      </c>
      <c r="Y685" s="52" t="str">
        <f>IFERROR(__xludf.DUMMYFUNCTION("""COMPUTED_VALUE"""),"")</f>
        <v/>
      </c>
      <c r="Z685" s="52" t="str">
        <f>IFERROR(__xludf.DUMMYFUNCTION("""COMPUTED_VALUE"""),"")</f>
        <v/>
      </c>
      <c r="AA685" s="52" t="str">
        <f>IFERROR(__xludf.DUMMYFUNCTION("""COMPUTED_VALUE"""),"")</f>
        <v/>
      </c>
      <c r="AB685" s="52" t="str">
        <f>IFERROR(__xludf.DUMMYFUNCTION("""COMPUTED_VALUE"""),"")</f>
        <v/>
      </c>
      <c r="AC685" s="52" t="str">
        <f>IFERROR(__xludf.DUMMYFUNCTION("""COMPUTED_VALUE"""),"")</f>
        <v/>
      </c>
      <c r="AD685" s="52" t="str">
        <f>IFERROR(__xludf.DUMMYFUNCTION("""COMPUTED_VALUE"""),"")</f>
        <v/>
      </c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</row>
    <row r="686">
      <c r="B686" s="49"/>
      <c r="C686" s="49" t="str">
        <f t="shared" si="2"/>
        <v/>
      </c>
      <c r="D686" s="50" t="str">
        <f t="shared" si="3"/>
        <v/>
      </c>
      <c r="E686" s="51" t="str">
        <f t="shared" ref="E686:T686" si="687">IFERROR(VLOOKUP($A686,INDIRECT("'" &amp; E$1 &amp; "'!$C:$G"), 5, FALSE),"")</f>
        <v/>
      </c>
      <c r="F686" s="51" t="str">
        <f t="shared" si="687"/>
        <v/>
      </c>
      <c r="G686" s="51" t="str">
        <f t="shared" si="687"/>
        <v/>
      </c>
      <c r="H686" s="51" t="str">
        <f t="shared" si="687"/>
        <v/>
      </c>
      <c r="I686" s="51" t="str">
        <f t="shared" si="687"/>
        <v/>
      </c>
      <c r="J686" s="51" t="str">
        <f t="shared" si="687"/>
        <v/>
      </c>
      <c r="K686" s="51" t="str">
        <f t="shared" si="687"/>
        <v/>
      </c>
      <c r="L686" s="51" t="str">
        <f t="shared" si="687"/>
        <v/>
      </c>
      <c r="M686" s="51" t="str">
        <f t="shared" si="687"/>
        <v/>
      </c>
      <c r="N686" s="51" t="str">
        <f t="shared" si="687"/>
        <v/>
      </c>
      <c r="O686" s="51" t="str">
        <f t="shared" si="687"/>
        <v/>
      </c>
      <c r="P686" s="51" t="str">
        <f t="shared" si="687"/>
        <v/>
      </c>
      <c r="Q686" s="51" t="str">
        <f t="shared" si="687"/>
        <v/>
      </c>
      <c r="R686" s="51" t="str">
        <f t="shared" si="687"/>
        <v/>
      </c>
      <c r="S686" s="51" t="str">
        <f t="shared" si="687"/>
        <v/>
      </c>
      <c r="T686" s="51" t="str">
        <f t="shared" si="687"/>
        <v/>
      </c>
      <c r="U686" s="52"/>
      <c r="V686" s="52" t="str">
        <f>IFERROR(__xludf.DUMMYFUNCTION("""COMPUTED_VALUE"""),"")</f>
        <v/>
      </c>
      <c r="W686" s="52" t="str">
        <f>IFERROR(__xludf.DUMMYFUNCTION("""COMPUTED_VALUE"""),"")</f>
        <v/>
      </c>
      <c r="X686" s="52" t="str">
        <f>IFERROR(__xludf.DUMMYFUNCTION("""COMPUTED_VALUE"""),"")</f>
        <v/>
      </c>
      <c r="Y686" s="52" t="str">
        <f>IFERROR(__xludf.DUMMYFUNCTION("""COMPUTED_VALUE"""),"")</f>
        <v/>
      </c>
      <c r="Z686" s="52" t="str">
        <f>IFERROR(__xludf.DUMMYFUNCTION("""COMPUTED_VALUE"""),"")</f>
        <v/>
      </c>
      <c r="AA686" s="52" t="str">
        <f>IFERROR(__xludf.DUMMYFUNCTION("""COMPUTED_VALUE"""),"")</f>
        <v/>
      </c>
      <c r="AB686" s="52" t="str">
        <f>IFERROR(__xludf.DUMMYFUNCTION("""COMPUTED_VALUE"""),"")</f>
        <v/>
      </c>
      <c r="AC686" s="52" t="str">
        <f>IFERROR(__xludf.DUMMYFUNCTION("""COMPUTED_VALUE"""),"")</f>
        <v/>
      </c>
      <c r="AD686" s="52" t="str">
        <f>IFERROR(__xludf.DUMMYFUNCTION("""COMPUTED_VALUE"""),"")</f>
        <v/>
      </c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</row>
    <row r="687">
      <c r="B687" s="49"/>
      <c r="C687" s="49" t="str">
        <f t="shared" si="2"/>
        <v/>
      </c>
      <c r="D687" s="50" t="str">
        <f t="shared" si="3"/>
        <v/>
      </c>
      <c r="E687" s="51" t="str">
        <f t="shared" ref="E687:T687" si="688">IFERROR(VLOOKUP($A687,INDIRECT("'" &amp; E$1 &amp; "'!$C:$G"), 5, FALSE),"")</f>
        <v/>
      </c>
      <c r="F687" s="51" t="str">
        <f t="shared" si="688"/>
        <v/>
      </c>
      <c r="G687" s="51" t="str">
        <f t="shared" si="688"/>
        <v/>
      </c>
      <c r="H687" s="51" t="str">
        <f t="shared" si="688"/>
        <v/>
      </c>
      <c r="I687" s="51" t="str">
        <f t="shared" si="688"/>
        <v/>
      </c>
      <c r="J687" s="51" t="str">
        <f t="shared" si="688"/>
        <v/>
      </c>
      <c r="K687" s="51" t="str">
        <f t="shared" si="688"/>
        <v/>
      </c>
      <c r="L687" s="51" t="str">
        <f t="shared" si="688"/>
        <v/>
      </c>
      <c r="M687" s="51" t="str">
        <f t="shared" si="688"/>
        <v/>
      </c>
      <c r="N687" s="51" t="str">
        <f t="shared" si="688"/>
        <v/>
      </c>
      <c r="O687" s="51" t="str">
        <f t="shared" si="688"/>
        <v/>
      </c>
      <c r="P687" s="51" t="str">
        <f t="shared" si="688"/>
        <v/>
      </c>
      <c r="Q687" s="51" t="str">
        <f t="shared" si="688"/>
        <v/>
      </c>
      <c r="R687" s="51" t="str">
        <f t="shared" si="688"/>
        <v/>
      </c>
      <c r="S687" s="51" t="str">
        <f t="shared" si="688"/>
        <v/>
      </c>
      <c r="T687" s="51" t="str">
        <f t="shared" si="688"/>
        <v/>
      </c>
      <c r="U687" s="52"/>
      <c r="V687" s="52" t="str">
        <f>IFERROR(__xludf.DUMMYFUNCTION("""COMPUTED_VALUE"""),"")</f>
        <v/>
      </c>
      <c r="W687" s="52" t="str">
        <f>IFERROR(__xludf.DUMMYFUNCTION("""COMPUTED_VALUE"""),"")</f>
        <v/>
      </c>
      <c r="X687" s="52" t="str">
        <f>IFERROR(__xludf.DUMMYFUNCTION("""COMPUTED_VALUE"""),"")</f>
        <v/>
      </c>
      <c r="Y687" s="52" t="str">
        <f>IFERROR(__xludf.DUMMYFUNCTION("""COMPUTED_VALUE"""),"")</f>
        <v/>
      </c>
      <c r="Z687" s="52" t="str">
        <f>IFERROR(__xludf.DUMMYFUNCTION("""COMPUTED_VALUE"""),"")</f>
        <v/>
      </c>
      <c r="AA687" s="52" t="str">
        <f>IFERROR(__xludf.DUMMYFUNCTION("""COMPUTED_VALUE"""),"")</f>
        <v/>
      </c>
      <c r="AB687" s="52" t="str">
        <f>IFERROR(__xludf.DUMMYFUNCTION("""COMPUTED_VALUE"""),"")</f>
        <v/>
      </c>
      <c r="AC687" s="52" t="str">
        <f>IFERROR(__xludf.DUMMYFUNCTION("""COMPUTED_VALUE"""),"")</f>
        <v/>
      </c>
      <c r="AD687" s="52" t="str">
        <f>IFERROR(__xludf.DUMMYFUNCTION("""COMPUTED_VALUE"""),"")</f>
        <v/>
      </c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</row>
    <row r="688">
      <c r="B688" s="49"/>
      <c r="C688" s="49" t="str">
        <f t="shared" si="2"/>
        <v/>
      </c>
      <c r="D688" s="50" t="str">
        <f t="shared" si="3"/>
        <v/>
      </c>
      <c r="E688" s="51" t="str">
        <f t="shared" ref="E688:T688" si="689">IFERROR(VLOOKUP($A688,INDIRECT("'" &amp; E$1 &amp; "'!$C:$G"), 5, FALSE),"")</f>
        <v/>
      </c>
      <c r="F688" s="51" t="str">
        <f t="shared" si="689"/>
        <v/>
      </c>
      <c r="G688" s="51" t="str">
        <f t="shared" si="689"/>
        <v/>
      </c>
      <c r="H688" s="51" t="str">
        <f t="shared" si="689"/>
        <v/>
      </c>
      <c r="I688" s="51" t="str">
        <f t="shared" si="689"/>
        <v/>
      </c>
      <c r="J688" s="51" t="str">
        <f t="shared" si="689"/>
        <v/>
      </c>
      <c r="K688" s="51" t="str">
        <f t="shared" si="689"/>
        <v/>
      </c>
      <c r="L688" s="51" t="str">
        <f t="shared" si="689"/>
        <v/>
      </c>
      <c r="M688" s="51" t="str">
        <f t="shared" si="689"/>
        <v/>
      </c>
      <c r="N688" s="51" t="str">
        <f t="shared" si="689"/>
        <v/>
      </c>
      <c r="O688" s="51" t="str">
        <f t="shared" si="689"/>
        <v/>
      </c>
      <c r="P688" s="51" t="str">
        <f t="shared" si="689"/>
        <v/>
      </c>
      <c r="Q688" s="51" t="str">
        <f t="shared" si="689"/>
        <v/>
      </c>
      <c r="R688" s="51" t="str">
        <f t="shared" si="689"/>
        <v/>
      </c>
      <c r="S688" s="51" t="str">
        <f t="shared" si="689"/>
        <v/>
      </c>
      <c r="T688" s="51" t="str">
        <f t="shared" si="689"/>
        <v/>
      </c>
      <c r="U688" s="52"/>
      <c r="V688" s="52" t="str">
        <f>IFERROR(__xludf.DUMMYFUNCTION("""COMPUTED_VALUE"""),"")</f>
        <v/>
      </c>
      <c r="W688" s="52" t="str">
        <f>IFERROR(__xludf.DUMMYFUNCTION("""COMPUTED_VALUE"""),"")</f>
        <v/>
      </c>
      <c r="X688" s="52" t="str">
        <f>IFERROR(__xludf.DUMMYFUNCTION("""COMPUTED_VALUE"""),"")</f>
        <v/>
      </c>
      <c r="Y688" s="52" t="str">
        <f>IFERROR(__xludf.DUMMYFUNCTION("""COMPUTED_VALUE"""),"")</f>
        <v/>
      </c>
      <c r="Z688" s="52" t="str">
        <f>IFERROR(__xludf.DUMMYFUNCTION("""COMPUTED_VALUE"""),"")</f>
        <v/>
      </c>
      <c r="AA688" s="52" t="str">
        <f>IFERROR(__xludf.DUMMYFUNCTION("""COMPUTED_VALUE"""),"")</f>
        <v/>
      </c>
      <c r="AB688" s="52" t="str">
        <f>IFERROR(__xludf.DUMMYFUNCTION("""COMPUTED_VALUE"""),"")</f>
        <v/>
      </c>
      <c r="AC688" s="52" t="str">
        <f>IFERROR(__xludf.DUMMYFUNCTION("""COMPUTED_VALUE"""),"")</f>
        <v/>
      </c>
      <c r="AD688" s="52" t="str">
        <f>IFERROR(__xludf.DUMMYFUNCTION("""COMPUTED_VALUE"""),"")</f>
        <v/>
      </c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</row>
    <row r="689">
      <c r="B689" s="49"/>
      <c r="C689" s="49" t="str">
        <f t="shared" si="2"/>
        <v/>
      </c>
      <c r="D689" s="50" t="str">
        <f t="shared" si="3"/>
        <v/>
      </c>
      <c r="E689" s="51" t="str">
        <f t="shared" ref="E689:T689" si="690">IFERROR(VLOOKUP($A689,INDIRECT("'" &amp; E$1 &amp; "'!$C:$G"), 5, FALSE),"")</f>
        <v/>
      </c>
      <c r="F689" s="51" t="str">
        <f t="shared" si="690"/>
        <v/>
      </c>
      <c r="G689" s="51" t="str">
        <f t="shared" si="690"/>
        <v/>
      </c>
      <c r="H689" s="51" t="str">
        <f t="shared" si="690"/>
        <v/>
      </c>
      <c r="I689" s="51" t="str">
        <f t="shared" si="690"/>
        <v/>
      </c>
      <c r="J689" s="51" t="str">
        <f t="shared" si="690"/>
        <v/>
      </c>
      <c r="K689" s="51" t="str">
        <f t="shared" si="690"/>
        <v/>
      </c>
      <c r="L689" s="51" t="str">
        <f t="shared" si="690"/>
        <v/>
      </c>
      <c r="M689" s="51" t="str">
        <f t="shared" si="690"/>
        <v/>
      </c>
      <c r="N689" s="51" t="str">
        <f t="shared" si="690"/>
        <v/>
      </c>
      <c r="O689" s="51" t="str">
        <f t="shared" si="690"/>
        <v/>
      </c>
      <c r="P689" s="51" t="str">
        <f t="shared" si="690"/>
        <v/>
      </c>
      <c r="Q689" s="51" t="str">
        <f t="shared" si="690"/>
        <v/>
      </c>
      <c r="R689" s="51" t="str">
        <f t="shared" si="690"/>
        <v/>
      </c>
      <c r="S689" s="51" t="str">
        <f t="shared" si="690"/>
        <v/>
      </c>
      <c r="T689" s="51" t="str">
        <f t="shared" si="690"/>
        <v/>
      </c>
      <c r="U689" s="52"/>
      <c r="V689" s="52" t="str">
        <f>IFERROR(__xludf.DUMMYFUNCTION("""COMPUTED_VALUE"""),"")</f>
        <v/>
      </c>
      <c r="W689" s="52" t="str">
        <f>IFERROR(__xludf.DUMMYFUNCTION("""COMPUTED_VALUE"""),"")</f>
        <v/>
      </c>
      <c r="X689" s="52" t="str">
        <f>IFERROR(__xludf.DUMMYFUNCTION("""COMPUTED_VALUE"""),"")</f>
        <v/>
      </c>
      <c r="Y689" s="52" t="str">
        <f>IFERROR(__xludf.DUMMYFUNCTION("""COMPUTED_VALUE"""),"")</f>
        <v/>
      </c>
      <c r="Z689" s="52" t="str">
        <f>IFERROR(__xludf.DUMMYFUNCTION("""COMPUTED_VALUE"""),"")</f>
        <v/>
      </c>
      <c r="AA689" s="52" t="str">
        <f>IFERROR(__xludf.DUMMYFUNCTION("""COMPUTED_VALUE"""),"")</f>
        <v/>
      </c>
      <c r="AB689" s="52" t="str">
        <f>IFERROR(__xludf.DUMMYFUNCTION("""COMPUTED_VALUE"""),"")</f>
        <v/>
      </c>
      <c r="AC689" s="52" t="str">
        <f>IFERROR(__xludf.DUMMYFUNCTION("""COMPUTED_VALUE"""),"")</f>
        <v/>
      </c>
      <c r="AD689" s="52" t="str">
        <f>IFERROR(__xludf.DUMMYFUNCTION("""COMPUTED_VALUE"""),"")</f>
        <v/>
      </c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</row>
    <row r="690">
      <c r="B690" s="49"/>
      <c r="C690" s="49" t="str">
        <f t="shared" si="2"/>
        <v/>
      </c>
      <c r="D690" s="50" t="str">
        <f t="shared" si="3"/>
        <v/>
      </c>
      <c r="E690" s="51" t="str">
        <f t="shared" ref="E690:T690" si="691">IFERROR(VLOOKUP($A690,INDIRECT("'" &amp; E$1 &amp; "'!$C:$G"), 5, FALSE),"")</f>
        <v/>
      </c>
      <c r="F690" s="51" t="str">
        <f t="shared" si="691"/>
        <v/>
      </c>
      <c r="G690" s="51" t="str">
        <f t="shared" si="691"/>
        <v/>
      </c>
      <c r="H690" s="51" t="str">
        <f t="shared" si="691"/>
        <v/>
      </c>
      <c r="I690" s="51" t="str">
        <f t="shared" si="691"/>
        <v/>
      </c>
      <c r="J690" s="51" t="str">
        <f t="shared" si="691"/>
        <v/>
      </c>
      <c r="K690" s="51" t="str">
        <f t="shared" si="691"/>
        <v/>
      </c>
      <c r="L690" s="51" t="str">
        <f t="shared" si="691"/>
        <v/>
      </c>
      <c r="M690" s="51" t="str">
        <f t="shared" si="691"/>
        <v/>
      </c>
      <c r="N690" s="51" t="str">
        <f t="shared" si="691"/>
        <v/>
      </c>
      <c r="O690" s="51" t="str">
        <f t="shared" si="691"/>
        <v/>
      </c>
      <c r="P690" s="51" t="str">
        <f t="shared" si="691"/>
        <v/>
      </c>
      <c r="Q690" s="51" t="str">
        <f t="shared" si="691"/>
        <v/>
      </c>
      <c r="R690" s="51" t="str">
        <f t="shared" si="691"/>
        <v/>
      </c>
      <c r="S690" s="51" t="str">
        <f t="shared" si="691"/>
        <v/>
      </c>
      <c r="T690" s="51" t="str">
        <f t="shared" si="691"/>
        <v/>
      </c>
      <c r="U690" s="52"/>
      <c r="V690" s="52" t="str">
        <f>IFERROR(__xludf.DUMMYFUNCTION("""COMPUTED_VALUE"""),"")</f>
        <v/>
      </c>
      <c r="W690" s="52" t="str">
        <f>IFERROR(__xludf.DUMMYFUNCTION("""COMPUTED_VALUE"""),"")</f>
        <v/>
      </c>
      <c r="X690" s="52" t="str">
        <f>IFERROR(__xludf.DUMMYFUNCTION("""COMPUTED_VALUE"""),"")</f>
        <v/>
      </c>
      <c r="Y690" s="52" t="str">
        <f>IFERROR(__xludf.DUMMYFUNCTION("""COMPUTED_VALUE"""),"")</f>
        <v/>
      </c>
      <c r="Z690" s="52" t="str">
        <f>IFERROR(__xludf.DUMMYFUNCTION("""COMPUTED_VALUE"""),"")</f>
        <v/>
      </c>
      <c r="AA690" s="52" t="str">
        <f>IFERROR(__xludf.DUMMYFUNCTION("""COMPUTED_VALUE"""),"")</f>
        <v/>
      </c>
      <c r="AB690" s="52" t="str">
        <f>IFERROR(__xludf.DUMMYFUNCTION("""COMPUTED_VALUE"""),"")</f>
        <v/>
      </c>
      <c r="AC690" s="52" t="str">
        <f>IFERROR(__xludf.DUMMYFUNCTION("""COMPUTED_VALUE"""),"")</f>
        <v/>
      </c>
      <c r="AD690" s="52" t="str">
        <f>IFERROR(__xludf.DUMMYFUNCTION("""COMPUTED_VALUE"""),"")</f>
        <v/>
      </c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</row>
    <row r="691">
      <c r="B691" s="49"/>
      <c r="C691" s="49" t="str">
        <f t="shared" si="2"/>
        <v/>
      </c>
      <c r="D691" s="50" t="str">
        <f t="shared" si="3"/>
        <v/>
      </c>
      <c r="E691" s="51" t="str">
        <f t="shared" ref="E691:T691" si="692">IFERROR(VLOOKUP($A691,INDIRECT("'" &amp; E$1 &amp; "'!$C:$G"), 5, FALSE),"")</f>
        <v/>
      </c>
      <c r="F691" s="51" t="str">
        <f t="shared" si="692"/>
        <v/>
      </c>
      <c r="G691" s="51" t="str">
        <f t="shared" si="692"/>
        <v/>
      </c>
      <c r="H691" s="51" t="str">
        <f t="shared" si="692"/>
        <v/>
      </c>
      <c r="I691" s="51" t="str">
        <f t="shared" si="692"/>
        <v/>
      </c>
      <c r="J691" s="51" t="str">
        <f t="shared" si="692"/>
        <v/>
      </c>
      <c r="K691" s="51" t="str">
        <f t="shared" si="692"/>
        <v/>
      </c>
      <c r="L691" s="51" t="str">
        <f t="shared" si="692"/>
        <v/>
      </c>
      <c r="M691" s="51" t="str">
        <f t="shared" si="692"/>
        <v/>
      </c>
      <c r="N691" s="51" t="str">
        <f t="shared" si="692"/>
        <v/>
      </c>
      <c r="O691" s="51" t="str">
        <f t="shared" si="692"/>
        <v/>
      </c>
      <c r="P691" s="51" t="str">
        <f t="shared" si="692"/>
        <v/>
      </c>
      <c r="Q691" s="51" t="str">
        <f t="shared" si="692"/>
        <v/>
      </c>
      <c r="R691" s="51" t="str">
        <f t="shared" si="692"/>
        <v/>
      </c>
      <c r="S691" s="51" t="str">
        <f t="shared" si="692"/>
        <v/>
      </c>
      <c r="T691" s="51" t="str">
        <f t="shared" si="692"/>
        <v/>
      </c>
      <c r="U691" s="52"/>
      <c r="V691" s="52" t="str">
        <f>IFERROR(__xludf.DUMMYFUNCTION("""COMPUTED_VALUE"""),"")</f>
        <v/>
      </c>
      <c r="W691" s="52" t="str">
        <f>IFERROR(__xludf.DUMMYFUNCTION("""COMPUTED_VALUE"""),"")</f>
        <v/>
      </c>
      <c r="X691" s="52" t="str">
        <f>IFERROR(__xludf.DUMMYFUNCTION("""COMPUTED_VALUE"""),"")</f>
        <v/>
      </c>
      <c r="Y691" s="52" t="str">
        <f>IFERROR(__xludf.DUMMYFUNCTION("""COMPUTED_VALUE"""),"")</f>
        <v/>
      </c>
      <c r="Z691" s="52" t="str">
        <f>IFERROR(__xludf.DUMMYFUNCTION("""COMPUTED_VALUE"""),"")</f>
        <v/>
      </c>
      <c r="AA691" s="52" t="str">
        <f>IFERROR(__xludf.DUMMYFUNCTION("""COMPUTED_VALUE"""),"")</f>
        <v/>
      </c>
      <c r="AB691" s="52" t="str">
        <f>IFERROR(__xludf.DUMMYFUNCTION("""COMPUTED_VALUE"""),"")</f>
        <v/>
      </c>
      <c r="AC691" s="52" t="str">
        <f>IFERROR(__xludf.DUMMYFUNCTION("""COMPUTED_VALUE"""),"")</f>
        <v/>
      </c>
      <c r="AD691" s="52" t="str">
        <f>IFERROR(__xludf.DUMMYFUNCTION("""COMPUTED_VALUE"""),"")</f>
        <v/>
      </c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</row>
    <row r="692">
      <c r="B692" s="49"/>
      <c r="C692" s="49" t="str">
        <f t="shared" si="2"/>
        <v/>
      </c>
      <c r="D692" s="50" t="str">
        <f t="shared" si="3"/>
        <v/>
      </c>
      <c r="E692" s="51" t="str">
        <f t="shared" ref="E692:T692" si="693">IFERROR(VLOOKUP($A692,INDIRECT("'" &amp; E$1 &amp; "'!$C:$G"), 5, FALSE),"")</f>
        <v/>
      </c>
      <c r="F692" s="51" t="str">
        <f t="shared" si="693"/>
        <v/>
      </c>
      <c r="G692" s="51" t="str">
        <f t="shared" si="693"/>
        <v/>
      </c>
      <c r="H692" s="51" t="str">
        <f t="shared" si="693"/>
        <v/>
      </c>
      <c r="I692" s="51" t="str">
        <f t="shared" si="693"/>
        <v/>
      </c>
      <c r="J692" s="51" t="str">
        <f t="shared" si="693"/>
        <v/>
      </c>
      <c r="K692" s="51" t="str">
        <f t="shared" si="693"/>
        <v/>
      </c>
      <c r="L692" s="51" t="str">
        <f t="shared" si="693"/>
        <v/>
      </c>
      <c r="M692" s="51" t="str">
        <f t="shared" si="693"/>
        <v/>
      </c>
      <c r="N692" s="51" t="str">
        <f t="shared" si="693"/>
        <v/>
      </c>
      <c r="O692" s="51" t="str">
        <f t="shared" si="693"/>
        <v/>
      </c>
      <c r="P692" s="51" t="str">
        <f t="shared" si="693"/>
        <v/>
      </c>
      <c r="Q692" s="51" t="str">
        <f t="shared" si="693"/>
        <v/>
      </c>
      <c r="R692" s="51" t="str">
        <f t="shared" si="693"/>
        <v/>
      </c>
      <c r="S692" s="51" t="str">
        <f t="shared" si="693"/>
        <v/>
      </c>
      <c r="T692" s="51" t="str">
        <f t="shared" si="693"/>
        <v/>
      </c>
      <c r="U692" s="52"/>
      <c r="V692" s="52" t="str">
        <f>IFERROR(__xludf.DUMMYFUNCTION("""COMPUTED_VALUE"""),"")</f>
        <v/>
      </c>
      <c r="W692" s="52" t="str">
        <f>IFERROR(__xludf.DUMMYFUNCTION("""COMPUTED_VALUE"""),"")</f>
        <v/>
      </c>
      <c r="X692" s="52" t="str">
        <f>IFERROR(__xludf.DUMMYFUNCTION("""COMPUTED_VALUE"""),"")</f>
        <v/>
      </c>
      <c r="Y692" s="52" t="str">
        <f>IFERROR(__xludf.DUMMYFUNCTION("""COMPUTED_VALUE"""),"")</f>
        <v/>
      </c>
      <c r="Z692" s="52" t="str">
        <f>IFERROR(__xludf.DUMMYFUNCTION("""COMPUTED_VALUE"""),"")</f>
        <v/>
      </c>
      <c r="AA692" s="52" t="str">
        <f>IFERROR(__xludf.DUMMYFUNCTION("""COMPUTED_VALUE"""),"")</f>
        <v/>
      </c>
      <c r="AB692" s="52" t="str">
        <f>IFERROR(__xludf.DUMMYFUNCTION("""COMPUTED_VALUE"""),"")</f>
        <v/>
      </c>
      <c r="AC692" s="52" t="str">
        <f>IFERROR(__xludf.DUMMYFUNCTION("""COMPUTED_VALUE"""),"")</f>
        <v/>
      </c>
      <c r="AD692" s="52" t="str">
        <f>IFERROR(__xludf.DUMMYFUNCTION("""COMPUTED_VALUE"""),"")</f>
        <v/>
      </c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</row>
    <row r="693">
      <c r="B693" s="49"/>
      <c r="C693" s="49" t="str">
        <f t="shared" si="2"/>
        <v/>
      </c>
      <c r="D693" s="50" t="str">
        <f t="shared" si="3"/>
        <v/>
      </c>
      <c r="E693" s="51" t="str">
        <f t="shared" ref="E693:T693" si="694">IFERROR(VLOOKUP($A693,INDIRECT("'" &amp; E$1 &amp; "'!$C:$G"), 5, FALSE),"")</f>
        <v/>
      </c>
      <c r="F693" s="51" t="str">
        <f t="shared" si="694"/>
        <v/>
      </c>
      <c r="G693" s="51" t="str">
        <f t="shared" si="694"/>
        <v/>
      </c>
      <c r="H693" s="51" t="str">
        <f t="shared" si="694"/>
        <v/>
      </c>
      <c r="I693" s="51" t="str">
        <f t="shared" si="694"/>
        <v/>
      </c>
      <c r="J693" s="51" t="str">
        <f t="shared" si="694"/>
        <v/>
      </c>
      <c r="K693" s="51" t="str">
        <f t="shared" si="694"/>
        <v/>
      </c>
      <c r="L693" s="51" t="str">
        <f t="shared" si="694"/>
        <v/>
      </c>
      <c r="M693" s="51" t="str">
        <f t="shared" si="694"/>
        <v/>
      </c>
      <c r="N693" s="51" t="str">
        <f t="shared" si="694"/>
        <v/>
      </c>
      <c r="O693" s="51" t="str">
        <f t="shared" si="694"/>
        <v/>
      </c>
      <c r="P693" s="51" t="str">
        <f t="shared" si="694"/>
        <v/>
      </c>
      <c r="Q693" s="51" t="str">
        <f t="shared" si="694"/>
        <v/>
      </c>
      <c r="R693" s="51" t="str">
        <f t="shared" si="694"/>
        <v/>
      </c>
      <c r="S693" s="51" t="str">
        <f t="shared" si="694"/>
        <v/>
      </c>
      <c r="T693" s="51" t="str">
        <f t="shared" si="694"/>
        <v/>
      </c>
      <c r="U693" s="52"/>
      <c r="V693" s="52" t="str">
        <f>IFERROR(__xludf.DUMMYFUNCTION("""COMPUTED_VALUE"""),"")</f>
        <v/>
      </c>
      <c r="W693" s="52" t="str">
        <f>IFERROR(__xludf.DUMMYFUNCTION("""COMPUTED_VALUE"""),"")</f>
        <v/>
      </c>
      <c r="X693" s="52" t="str">
        <f>IFERROR(__xludf.DUMMYFUNCTION("""COMPUTED_VALUE"""),"")</f>
        <v/>
      </c>
      <c r="Y693" s="52" t="str">
        <f>IFERROR(__xludf.DUMMYFUNCTION("""COMPUTED_VALUE"""),"")</f>
        <v/>
      </c>
      <c r="Z693" s="52" t="str">
        <f>IFERROR(__xludf.DUMMYFUNCTION("""COMPUTED_VALUE"""),"")</f>
        <v/>
      </c>
      <c r="AA693" s="52" t="str">
        <f>IFERROR(__xludf.DUMMYFUNCTION("""COMPUTED_VALUE"""),"")</f>
        <v/>
      </c>
      <c r="AB693" s="52" t="str">
        <f>IFERROR(__xludf.DUMMYFUNCTION("""COMPUTED_VALUE"""),"")</f>
        <v/>
      </c>
      <c r="AC693" s="52" t="str">
        <f>IFERROR(__xludf.DUMMYFUNCTION("""COMPUTED_VALUE"""),"")</f>
        <v/>
      </c>
      <c r="AD693" s="52" t="str">
        <f>IFERROR(__xludf.DUMMYFUNCTION("""COMPUTED_VALUE"""),"")</f>
        <v/>
      </c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</row>
    <row r="694">
      <c r="B694" s="49"/>
      <c r="C694" s="49" t="str">
        <f t="shared" si="2"/>
        <v/>
      </c>
      <c r="D694" s="50" t="str">
        <f t="shared" si="3"/>
        <v/>
      </c>
      <c r="E694" s="51" t="str">
        <f t="shared" ref="E694:T694" si="695">IFERROR(VLOOKUP($A694,INDIRECT("'" &amp; E$1 &amp; "'!$C:$G"), 5, FALSE),"")</f>
        <v/>
      </c>
      <c r="F694" s="51" t="str">
        <f t="shared" si="695"/>
        <v/>
      </c>
      <c r="G694" s="51" t="str">
        <f t="shared" si="695"/>
        <v/>
      </c>
      <c r="H694" s="51" t="str">
        <f t="shared" si="695"/>
        <v/>
      </c>
      <c r="I694" s="51" t="str">
        <f t="shared" si="695"/>
        <v/>
      </c>
      <c r="J694" s="51" t="str">
        <f t="shared" si="695"/>
        <v/>
      </c>
      <c r="K694" s="51" t="str">
        <f t="shared" si="695"/>
        <v/>
      </c>
      <c r="L694" s="51" t="str">
        <f t="shared" si="695"/>
        <v/>
      </c>
      <c r="M694" s="51" t="str">
        <f t="shared" si="695"/>
        <v/>
      </c>
      <c r="N694" s="51" t="str">
        <f t="shared" si="695"/>
        <v/>
      </c>
      <c r="O694" s="51" t="str">
        <f t="shared" si="695"/>
        <v/>
      </c>
      <c r="P694" s="51" t="str">
        <f t="shared" si="695"/>
        <v/>
      </c>
      <c r="Q694" s="51" t="str">
        <f t="shared" si="695"/>
        <v/>
      </c>
      <c r="R694" s="51" t="str">
        <f t="shared" si="695"/>
        <v/>
      </c>
      <c r="S694" s="51" t="str">
        <f t="shared" si="695"/>
        <v/>
      </c>
      <c r="T694" s="51" t="str">
        <f t="shared" si="695"/>
        <v/>
      </c>
      <c r="U694" s="52"/>
      <c r="V694" s="52" t="str">
        <f>IFERROR(__xludf.DUMMYFUNCTION("""COMPUTED_VALUE"""),"")</f>
        <v/>
      </c>
      <c r="W694" s="52" t="str">
        <f>IFERROR(__xludf.DUMMYFUNCTION("""COMPUTED_VALUE"""),"")</f>
        <v/>
      </c>
      <c r="X694" s="52" t="str">
        <f>IFERROR(__xludf.DUMMYFUNCTION("""COMPUTED_VALUE"""),"")</f>
        <v/>
      </c>
      <c r="Y694" s="52" t="str">
        <f>IFERROR(__xludf.DUMMYFUNCTION("""COMPUTED_VALUE"""),"")</f>
        <v/>
      </c>
      <c r="Z694" s="52" t="str">
        <f>IFERROR(__xludf.DUMMYFUNCTION("""COMPUTED_VALUE"""),"")</f>
        <v/>
      </c>
      <c r="AA694" s="52" t="str">
        <f>IFERROR(__xludf.DUMMYFUNCTION("""COMPUTED_VALUE"""),"")</f>
        <v/>
      </c>
      <c r="AB694" s="52" t="str">
        <f>IFERROR(__xludf.DUMMYFUNCTION("""COMPUTED_VALUE"""),"")</f>
        <v/>
      </c>
      <c r="AC694" s="52" t="str">
        <f>IFERROR(__xludf.DUMMYFUNCTION("""COMPUTED_VALUE"""),"")</f>
        <v/>
      </c>
      <c r="AD694" s="52" t="str">
        <f>IFERROR(__xludf.DUMMYFUNCTION("""COMPUTED_VALUE"""),"")</f>
        <v/>
      </c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</row>
    <row r="695">
      <c r="B695" s="49"/>
      <c r="C695" s="49" t="str">
        <f t="shared" si="2"/>
        <v/>
      </c>
      <c r="D695" s="50" t="str">
        <f t="shared" si="3"/>
        <v/>
      </c>
      <c r="E695" s="51" t="str">
        <f t="shared" ref="E695:T695" si="696">IFERROR(VLOOKUP($A695,INDIRECT("'" &amp; E$1 &amp; "'!$C:$G"), 5, FALSE),"")</f>
        <v/>
      </c>
      <c r="F695" s="51" t="str">
        <f t="shared" si="696"/>
        <v/>
      </c>
      <c r="G695" s="51" t="str">
        <f t="shared" si="696"/>
        <v/>
      </c>
      <c r="H695" s="51" t="str">
        <f t="shared" si="696"/>
        <v/>
      </c>
      <c r="I695" s="51" t="str">
        <f t="shared" si="696"/>
        <v/>
      </c>
      <c r="J695" s="51" t="str">
        <f t="shared" si="696"/>
        <v/>
      </c>
      <c r="K695" s="51" t="str">
        <f t="shared" si="696"/>
        <v/>
      </c>
      <c r="L695" s="51" t="str">
        <f t="shared" si="696"/>
        <v/>
      </c>
      <c r="M695" s="51" t="str">
        <f t="shared" si="696"/>
        <v/>
      </c>
      <c r="N695" s="51" t="str">
        <f t="shared" si="696"/>
        <v/>
      </c>
      <c r="O695" s="51" t="str">
        <f t="shared" si="696"/>
        <v/>
      </c>
      <c r="P695" s="51" t="str">
        <f t="shared" si="696"/>
        <v/>
      </c>
      <c r="Q695" s="51" t="str">
        <f t="shared" si="696"/>
        <v/>
      </c>
      <c r="R695" s="51" t="str">
        <f t="shared" si="696"/>
        <v/>
      </c>
      <c r="S695" s="51" t="str">
        <f t="shared" si="696"/>
        <v/>
      </c>
      <c r="T695" s="51" t="str">
        <f t="shared" si="696"/>
        <v/>
      </c>
      <c r="U695" s="52"/>
      <c r="V695" s="52" t="str">
        <f>IFERROR(__xludf.DUMMYFUNCTION("""COMPUTED_VALUE"""),"")</f>
        <v/>
      </c>
      <c r="W695" s="52" t="str">
        <f>IFERROR(__xludf.DUMMYFUNCTION("""COMPUTED_VALUE"""),"")</f>
        <v/>
      </c>
      <c r="X695" s="52" t="str">
        <f>IFERROR(__xludf.DUMMYFUNCTION("""COMPUTED_VALUE"""),"")</f>
        <v/>
      </c>
      <c r="Y695" s="52" t="str">
        <f>IFERROR(__xludf.DUMMYFUNCTION("""COMPUTED_VALUE"""),"")</f>
        <v/>
      </c>
      <c r="Z695" s="52" t="str">
        <f>IFERROR(__xludf.DUMMYFUNCTION("""COMPUTED_VALUE"""),"")</f>
        <v/>
      </c>
      <c r="AA695" s="52" t="str">
        <f>IFERROR(__xludf.DUMMYFUNCTION("""COMPUTED_VALUE"""),"")</f>
        <v/>
      </c>
      <c r="AB695" s="52" t="str">
        <f>IFERROR(__xludf.DUMMYFUNCTION("""COMPUTED_VALUE"""),"")</f>
        <v/>
      </c>
      <c r="AC695" s="52" t="str">
        <f>IFERROR(__xludf.DUMMYFUNCTION("""COMPUTED_VALUE"""),"")</f>
        <v/>
      </c>
      <c r="AD695" s="52" t="str">
        <f>IFERROR(__xludf.DUMMYFUNCTION("""COMPUTED_VALUE"""),"")</f>
        <v/>
      </c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</row>
    <row r="696">
      <c r="B696" s="49"/>
      <c r="C696" s="49" t="str">
        <f t="shared" si="2"/>
        <v/>
      </c>
      <c r="D696" s="50" t="str">
        <f t="shared" si="3"/>
        <v/>
      </c>
      <c r="E696" s="51" t="str">
        <f t="shared" ref="E696:T696" si="697">IFERROR(VLOOKUP($A696,INDIRECT("'" &amp; E$1 &amp; "'!$C:$G"), 5, FALSE),"")</f>
        <v/>
      </c>
      <c r="F696" s="51" t="str">
        <f t="shared" si="697"/>
        <v/>
      </c>
      <c r="G696" s="51" t="str">
        <f t="shared" si="697"/>
        <v/>
      </c>
      <c r="H696" s="51" t="str">
        <f t="shared" si="697"/>
        <v/>
      </c>
      <c r="I696" s="51" t="str">
        <f t="shared" si="697"/>
        <v/>
      </c>
      <c r="J696" s="51" t="str">
        <f t="shared" si="697"/>
        <v/>
      </c>
      <c r="K696" s="51" t="str">
        <f t="shared" si="697"/>
        <v/>
      </c>
      <c r="L696" s="51" t="str">
        <f t="shared" si="697"/>
        <v/>
      </c>
      <c r="M696" s="51" t="str">
        <f t="shared" si="697"/>
        <v/>
      </c>
      <c r="N696" s="51" t="str">
        <f t="shared" si="697"/>
        <v/>
      </c>
      <c r="O696" s="51" t="str">
        <f t="shared" si="697"/>
        <v/>
      </c>
      <c r="P696" s="51" t="str">
        <f t="shared" si="697"/>
        <v/>
      </c>
      <c r="Q696" s="51" t="str">
        <f t="shared" si="697"/>
        <v/>
      </c>
      <c r="R696" s="51" t="str">
        <f t="shared" si="697"/>
        <v/>
      </c>
      <c r="S696" s="51" t="str">
        <f t="shared" si="697"/>
        <v/>
      </c>
      <c r="T696" s="51" t="str">
        <f t="shared" si="697"/>
        <v/>
      </c>
      <c r="U696" s="52"/>
      <c r="V696" s="52" t="str">
        <f>IFERROR(__xludf.DUMMYFUNCTION("""COMPUTED_VALUE"""),"")</f>
        <v/>
      </c>
      <c r="W696" s="52" t="str">
        <f>IFERROR(__xludf.DUMMYFUNCTION("""COMPUTED_VALUE"""),"")</f>
        <v/>
      </c>
      <c r="X696" s="52" t="str">
        <f>IFERROR(__xludf.DUMMYFUNCTION("""COMPUTED_VALUE"""),"")</f>
        <v/>
      </c>
      <c r="Y696" s="52" t="str">
        <f>IFERROR(__xludf.DUMMYFUNCTION("""COMPUTED_VALUE"""),"")</f>
        <v/>
      </c>
      <c r="Z696" s="52" t="str">
        <f>IFERROR(__xludf.DUMMYFUNCTION("""COMPUTED_VALUE"""),"")</f>
        <v/>
      </c>
      <c r="AA696" s="52" t="str">
        <f>IFERROR(__xludf.DUMMYFUNCTION("""COMPUTED_VALUE"""),"")</f>
        <v/>
      </c>
      <c r="AB696" s="52" t="str">
        <f>IFERROR(__xludf.DUMMYFUNCTION("""COMPUTED_VALUE"""),"")</f>
        <v/>
      </c>
      <c r="AC696" s="52" t="str">
        <f>IFERROR(__xludf.DUMMYFUNCTION("""COMPUTED_VALUE"""),"")</f>
        <v/>
      </c>
      <c r="AD696" s="52" t="str">
        <f>IFERROR(__xludf.DUMMYFUNCTION("""COMPUTED_VALUE"""),"")</f>
        <v/>
      </c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</row>
    <row r="697">
      <c r="B697" s="49"/>
      <c r="C697" s="49" t="str">
        <f t="shared" si="2"/>
        <v/>
      </c>
      <c r="D697" s="50" t="str">
        <f t="shared" si="3"/>
        <v/>
      </c>
      <c r="E697" s="51" t="str">
        <f t="shared" ref="E697:T697" si="698">IFERROR(VLOOKUP($A697,INDIRECT("'" &amp; E$1 &amp; "'!$C:$G"), 5, FALSE),"")</f>
        <v/>
      </c>
      <c r="F697" s="51" t="str">
        <f t="shared" si="698"/>
        <v/>
      </c>
      <c r="G697" s="51" t="str">
        <f t="shared" si="698"/>
        <v/>
      </c>
      <c r="H697" s="51" t="str">
        <f t="shared" si="698"/>
        <v/>
      </c>
      <c r="I697" s="51" t="str">
        <f t="shared" si="698"/>
        <v/>
      </c>
      <c r="J697" s="51" t="str">
        <f t="shared" si="698"/>
        <v/>
      </c>
      <c r="K697" s="51" t="str">
        <f t="shared" si="698"/>
        <v/>
      </c>
      <c r="L697" s="51" t="str">
        <f t="shared" si="698"/>
        <v/>
      </c>
      <c r="M697" s="51" t="str">
        <f t="shared" si="698"/>
        <v/>
      </c>
      <c r="N697" s="51" t="str">
        <f t="shared" si="698"/>
        <v/>
      </c>
      <c r="O697" s="51" t="str">
        <f t="shared" si="698"/>
        <v/>
      </c>
      <c r="P697" s="51" t="str">
        <f t="shared" si="698"/>
        <v/>
      </c>
      <c r="Q697" s="51" t="str">
        <f t="shared" si="698"/>
        <v/>
      </c>
      <c r="R697" s="51" t="str">
        <f t="shared" si="698"/>
        <v/>
      </c>
      <c r="S697" s="51" t="str">
        <f t="shared" si="698"/>
        <v/>
      </c>
      <c r="T697" s="51" t="str">
        <f t="shared" si="698"/>
        <v/>
      </c>
      <c r="U697" s="52"/>
      <c r="V697" s="52" t="str">
        <f>IFERROR(__xludf.DUMMYFUNCTION("""COMPUTED_VALUE"""),"")</f>
        <v/>
      </c>
      <c r="W697" s="52" t="str">
        <f>IFERROR(__xludf.DUMMYFUNCTION("""COMPUTED_VALUE"""),"")</f>
        <v/>
      </c>
      <c r="X697" s="52" t="str">
        <f>IFERROR(__xludf.DUMMYFUNCTION("""COMPUTED_VALUE"""),"")</f>
        <v/>
      </c>
      <c r="Y697" s="52" t="str">
        <f>IFERROR(__xludf.DUMMYFUNCTION("""COMPUTED_VALUE"""),"")</f>
        <v/>
      </c>
      <c r="Z697" s="52" t="str">
        <f>IFERROR(__xludf.DUMMYFUNCTION("""COMPUTED_VALUE"""),"")</f>
        <v/>
      </c>
      <c r="AA697" s="52" t="str">
        <f>IFERROR(__xludf.DUMMYFUNCTION("""COMPUTED_VALUE"""),"")</f>
        <v/>
      </c>
      <c r="AB697" s="52" t="str">
        <f>IFERROR(__xludf.DUMMYFUNCTION("""COMPUTED_VALUE"""),"")</f>
        <v/>
      </c>
      <c r="AC697" s="52" t="str">
        <f>IFERROR(__xludf.DUMMYFUNCTION("""COMPUTED_VALUE"""),"")</f>
        <v/>
      </c>
      <c r="AD697" s="52" t="str">
        <f>IFERROR(__xludf.DUMMYFUNCTION("""COMPUTED_VALUE"""),"")</f>
        <v/>
      </c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</row>
    <row r="698">
      <c r="B698" s="49"/>
      <c r="C698" s="49" t="str">
        <f t="shared" si="2"/>
        <v/>
      </c>
      <c r="D698" s="50" t="str">
        <f t="shared" si="3"/>
        <v/>
      </c>
      <c r="E698" s="51" t="str">
        <f t="shared" ref="E698:T698" si="699">IFERROR(VLOOKUP($A698,INDIRECT("'" &amp; E$1 &amp; "'!$C:$G"), 5, FALSE),"")</f>
        <v/>
      </c>
      <c r="F698" s="51" t="str">
        <f t="shared" si="699"/>
        <v/>
      </c>
      <c r="G698" s="51" t="str">
        <f t="shared" si="699"/>
        <v/>
      </c>
      <c r="H698" s="51" t="str">
        <f t="shared" si="699"/>
        <v/>
      </c>
      <c r="I698" s="51" t="str">
        <f t="shared" si="699"/>
        <v/>
      </c>
      <c r="J698" s="51" t="str">
        <f t="shared" si="699"/>
        <v/>
      </c>
      <c r="K698" s="51" t="str">
        <f t="shared" si="699"/>
        <v/>
      </c>
      <c r="L698" s="51" t="str">
        <f t="shared" si="699"/>
        <v/>
      </c>
      <c r="M698" s="51" t="str">
        <f t="shared" si="699"/>
        <v/>
      </c>
      <c r="N698" s="51" t="str">
        <f t="shared" si="699"/>
        <v/>
      </c>
      <c r="O698" s="51" t="str">
        <f t="shared" si="699"/>
        <v/>
      </c>
      <c r="P698" s="51" t="str">
        <f t="shared" si="699"/>
        <v/>
      </c>
      <c r="Q698" s="51" t="str">
        <f t="shared" si="699"/>
        <v/>
      </c>
      <c r="R698" s="51" t="str">
        <f t="shared" si="699"/>
        <v/>
      </c>
      <c r="S698" s="51" t="str">
        <f t="shared" si="699"/>
        <v/>
      </c>
      <c r="T698" s="51" t="str">
        <f t="shared" si="699"/>
        <v/>
      </c>
      <c r="U698" s="52"/>
      <c r="V698" s="52" t="str">
        <f>IFERROR(__xludf.DUMMYFUNCTION("""COMPUTED_VALUE"""),"")</f>
        <v/>
      </c>
      <c r="W698" s="52" t="str">
        <f>IFERROR(__xludf.DUMMYFUNCTION("""COMPUTED_VALUE"""),"")</f>
        <v/>
      </c>
      <c r="X698" s="52" t="str">
        <f>IFERROR(__xludf.DUMMYFUNCTION("""COMPUTED_VALUE"""),"")</f>
        <v/>
      </c>
      <c r="Y698" s="52" t="str">
        <f>IFERROR(__xludf.DUMMYFUNCTION("""COMPUTED_VALUE"""),"")</f>
        <v/>
      </c>
      <c r="Z698" s="52" t="str">
        <f>IFERROR(__xludf.DUMMYFUNCTION("""COMPUTED_VALUE"""),"")</f>
        <v/>
      </c>
      <c r="AA698" s="52" t="str">
        <f>IFERROR(__xludf.DUMMYFUNCTION("""COMPUTED_VALUE"""),"")</f>
        <v/>
      </c>
      <c r="AB698" s="52" t="str">
        <f>IFERROR(__xludf.DUMMYFUNCTION("""COMPUTED_VALUE"""),"")</f>
        <v/>
      </c>
      <c r="AC698" s="52" t="str">
        <f>IFERROR(__xludf.DUMMYFUNCTION("""COMPUTED_VALUE"""),"")</f>
        <v/>
      </c>
      <c r="AD698" s="52" t="str">
        <f>IFERROR(__xludf.DUMMYFUNCTION("""COMPUTED_VALUE"""),"")</f>
        <v/>
      </c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</row>
    <row r="699">
      <c r="B699" s="49"/>
      <c r="C699" s="49" t="str">
        <f t="shared" si="2"/>
        <v/>
      </c>
      <c r="D699" s="50" t="str">
        <f t="shared" si="3"/>
        <v/>
      </c>
      <c r="E699" s="51" t="str">
        <f t="shared" ref="E699:T699" si="700">IFERROR(VLOOKUP($A699,INDIRECT("'" &amp; E$1 &amp; "'!$C:$G"), 5, FALSE),"")</f>
        <v/>
      </c>
      <c r="F699" s="51" t="str">
        <f t="shared" si="700"/>
        <v/>
      </c>
      <c r="G699" s="51" t="str">
        <f t="shared" si="700"/>
        <v/>
      </c>
      <c r="H699" s="51" t="str">
        <f t="shared" si="700"/>
        <v/>
      </c>
      <c r="I699" s="51" t="str">
        <f t="shared" si="700"/>
        <v/>
      </c>
      <c r="J699" s="51" t="str">
        <f t="shared" si="700"/>
        <v/>
      </c>
      <c r="K699" s="51" t="str">
        <f t="shared" si="700"/>
        <v/>
      </c>
      <c r="L699" s="51" t="str">
        <f t="shared" si="700"/>
        <v/>
      </c>
      <c r="M699" s="51" t="str">
        <f t="shared" si="700"/>
        <v/>
      </c>
      <c r="N699" s="51" t="str">
        <f t="shared" si="700"/>
        <v/>
      </c>
      <c r="O699" s="51" t="str">
        <f t="shared" si="700"/>
        <v/>
      </c>
      <c r="P699" s="51" t="str">
        <f t="shared" si="700"/>
        <v/>
      </c>
      <c r="Q699" s="51" t="str">
        <f t="shared" si="700"/>
        <v/>
      </c>
      <c r="R699" s="51" t="str">
        <f t="shared" si="700"/>
        <v/>
      </c>
      <c r="S699" s="51" t="str">
        <f t="shared" si="700"/>
        <v/>
      </c>
      <c r="T699" s="51" t="str">
        <f t="shared" si="700"/>
        <v/>
      </c>
      <c r="U699" s="52"/>
      <c r="V699" s="52" t="str">
        <f>IFERROR(__xludf.DUMMYFUNCTION("""COMPUTED_VALUE"""),"")</f>
        <v/>
      </c>
      <c r="W699" s="52" t="str">
        <f>IFERROR(__xludf.DUMMYFUNCTION("""COMPUTED_VALUE"""),"")</f>
        <v/>
      </c>
      <c r="X699" s="52" t="str">
        <f>IFERROR(__xludf.DUMMYFUNCTION("""COMPUTED_VALUE"""),"")</f>
        <v/>
      </c>
      <c r="Y699" s="52" t="str">
        <f>IFERROR(__xludf.DUMMYFUNCTION("""COMPUTED_VALUE"""),"")</f>
        <v/>
      </c>
      <c r="Z699" s="52" t="str">
        <f>IFERROR(__xludf.DUMMYFUNCTION("""COMPUTED_VALUE"""),"")</f>
        <v/>
      </c>
      <c r="AA699" s="52" t="str">
        <f>IFERROR(__xludf.DUMMYFUNCTION("""COMPUTED_VALUE"""),"")</f>
        <v/>
      </c>
      <c r="AB699" s="52" t="str">
        <f>IFERROR(__xludf.DUMMYFUNCTION("""COMPUTED_VALUE"""),"")</f>
        <v/>
      </c>
      <c r="AC699" s="52" t="str">
        <f>IFERROR(__xludf.DUMMYFUNCTION("""COMPUTED_VALUE"""),"")</f>
        <v/>
      </c>
      <c r="AD699" s="52" t="str">
        <f>IFERROR(__xludf.DUMMYFUNCTION("""COMPUTED_VALUE"""),"")</f>
        <v/>
      </c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</row>
    <row r="700">
      <c r="B700" s="49"/>
      <c r="C700" s="49" t="str">
        <f t="shared" si="2"/>
        <v/>
      </c>
      <c r="D700" s="50" t="str">
        <f t="shared" si="3"/>
        <v/>
      </c>
      <c r="E700" s="51" t="str">
        <f t="shared" ref="E700:T700" si="701">IFERROR(VLOOKUP($A700,INDIRECT("'" &amp; E$1 &amp; "'!$C:$G"), 5, FALSE),"")</f>
        <v/>
      </c>
      <c r="F700" s="51" t="str">
        <f t="shared" si="701"/>
        <v/>
      </c>
      <c r="G700" s="51" t="str">
        <f t="shared" si="701"/>
        <v/>
      </c>
      <c r="H700" s="51" t="str">
        <f t="shared" si="701"/>
        <v/>
      </c>
      <c r="I700" s="51" t="str">
        <f t="shared" si="701"/>
        <v/>
      </c>
      <c r="J700" s="51" t="str">
        <f t="shared" si="701"/>
        <v/>
      </c>
      <c r="K700" s="51" t="str">
        <f t="shared" si="701"/>
        <v/>
      </c>
      <c r="L700" s="51" t="str">
        <f t="shared" si="701"/>
        <v/>
      </c>
      <c r="M700" s="51" t="str">
        <f t="shared" si="701"/>
        <v/>
      </c>
      <c r="N700" s="51" t="str">
        <f t="shared" si="701"/>
        <v/>
      </c>
      <c r="O700" s="51" t="str">
        <f t="shared" si="701"/>
        <v/>
      </c>
      <c r="P700" s="51" t="str">
        <f t="shared" si="701"/>
        <v/>
      </c>
      <c r="Q700" s="51" t="str">
        <f t="shared" si="701"/>
        <v/>
      </c>
      <c r="R700" s="51" t="str">
        <f t="shared" si="701"/>
        <v/>
      </c>
      <c r="S700" s="51" t="str">
        <f t="shared" si="701"/>
        <v/>
      </c>
      <c r="T700" s="51" t="str">
        <f t="shared" si="701"/>
        <v/>
      </c>
      <c r="U700" s="52"/>
      <c r="V700" s="52" t="str">
        <f>IFERROR(__xludf.DUMMYFUNCTION("""COMPUTED_VALUE"""),"")</f>
        <v/>
      </c>
      <c r="W700" s="52" t="str">
        <f>IFERROR(__xludf.DUMMYFUNCTION("""COMPUTED_VALUE"""),"")</f>
        <v/>
      </c>
      <c r="X700" s="52" t="str">
        <f>IFERROR(__xludf.DUMMYFUNCTION("""COMPUTED_VALUE"""),"")</f>
        <v/>
      </c>
      <c r="Y700" s="52" t="str">
        <f>IFERROR(__xludf.DUMMYFUNCTION("""COMPUTED_VALUE"""),"")</f>
        <v/>
      </c>
      <c r="Z700" s="52" t="str">
        <f>IFERROR(__xludf.DUMMYFUNCTION("""COMPUTED_VALUE"""),"")</f>
        <v/>
      </c>
      <c r="AA700" s="52" t="str">
        <f>IFERROR(__xludf.DUMMYFUNCTION("""COMPUTED_VALUE"""),"")</f>
        <v/>
      </c>
      <c r="AB700" s="52" t="str">
        <f>IFERROR(__xludf.DUMMYFUNCTION("""COMPUTED_VALUE"""),"")</f>
        <v/>
      </c>
      <c r="AC700" s="52" t="str">
        <f>IFERROR(__xludf.DUMMYFUNCTION("""COMPUTED_VALUE"""),"")</f>
        <v/>
      </c>
      <c r="AD700" s="52" t="str">
        <f>IFERROR(__xludf.DUMMYFUNCTION("""COMPUTED_VALUE"""),"")</f>
        <v/>
      </c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</row>
    <row r="701">
      <c r="B701" s="49"/>
      <c r="C701" s="49" t="str">
        <f t="shared" si="2"/>
        <v/>
      </c>
      <c r="D701" s="50" t="str">
        <f t="shared" si="3"/>
        <v/>
      </c>
      <c r="E701" s="51" t="str">
        <f t="shared" ref="E701:T701" si="702">IFERROR(VLOOKUP($A701,INDIRECT("'" &amp; E$1 &amp; "'!$C:$G"), 5, FALSE),"")</f>
        <v/>
      </c>
      <c r="F701" s="51" t="str">
        <f t="shared" si="702"/>
        <v/>
      </c>
      <c r="G701" s="51" t="str">
        <f t="shared" si="702"/>
        <v/>
      </c>
      <c r="H701" s="51" t="str">
        <f t="shared" si="702"/>
        <v/>
      </c>
      <c r="I701" s="51" t="str">
        <f t="shared" si="702"/>
        <v/>
      </c>
      <c r="J701" s="51" t="str">
        <f t="shared" si="702"/>
        <v/>
      </c>
      <c r="K701" s="51" t="str">
        <f t="shared" si="702"/>
        <v/>
      </c>
      <c r="L701" s="51" t="str">
        <f t="shared" si="702"/>
        <v/>
      </c>
      <c r="M701" s="51" t="str">
        <f t="shared" si="702"/>
        <v/>
      </c>
      <c r="N701" s="51" t="str">
        <f t="shared" si="702"/>
        <v/>
      </c>
      <c r="O701" s="51" t="str">
        <f t="shared" si="702"/>
        <v/>
      </c>
      <c r="P701" s="51" t="str">
        <f t="shared" si="702"/>
        <v/>
      </c>
      <c r="Q701" s="51" t="str">
        <f t="shared" si="702"/>
        <v/>
      </c>
      <c r="R701" s="51" t="str">
        <f t="shared" si="702"/>
        <v/>
      </c>
      <c r="S701" s="51" t="str">
        <f t="shared" si="702"/>
        <v/>
      </c>
      <c r="T701" s="51" t="str">
        <f t="shared" si="702"/>
        <v/>
      </c>
      <c r="U701" s="52"/>
      <c r="V701" s="52" t="str">
        <f>IFERROR(__xludf.DUMMYFUNCTION("""COMPUTED_VALUE"""),"")</f>
        <v/>
      </c>
      <c r="W701" s="52" t="str">
        <f>IFERROR(__xludf.DUMMYFUNCTION("""COMPUTED_VALUE"""),"")</f>
        <v/>
      </c>
      <c r="X701" s="52" t="str">
        <f>IFERROR(__xludf.DUMMYFUNCTION("""COMPUTED_VALUE"""),"")</f>
        <v/>
      </c>
      <c r="Y701" s="52" t="str">
        <f>IFERROR(__xludf.DUMMYFUNCTION("""COMPUTED_VALUE"""),"")</f>
        <v/>
      </c>
      <c r="Z701" s="52" t="str">
        <f>IFERROR(__xludf.DUMMYFUNCTION("""COMPUTED_VALUE"""),"")</f>
        <v/>
      </c>
      <c r="AA701" s="52" t="str">
        <f>IFERROR(__xludf.DUMMYFUNCTION("""COMPUTED_VALUE"""),"")</f>
        <v/>
      </c>
      <c r="AB701" s="52" t="str">
        <f>IFERROR(__xludf.DUMMYFUNCTION("""COMPUTED_VALUE"""),"")</f>
        <v/>
      </c>
      <c r="AC701" s="52" t="str">
        <f>IFERROR(__xludf.DUMMYFUNCTION("""COMPUTED_VALUE"""),"")</f>
        <v/>
      </c>
      <c r="AD701" s="52" t="str">
        <f>IFERROR(__xludf.DUMMYFUNCTION("""COMPUTED_VALUE"""),"")</f>
        <v/>
      </c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</row>
    <row r="702">
      <c r="B702" s="49"/>
      <c r="C702" s="49" t="str">
        <f t="shared" si="2"/>
        <v/>
      </c>
      <c r="D702" s="50" t="str">
        <f t="shared" si="3"/>
        <v/>
      </c>
      <c r="E702" s="51" t="str">
        <f t="shared" ref="E702:T702" si="703">IFERROR(VLOOKUP($A702,INDIRECT("'" &amp; E$1 &amp; "'!$C:$G"), 5, FALSE),"")</f>
        <v/>
      </c>
      <c r="F702" s="51" t="str">
        <f t="shared" si="703"/>
        <v/>
      </c>
      <c r="G702" s="51" t="str">
        <f t="shared" si="703"/>
        <v/>
      </c>
      <c r="H702" s="51" t="str">
        <f t="shared" si="703"/>
        <v/>
      </c>
      <c r="I702" s="51" t="str">
        <f t="shared" si="703"/>
        <v/>
      </c>
      <c r="J702" s="51" t="str">
        <f t="shared" si="703"/>
        <v/>
      </c>
      <c r="K702" s="51" t="str">
        <f t="shared" si="703"/>
        <v/>
      </c>
      <c r="L702" s="51" t="str">
        <f t="shared" si="703"/>
        <v/>
      </c>
      <c r="M702" s="51" t="str">
        <f t="shared" si="703"/>
        <v/>
      </c>
      <c r="N702" s="51" t="str">
        <f t="shared" si="703"/>
        <v/>
      </c>
      <c r="O702" s="51" t="str">
        <f t="shared" si="703"/>
        <v/>
      </c>
      <c r="P702" s="51" t="str">
        <f t="shared" si="703"/>
        <v/>
      </c>
      <c r="Q702" s="51" t="str">
        <f t="shared" si="703"/>
        <v/>
      </c>
      <c r="R702" s="51" t="str">
        <f t="shared" si="703"/>
        <v/>
      </c>
      <c r="S702" s="51" t="str">
        <f t="shared" si="703"/>
        <v/>
      </c>
      <c r="T702" s="51" t="str">
        <f t="shared" si="703"/>
        <v/>
      </c>
      <c r="U702" s="52"/>
      <c r="V702" s="52" t="str">
        <f>IFERROR(__xludf.DUMMYFUNCTION("""COMPUTED_VALUE"""),"")</f>
        <v/>
      </c>
      <c r="W702" s="52" t="str">
        <f>IFERROR(__xludf.DUMMYFUNCTION("""COMPUTED_VALUE"""),"")</f>
        <v/>
      </c>
      <c r="X702" s="52" t="str">
        <f>IFERROR(__xludf.DUMMYFUNCTION("""COMPUTED_VALUE"""),"")</f>
        <v/>
      </c>
      <c r="Y702" s="52" t="str">
        <f>IFERROR(__xludf.DUMMYFUNCTION("""COMPUTED_VALUE"""),"")</f>
        <v/>
      </c>
      <c r="Z702" s="52" t="str">
        <f>IFERROR(__xludf.DUMMYFUNCTION("""COMPUTED_VALUE"""),"")</f>
        <v/>
      </c>
      <c r="AA702" s="52" t="str">
        <f>IFERROR(__xludf.DUMMYFUNCTION("""COMPUTED_VALUE"""),"")</f>
        <v/>
      </c>
      <c r="AB702" s="52" t="str">
        <f>IFERROR(__xludf.DUMMYFUNCTION("""COMPUTED_VALUE"""),"")</f>
        <v/>
      </c>
      <c r="AC702" s="52" t="str">
        <f>IFERROR(__xludf.DUMMYFUNCTION("""COMPUTED_VALUE"""),"")</f>
        <v/>
      </c>
      <c r="AD702" s="52" t="str">
        <f>IFERROR(__xludf.DUMMYFUNCTION("""COMPUTED_VALUE"""),"")</f>
        <v/>
      </c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</row>
    <row r="703">
      <c r="B703" s="49"/>
      <c r="C703" s="49" t="str">
        <f t="shared" si="2"/>
        <v/>
      </c>
      <c r="D703" s="50" t="str">
        <f t="shared" si="3"/>
        <v/>
      </c>
      <c r="E703" s="51" t="str">
        <f t="shared" ref="E703:T703" si="704">IFERROR(VLOOKUP($A703,INDIRECT("'" &amp; E$1 &amp; "'!$C:$G"), 5, FALSE),"")</f>
        <v/>
      </c>
      <c r="F703" s="51" t="str">
        <f t="shared" si="704"/>
        <v/>
      </c>
      <c r="G703" s="51" t="str">
        <f t="shared" si="704"/>
        <v/>
      </c>
      <c r="H703" s="51" t="str">
        <f t="shared" si="704"/>
        <v/>
      </c>
      <c r="I703" s="51" t="str">
        <f t="shared" si="704"/>
        <v/>
      </c>
      <c r="J703" s="51" t="str">
        <f t="shared" si="704"/>
        <v/>
      </c>
      <c r="K703" s="51" t="str">
        <f t="shared" si="704"/>
        <v/>
      </c>
      <c r="L703" s="51" t="str">
        <f t="shared" si="704"/>
        <v/>
      </c>
      <c r="M703" s="51" t="str">
        <f t="shared" si="704"/>
        <v/>
      </c>
      <c r="N703" s="51" t="str">
        <f t="shared" si="704"/>
        <v/>
      </c>
      <c r="O703" s="51" t="str">
        <f t="shared" si="704"/>
        <v/>
      </c>
      <c r="P703" s="51" t="str">
        <f t="shared" si="704"/>
        <v/>
      </c>
      <c r="Q703" s="51" t="str">
        <f t="shared" si="704"/>
        <v/>
      </c>
      <c r="R703" s="51" t="str">
        <f t="shared" si="704"/>
        <v/>
      </c>
      <c r="S703" s="51" t="str">
        <f t="shared" si="704"/>
        <v/>
      </c>
      <c r="T703" s="51" t="str">
        <f t="shared" si="704"/>
        <v/>
      </c>
      <c r="U703" s="52"/>
      <c r="V703" s="52" t="str">
        <f>IFERROR(__xludf.DUMMYFUNCTION("""COMPUTED_VALUE"""),"")</f>
        <v/>
      </c>
      <c r="W703" s="52" t="str">
        <f>IFERROR(__xludf.DUMMYFUNCTION("""COMPUTED_VALUE"""),"")</f>
        <v/>
      </c>
      <c r="X703" s="52" t="str">
        <f>IFERROR(__xludf.DUMMYFUNCTION("""COMPUTED_VALUE"""),"")</f>
        <v/>
      </c>
      <c r="Y703" s="52" t="str">
        <f>IFERROR(__xludf.DUMMYFUNCTION("""COMPUTED_VALUE"""),"")</f>
        <v/>
      </c>
      <c r="Z703" s="52" t="str">
        <f>IFERROR(__xludf.DUMMYFUNCTION("""COMPUTED_VALUE"""),"")</f>
        <v/>
      </c>
      <c r="AA703" s="52" t="str">
        <f>IFERROR(__xludf.DUMMYFUNCTION("""COMPUTED_VALUE"""),"")</f>
        <v/>
      </c>
      <c r="AB703" s="52" t="str">
        <f>IFERROR(__xludf.DUMMYFUNCTION("""COMPUTED_VALUE"""),"")</f>
        <v/>
      </c>
      <c r="AC703" s="52" t="str">
        <f>IFERROR(__xludf.DUMMYFUNCTION("""COMPUTED_VALUE"""),"")</f>
        <v/>
      </c>
      <c r="AD703" s="52" t="str">
        <f>IFERROR(__xludf.DUMMYFUNCTION("""COMPUTED_VALUE"""),"")</f>
        <v/>
      </c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</row>
    <row r="704">
      <c r="B704" s="49"/>
      <c r="C704" s="49" t="str">
        <f t="shared" si="2"/>
        <v/>
      </c>
      <c r="D704" s="50" t="str">
        <f t="shared" si="3"/>
        <v/>
      </c>
      <c r="E704" s="51" t="str">
        <f t="shared" ref="E704:T704" si="705">IFERROR(VLOOKUP($A704,INDIRECT("'" &amp; E$1 &amp; "'!$C:$G"), 5, FALSE),"")</f>
        <v/>
      </c>
      <c r="F704" s="51" t="str">
        <f t="shared" si="705"/>
        <v/>
      </c>
      <c r="G704" s="51" t="str">
        <f t="shared" si="705"/>
        <v/>
      </c>
      <c r="H704" s="51" t="str">
        <f t="shared" si="705"/>
        <v/>
      </c>
      <c r="I704" s="51" t="str">
        <f t="shared" si="705"/>
        <v/>
      </c>
      <c r="J704" s="51" t="str">
        <f t="shared" si="705"/>
        <v/>
      </c>
      <c r="K704" s="51" t="str">
        <f t="shared" si="705"/>
        <v/>
      </c>
      <c r="L704" s="51" t="str">
        <f t="shared" si="705"/>
        <v/>
      </c>
      <c r="M704" s="51" t="str">
        <f t="shared" si="705"/>
        <v/>
      </c>
      <c r="N704" s="51" t="str">
        <f t="shared" si="705"/>
        <v/>
      </c>
      <c r="O704" s="51" t="str">
        <f t="shared" si="705"/>
        <v/>
      </c>
      <c r="P704" s="51" t="str">
        <f t="shared" si="705"/>
        <v/>
      </c>
      <c r="Q704" s="51" t="str">
        <f t="shared" si="705"/>
        <v/>
      </c>
      <c r="R704" s="51" t="str">
        <f t="shared" si="705"/>
        <v/>
      </c>
      <c r="S704" s="51" t="str">
        <f t="shared" si="705"/>
        <v/>
      </c>
      <c r="T704" s="51" t="str">
        <f t="shared" si="705"/>
        <v/>
      </c>
      <c r="U704" s="52"/>
      <c r="V704" s="52" t="str">
        <f>IFERROR(__xludf.DUMMYFUNCTION("""COMPUTED_VALUE"""),"")</f>
        <v/>
      </c>
      <c r="W704" s="52" t="str">
        <f>IFERROR(__xludf.DUMMYFUNCTION("""COMPUTED_VALUE"""),"")</f>
        <v/>
      </c>
      <c r="X704" s="52" t="str">
        <f>IFERROR(__xludf.DUMMYFUNCTION("""COMPUTED_VALUE"""),"")</f>
        <v/>
      </c>
      <c r="Y704" s="52" t="str">
        <f>IFERROR(__xludf.DUMMYFUNCTION("""COMPUTED_VALUE"""),"")</f>
        <v/>
      </c>
      <c r="Z704" s="52" t="str">
        <f>IFERROR(__xludf.DUMMYFUNCTION("""COMPUTED_VALUE"""),"")</f>
        <v/>
      </c>
      <c r="AA704" s="52" t="str">
        <f>IFERROR(__xludf.DUMMYFUNCTION("""COMPUTED_VALUE"""),"")</f>
        <v/>
      </c>
      <c r="AB704" s="52" t="str">
        <f>IFERROR(__xludf.DUMMYFUNCTION("""COMPUTED_VALUE"""),"")</f>
        <v/>
      </c>
      <c r="AC704" s="52" t="str">
        <f>IFERROR(__xludf.DUMMYFUNCTION("""COMPUTED_VALUE"""),"")</f>
        <v/>
      </c>
      <c r="AD704" s="52" t="str">
        <f>IFERROR(__xludf.DUMMYFUNCTION("""COMPUTED_VALUE"""),"")</f>
        <v/>
      </c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</row>
    <row r="705">
      <c r="B705" s="49"/>
      <c r="C705" s="49" t="str">
        <f t="shared" si="2"/>
        <v/>
      </c>
      <c r="D705" s="50" t="str">
        <f t="shared" si="3"/>
        <v/>
      </c>
      <c r="E705" s="51" t="str">
        <f t="shared" ref="E705:T705" si="706">IFERROR(VLOOKUP($A705,INDIRECT("'" &amp; E$1 &amp; "'!$C:$G"), 5, FALSE),"")</f>
        <v/>
      </c>
      <c r="F705" s="51" t="str">
        <f t="shared" si="706"/>
        <v/>
      </c>
      <c r="G705" s="51" t="str">
        <f t="shared" si="706"/>
        <v/>
      </c>
      <c r="H705" s="51" t="str">
        <f t="shared" si="706"/>
        <v/>
      </c>
      <c r="I705" s="51" t="str">
        <f t="shared" si="706"/>
        <v/>
      </c>
      <c r="J705" s="51" t="str">
        <f t="shared" si="706"/>
        <v/>
      </c>
      <c r="K705" s="51" t="str">
        <f t="shared" si="706"/>
        <v/>
      </c>
      <c r="L705" s="51" t="str">
        <f t="shared" si="706"/>
        <v/>
      </c>
      <c r="M705" s="51" t="str">
        <f t="shared" si="706"/>
        <v/>
      </c>
      <c r="N705" s="51" t="str">
        <f t="shared" si="706"/>
        <v/>
      </c>
      <c r="O705" s="51" t="str">
        <f t="shared" si="706"/>
        <v/>
      </c>
      <c r="P705" s="51" t="str">
        <f t="shared" si="706"/>
        <v/>
      </c>
      <c r="Q705" s="51" t="str">
        <f t="shared" si="706"/>
        <v/>
      </c>
      <c r="R705" s="51" t="str">
        <f t="shared" si="706"/>
        <v/>
      </c>
      <c r="S705" s="51" t="str">
        <f t="shared" si="706"/>
        <v/>
      </c>
      <c r="T705" s="51" t="str">
        <f t="shared" si="706"/>
        <v/>
      </c>
      <c r="U705" s="52"/>
      <c r="V705" s="52" t="str">
        <f>IFERROR(__xludf.DUMMYFUNCTION("""COMPUTED_VALUE"""),"")</f>
        <v/>
      </c>
      <c r="W705" s="52" t="str">
        <f>IFERROR(__xludf.DUMMYFUNCTION("""COMPUTED_VALUE"""),"")</f>
        <v/>
      </c>
      <c r="X705" s="52" t="str">
        <f>IFERROR(__xludf.DUMMYFUNCTION("""COMPUTED_VALUE"""),"")</f>
        <v/>
      </c>
      <c r="Y705" s="52" t="str">
        <f>IFERROR(__xludf.DUMMYFUNCTION("""COMPUTED_VALUE"""),"")</f>
        <v/>
      </c>
      <c r="Z705" s="52" t="str">
        <f>IFERROR(__xludf.DUMMYFUNCTION("""COMPUTED_VALUE"""),"")</f>
        <v/>
      </c>
      <c r="AA705" s="52" t="str">
        <f>IFERROR(__xludf.DUMMYFUNCTION("""COMPUTED_VALUE"""),"")</f>
        <v/>
      </c>
      <c r="AB705" s="52" t="str">
        <f>IFERROR(__xludf.DUMMYFUNCTION("""COMPUTED_VALUE"""),"")</f>
        <v/>
      </c>
      <c r="AC705" s="52" t="str">
        <f>IFERROR(__xludf.DUMMYFUNCTION("""COMPUTED_VALUE"""),"")</f>
        <v/>
      </c>
      <c r="AD705" s="52" t="str">
        <f>IFERROR(__xludf.DUMMYFUNCTION("""COMPUTED_VALUE"""),"")</f>
        <v/>
      </c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</row>
    <row r="706">
      <c r="B706" s="49"/>
      <c r="C706" s="49" t="str">
        <f t="shared" si="2"/>
        <v/>
      </c>
      <c r="D706" s="50" t="str">
        <f t="shared" si="3"/>
        <v/>
      </c>
      <c r="E706" s="51" t="str">
        <f t="shared" ref="E706:T706" si="707">IFERROR(VLOOKUP($A706,INDIRECT("'" &amp; E$1 &amp; "'!$C:$G"), 5, FALSE),"")</f>
        <v/>
      </c>
      <c r="F706" s="51" t="str">
        <f t="shared" si="707"/>
        <v/>
      </c>
      <c r="G706" s="51" t="str">
        <f t="shared" si="707"/>
        <v/>
      </c>
      <c r="H706" s="51" t="str">
        <f t="shared" si="707"/>
        <v/>
      </c>
      <c r="I706" s="51" t="str">
        <f t="shared" si="707"/>
        <v/>
      </c>
      <c r="J706" s="51" t="str">
        <f t="shared" si="707"/>
        <v/>
      </c>
      <c r="K706" s="51" t="str">
        <f t="shared" si="707"/>
        <v/>
      </c>
      <c r="L706" s="51" t="str">
        <f t="shared" si="707"/>
        <v/>
      </c>
      <c r="M706" s="51" t="str">
        <f t="shared" si="707"/>
        <v/>
      </c>
      <c r="N706" s="51" t="str">
        <f t="shared" si="707"/>
        <v/>
      </c>
      <c r="O706" s="51" t="str">
        <f t="shared" si="707"/>
        <v/>
      </c>
      <c r="P706" s="51" t="str">
        <f t="shared" si="707"/>
        <v/>
      </c>
      <c r="Q706" s="51" t="str">
        <f t="shared" si="707"/>
        <v/>
      </c>
      <c r="R706" s="51" t="str">
        <f t="shared" si="707"/>
        <v/>
      </c>
      <c r="S706" s="51" t="str">
        <f t="shared" si="707"/>
        <v/>
      </c>
      <c r="T706" s="51" t="str">
        <f t="shared" si="707"/>
        <v/>
      </c>
      <c r="U706" s="52"/>
      <c r="V706" s="52" t="str">
        <f>IFERROR(__xludf.DUMMYFUNCTION("""COMPUTED_VALUE"""),"")</f>
        <v/>
      </c>
      <c r="W706" s="52" t="str">
        <f>IFERROR(__xludf.DUMMYFUNCTION("""COMPUTED_VALUE"""),"")</f>
        <v/>
      </c>
      <c r="X706" s="52" t="str">
        <f>IFERROR(__xludf.DUMMYFUNCTION("""COMPUTED_VALUE"""),"")</f>
        <v/>
      </c>
      <c r="Y706" s="52" t="str">
        <f>IFERROR(__xludf.DUMMYFUNCTION("""COMPUTED_VALUE"""),"")</f>
        <v/>
      </c>
      <c r="Z706" s="52" t="str">
        <f>IFERROR(__xludf.DUMMYFUNCTION("""COMPUTED_VALUE"""),"")</f>
        <v/>
      </c>
      <c r="AA706" s="52" t="str">
        <f>IFERROR(__xludf.DUMMYFUNCTION("""COMPUTED_VALUE"""),"")</f>
        <v/>
      </c>
      <c r="AB706" s="52" t="str">
        <f>IFERROR(__xludf.DUMMYFUNCTION("""COMPUTED_VALUE"""),"")</f>
        <v/>
      </c>
      <c r="AC706" s="52" t="str">
        <f>IFERROR(__xludf.DUMMYFUNCTION("""COMPUTED_VALUE"""),"")</f>
        <v/>
      </c>
      <c r="AD706" s="52" t="str">
        <f>IFERROR(__xludf.DUMMYFUNCTION("""COMPUTED_VALUE"""),"")</f>
        <v/>
      </c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</row>
    <row r="707">
      <c r="B707" s="49"/>
      <c r="C707" s="49" t="str">
        <f t="shared" si="2"/>
        <v/>
      </c>
      <c r="D707" s="50" t="str">
        <f t="shared" si="3"/>
        <v/>
      </c>
      <c r="E707" s="51" t="str">
        <f t="shared" ref="E707:T707" si="708">IFERROR(VLOOKUP($A707,INDIRECT("'" &amp; E$1 &amp; "'!$C:$G"), 5, FALSE),"")</f>
        <v/>
      </c>
      <c r="F707" s="51" t="str">
        <f t="shared" si="708"/>
        <v/>
      </c>
      <c r="G707" s="51" t="str">
        <f t="shared" si="708"/>
        <v/>
      </c>
      <c r="H707" s="51" t="str">
        <f t="shared" si="708"/>
        <v/>
      </c>
      <c r="I707" s="51" t="str">
        <f t="shared" si="708"/>
        <v/>
      </c>
      <c r="J707" s="51" t="str">
        <f t="shared" si="708"/>
        <v/>
      </c>
      <c r="K707" s="51" t="str">
        <f t="shared" si="708"/>
        <v/>
      </c>
      <c r="L707" s="51" t="str">
        <f t="shared" si="708"/>
        <v/>
      </c>
      <c r="M707" s="51" t="str">
        <f t="shared" si="708"/>
        <v/>
      </c>
      <c r="N707" s="51" t="str">
        <f t="shared" si="708"/>
        <v/>
      </c>
      <c r="O707" s="51" t="str">
        <f t="shared" si="708"/>
        <v/>
      </c>
      <c r="P707" s="51" t="str">
        <f t="shared" si="708"/>
        <v/>
      </c>
      <c r="Q707" s="51" t="str">
        <f t="shared" si="708"/>
        <v/>
      </c>
      <c r="R707" s="51" t="str">
        <f t="shared" si="708"/>
        <v/>
      </c>
      <c r="S707" s="51" t="str">
        <f t="shared" si="708"/>
        <v/>
      </c>
      <c r="T707" s="51" t="str">
        <f t="shared" si="708"/>
        <v/>
      </c>
      <c r="U707" s="52"/>
      <c r="V707" s="52" t="str">
        <f>IFERROR(__xludf.DUMMYFUNCTION("""COMPUTED_VALUE"""),"")</f>
        <v/>
      </c>
      <c r="W707" s="52" t="str">
        <f>IFERROR(__xludf.DUMMYFUNCTION("""COMPUTED_VALUE"""),"")</f>
        <v/>
      </c>
      <c r="X707" s="52" t="str">
        <f>IFERROR(__xludf.DUMMYFUNCTION("""COMPUTED_VALUE"""),"")</f>
        <v/>
      </c>
      <c r="Y707" s="52" t="str">
        <f>IFERROR(__xludf.DUMMYFUNCTION("""COMPUTED_VALUE"""),"")</f>
        <v/>
      </c>
      <c r="Z707" s="52" t="str">
        <f>IFERROR(__xludf.DUMMYFUNCTION("""COMPUTED_VALUE"""),"")</f>
        <v/>
      </c>
      <c r="AA707" s="52" t="str">
        <f>IFERROR(__xludf.DUMMYFUNCTION("""COMPUTED_VALUE"""),"")</f>
        <v/>
      </c>
      <c r="AB707" s="52" t="str">
        <f>IFERROR(__xludf.DUMMYFUNCTION("""COMPUTED_VALUE"""),"")</f>
        <v/>
      </c>
      <c r="AC707" s="52" t="str">
        <f>IFERROR(__xludf.DUMMYFUNCTION("""COMPUTED_VALUE"""),"")</f>
        <v/>
      </c>
      <c r="AD707" s="52" t="str">
        <f>IFERROR(__xludf.DUMMYFUNCTION("""COMPUTED_VALUE"""),"")</f>
        <v/>
      </c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</row>
    <row r="708">
      <c r="B708" s="49"/>
      <c r="C708" s="49" t="str">
        <f t="shared" si="2"/>
        <v/>
      </c>
      <c r="D708" s="50" t="str">
        <f t="shared" si="3"/>
        <v/>
      </c>
      <c r="E708" s="51" t="str">
        <f t="shared" ref="E708:T708" si="709">IFERROR(VLOOKUP($A708,INDIRECT("'" &amp; E$1 &amp; "'!$C:$G"), 5, FALSE),"")</f>
        <v/>
      </c>
      <c r="F708" s="51" t="str">
        <f t="shared" si="709"/>
        <v/>
      </c>
      <c r="G708" s="51" t="str">
        <f t="shared" si="709"/>
        <v/>
      </c>
      <c r="H708" s="51" t="str">
        <f t="shared" si="709"/>
        <v/>
      </c>
      <c r="I708" s="51" t="str">
        <f t="shared" si="709"/>
        <v/>
      </c>
      <c r="J708" s="51" t="str">
        <f t="shared" si="709"/>
        <v/>
      </c>
      <c r="K708" s="51" t="str">
        <f t="shared" si="709"/>
        <v/>
      </c>
      <c r="L708" s="51" t="str">
        <f t="shared" si="709"/>
        <v/>
      </c>
      <c r="M708" s="51" t="str">
        <f t="shared" si="709"/>
        <v/>
      </c>
      <c r="N708" s="51" t="str">
        <f t="shared" si="709"/>
        <v/>
      </c>
      <c r="O708" s="51" t="str">
        <f t="shared" si="709"/>
        <v/>
      </c>
      <c r="P708" s="51" t="str">
        <f t="shared" si="709"/>
        <v/>
      </c>
      <c r="Q708" s="51" t="str">
        <f t="shared" si="709"/>
        <v/>
      </c>
      <c r="R708" s="51" t="str">
        <f t="shared" si="709"/>
        <v/>
      </c>
      <c r="S708" s="51" t="str">
        <f t="shared" si="709"/>
        <v/>
      </c>
      <c r="T708" s="51" t="str">
        <f t="shared" si="709"/>
        <v/>
      </c>
      <c r="U708" s="52"/>
      <c r="V708" s="52" t="str">
        <f>IFERROR(__xludf.DUMMYFUNCTION("""COMPUTED_VALUE"""),"")</f>
        <v/>
      </c>
      <c r="W708" s="52" t="str">
        <f>IFERROR(__xludf.DUMMYFUNCTION("""COMPUTED_VALUE"""),"")</f>
        <v/>
      </c>
      <c r="X708" s="52" t="str">
        <f>IFERROR(__xludf.DUMMYFUNCTION("""COMPUTED_VALUE"""),"")</f>
        <v/>
      </c>
      <c r="Y708" s="52" t="str">
        <f>IFERROR(__xludf.DUMMYFUNCTION("""COMPUTED_VALUE"""),"")</f>
        <v/>
      </c>
      <c r="Z708" s="52" t="str">
        <f>IFERROR(__xludf.DUMMYFUNCTION("""COMPUTED_VALUE"""),"")</f>
        <v/>
      </c>
      <c r="AA708" s="52" t="str">
        <f>IFERROR(__xludf.DUMMYFUNCTION("""COMPUTED_VALUE"""),"")</f>
        <v/>
      </c>
      <c r="AB708" s="52" t="str">
        <f>IFERROR(__xludf.DUMMYFUNCTION("""COMPUTED_VALUE"""),"")</f>
        <v/>
      </c>
      <c r="AC708" s="52" t="str">
        <f>IFERROR(__xludf.DUMMYFUNCTION("""COMPUTED_VALUE"""),"")</f>
        <v/>
      </c>
      <c r="AD708" s="52" t="str">
        <f>IFERROR(__xludf.DUMMYFUNCTION("""COMPUTED_VALUE"""),"")</f>
        <v/>
      </c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</row>
    <row r="709">
      <c r="B709" s="49"/>
      <c r="C709" s="49" t="str">
        <f t="shared" si="2"/>
        <v/>
      </c>
      <c r="D709" s="50" t="str">
        <f t="shared" si="3"/>
        <v/>
      </c>
      <c r="E709" s="51" t="str">
        <f t="shared" ref="E709:T709" si="710">IFERROR(VLOOKUP($A709,INDIRECT("'" &amp; E$1 &amp; "'!$C:$G"), 5, FALSE),"")</f>
        <v/>
      </c>
      <c r="F709" s="51" t="str">
        <f t="shared" si="710"/>
        <v/>
      </c>
      <c r="G709" s="51" t="str">
        <f t="shared" si="710"/>
        <v/>
      </c>
      <c r="H709" s="51" t="str">
        <f t="shared" si="710"/>
        <v/>
      </c>
      <c r="I709" s="51" t="str">
        <f t="shared" si="710"/>
        <v/>
      </c>
      <c r="J709" s="51" t="str">
        <f t="shared" si="710"/>
        <v/>
      </c>
      <c r="K709" s="51" t="str">
        <f t="shared" si="710"/>
        <v/>
      </c>
      <c r="L709" s="51" t="str">
        <f t="shared" si="710"/>
        <v/>
      </c>
      <c r="M709" s="51" t="str">
        <f t="shared" si="710"/>
        <v/>
      </c>
      <c r="N709" s="51" t="str">
        <f t="shared" si="710"/>
        <v/>
      </c>
      <c r="O709" s="51" t="str">
        <f t="shared" si="710"/>
        <v/>
      </c>
      <c r="P709" s="51" t="str">
        <f t="shared" si="710"/>
        <v/>
      </c>
      <c r="Q709" s="51" t="str">
        <f t="shared" si="710"/>
        <v/>
      </c>
      <c r="R709" s="51" t="str">
        <f t="shared" si="710"/>
        <v/>
      </c>
      <c r="S709" s="51" t="str">
        <f t="shared" si="710"/>
        <v/>
      </c>
      <c r="T709" s="51" t="str">
        <f t="shared" si="710"/>
        <v/>
      </c>
      <c r="U709" s="52"/>
      <c r="V709" s="52" t="str">
        <f>IFERROR(__xludf.DUMMYFUNCTION("""COMPUTED_VALUE"""),"")</f>
        <v/>
      </c>
      <c r="W709" s="52" t="str">
        <f>IFERROR(__xludf.DUMMYFUNCTION("""COMPUTED_VALUE"""),"")</f>
        <v/>
      </c>
      <c r="X709" s="52" t="str">
        <f>IFERROR(__xludf.DUMMYFUNCTION("""COMPUTED_VALUE"""),"")</f>
        <v/>
      </c>
      <c r="Y709" s="52" t="str">
        <f>IFERROR(__xludf.DUMMYFUNCTION("""COMPUTED_VALUE"""),"")</f>
        <v/>
      </c>
      <c r="Z709" s="52" t="str">
        <f>IFERROR(__xludf.DUMMYFUNCTION("""COMPUTED_VALUE"""),"")</f>
        <v/>
      </c>
      <c r="AA709" s="52" t="str">
        <f>IFERROR(__xludf.DUMMYFUNCTION("""COMPUTED_VALUE"""),"")</f>
        <v/>
      </c>
      <c r="AB709" s="52" t="str">
        <f>IFERROR(__xludf.DUMMYFUNCTION("""COMPUTED_VALUE"""),"")</f>
        <v/>
      </c>
      <c r="AC709" s="52" t="str">
        <f>IFERROR(__xludf.DUMMYFUNCTION("""COMPUTED_VALUE"""),"")</f>
        <v/>
      </c>
      <c r="AD709" s="52" t="str">
        <f>IFERROR(__xludf.DUMMYFUNCTION("""COMPUTED_VALUE"""),"")</f>
        <v/>
      </c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</row>
    <row r="710">
      <c r="B710" s="49"/>
      <c r="C710" s="49" t="str">
        <f t="shared" si="2"/>
        <v/>
      </c>
      <c r="D710" s="50" t="str">
        <f t="shared" si="3"/>
        <v/>
      </c>
      <c r="E710" s="51" t="str">
        <f t="shared" ref="E710:T710" si="711">IFERROR(VLOOKUP($A710,INDIRECT("'" &amp; E$1 &amp; "'!$C:$G"), 5, FALSE),"")</f>
        <v/>
      </c>
      <c r="F710" s="51" t="str">
        <f t="shared" si="711"/>
        <v/>
      </c>
      <c r="G710" s="51" t="str">
        <f t="shared" si="711"/>
        <v/>
      </c>
      <c r="H710" s="51" t="str">
        <f t="shared" si="711"/>
        <v/>
      </c>
      <c r="I710" s="51" t="str">
        <f t="shared" si="711"/>
        <v/>
      </c>
      <c r="J710" s="51" t="str">
        <f t="shared" si="711"/>
        <v/>
      </c>
      <c r="K710" s="51" t="str">
        <f t="shared" si="711"/>
        <v/>
      </c>
      <c r="L710" s="51" t="str">
        <f t="shared" si="711"/>
        <v/>
      </c>
      <c r="M710" s="51" t="str">
        <f t="shared" si="711"/>
        <v/>
      </c>
      <c r="N710" s="51" t="str">
        <f t="shared" si="711"/>
        <v/>
      </c>
      <c r="O710" s="51" t="str">
        <f t="shared" si="711"/>
        <v/>
      </c>
      <c r="P710" s="51" t="str">
        <f t="shared" si="711"/>
        <v/>
      </c>
      <c r="Q710" s="51" t="str">
        <f t="shared" si="711"/>
        <v/>
      </c>
      <c r="R710" s="51" t="str">
        <f t="shared" si="711"/>
        <v/>
      </c>
      <c r="S710" s="51" t="str">
        <f t="shared" si="711"/>
        <v/>
      </c>
      <c r="T710" s="51" t="str">
        <f t="shared" si="711"/>
        <v/>
      </c>
      <c r="U710" s="52"/>
      <c r="V710" s="52" t="str">
        <f>IFERROR(__xludf.DUMMYFUNCTION("""COMPUTED_VALUE"""),"")</f>
        <v/>
      </c>
      <c r="W710" s="52" t="str">
        <f>IFERROR(__xludf.DUMMYFUNCTION("""COMPUTED_VALUE"""),"")</f>
        <v/>
      </c>
      <c r="X710" s="52" t="str">
        <f>IFERROR(__xludf.DUMMYFUNCTION("""COMPUTED_VALUE"""),"")</f>
        <v/>
      </c>
      <c r="Y710" s="52" t="str">
        <f>IFERROR(__xludf.DUMMYFUNCTION("""COMPUTED_VALUE"""),"")</f>
        <v/>
      </c>
      <c r="Z710" s="52" t="str">
        <f>IFERROR(__xludf.DUMMYFUNCTION("""COMPUTED_VALUE"""),"")</f>
        <v/>
      </c>
      <c r="AA710" s="52" t="str">
        <f>IFERROR(__xludf.DUMMYFUNCTION("""COMPUTED_VALUE"""),"")</f>
        <v/>
      </c>
      <c r="AB710" s="52" t="str">
        <f>IFERROR(__xludf.DUMMYFUNCTION("""COMPUTED_VALUE"""),"")</f>
        <v/>
      </c>
      <c r="AC710" s="52" t="str">
        <f>IFERROR(__xludf.DUMMYFUNCTION("""COMPUTED_VALUE"""),"")</f>
        <v/>
      </c>
      <c r="AD710" s="52" t="str">
        <f>IFERROR(__xludf.DUMMYFUNCTION("""COMPUTED_VALUE"""),"")</f>
        <v/>
      </c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</row>
    <row r="711">
      <c r="B711" s="49"/>
      <c r="C711" s="49" t="str">
        <f t="shared" si="2"/>
        <v/>
      </c>
      <c r="D711" s="50" t="str">
        <f t="shared" si="3"/>
        <v/>
      </c>
      <c r="E711" s="51" t="str">
        <f t="shared" ref="E711:T711" si="712">IFERROR(VLOOKUP($A711,INDIRECT("'" &amp; E$1 &amp; "'!$C:$G"), 5, FALSE),"")</f>
        <v/>
      </c>
      <c r="F711" s="51" t="str">
        <f t="shared" si="712"/>
        <v/>
      </c>
      <c r="G711" s="51" t="str">
        <f t="shared" si="712"/>
        <v/>
      </c>
      <c r="H711" s="51" t="str">
        <f t="shared" si="712"/>
        <v/>
      </c>
      <c r="I711" s="51" t="str">
        <f t="shared" si="712"/>
        <v/>
      </c>
      <c r="J711" s="51" t="str">
        <f t="shared" si="712"/>
        <v/>
      </c>
      <c r="K711" s="51" t="str">
        <f t="shared" si="712"/>
        <v/>
      </c>
      <c r="L711" s="51" t="str">
        <f t="shared" si="712"/>
        <v/>
      </c>
      <c r="M711" s="51" t="str">
        <f t="shared" si="712"/>
        <v/>
      </c>
      <c r="N711" s="51" t="str">
        <f t="shared" si="712"/>
        <v/>
      </c>
      <c r="O711" s="51" t="str">
        <f t="shared" si="712"/>
        <v/>
      </c>
      <c r="P711" s="51" t="str">
        <f t="shared" si="712"/>
        <v/>
      </c>
      <c r="Q711" s="51" t="str">
        <f t="shared" si="712"/>
        <v/>
      </c>
      <c r="R711" s="51" t="str">
        <f t="shared" si="712"/>
        <v/>
      </c>
      <c r="S711" s="51" t="str">
        <f t="shared" si="712"/>
        <v/>
      </c>
      <c r="T711" s="51" t="str">
        <f t="shared" si="712"/>
        <v/>
      </c>
      <c r="U711" s="52"/>
      <c r="V711" s="52" t="str">
        <f>IFERROR(__xludf.DUMMYFUNCTION("""COMPUTED_VALUE"""),"")</f>
        <v/>
      </c>
      <c r="W711" s="52" t="str">
        <f>IFERROR(__xludf.DUMMYFUNCTION("""COMPUTED_VALUE"""),"")</f>
        <v/>
      </c>
      <c r="X711" s="52" t="str">
        <f>IFERROR(__xludf.DUMMYFUNCTION("""COMPUTED_VALUE"""),"")</f>
        <v/>
      </c>
      <c r="Y711" s="52" t="str">
        <f>IFERROR(__xludf.DUMMYFUNCTION("""COMPUTED_VALUE"""),"")</f>
        <v/>
      </c>
      <c r="Z711" s="52" t="str">
        <f>IFERROR(__xludf.DUMMYFUNCTION("""COMPUTED_VALUE"""),"")</f>
        <v/>
      </c>
      <c r="AA711" s="52" t="str">
        <f>IFERROR(__xludf.DUMMYFUNCTION("""COMPUTED_VALUE"""),"")</f>
        <v/>
      </c>
      <c r="AB711" s="52" t="str">
        <f>IFERROR(__xludf.DUMMYFUNCTION("""COMPUTED_VALUE"""),"")</f>
        <v/>
      </c>
      <c r="AC711" s="52" t="str">
        <f>IFERROR(__xludf.DUMMYFUNCTION("""COMPUTED_VALUE"""),"")</f>
        <v/>
      </c>
      <c r="AD711" s="52" t="str">
        <f>IFERROR(__xludf.DUMMYFUNCTION("""COMPUTED_VALUE"""),"")</f>
        <v/>
      </c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</row>
    <row r="712">
      <c r="B712" s="49"/>
      <c r="C712" s="49" t="str">
        <f t="shared" si="2"/>
        <v/>
      </c>
      <c r="D712" s="50" t="str">
        <f t="shared" si="3"/>
        <v/>
      </c>
      <c r="E712" s="51" t="str">
        <f t="shared" ref="E712:T712" si="713">IFERROR(VLOOKUP($A712,INDIRECT("'" &amp; E$1 &amp; "'!$C:$G"), 5, FALSE),"")</f>
        <v/>
      </c>
      <c r="F712" s="51" t="str">
        <f t="shared" si="713"/>
        <v/>
      </c>
      <c r="G712" s="51" t="str">
        <f t="shared" si="713"/>
        <v/>
      </c>
      <c r="H712" s="51" t="str">
        <f t="shared" si="713"/>
        <v/>
      </c>
      <c r="I712" s="51" t="str">
        <f t="shared" si="713"/>
        <v/>
      </c>
      <c r="J712" s="51" t="str">
        <f t="shared" si="713"/>
        <v/>
      </c>
      <c r="K712" s="51" t="str">
        <f t="shared" si="713"/>
        <v/>
      </c>
      <c r="L712" s="51" t="str">
        <f t="shared" si="713"/>
        <v/>
      </c>
      <c r="M712" s="51" t="str">
        <f t="shared" si="713"/>
        <v/>
      </c>
      <c r="N712" s="51" t="str">
        <f t="shared" si="713"/>
        <v/>
      </c>
      <c r="O712" s="51" t="str">
        <f t="shared" si="713"/>
        <v/>
      </c>
      <c r="P712" s="51" t="str">
        <f t="shared" si="713"/>
        <v/>
      </c>
      <c r="Q712" s="51" t="str">
        <f t="shared" si="713"/>
        <v/>
      </c>
      <c r="R712" s="51" t="str">
        <f t="shared" si="713"/>
        <v/>
      </c>
      <c r="S712" s="51" t="str">
        <f t="shared" si="713"/>
        <v/>
      </c>
      <c r="T712" s="51" t="str">
        <f t="shared" si="713"/>
        <v/>
      </c>
      <c r="U712" s="52"/>
      <c r="V712" s="52" t="str">
        <f>IFERROR(__xludf.DUMMYFUNCTION("""COMPUTED_VALUE"""),"")</f>
        <v/>
      </c>
      <c r="W712" s="52" t="str">
        <f>IFERROR(__xludf.DUMMYFUNCTION("""COMPUTED_VALUE"""),"")</f>
        <v/>
      </c>
      <c r="X712" s="52" t="str">
        <f>IFERROR(__xludf.DUMMYFUNCTION("""COMPUTED_VALUE"""),"")</f>
        <v/>
      </c>
      <c r="Y712" s="52" t="str">
        <f>IFERROR(__xludf.DUMMYFUNCTION("""COMPUTED_VALUE"""),"")</f>
        <v/>
      </c>
      <c r="Z712" s="52" t="str">
        <f>IFERROR(__xludf.DUMMYFUNCTION("""COMPUTED_VALUE"""),"")</f>
        <v/>
      </c>
      <c r="AA712" s="52" t="str">
        <f>IFERROR(__xludf.DUMMYFUNCTION("""COMPUTED_VALUE"""),"")</f>
        <v/>
      </c>
      <c r="AB712" s="52" t="str">
        <f>IFERROR(__xludf.DUMMYFUNCTION("""COMPUTED_VALUE"""),"")</f>
        <v/>
      </c>
      <c r="AC712" s="52" t="str">
        <f>IFERROR(__xludf.DUMMYFUNCTION("""COMPUTED_VALUE"""),"")</f>
        <v/>
      </c>
      <c r="AD712" s="52" t="str">
        <f>IFERROR(__xludf.DUMMYFUNCTION("""COMPUTED_VALUE"""),"")</f>
        <v/>
      </c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</row>
    <row r="713">
      <c r="B713" s="49"/>
      <c r="C713" s="49" t="str">
        <f t="shared" si="2"/>
        <v/>
      </c>
      <c r="D713" s="50" t="str">
        <f t="shared" si="3"/>
        <v/>
      </c>
      <c r="E713" s="51" t="str">
        <f t="shared" ref="E713:T713" si="714">IFERROR(VLOOKUP($A713,INDIRECT("'" &amp; E$1 &amp; "'!$C:$G"), 5, FALSE),"")</f>
        <v/>
      </c>
      <c r="F713" s="51" t="str">
        <f t="shared" si="714"/>
        <v/>
      </c>
      <c r="G713" s="51" t="str">
        <f t="shared" si="714"/>
        <v/>
      </c>
      <c r="H713" s="51" t="str">
        <f t="shared" si="714"/>
        <v/>
      </c>
      <c r="I713" s="51" t="str">
        <f t="shared" si="714"/>
        <v/>
      </c>
      <c r="J713" s="51" t="str">
        <f t="shared" si="714"/>
        <v/>
      </c>
      <c r="K713" s="51" t="str">
        <f t="shared" si="714"/>
        <v/>
      </c>
      <c r="L713" s="51" t="str">
        <f t="shared" si="714"/>
        <v/>
      </c>
      <c r="M713" s="51" t="str">
        <f t="shared" si="714"/>
        <v/>
      </c>
      <c r="N713" s="51" t="str">
        <f t="shared" si="714"/>
        <v/>
      </c>
      <c r="O713" s="51" t="str">
        <f t="shared" si="714"/>
        <v/>
      </c>
      <c r="P713" s="51" t="str">
        <f t="shared" si="714"/>
        <v/>
      </c>
      <c r="Q713" s="51" t="str">
        <f t="shared" si="714"/>
        <v/>
      </c>
      <c r="R713" s="51" t="str">
        <f t="shared" si="714"/>
        <v/>
      </c>
      <c r="S713" s="51" t="str">
        <f t="shared" si="714"/>
        <v/>
      </c>
      <c r="T713" s="51" t="str">
        <f t="shared" si="714"/>
        <v/>
      </c>
      <c r="U713" s="52"/>
      <c r="V713" s="52" t="str">
        <f>IFERROR(__xludf.DUMMYFUNCTION("""COMPUTED_VALUE"""),"")</f>
        <v/>
      </c>
      <c r="W713" s="52" t="str">
        <f>IFERROR(__xludf.DUMMYFUNCTION("""COMPUTED_VALUE"""),"")</f>
        <v/>
      </c>
      <c r="X713" s="52" t="str">
        <f>IFERROR(__xludf.DUMMYFUNCTION("""COMPUTED_VALUE"""),"")</f>
        <v/>
      </c>
      <c r="Y713" s="52" t="str">
        <f>IFERROR(__xludf.DUMMYFUNCTION("""COMPUTED_VALUE"""),"")</f>
        <v/>
      </c>
      <c r="Z713" s="52" t="str">
        <f>IFERROR(__xludf.DUMMYFUNCTION("""COMPUTED_VALUE"""),"")</f>
        <v/>
      </c>
      <c r="AA713" s="52" t="str">
        <f>IFERROR(__xludf.DUMMYFUNCTION("""COMPUTED_VALUE"""),"")</f>
        <v/>
      </c>
      <c r="AB713" s="52" t="str">
        <f>IFERROR(__xludf.DUMMYFUNCTION("""COMPUTED_VALUE"""),"")</f>
        <v/>
      </c>
      <c r="AC713" s="52" t="str">
        <f>IFERROR(__xludf.DUMMYFUNCTION("""COMPUTED_VALUE"""),"")</f>
        <v/>
      </c>
      <c r="AD713" s="52" t="str">
        <f>IFERROR(__xludf.DUMMYFUNCTION("""COMPUTED_VALUE"""),"")</f>
        <v/>
      </c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</row>
    <row r="714">
      <c r="B714" s="49"/>
      <c r="C714" s="49" t="str">
        <f t="shared" si="2"/>
        <v/>
      </c>
      <c r="D714" s="50" t="str">
        <f t="shared" si="3"/>
        <v/>
      </c>
      <c r="E714" s="51" t="str">
        <f t="shared" ref="E714:T714" si="715">IFERROR(VLOOKUP($A714,INDIRECT("'" &amp; E$1 &amp; "'!$C:$G"), 5, FALSE),"")</f>
        <v/>
      </c>
      <c r="F714" s="51" t="str">
        <f t="shared" si="715"/>
        <v/>
      </c>
      <c r="G714" s="51" t="str">
        <f t="shared" si="715"/>
        <v/>
      </c>
      <c r="H714" s="51" t="str">
        <f t="shared" si="715"/>
        <v/>
      </c>
      <c r="I714" s="51" t="str">
        <f t="shared" si="715"/>
        <v/>
      </c>
      <c r="J714" s="51" t="str">
        <f t="shared" si="715"/>
        <v/>
      </c>
      <c r="K714" s="51" t="str">
        <f t="shared" si="715"/>
        <v/>
      </c>
      <c r="L714" s="51" t="str">
        <f t="shared" si="715"/>
        <v/>
      </c>
      <c r="M714" s="51" t="str">
        <f t="shared" si="715"/>
        <v/>
      </c>
      <c r="N714" s="51" t="str">
        <f t="shared" si="715"/>
        <v/>
      </c>
      <c r="O714" s="51" t="str">
        <f t="shared" si="715"/>
        <v/>
      </c>
      <c r="P714" s="51" t="str">
        <f t="shared" si="715"/>
        <v/>
      </c>
      <c r="Q714" s="51" t="str">
        <f t="shared" si="715"/>
        <v/>
      </c>
      <c r="R714" s="51" t="str">
        <f t="shared" si="715"/>
        <v/>
      </c>
      <c r="S714" s="51" t="str">
        <f t="shared" si="715"/>
        <v/>
      </c>
      <c r="T714" s="51" t="str">
        <f t="shared" si="715"/>
        <v/>
      </c>
      <c r="U714" s="52"/>
      <c r="V714" s="52" t="str">
        <f>IFERROR(__xludf.DUMMYFUNCTION("""COMPUTED_VALUE"""),"")</f>
        <v/>
      </c>
      <c r="W714" s="52" t="str">
        <f>IFERROR(__xludf.DUMMYFUNCTION("""COMPUTED_VALUE"""),"")</f>
        <v/>
      </c>
      <c r="X714" s="52" t="str">
        <f>IFERROR(__xludf.DUMMYFUNCTION("""COMPUTED_VALUE"""),"")</f>
        <v/>
      </c>
      <c r="Y714" s="52" t="str">
        <f>IFERROR(__xludf.DUMMYFUNCTION("""COMPUTED_VALUE"""),"")</f>
        <v/>
      </c>
      <c r="Z714" s="52" t="str">
        <f>IFERROR(__xludf.DUMMYFUNCTION("""COMPUTED_VALUE"""),"")</f>
        <v/>
      </c>
      <c r="AA714" s="52" t="str">
        <f>IFERROR(__xludf.DUMMYFUNCTION("""COMPUTED_VALUE"""),"")</f>
        <v/>
      </c>
      <c r="AB714" s="52" t="str">
        <f>IFERROR(__xludf.DUMMYFUNCTION("""COMPUTED_VALUE"""),"")</f>
        <v/>
      </c>
      <c r="AC714" s="52" t="str">
        <f>IFERROR(__xludf.DUMMYFUNCTION("""COMPUTED_VALUE"""),"")</f>
        <v/>
      </c>
      <c r="AD714" s="52" t="str">
        <f>IFERROR(__xludf.DUMMYFUNCTION("""COMPUTED_VALUE"""),"")</f>
        <v/>
      </c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</row>
    <row r="715">
      <c r="B715" s="49"/>
      <c r="C715" s="49" t="str">
        <f t="shared" si="2"/>
        <v/>
      </c>
      <c r="D715" s="50" t="str">
        <f t="shared" si="3"/>
        <v/>
      </c>
      <c r="E715" s="51" t="str">
        <f t="shared" ref="E715:T715" si="716">IFERROR(VLOOKUP($A715,INDIRECT("'" &amp; E$1 &amp; "'!$C:$G"), 5, FALSE),"")</f>
        <v/>
      </c>
      <c r="F715" s="51" t="str">
        <f t="shared" si="716"/>
        <v/>
      </c>
      <c r="G715" s="51" t="str">
        <f t="shared" si="716"/>
        <v/>
      </c>
      <c r="H715" s="51" t="str">
        <f t="shared" si="716"/>
        <v/>
      </c>
      <c r="I715" s="51" t="str">
        <f t="shared" si="716"/>
        <v/>
      </c>
      <c r="J715" s="51" t="str">
        <f t="shared" si="716"/>
        <v/>
      </c>
      <c r="K715" s="51" t="str">
        <f t="shared" si="716"/>
        <v/>
      </c>
      <c r="L715" s="51" t="str">
        <f t="shared" si="716"/>
        <v/>
      </c>
      <c r="M715" s="51" t="str">
        <f t="shared" si="716"/>
        <v/>
      </c>
      <c r="N715" s="51" t="str">
        <f t="shared" si="716"/>
        <v/>
      </c>
      <c r="O715" s="51" t="str">
        <f t="shared" si="716"/>
        <v/>
      </c>
      <c r="P715" s="51" t="str">
        <f t="shared" si="716"/>
        <v/>
      </c>
      <c r="Q715" s="51" t="str">
        <f t="shared" si="716"/>
        <v/>
      </c>
      <c r="R715" s="51" t="str">
        <f t="shared" si="716"/>
        <v/>
      </c>
      <c r="S715" s="51" t="str">
        <f t="shared" si="716"/>
        <v/>
      </c>
      <c r="T715" s="51" t="str">
        <f t="shared" si="716"/>
        <v/>
      </c>
      <c r="U715" s="52"/>
      <c r="V715" s="52" t="str">
        <f>IFERROR(__xludf.DUMMYFUNCTION("""COMPUTED_VALUE"""),"")</f>
        <v/>
      </c>
      <c r="W715" s="52" t="str">
        <f>IFERROR(__xludf.DUMMYFUNCTION("""COMPUTED_VALUE"""),"")</f>
        <v/>
      </c>
      <c r="X715" s="52" t="str">
        <f>IFERROR(__xludf.DUMMYFUNCTION("""COMPUTED_VALUE"""),"")</f>
        <v/>
      </c>
      <c r="Y715" s="52" t="str">
        <f>IFERROR(__xludf.DUMMYFUNCTION("""COMPUTED_VALUE"""),"")</f>
        <v/>
      </c>
      <c r="Z715" s="52" t="str">
        <f>IFERROR(__xludf.DUMMYFUNCTION("""COMPUTED_VALUE"""),"")</f>
        <v/>
      </c>
      <c r="AA715" s="52" t="str">
        <f>IFERROR(__xludf.DUMMYFUNCTION("""COMPUTED_VALUE"""),"")</f>
        <v/>
      </c>
      <c r="AB715" s="52" t="str">
        <f>IFERROR(__xludf.DUMMYFUNCTION("""COMPUTED_VALUE"""),"")</f>
        <v/>
      </c>
      <c r="AC715" s="52" t="str">
        <f>IFERROR(__xludf.DUMMYFUNCTION("""COMPUTED_VALUE"""),"")</f>
        <v/>
      </c>
      <c r="AD715" s="52" t="str">
        <f>IFERROR(__xludf.DUMMYFUNCTION("""COMPUTED_VALUE"""),"")</f>
        <v/>
      </c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</row>
    <row r="716">
      <c r="B716" s="49"/>
      <c r="C716" s="49" t="str">
        <f t="shared" si="2"/>
        <v/>
      </c>
      <c r="D716" s="50" t="str">
        <f t="shared" si="3"/>
        <v/>
      </c>
      <c r="E716" s="51" t="str">
        <f t="shared" ref="E716:T716" si="717">IFERROR(VLOOKUP($A716,INDIRECT("'" &amp; E$1 &amp; "'!$C:$G"), 5, FALSE),"")</f>
        <v/>
      </c>
      <c r="F716" s="51" t="str">
        <f t="shared" si="717"/>
        <v/>
      </c>
      <c r="G716" s="51" t="str">
        <f t="shared" si="717"/>
        <v/>
      </c>
      <c r="H716" s="51" t="str">
        <f t="shared" si="717"/>
        <v/>
      </c>
      <c r="I716" s="51" t="str">
        <f t="shared" si="717"/>
        <v/>
      </c>
      <c r="J716" s="51" t="str">
        <f t="shared" si="717"/>
        <v/>
      </c>
      <c r="K716" s="51" t="str">
        <f t="shared" si="717"/>
        <v/>
      </c>
      <c r="L716" s="51" t="str">
        <f t="shared" si="717"/>
        <v/>
      </c>
      <c r="M716" s="51" t="str">
        <f t="shared" si="717"/>
        <v/>
      </c>
      <c r="N716" s="51" t="str">
        <f t="shared" si="717"/>
        <v/>
      </c>
      <c r="O716" s="51" t="str">
        <f t="shared" si="717"/>
        <v/>
      </c>
      <c r="P716" s="51" t="str">
        <f t="shared" si="717"/>
        <v/>
      </c>
      <c r="Q716" s="51" t="str">
        <f t="shared" si="717"/>
        <v/>
      </c>
      <c r="R716" s="51" t="str">
        <f t="shared" si="717"/>
        <v/>
      </c>
      <c r="S716" s="51" t="str">
        <f t="shared" si="717"/>
        <v/>
      </c>
      <c r="T716" s="51" t="str">
        <f t="shared" si="717"/>
        <v/>
      </c>
      <c r="U716" s="52"/>
      <c r="V716" s="52" t="str">
        <f>IFERROR(__xludf.DUMMYFUNCTION("""COMPUTED_VALUE"""),"")</f>
        <v/>
      </c>
      <c r="W716" s="52" t="str">
        <f>IFERROR(__xludf.DUMMYFUNCTION("""COMPUTED_VALUE"""),"")</f>
        <v/>
      </c>
      <c r="X716" s="52" t="str">
        <f>IFERROR(__xludf.DUMMYFUNCTION("""COMPUTED_VALUE"""),"")</f>
        <v/>
      </c>
      <c r="Y716" s="52" t="str">
        <f>IFERROR(__xludf.DUMMYFUNCTION("""COMPUTED_VALUE"""),"")</f>
        <v/>
      </c>
      <c r="Z716" s="52" t="str">
        <f>IFERROR(__xludf.DUMMYFUNCTION("""COMPUTED_VALUE"""),"")</f>
        <v/>
      </c>
      <c r="AA716" s="52" t="str">
        <f>IFERROR(__xludf.DUMMYFUNCTION("""COMPUTED_VALUE"""),"")</f>
        <v/>
      </c>
      <c r="AB716" s="52" t="str">
        <f>IFERROR(__xludf.DUMMYFUNCTION("""COMPUTED_VALUE"""),"")</f>
        <v/>
      </c>
      <c r="AC716" s="52" t="str">
        <f>IFERROR(__xludf.DUMMYFUNCTION("""COMPUTED_VALUE"""),"")</f>
        <v/>
      </c>
      <c r="AD716" s="52" t="str">
        <f>IFERROR(__xludf.DUMMYFUNCTION("""COMPUTED_VALUE"""),"")</f>
        <v/>
      </c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</row>
    <row r="717">
      <c r="B717" s="49"/>
      <c r="C717" s="49" t="str">
        <f t="shared" si="2"/>
        <v/>
      </c>
      <c r="D717" s="50" t="str">
        <f t="shared" si="3"/>
        <v/>
      </c>
      <c r="E717" s="51" t="str">
        <f t="shared" ref="E717:T717" si="718">IFERROR(VLOOKUP($A717,INDIRECT("'" &amp; E$1 &amp; "'!$C:$G"), 5, FALSE),"")</f>
        <v/>
      </c>
      <c r="F717" s="51" t="str">
        <f t="shared" si="718"/>
        <v/>
      </c>
      <c r="G717" s="51" t="str">
        <f t="shared" si="718"/>
        <v/>
      </c>
      <c r="H717" s="51" t="str">
        <f t="shared" si="718"/>
        <v/>
      </c>
      <c r="I717" s="51" t="str">
        <f t="shared" si="718"/>
        <v/>
      </c>
      <c r="J717" s="51" t="str">
        <f t="shared" si="718"/>
        <v/>
      </c>
      <c r="K717" s="51" t="str">
        <f t="shared" si="718"/>
        <v/>
      </c>
      <c r="L717" s="51" t="str">
        <f t="shared" si="718"/>
        <v/>
      </c>
      <c r="M717" s="51" t="str">
        <f t="shared" si="718"/>
        <v/>
      </c>
      <c r="N717" s="51" t="str">
        <f t="shared" si="718"/>
        <v/>
      </c>
      <c r="O717" s="51" t="str">
        <f t="shared" si="718"/>
        <v/>
      </c>
      <c r="P717" s="51" t="str">
        <f t="shared" si="718"/>
        <v/>
      </c>
      <c r="Q717" s="51" t="str">
        <f t="shared" si="718"/>
        <v/>
      </c>
      <c r="R717" s="51" t="str">
        <f t="shared" si="718"/>
        <v/>
      </c>
      <c r="S717" s="51" t="str">
        <f t="shared" si="718"/>
        <v/>
      </c>
      <c r="T717" s="51" t="str">
        <f t="shared" si="718"/>
        <v/>
      </c>
      <c r="U717" s="52"/>
      <c r="V717" s="52" t="str">
        <f>IFERROR(__xludf.DUMMYFUNCTION("""COMPUTED_VALUE"""),"")</f>
        <v/>
      </c>
      <c r="W717" s="52" t="str">
        <f>IFERROR(__xludf.DUMMYFUNCTION("""COMPUTED_VALUE"""),"")</f>
        <v/>
      </c>
      <c r="X717" s="52" t="str">
        <f>IFERROR(__xludf.DUMMYFUNCTION("""COMPUTED_VALUE"""),"")</f>
        <v/>
      </c>
      <c r="Y717" s="52" t="str">
        <f>IFERROR(__xludf.DUMMYFUNCTION("""COMPUTED_VALUE"""),"")</f>
        <v/>
      </c>
      <c r="Z717" s="52" t="str">
        <f>IFERROR(__xludf.DUMMYFUNCTION("""COMPUTED_VALUE"""),"")</f>
        <v/>
      </c>
      <c r="AA717" s="52" t="str">
        <f>IFERROR(__xludf.DUMMYFUNCTION("""COMPUTED_VALUE"""),"")</f>
        <v/>
      </c>
      <c r="AB717" s="52" t="str">
        <f>IFERROR(__xludf.DUMMYFUNCTION("""COMPUTED_VALUE"""),"")</f>
        <v/>
      </c>
      <c r="AC717" s="52" t="str">
        <f>IFERROR(__xludf.DUMMYFUNCTION("""COMPUTED_VALUE"""),"")</f>
        <v/>
      </c>
      <c r="AD717" s="52" t="str">
        <f>IFERROR(__xludf.DUMMYFUNCTION("""COMPUTED_VALUE"""),"")</f>
        <v/>
      </c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</row>
    <row r="718">
      <c r="B718" s="49"/>
      <c r="C718" s="49" t="str">
        <f t="shared" si="2"/>
        <v/>
      </c>
      <c r="D718" s="50" t="str">
        <f t="shared" si="3"/>
        <v/>
      </c>
      <c r="E718" s="51" t="str">
        <f t="shared" ref="E718:T718" si="719">IFERROR(VLOOKUP($A718,INDIRECT("'" &amp; E$1 &amp; "'!$C:$G"), 5, FALSE),"")</f>
        <v/>
      </c>
      <c r="F718" s="51" t="str">
        <f t="shared" si="719"/>
        <v/>
      </c>
      <c r="G718" s="51" t="str">
        <f t="shared" si="719"/>
        <v/>
      </c>
      <c r="H718" s="51" t="str">
        <f t="shared" si="719"/>
        <v/>
      </c>
      <c r="I718" s="51" t="str">
        <f t="shared" si="719"/>
        <v/>
      </c>
      <c r="J718" s="51" t="str">
        <f t="shared" si="719"/>
        <v/>
      </c>
      <c r="K718" s="51" t="str">
        <f t="shared" si="719"/>
        <v/>
      </c>
      <c r="L718" s="51" t="str">
        <f t="shared" si="719"/>
        <v/>
      </c>
      <c r="M718" s="51" t="str">
        <f t="shared" si="719"/>
        <v/>
      </c>
      <c r="N718" s="51" t="str">
        <f t="shared" si="719"/>
        <v/>
      </c>
      <c r="O718" s="51" t="str">
        <f t="shared" si="719"/>
        <v/>
      </c>
      <c r="P718" s="51" t="str">
        <f t="shared" si="719"/>
        <v/>
      </c>
      <c r="Q718" s="51" t="str">
        <f t="shared" si="719"/>
        <v/>
      </c>
      <c r="R718" s="51" t="str">
        <f t="shared" si="719"/>
        <v/>
      </c>
      <c r="S718" s="51" t="str">
        <f t="shared" si="719"/>
        <v/>
      </c>
      <c r="T718" s="51" t="str">
        <f t="shared" si="719"/>
        <v/>
      </c>
      <c r="U718" s="52"/>
      <c r="V718" s="52" t="str">
        <f>IFERROR(__xludf.DUMMYFUNCTION("""COMPUTED_VALUE"""),"")</f>
        <v/>
      </c>
      <c r="W718" s="52" t="str">
        <f>IFERROR(__xludf.DUMMYFUNCTION("""COMPUTED_VALUE"""),"")</f>
        <v/>
      </c>
      <c r="X718" s="52" t="str">
        <f>IFERROR(__xludf.DUMMYFUNCTION("""COMPUTED_VALUE"""),"")</f>
        <v/>
      </c>
      <c r="Y718" s="52" t="str">
        <f>IFERROR(__xludf.DUMMYFUNCTION("""COMPUTED_VALUE"""),"")</f>
        <v/>
      </c>
      <c r="Z718" s="52" t="str">
        <f>IFERROR(__xludf.DUMMYFUNCTION("""COMPUTED_VALUE"""),"")</f>
        <v/>
      </c>
      <c r="AA718" s="52" t="str">
        <f>IFERROR(__xludf.DUMMYFUNCTION("""COMPUTED_VALUE"""),"")</f>
        <v/>
      </c>
      <c r="AB718" s="52" t="str">
        <f>IFERROR(__xludf.DUMMYFUNCTION("""COMPUTED_VALUE"""),"")</f>
        <v/>
      </c>
      <c r="AC718" s="52" t="str">
        <f>IFERROR(__xludf.DUMMYFUNCTION("""COMPUTED_VALUE"""),"")</f>
        <v/>
      </c>
      <c r="AD718" s="52" t="str">
        <f>IFERROR(__xludf.DUMMYFUNCTION("""COMPUTED_VALUE"""),"")</f>
        <v/>
      </c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</row>
    <row r="719">
      <c r="B719" s="49"/>
      <c r="C719" s="49" t="str">
        <f t="shared" si="2"/>
        <v/>
      </c>
      <c r="D719" s="50" t="str">
        <f t="shared" si="3"/>
        <v/>
      </c>
      <c r="E719" s="51" t="str">
        <f t="shared" ref="E719:T719" si="720">IFERROR(VLOOKUP($A719,INDIRECT("'" &amp; E$1 &amp; "'!$C:$G"), 5, FALSE),"")</f>
        <v/>
      </c>
      <c r="F719" s="51" t="str">
        <f t="shared" si="720"/>
        <v/>
      </c>
      <c r="G719" s="51" t="str">
        <f t="shared" si="720"/>
        <v/>
      </c>
      <c r="H719" s="51" t="str">
        <f t="shared" si="720"/>
        <v/>
      </c>
      <c r="I719" s="51" t="str">
        <f t="shared" si="720"/>
        <v/>
      </c>
      <c r="J719" s="51" t="str">
        <f t="shared" si="720"/>
        <v/>
      </c>
      <c r="K719" s="51" t="str">
        <f t="shared" si="720"/>
        <v/>
      </c>
      <c r="L719" s="51" t="str">
        <f t="shared" si="720"/>
        <v/>
      </c>
      <c r="M719" s="51" t="str">
        <f t="shared" si="720"/>
        <v/>
      </c>
      <c r="N719" s="51" t="str">
        <f t="shared" si="720"/>
        <v/>
      </c>
      <c r="O719" s="51" t="str">
        <f t="shared" si="720"/>
        <v/>
      </c>
      <c r="P719" s="51" t="str">
        <f t="shared" si="720"/>
        <v/>
      </c>
      <c r="Q719" s="51" t="str">
        <f t="shared" si="720"/>
        <v/>
      </c>
      <c r="R719" s="51" t="str">
        <f t="shared" si="720"/>
        <v/>
      </c>
      <c r="S719" s="51" t="str">
        <f t="shared" si="720"/>
        <v/>
      </c>
      <c r="T719" s="51" t="str">
        <f t="shared" si="720"/>
        <v/>
      </c>
      <c r="U719" s="52"/>
      <c r="V719" s="52" t="str">
        <f>IFERROR(__xludf.DUMMYFUNCTION("""COMPUTED_VALUE"""),"")</f>
        <v/>
      </c>
      <c r="W719" s="52" t="str">
        <f>IFERROR(__xludf.DUMMYFUNCTION("""COMPUTED_VALUE"""),"")</f>
        <v/>
      </c>
      <c r="X719" s="52" t="str">
        <f>IFERROR(__xludf.DUMMYFUNCTION("""COMPUTED_VALUE"""),"")</f>
        <v/>
      </c>
      <c r="Y719" s="52" t="str">
        <f>IFERROR(__xludf.DUMMYFUNCTION("""COMPUTED_VALUE"""),"")</f>
        <v/>
      </c>
      <c r="Z719" s="52" t="str">
        <f>IFERROR(__xludf.DUMMYFUNCTION("""COMPUTED_VALUE"""),"")</f>
        <v/>
      </c>
      <c r="AA719" s="52" t="str">
        <f>IFERROR(__xludf.DUMMYFUNCTION("""COMPUTED_VALUE"""),"")</f>
        <v/>
      </c>
      <c r="AB719" s="52" t="str">
        <f>IFERROR(__xludf.DUMMYFUNCTION("""COMPUTED_VALUE"""),"")</f>
        <v/>
      </c>
      <c r="AC719" s="52" t="str">
        <f>IFERROR(__xludf.DUMMYFUNCTION("""COMPUTED_VALUE"""),"")</f>
        <v/>
      </c>
      <c r="AD719" s="52" t="str">
        <f>IFERROR(__xludf.DUMMYFUNCTION("""COMPUTED_VALUE"""),"")</f>
        <v/>
      </c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</row>
    <row r="720">
      <c r="B720" s="49"/>
      <c r="C720" s="49" t="str">
        <f t="shared" si="2"/>
        <v/>
      </c>
      <c r="D720" s="50" t="str">
        <f t="shared" si="3"/>
        <v/>
      </c>
      <c r="E720" s="51" t="str">
        <f t="shared" ref="E720:T720" si="721">IFERROR(VLOOKUP($A720,INDIRECT("'" &amp; E$1 &amp; "'!$C:$G"), 5, FALSE),"")</f>
        <v/>
      </c>
      <c r="F720" s="51" t="str">
        <f t="shared" si="721"/>
        <v/>
      </c>
      <c r="G720" s="51" t="str">
        <f t="shared" si="721"/>
        <v/>
      </c>
      <c r="H720" s="51" t="str">
        <f t="shared" si="721"/>
        <v/>
      </c>
      <c r="I720" s="51" t="str">
        <f t="shared" si="721"/>
        <v/>
      </c>
      <c r="J720" s="51" t="str">
        <f t="shared" si="721"/>
        <v/>
      </c>
      <c r="K720" s="51" t="str">
        <f t="shared" si="721"/>
        <v/>
      </c>
      <c r="L720" s="51" t="str">
        <f t="shared" si="721"/>
        <v/>
      </c>
      <c r="M720" s="51" t="str">
        <f t="shared" si="721"/>
        <v/>
      </c>
      <c r="N720" s="51" t="str">
        <f t="shared" si="721"/>
        <v/>
      </c>
      <c r="O720" s="51" t="str">
        <f t="shared" si="721"/>
        <v/>
      </c>
      <c r="P720" s="51" t="str">
        <f t="shared" si="721"/>
        <v/>
      </c>
      <c r="Q720" s="51" t="str">
        <f t="shared" si="721"/>
        <v/>
      </c>
      <c r="R720" s="51" t="str">
        <f t="shared" si="721"/>
        <v/>
      </c>
      <c r="S720" s="51" t="str">
        <f t="shared" si="721"/>
        <v/>
      </c>
      <c r="T720" s="51" t="str">
        <f t="shared" si="721"/>
        <v/>
      </c>
      <c r="U720" s="52"/>
      <c r="V720" s="52" t="str">
        <f>IFERROR(__xludf.DUMMYFUNCTION("""COMPUTED_VALUE"""),"")</f>
        <v/>
      </c>
      <c r="W720" s="52" t="str">
        <f>IFERROR(__xludf.DUMMYFUNCTION("""COMPUTED_VALUE"""),"")</f>
        <v/>
      </c>
      <c r="X720" s="52" t="str">
        <f>IFERROR(__xludf.DUMMYFUNCTION("""COMPUTED_VALUE"""),"")</f>
        <v/>
      </c>
      <c r="Y720" s="52" t="str">
        <f>IFERROR(__xludf.DUMMYFUNCTION("""COMPUTED_VALUE"""),"")</f>
        <v/>
      </c>
      <c r="Z720" s="52" t="str">
        <f>IFERROR(__xludf.DUMMYFUNCTION("""COMPUTED_VALUE"""),"")</f>
        <v/>
      </c>
      <c r="AA720" s="52" t="str">
        <f>IFERROR(__xludf.DUMMYFUNCTION("""COMPUTED_VALUE"""),"")</f>
        <v/>
      </c>
      <c r="AB720" s="52" t="str">
        <f>IFERROR(__xludf.DUMMYFUNCTION("""COMPUTED_VALUE"""),"")</f>
        <v/>
      </c>
      <c r="AC720" s="52" t="str">
        <f>IFERROR(__xludf.DUMMYFUNCTION("""COMPUTED_VALUE"""),"")</f>
        <v/>
      </c>
      <c r="AD720" s="52" t="str">
        <f>IFERROR(__xludf.DUMMYFUNCTION("""COMPUTED_VALUE"""),"")</f>
        <v/>
      </c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</row>
    <row r="721">
      <c r="B721" s="49"/>
      <c r="C721" s="49" t="str">
        <f t="shared" si="2"/>
        <v/>
      </c>
      <c r="D721" s="50" t="str">
        <f t="shared" si="3"/>
        <v/>
      </c>
      <c r="E721" s="51" t="str">
        <f t="shared" ref="E721:T721" si="722">IFERROR(VLOOKUP($A721,INDIRECT("'" &amp; E$1 &amp; "'!$C:$G"), 5, FALSE),"")</f>
        <v/>
      </c>
      <c r="F721" s="51" t="str">
        <f t="shared" si="722"/>
        <v/>
      </c>
      <c r="G721" s="51" t="str">
        <f t="shared" si="722"/>
        <v/>
      </c>
      <c r="H721" s="51" t="str">
        <f t="shared" si="722"/>
        <v/>
      </c>
      <c r="I721" s="51" t="str">
        <f t="shared" si="722"/>
        <v/>
      </c>
      <c r="J721" s="51" t="str">
        <f t="shared" si="722"/>
        <v/>
      </c>
      <c r="K721" s="51" t="str">
        <f t="shared" si="722"/>
        <v/>
      </c>
      <c r="L721" s="51" t="str">
        <f t="shared" si="722"/>
        <v/>
      </c>
      <c r="M721" s="51" t="str">
        <f t="shared" si="722"/>
        <v/>
      </c>
      <c r="N721" s="51" t="str">
        <f t="shared" si="722"/>
        <v/>
      </c>
      <c r="O721" s="51" t="str">
        <f t="shared" si="722"/>
        <v/>
      </c>
      <c r="P721" s="51" t="str">
        <f t="shared" si="722"/>
        <v/>
      </c>
      <c r="Q721" s="51" t="str">
        <f t="shared" si="722"/>
        <v/>
      </c>
      <c r="R721" s="51" t="str">
        <f t="shared" si="722"/>
        <v/>
      </c>
      <c r="S721" s="51" t="str">
        <f t="shared" si="722"/>
        <v/>
      </c>
      <c r="T721" s="51" t="str">
        <f t="shared" si="722"/>
        <v/>
      </c>
      <c r="U721" s="52"/>
      <c r="V721" s="52" t="str">
        <f>IFERROR(__xludf.DUMMYFUNCTION("""COMPUTED_VALUE"""),"")</f>
        <v/>
      </c>
      <c r="W721" s="52" t="str">
        <f>IFERROR(__xludf.DUMMYFUNCTION("""COMPUTED_VALUE"""),"")</f>
        <v/>
      </c>
      <c r="X721" s="52" t="str">
        <f>IFERROR(__xludf.DUMMYFUNCTION("""COMPUTED_VALUE"""),"")</f>
        <v/>
      </c>
      <c r="Y721" s="52" t="str">
        <f>IFERROR(__xludf.DUMMYFUNCTION("""COMPUTED_VALUE"""),"")</f>
        <v/>
      </c>
      <c r="Z721" s="52" t="str">
        <f>IFERROR(__xludf.DUMMYFUNCTION("""COMPUTED_VALUE"""),"")</f>
        <v/>
      </c>
      <c r="AA721" s="52" t="str">
        <f>IFERROR(__xludf.DUMMYFUNCTION("""COMPUTED_VALUE"""),"")</f>
        <v/>
      </c>
      <c r="AB721" s="52" t="str">
        <f>IFERROR(__xludf.DUMMYFUNCTION("""COMPUTED_VALUE"""),"")</f>
        <v/>
      </c>
      <c r="AC721" s="52" t="str">
        <f>IFERROR(__xludf.DUMMYFUNCTION("""COMPUTED_VALUE"""),"")</f>
        <v/>
      </c>
      <c r="AD721" s="52" t="str">
        <f>IFERROR(__xludf.DUMMYFUNCTION("""COMPUTED_VALUE"""),"")</f>
        <v/>
      </c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</row>
    <row r="722">
      <c r="B722" s="49"/>
      <c r="C722" s="49" t="str">
        <f t="shared" si="2"/>
        <v/>
      </c>
      <c r="D722" s="50" t="str">
        <f t="shared" si="3"/>
        <v/>
      </c>
      <c r="E722" s="51" t="str">
        <f t="shared" ref="E722:T722" si="723">IFERROR(VLOOKUP($A722,INDIRECT("'" &amp; E$1 &amp; "'!$C:$G"), 5, FALSE),"")</f>
        <v/>
      </c>
      <c r="F722" s="51" t="str">
        <f t="shared" si="723"/>
        <v/>
      </c>
      <c r="G722" s="51" t="str">
        <f t="shared" si="723"/>
        <v/>
      </c>
      <c r="H722" s="51" t="str">
        <f t="shared" si="723"/>
        <v/>
      </c>
      <c r="I722" s="51" t="str">
        <f t="shared" si="723"/>
        <v/>
      </c>
      <c r="J722" s="51" t="str">
        <f t="shared" si="723"/>
        <v/>
      </c>
      <c r="K722" s="51" t="str">
        <f t="shared" si="723"/>
        <v/>
      </c>
      <c r="L722" s="51" t="str">
        <f t="shared" si="723"/>
        <v/>
      </c>
      <c r="M722" s="51" t="str">
        <f t="shared" si="723"/>
        <v/>
      </c>
      <c r="N722" s="51" t="str">
        <f t="shared" si="723"/>
        <v/>
      </c>
      <c r="O722" s="51" t="str">
        <f t="shared" si="723"/>
        <v/>
      </c>
      <c r="P722" s="51" t="str">
        <f t="shared" si="723"/>
        <v/>
      </c>
      <c r="Q722" s="51" t="str">
        <f t="shared" si="723"/>
        <v/>
      </c>
      <c r="R722" s="51" t="str">
        <f t="shared" si="723"/>
        <v/>
      </c>
      <c r="S722" s="51" t="str">
        <f t="shared" si="723"/>
        <v/>
      </c>
      <c r="T722" s="51" t="str">
        <f t="shared" si="723"/>
        <v/>
      </c>
      <c r="U722" s="52"/>
      <c r="V722" s="52" t="str">
        <f>IFERROR(__xludf.DUMMYFUNCTION("""COMPUTED_VALUE"""),"")</f>
        <v/>
      </c>
      <c r="W722" s="52" t="str">
        <f>IFERROR(__xludf.DUMMYFUNCTION("""COMPUTED_VALUE"""),"")</f>
        <v/>
      </c>
      <c r="X722" s="52" t="str">
        <f>IFERROR(__xludf.DUMMYFUNCTION("""COMPUTED_VALUE"""),"")</f>
        <v/>
      </c>
      <c r="Y722" s="52" t="str">
        <f>IFERROR(__xludf.DUMMYFUNCTION("""COMPUTED_VALUE"""),"")</f>
        <v/>
      </c>
      <c r="Z722" s="52" t="str">
        <f>IFERROR(__xludf.DUMMYFUNCTION("""COMPUTED_VALUE"""),"")</f>
        <v/>
      </c>
      <c r="AA722" s="52" t="str">
        <f>IFERROR(__xludf.DUMMYFUNCTION("""COMPUTED_VALUE"""),"")</f>
        <v/>
      </c>
      <c r="AB722" s="52" t="str">
        <f>IFERROR(__xludf.DUMMYFUNCTION("""COMPUTED_VALUE"""),"")</f>
        <v/>
      </c>
      <c r="AC722" s="52" t="str">
        <f>IFERROR(__xludf.DUMMYFUNCTION("""COMPUTED_VALUE"""),"")</f>
        <v/>
      </c>
      <c r="AD722" s="52" t="str">
        <f>IFERROR(__xludf.DUMMYFUNCTION("""COMPUTED_VALUE"""),"")</f>
        <v/>
      </c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</row>
    <row r="723">
      <c r="B723" s="49"/>
      <c r="C723" s="49" t="str">
        <f t="shared" si="2"/>
        <v/>
      </c>
      <c r="D723" s="50" t="str">
        <f t="shared" si="3"/>
        <v/>
      </c>
      <c r="E723" s="51" t="str">
        <f t="shared" ref="E723:T723" si="724">IFERROR(VLOOKUP($A723,INDIRECT("'" &amp; E$1 &amp; "'!$C:$G"), 5, FALSE),"")</f>
        <v/>
      </c>
      <c r="F723" s="51" t="str">
        <f t="shared" si="724"/>
        <v/>
      </c>
      <c r="G723" s="51" t="str">
        <f t="shared" si="724"/>
        <v/>
      </c>
      <c r="H723" s="51" t="str">
        <f t="shared" si="724"/>
        <v/>
      </c>
      <c r="I723" s="51" t="str">
        <f t="shared" si="724"/>
        <v/>
      </c>
      <c r="J723" s="51" t="str">
        <f t="shared" si="724"/>
        <v/>
      </c>
      <c r="K723" s="51" t="str">
        <f t="shared" si="724"/>
        <v/>
      </c>
      <c r="L723" s="51" t="str">
        <f t="shared" si="724"/>
        <v/>
      </c>
      <c r="M723" s="51" t="str">
        <f t="shared" si="724"/>
        <v/>
      </c>
      <c r="N723" s="51" t="str">
        <f t="shared" si="724"/>
        <v/>
      </c>
      <c r="O723" s="51" t="str">
        <f t="shared" si="724"/>
        <v/>
      </c>
      <c r="P723" s="51" t="str">
        <f t="shared" si="724"/>
        <v/>
      </c>
      <c r="Q723" s="51" t="str">
        <f t="shared" si="724"/>
        <v/>
      </c>
      <c r="R723" s="51" t="str">
        <f t="shared" si="724"/>
        <v/>
      </c>
      <c r="S723" s="51" t="str">
        <f t="shared" si="724"/>
        <v/>
      </c>
      <c r="T723" s="51" t="str">
        <f t="shared" si="724"/>
        <v/>
      </c>
      <c r="U723" s="52"/>
      <c r="V723" s="52" t="str">
        <f>IFERROR(__xludf.DUMMYFUNCTION("""COMPUTED_VALUE"""),"")</f>
        <v/>
      </c>
      <c r="W723" s="52" t="str">
        <f>IFERROR(__xludf.DUMMYFUNCTION("""COMPUTED_VALUE"""),"")</f>
        <v/>
      </c>
      <c r="X723" s="52" t="str">
        <f>IFERROR(__xludf.DUMMYFUNCTION("""COMPUTED_VALUE"""),"")</f>
        <v/>
      </c>
      <c r="Y723" s="52" t="str">
        <f>IFERROR(__xludf.DUMMYFUNCTION("""COMPUTED_VALUE"""),"")</f>
        <v/>
      </c>
      <c r="Z723" s="52" t="str">
        <f>IFERROR(__xludf.DUMMYFUNCTION("""COMPUTED_VALUE"""),"")</f>
        <v/>
      </c>
      <c r="AA723" s="52" t="str">
        <f>IFERROR(__xludf.DUMMYFUNCTION("""COMPUTED_VALUE"""),"")</f>
        <v/>
      </c>
      <c r="AB723" s="52" t="str">
        <f>IFERROR(__xludf.DUMMYFUNCTION("""COMPUTED_VALUE"""),"")</f>
        <v/>
      </c>
      <c r="AC723" s="52" t="str">
        <f>IFERROR(__xludf.DUMMYFUNCTION("""COMPUTED_VALUE"""),"")</f>
        <v/>
      </c>
      <c r="AD723" s="52" t="str">
        <f>IFERROR(__xludf.DUMMYFUNCTION("""COMPUTED_VALUE"""),"")</f>
        <v/>
      </c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</row>
    <row r="724">
      <c r="B724" s="49"/>
      <c r="C724" s="49" t="str">
        <f t="shared" si="2"/>
        <v/>
      </c>
      <c r="D724" s="50" t="str">
        <f t="shared" si="3"/>
        <v/>
      </c>
      <c r="E724" s="51" t="str">
        <f t="shared" ref="E724:T724" si="725">IFERROR(VLOOKUP($A724,INDIRECT("'" &amp; E$1 &amp; "'!$C:$G"), 5, FALSE),"")</f>
        <v/>
      </c>
      <c r="F724" s="51" t="str">
        <f t="shared" si="725"/>
        <v/>
      </c>
      <c r="G724" s="51" t="str">
        <f t="shared" si="725"/>
        <v/>
      </c>
      <c r="H724" s="51" t="str">
        <f t="shared" si="725"/>
        <v/>
      </c>
      <c r="I724" s="51" t="str">
        <f t="shared" si="725"/>
        <v/>
      </c>
      <c r="J724" s="51" t="str">
        <f t="shared" si="725"/>
        <v/>
      </c>
      <c r="K724" s="51" t="str">
        <f t="shared" si="725"/>
        <v/>
      </c>
      <c r="L724" s="51" t="str">
        <f t="shared" si="725"/>
        <v/>
      </c>
      <c r="M724" s="51" t="str">
        <f t="shared" si="725"/>
        <v/>
      </c>
      <c r="N724" s="51" t="str">
        <f t="shared" si="725"/>
        <v/>
      </c>
      <c r="O724" s="51" t="str">
        <f t="shared" si="725"/>
        <v/>
      </c>
      <c r="P724" s="51" t="str">
        <f t="shared" si="725"/>
        <v/>
      </c>
      <c r="Q724" s="51" t="str">
        <f t="shared" si="725"/>
        <v/>
      </c>
      <c r="R724" s="51" t="str">
        <f t="shared" si="725"/>
        <v/>
      </c>
      <c r="S724" s="51" t="str">
        <f t="shared" si="725"/>
        <v/>
      </c>
      <c r="T724" s="51" t="str">
        <f t="shared" si="725"/>
        <v/>
      </c>
      <c r="U724" s="52"/>
      <c r="V724" s="52" t="str">
        <f>IFERROR(__xludf.DUMMYFUNCTION("""COMPUTED_VALUE"""),"")</f>
        <v/>
      </c>
      <c r="W724" s="52" t="str">
        <f>IFERROR(__xludf.DUMMYFUNCTION("""COMPUTED_VALUE"""),"")</f>
        <v/>
      </c>
      <c r="X724" s="52" t="str">
        <f>IFERROR(__xludf.DUMMYFUNCTION("""COMPUTED_VALUE"""),"")</f>
        <v/>
      </c>
      <c r="Y724" s="52" t="str">
        <f>IFERROR(__xludf.DUMMYFUNCTION("""COMPUTED_VALUE"""),"")</f>
        <v/>
      </c>
      <c r="Z724" s="52" t="str">
        <f>IFERROR(__xludf.DUMMYFUNCTION("""COMPUTED_VALUE"""),"")</f>
        <v/>
      </c>
      <c r="AA724" s="52" t="str">
        <f>IFERROR(__xludf.DUMMYFUNCTION("""COMPUTED_VALUE"""),"")</f>
        <v/>
      </c>
      <c r="AB724" s="52" t="str">
        <f>IFERROR(__xludf.DUMMYFUNCTION("""COMPUTED_VALUE"""),"")</f>
        <v/>
      </c>
      <c r="AC724" s="52" t="str">
        <f>IFERROR(__xludf.DUMMYFUNCTION("""COMPUTED_VALUE"""),"")</f>
        <v/>
      </c>
      <c r="AD724" s="52" t="str">
        <f>IFERROR(__xludf.DUMMYFUNCTION("""COMPUTED_VALUE"""),"")</f>
        <v/>
      </c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</row>
    <row r="725">
      <c r="B725" s="49"/>
      <c r="C725" s="49" t="str">
        <f t="shared" si="2"/>
        <v/>
      </c>
      <c r="D725" s="50" t="str">
        <f t="shared" si="3"/>
        <v/>
      </c>
      <c r="E725" s="51" t="str">
        <f t="shared" ref="E725:T725" si="726">IFERROR(VLOOKUP($A725,INDIRECT("'" &amp; E$1 &amp; "'!$C:$G"), 5, FALSE),"")</f>
        <v/>
      </c>
      <c r="F725" s="51" t="str">
        <f t="shared" si="726"/>
        <v/>
      </c>
      <c r="G725" s="51" t="str">
        <f t="shared" si="726"/>
        <v/>
      </c>
      <c r="H725" s="51" t="str">
        <f t="shared" si="726"/>
        <v/>
      </c>
      <c r="I725" s="51" t="str">
        <f t="shared" si="726"/>
        <v/>
      </c>
      <c r="J725" s="51" t="str">
        <f t="shared" si="726"/>
        <v/>
      </c>
      <c r="K725" s="51" t="str">
        <f t="shared" si="726"/>
        <v/>
      </c>
      <c r="L725" s="51" t="str">
        <f t="shared" si="726"/>
        <v/>
      </c>
      <c r="M725" s="51" t="str">
        <f t="shared" si="726"/>
        <v/>
      </c>
      <c r="N725" s="51" t="str">
        <f t="shared" si="726"/>
        <v/>
      </c>
      <c r="O725" s="51" t="str">
        <f t="shared" si="726"/>
        <v/>
      </c>
      <c r="P725" s="51" t="str">
        <f t="shared" si="726"/>
        <v/>
      </c>
      <c r="Q725" s="51" t="str">
        <f t="shared" si="726"/>
        <v/>
      </c>
      <c r="R725" s="51" t="str">
        <f t="shared" si="726"/>
        <v/>
      </c>
      <c r="S725" s="51" t="str">
        <f t="shared" si="726"/>
        <v/>
      </c>
      <c r="T725" s="51" t="str">
        <f t="shared" si="726"/>
        <v/>
      </c>
      <c r="U725" s="52"/>
      <c r="V725" s="52" t="str">
        <f>IFERROR(__xludf.DUMMYFUNCTION("""COMPUTED_VALUE"""),"")</f>
        <v/>
      </c>
      <c r="W725" s="52" t="str">
        <f>IFERROR(__xludf.DUMMYFUNCTION("""COMPUTED_VALUE"""),"")</f>
        <v/>
      </c>
      <c r="X725" s="52" t="str">
        <f>IFERROR(__xludf.DUMMYFUNCTION("""COMPUTED_VALUE"""),"")</f>
        <v/>
      </c>
      <c r="Y725" s="52" t="str">
        <f>IFERROR(__xludf.DUMMYFUNCTION("""COMPUTED_VALUE"""),"")</f>
        <v/>
      </c>
      <c r="Z725" s="52" t="str">
        <f>IFERROR(__xludf.DUMMYFUNCTION("""COMPUTED_VALUE"""),"")</f>
        <v/>
      </c>
      <c r="AA725" s="52" t="str">
        <f>IFERROR(__xludf.DUMMYFUNCTION("""COMPUTED_VALUE"""),"")</f>
        <v/>
      </c>
      <c r="AB725" s="52" t="str">
        <f>IFERROR(__xludf.DUMMYFUNCTION("""COMPUTED_VALUE"""),"")</f>
        <v/>
      </c>
      <c r="AC725" s="52" t="str">
        <f>IFERROR(__xludf.DUMMYFUNCTION("""COMPUTED_VALUE"""),"")</f>
        <v/>
      </c>
      <c r="AD725" s="52" t="str">
        <f>IFERROR(__xludf.DUMMYFUNCTION("""COMPUTED_VALUE"""),"")</f>
        <v/>
      </c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</row>
    <row r="726">
      <c r="B726" s="49"/>
      <c r="C726" s="49" t="str">
        <f t="shared" si="2"/>
        <v/>
      </c>
      <c r="D726" s="50" t="str">
        <f t="shared" si="3"/>
        <v/>
      </c>
      <c r="E726" s="51" t="str">
        <f t="shared" ref="E726:T726" si="727">IFERROR(VLOOKUP($A726,INDIRECT("'" &amp; E$1 &amp; "'!$C:$G"), 5, FALSE),"")</f>
        <v/>
      </c>
      <c r="F726" s="51" t="str">
        <f t="shared" si="727"/>
        <v/>
      </c>
      <c r="G726" s="51" t="str">
        <f t="shared" si="727"/>
        <v/>
      </c>
      <c r="H726" s="51" t="str">
        <f t="shared" si="727"/>
        <v/>
      </c>
      <c r="I726" s="51" t="str">
        <f t="shared" si="727"/>
        <v/>
      </c>
      <c r="J726" s="51" t="str">
        <f t="shared" si="727"/>
        <v/>
      </c>
      <c r="K726" s="51" t="str">
        <f t="shared" si="727"/>
        <v/>
      </c>
      <c r="L726" s="51" t="str">
        <f t="shared" si="727"/>
        <v/>
      </c>
      <c r="M726" s="51" t="str">
        <f t="shared" si="727"/>
        <v/>
      </c>
      <c r="N726" s="51" t="str">
        <f t="shared" si="727"/>
        <v/>
      </c>
      <c r="O726" s="51" t="str">
        <f t="shared" si="727"/>
        <v/>
      </c>
      <c r="P726" s="51" t="str">
        <f t="shared" si="727"/>
        <v/>
      </c>
      <c r="Q726" s="51" t="str">
        <f t="shared" si="727"/>
        <v/>
      </c>
      <c r="R726" s="51" t="str">
        <f t="shared" si="727"/>
        <v/>
      </c>
      <c r="S726" s="51" t="str">
        <f t="shared" si="727"/>
        <v/>
      </c>
      <c r="T726" s="51" t="str">
        <f t="shared" si="727"/>
        <v/>
      </c>
      <c r="U726" s="52"/>
      <c r="V726" s="52" t="str">
        <f>IFERROR(__xludf.DUMMYFUNCTION("""COMPUTED_VALUE"""),"")</f>
        <v/>
      </c>
      <c r="W726" s="52" t="str">
        <f>IFERROR(__xludf.DUMMYFUNCTION("""COMPUTED_VALUE"""),"")</f>
        <v/>
      </c>
      <c r="X726" s="52" t="str">
        <f>IFERROR(__xludf.DUMMYFUNCTION("""COMPUTED_VALUE"""),"")</f>
        <v/>
      </c>
      <c r="Y726" s="52" t="str">
        <f>IFERROR(__xludf.DUMMYFUNCTION("""COMPUTED_VALUE"""),"")</f>
        <v/>
      </c>
      <c r="Z726" s="52" t="str">
        <f>IFERROR(__xludf.DUMMYFUNCTION("""COMPUTED_VALUE"""),"")</f>
        <v/>
      </c>
      <c r="AA726" s="52" t="str">
        <f>IFERROR(__xludf.DUMMYFUNCTION("""COMPUTED_VALUE"""),"")</f>
        <v/>
      </c>
      <c r="AB726" s="52" t="str">
        <f>IFERROR(__xludf.DUMMYFUNCTION("""COMPUTED_VALUE"""),"")</f>
        <v/>
      </c>
      <c r="AC726" s="52" t="str">
        <f>IFERROR(__xludf.DUMMYFUNCTION("""COMPUTED_VALUE"""),"")</f>
        <v/>
      </c>
      <c r="AD726" s="52" t="str">
        <f>IFERROR(__xludf.DUMMYFUNCTION("""COMPUTED_VALUE"""),"")</f>
        <v/>
      </c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</row>
    <row r="727">
      <c r="B727" s="49"/>
      <c r="C727" s="49" t="str">
        <f t="shared" si="2"/>
        <v/>
      </c>
      <c r="D727" s="50" t="str">
        <f t="shared" si="3"/>
        <v/>
      </c>
      <c r="E727" s="51" t="str">
        <f t="shared" ref="E727:T727" si="728">IFERROR(VLOOKUP($A727,INDIRECT("'" &amp; E$1 &amp; "'!$C:$G"), 5, FALSE),"")</f>
        <v/>
      </c>
      <c r="F727" s="51" t="str">
        <f t="shared" si="728"/>
        <v/>
      </c>
      <c r="G727" s="51" t="str">
        <f t="shared" si="728"/>
        <v/>
      </c>
      <c r="H727" s="51" t="str">
        <f t="shared" si="728"/>
        <v/>
      </c>
      <c r="I727" s="51" t="str">
        <f t="shared" si="728"/>
        <v/>
      </c>
      <c r="J727" s="51" t="str">
        <f t="shared" si="728"/>
        <v/>
      </c>
      <c r="K727" s="51" t="str">
        <f t="shared" si="728"/>
        <v/>
      </c>
      <c r="L727" s="51" t="str">
        <f t="shared" si="728"/>
        <v/>
      </c>
      <c r="M727" s="51" t="str">
        <f t="shared" si="728"/>
        <v/>
      </c>
      <c r="N727" s="51" t="str">
        <f t="shared" si="728"/>
        <v/>
      </c>
      <c r="O727" s="51" t="str">
        <f t="shared" si="728"/>
        <v/>
      </c>
      <c r="P727" s="51" t="str">
        <f t="shared" si="728"/>
        <v/>
      </c>
      <c r="Q727" s="51" t="str">
        <f t="shared" si="728"/>
        <v/>
      </c>
      <c r="R727" s="51" t="str">
        <f t="shared" si="728"/>
        <v/>
      </c>
      <c r="S727" s="51" t="str">
        <f t="shared" si="728"/>
        <v/>
      </c>
      <c r="T727" s="51" t="str">
        <f t="shared" si="728"/>
        <v/>
      </c>
      <c r="U727" s="52"/>
      <c r="V727" s="52" t="str">
        <f>IFERROR(__xludf.DUMMYFUNCTION("""COMPUTED_VALUE"""),"")</f>
        <v/>
      </c>
      <c r="W727" s="52" t="str">
        <f>IFERROR(__xludf.DUMMYFUNCTION("""COMPUTED_VALUE"""),"")</f>
        <v/>
      </c>
      <c r="X727" s="52" t="str">
        <f>IFERROR(__xludf.DUMMYFUNCTION("""COMPUTED_VALUE"""),"")</f>
        <v/>
      </c>
      <c r="Y727" s="52" t="str">
        <f>IFERROR(__xludf.DUMMYFUNCTION("""COMPUTED_VALUE"""),"")</f>
        <v/>
      </c>
      <c r="Z727" s="52" t="str">
        <f>IFERROR(__xludf.DUMMYFUNCTION("""COMPUTED_VALUE"""),"")</f>
        <v/>
      </c>
      <c r="AA727" s="52" t="str">
        <f>IFERROR(__xludf.DUMMYFUNCTION("""COMPUTED_VALUE"""),"")</f>
        <v/>
      </c>
      <c r="AB727" s="52" t="str">
        <f>IFERROR(__xludf.DUMMYFUNCTION("""COMPUTED_VALUE"""),"")</f>
        <v/>
      </c>
      <c r="AC727" s="52" t="str">
        <f>IFERROR(__xludf.DUMMYFUNCTION("""COMPUTED_VALUE"""),"")</f>
        <v/>
      </c>
      <c r="AD727" s="52" t="str">
        <f>IFERROR(__xludf.DUMMYFUNCTION("""COMPUTED_VALUE"""),"")</f>
        <v/>
      </c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</row>
    <row r="728">
      <c r="B728" s="49"/>
      <c r="C728" s="49" t="str">
        <f t="shared" si="2"/>
        <v/>
      </c>
      <c r="D728" s="50" t="str">
        <f t="shared" si="3"/>
        <v/>
      </c>
      <c r="E728" s="51" t="str">
        <f t="shared" ref="E728:T728" si="729">IFERROR(VLOOKUP($A728,INDIRECT("'" &amp; E$1 &amp; "'!$C:$G"), 5, FALSE),"")</f>
        <v/>
      </c>
      <c r="F728" s="51" t="str">
        <f t="shared" si="729"/>
        <v/>
      </c>
      <c r="G728" s="51" t="str">
        <f t="shared" si="729"/>
        <v/>
      </c>
      <c r="H728" s="51" t="str">
        <f t="shared" si="729"/>
        <v/>
      </c>
      <c r="I728" s="51" t="str">
        <f t="shared" si="729"/>
        <v/>
      </c>
      <c r="J728" s="51" t="str">
        <f t="shared" si="729"/>
        <v/>
      </c>
      <c r="K728" s="51" t="str">
        <f t="shared" si="729"/>
        <v/>
      </c>
      <c r="L728" s="51" t="str">
        <f t="shared" si="729"/>
        <v/>
      </c>
      <c r="M728" s="51" t="str">
        <f t="shared" si="729"/>
        <v/>
      </c>
      <c r="N728" s="51" t="str">
        <f t="shared" si="729"/>
        <v/>
      </c>
      <c r="O728" s="51" t="str">
        <f t="shared" si="729"/>
        <v/>
      </c>
      <c r="P728" s="51" t="str">
        <f t="shared" si="729"/>
        <v/>
      </c>
      <c r="Q728" s="51" t="str">
        <f t="shared" si="729"/>
        <v/>
      </c>
      <c r="R728" s="51" t="str">
        <f t="shared" si="729"/>
        <v/>
      </c>
      <c r="S728" s="51" t="str">
        <f t="shared" si="729"/>
        <v/>
      </c>
      <c r="T728" s="51" t="str">
        <f t="shared" si="729"/>
        <v/>
      </c>
      <c r="U728" s="52"/>
      <c r="V728" s="52" t="str">
        <f>IFERROR(__xludf.DUMMYFUNCTION("""COMPUTED_VALUE"""),"")</f>
        <v/>
      </c>
      <c r="W728" s="52" t="str">
        <f>IFERROR(__xludf.DUMMYFUNCTION("""COMPUTED_VALUE"""),"")</f>
        <v/>
      </c>
      <c r="X728" s="52" t="str">
        <f>IFERROR(__xludf.DUMMYFUNCTION("""COMPUTED_VALUE"""),"")</f>
        <v/>
      </c>
      <c r="Y728" s="52" t="str">
        <f>IFERROR(__xludf.DUMMYFUNCTION("""COMPUTED_VALUE"""),"")</f>
        <v/>
      </c>
      <c r="Z728" s="52" t="str">
        <f>IFERROR(__xludf.DUMMYFUNCTION("""COMPUTED_VALUE"""),"")</f>
        <v/>
      </c>
      <c r="AA728" s="52" t="str">
        <f>IFERROR(__xludf.DUMMYFUNCTION("""COMPUTED_VALUE"""),"")</f>
        <v/>
      </c>
      <c r="AB728" s="52" t="str">
        <f>IFERROR(__xludf.DUMMYFUNCTION("""COMPUTED_VALUE"""),"")</f>
        <v/>
      </c>
      <c r="AC728" s="52" t="str">
        <f>IFERROR(__xludf.DUMMYFUNCTION("""COMPUTED_VALUE"""),"")</f>
        <v/>
      </c>
      <c r="AD728" s="52" t="str">
        <f>IFERROR(__xludf.DUMMYFUNCTION("""COMPUTED_VALUE"""),"")</f>
        <v/>
      </c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</row>
    <row r="729">
      <c r="B729" s="49"/>
      <c r="C729" s="49" t="str">
        <f t="shared" si="2"/>
        <v/>
      </c>
      <c r="D729" s="50" t="str">
        <f t="shared" si="3"/>
        <v/>
      </c>
      <c r="E729" s="51" t="str">
        <f t="shared" ref="E729:T729" si="730">IFERROR(VLOOKUP($A729,INDIRECT("'" &amp; E$1 &amp; "'!$C:$G"), 5, FALSE),"")</f>
        <v/>
      </c>
      <c r="F729" s="51" t="str">
        <f t="shared" si="730"/>
        <v/>
      </c>
      <c r="G729" s="51" t="str">
        <f t="shared" si="730"/>
        <v/>
      </c>
      <c r="H729" s="51" t="str">
        <f t="shared" si="730"/>
        <v/>
      </c>
      <c r="I729" s="51" t="str">
        <f t="shared" si="730"/>
        <v/>
      </c>
      <c r="J729" s="51" t="str">
        <f t="shared" si="730"/>
        <v/>
      </c>
      <c r="K729" s="51" t="str">
        <f t="shared" si="730"/>
        <v/>
      </c>
      <c r="L729" s="51" t="str">
        <f t="shared" si="730"/>
        <v/>
      </c>
      <c r="M729" s="51" t="str">
        <f t="shared" si="730"/>
        <v/>
      </c>
      <c r="N729" s="51" t="str">
        <f t="shared" si="730"/>
        <v/>
      </c>
      <c r="O729" s="51" t="str">
        <f t="shared" si="730"/>
        <v/>
      </c>
      <c r="P729" s="51" t="str">
        <f t="shared" si="730"/>
        <v/>
      </c>
      <c r="Q729" s="51" t="str">
        <f t="shared" si="730"/>
        <v/>
      </c>
      <c r="R729" s="51" t="str">
        <f t="shared" si="730"/>
        <v/>
      </c>
      <c r="S729" s="51" t="str">
        <f t="shared" si="730"/>
        <v/>
      </c>
      <c r="T729" s="51" t="str">
        <f t="shared" si="730"/>
        <v/>
      </c>
      <c r="U729" s="52"/>
      <c r="V729" s="52" t="str">
        <f>IFERROR(__xludf.DUMMYFUNCTION("""COMPUTED_VALUE"""),"")</f>
        <v/>
      </c>
      <c r="W729" s="52" t="str">
        <f>IFERROR(__xludf.DUMMYFUNCTION("""COMPUTED_VALUE"""),"")</f>
        <v/>
      </c>
      <c r="X729" s="52" t="str">
        <f>IFERROR(__xludf.DUMMYFUNCTION("""COMPUTED_VALUE"""),"")</f>
        <v/>
      </c>
      <c r="Y729" s="52" t="str">
        <f>IFERROR(__xludf.DUMMYFUNCTION("""COMPUTED_VALUE"""),"")</f>
        <v/>
      </c>
      <c r="Z729" s="52" t="str">
        <f>IFERROR(__xludf.DUMMYFUNCTION("""COMPUTED_VALUE"""),"")</f>
        <v/>
      </c>
      <c r="AA729" s="52" t="str">
        <f>IFERROR(__xludf.DUMMYFUNCTION("""COMPUTED_VALUE"""),"")</f>
        <v/>
      </c>
      <c r="AB729" s="52" t="str">
        <f>IFERROR(__xludf.DUMMYFUNCTION("""COMPUTED_VALUE"""),"")</f>
        <v/>
      </c>
      <c r="AC729" s="52" t="str">
        <f>IFERROR(__xludf.DUMMYFUNCTION("""COMPUTED_VALUE"""),"")</f>
        <v/>
      </c>
      <c r="AD729" s="52" t="str">
        <f>IFERROR(__xludf.DUMMYFUNCTION("""COMPUTED_VALUE"""),"")</f>
        <v/>
      </c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</row>
    <row r="730">
      <c r="B730" s="49"/>
      <c r="C730" s="49" t="str">
        <f t="shared" si="2"/>
        <v/>
      </c>
      <c r="D730" s="50" t="str">
        <f t="shared" si="3"/>
        <v/>
      </c>
      <c r="E730" s="51" t="str">
        <f t="shared" ref="E730:T730" si="731">IFERROR(VLOOKUP($A730,INDIRECT("'" &amp; E$1 &amp; "'!$C:$G"), 5, FALSE),"")</f>
        <v/>
      </c>
      <c r="F730" s="51" t="str">
        <f t="shared" si="731"/>
        <v/>
      </c>
      <c r="G730" s="51" t="str">
        <f t="shared" si="731"/>
        <v/>
      </c>
      <c r="H730" s="51" t="str">
        <f t="shared" si="731"/>
        <v/>
      </c>
      <c r="I730" s="51" t="str">
        <f t="shared" si="731"/>
        <v/>
      </c>
      <c r="J730" s="51" t="str">
        <f t="shared" si="731"/>
        <v/>
      </c>
      <c r="K730" s="51" t="str">
        <f t="shared" si="731"/>
        <v/>
      </c>
      <c r="L730" s="51" t="str">
        <f t="shared" si="731"/>
        <v/>
      </c>
      <c r="M730" s="51" t="str">
        <f t="shared" si="731"/>
        <v/>
      </c>
      <c r="N730" s="51" t="str">
        <f t="shared" si="731"/>
        <v/>
      </c>
      <c r="O730" s="51" t="str">
        <f t="shared" si="731"/>
        <v/>
      </c>
      <c r="P730" s="51" t="str">
        <f t="shared" si="731"/>
        <v/>
      </c>
      <c r="Q730" s="51" t="str">
        <f t="shared" si="731"/>
        <v/>
      </c>
      <c r="R730" s="51" t="str">
        <f t="shared" si="731"/>
        <v/>
      </c>
      <c r="S730" s="51" t="str">
        <f t="shared" si="731"/>
        <v/>
      </c>
      <c r="T730" s="51" t="str">
        <f t="shared" si="731"/>
        <v/>
      </c>
      <c r="U730" s="52"/>
      <c r="V730" s="52" t="str">
        <f>IFERROR(__xludf.DUMMYFUNCTION("""COMPUTED_VALUE"""),"")</f>
        <v/>
      </c>
      <c r="W730" s="52" t="str">
        <f>IFERROR(__xludf.DUMMYFUNCTION("""COMPUTED_VALUE"""),"")</f>
        <v/>
      </c>
      <c r="X730" s="52" t="str">
        <f>IFERROR(__xludf.DUMMYFUNCTION("""COMPUTED_VALUE"""),"")</f>
        <v/>
      </c>
      <c r="Y730" s="52" t="str">
        <f>IFERROR(__xludf.DUMMYFUNCTION("""COMPUTED_VALUE"""),"")</f>
        <v/>
      </c>
      <c r="Z730" s="52" t="str">
        <f>IFERROR(__xludf.DUMMYFUNCTION("""COMPUTED_VALUE"""),"")</f>
        <v/>
      </c>
      <c r="AA730" s="52" t="str">
        <f>IFERROR(__xludf.DUMMYFUNCTION("""COMPUTED_VALUE"""),"")</f>
        <v/>
      </c>
      <c r="AB730" s="52" t="str">
        <f>IFERROR(__xludf.DUMMYFUNCTION("""COMPUTED_VALUE"""),"")</f>
        <v/>
      </c>
      <c r="AC730" s="52" t="str">
        <f>IFERROR(__xludf.DUMMYFUNCTION("""COMPUTED_VALUE"""),"")</f>
        <v/>
      </c>
      <c r="AD730" s="52" t="str">
        <f>IFERROR(__xludf.DUMMYFUNCTION("""COMPUTED_VALUE"""),"")</f>
        <v/>
      </c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</row>
    <row r="731">
      <c r="B731" s="49"/>
      <c r="C731" s="49" t="str">
        <f t="shared" si="2"/>
        <v/>
      </c>
      <c r="D731" s="50" t="str">
        <f t="shared" si="3"/>
        <v/>
      </c>
      <c r="E731" s="51" t="str">
        <f t="shared" ref="E731:T731" si="732">IFERROR(VLOOKUP($A731,INDIRECT("'" &amp; E$1 &amp; "'!$C:$G"), 5, FALSE),"")</f>
        <v/>
      </c>
      <c r="F731" s="51" t="str">
        <f t="shared" si="732"/>
        <v/>
      </c>
      <c r="G731" s="51" t="str">
        <f t="shared" si="732"/>
        <v/>
      </c>
      <c r="H731" s="51" t="str">
        <f t="shared" si="732"/>
        <v/>
      </c>
      <c r="I731" s="51" t="str">
        <f t="shared" si="732"/>
        <v/>
      </c>
      <c r="J731" s="51" t="str">
        <f t="shared" si="732"/>
        <v/>
      </c>
      <c r="K731" s="51" t="str">
        <f t="shared" si="732"/>
        <v/>
      </c>
      <c r="L731" s="51" t="str">
        <f t="shared" si="732"/>
        <v/>
      </c>
      <c r="M731" s="51" t="str">
        <f t="shared" si="732"/>
        <v/>
      </c>
      <c r="N731" s="51" t="str">
        <f t="shared" si="732"/>
        <v/>
      </c>
      <c r="O731" s="51" t="str">
        <f t="shared" si="732"/>
        <v/>
      </c>
      <c r="P731" s="51" t="str">
        <f t="shared" si="732"/>
        <v/>
      </c>
      <c r="Q731" s="51" t="str">
        <f t="shared" si="732"/>
        <v/>
      </c>
      <c r="R731" s="51" t="str">
        <f t="shared" si="732"/>
        <v/>
      </c>
      <c r="S731" s="51" t="str">
        <f t="shared" si="732"/>
        <v/>
      </c>
      <c r="T731" s="51" t="str">
        <f t="shared" si="732"/>
        <v/>
      </c>
      <c r="U731" s="52"/>
      <c r="V731" s="52" t="str">
        <f>IFERROR(__xludf.DUMMYFUNCTION("""COMPUTED_VALUE"""),"")</f>
        <v/>
      </c>
      <c r="W731" s="52" t="str">
        <f>IFERROR(__xludf.DUMMYFUNCTION("""COMPUTED_VALUE"""),"")</f>
        <v/>
      </c>
      <c r="X731" s="52" t="str">
        <f>IFERROR(__xludf.DUMMYFUNCTION("""COMPUTED_VALUE"""),"")</f>
        <v/>
      </c>
      <c r="Y731" s="52" t="str">
        <f>IFERROR(__xludf.DUMMYFUNCTION("""COMPUTED_VALUE"""),"")</f>
        <v/>
      </c>
      <c r="Z731" s="52" t="str">
        <f>IFERROR(__xludf.DUMMYFUNCTION("""COMPUTED_VALUE"""),"")</f>
        <v/>
      </c>
      <c r="AA731" s="52" t="str">
        <f>IFERROR(__xludf.DUMMYFUNCTION("""COMPUTED_VALUE"""),"")</f>
        <v/>
      </c>
      <c r="AB731" s="52" t="str">
        <f>IFERROR(__xludf.DUMMYFUNCTION("""COMPUTED_VALUE"""),"")</f>
        <v/>
      </c>
      <c r="AC731" s="52" t="str">
        <f>IFERROR(__xludf.DUMMYFUNCTION("""COMPUTED_VALUE"""),"")</f>
        <v/>
      </c>
      <c r="AD731" s="52" t="str">
        <f>IFERROR(__xludf.DUMMYFUNCTION("""COMPUTED_VALUE"""),"")</f>
        <v/>
      </c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</row>
    <row r="732">
      <c r="B732" s="49"/>
      <c r="C732" s="49" t="str">
        <f t="shared" si="2"/>
        <v/>
      </c>
      <c r="D732" s="50" t="str">
        <f t="shared" si="3"/>
        <v/>
      </c>
      <c r="E732" s="51" t="str">
        <f t="shared" ref="E732:T732" si="733">IFERROR(VLOOKUP($A732,INDIRECT("'" &amp; E$1 &amp; "'!$C:$G"), 5, FALSE),"")</f>
        <v/>
      </c>
      <c r="F732" s="51" t="str">
        <f t="shared" si="733"/>
        <v/>
      </c>
      <c r="G732" s="51" t="str">
        <f t="shared" si="733"/>
        <v/>
      </c>
      <c r="H732" s="51" t="str">
        <f t="shared" si="733"/>
        <v/>
      </c>
      <c r="I732" s="51" t="str">
        <f t="shared" si="733"/>
        <v/>
      </c>
      <c r="J732" s="51" t="str">
        <f t="shared" si="733"/>
        <v/>
      </c>
      <c r="K732" s="51" t="str">
        <f t="shared" si="733"/>
        <v/>
      </c>
      <c r="L732" s="51" t="str">
        <f t="shared" si="733"/>
        <v/>
      </c>
      <c r="M732" s="51" t="str">
        <f t="shared" si="733"/>
        <v/>
      </c>
      <c r="N732" s="51" t="str">
        <f t="shared" si="733"/>
        <v/>
      </c>
      <c r="O732" s="51" t="str">
        <f t="shared" si="733"/>
        <v/>
      </c>
      <c r="P732" s="51" t="str">
        <f t="shared" si="733"/>
        <v/>
      </c>
      <c r="Q732" s="51" t="str">
        <f t="shared" si="733"/>
        <v/>
      </c>
      <c r="R732" s="51" t="str">
        <f t="shared" si="733"/>
        <v/>
      </c>
      <c r="S732" s="51" t="str">
        <f t="shared" si="733"/>
        <v/>
      </c>
      <c r="T732" s="51" t="str">
        <f t="shared" si="733"/>
        <v/>
      </c>
      <c r="U732" s="52"/>
      <c r="V732" s="52" t="str">
        <f>IFERROR(__xludf.DUMMYFUNCTION("""COMPUTED_VALUE"""),"")</f>
        <v/>
      </c>
      <c r="W732" s="52" t="str">
        <f>IFERROR(__xludf.DUMMYFUNCTION("""COMPUTED_VALUE"""),"")</f>
        <v/>
      </c>
      <c r="X732" s="52" t="str">
        <f>IFERROR(__xludf.DUMMYFUNCTION("""COMPUTED_VALUE"""),"")</f>
        <v/>
      </c>
      <c r="Y732" s="52" t="str">
        <f>IFERROR(__xludf.DUMMYFUNCTION("""COMPUTED_VALUE"""),"")</f>
        <v/>
      </c>
      <c r="Z732" s="52" t="str">
        <f>IFERROR(__xludf.DUMMYFUNCTION("""COMPUTED_VALUE"""),"")</f>
        <v/>
      </c>
      <c r="AA732" s="52" t="str">
        <f>IFERROR(__xludf.DUMMYFUNCTION("""COMPUTED_VALUE"""),"")</f>
        <v/>
      </c>
      <c r="AB732" s="52" t="str">
        <f>IFERROR(__xludf.DUMMYFUNCTION("""COMPUTED_VALUE"""),"")</f>
        <v/>
      </c>
      <c r="AC732" s="52" t="str">
        <f>IFERROR(__xludf.DUMMYFUNCTION("""COMPUTED_VALUE"""),"")</f>
        <v/>
      </c>
      <c r="AD732" s="52" t="str">
        <f>IFERROR(__xludf.DUMMYFUNCTION("""COMPUTED_VALUE"""),"")</f>
        <v/>
      </c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</row>
    <row r="733">
      <c r="B733" s="49"/>
      <c r="C733" s="49" t="str">
        <f t="shared" si="2"/>
        <v/>
      </c>
      <c r="D733" s="50" t="str">
        <f t="shared" si="3"/>
        <v/>
      </c>
      <c r="E733" s="51" t="str">
        <f t="shared" ref="E733:T733" si="734">IFERROR(VLOOKUP($A733,INDIRECT("'" &amp; E$1 &amp; "'!$C:$G"), 5, FALSE),"")</f>
        <v/>
      </c>
      <c r="F733" s="51" t="str">
        <f t="shared" si="734"/>
        <v/>
      </c>
      <c r="G733" s="51" t="str">
        <f t="shared" si="734"/>
        <v/>
      </c>
      <c r="H733" s="51" t="str">
        <f t="shared" si="734"/>
        <v/>
      </c>
      <c r="I733" s="51" t="str">
        <f t="shared" si="734"/>
        <v/>
      </c>
      <c r="J733" s="51" t="str">
        <f t="shared" si="734"/>
        <v/>
      </c>
      <c r="K733" s="51" t="str">
        <f t="shared" si="734"/>
        <v/>
      </c>
      <c r="L733" s="51" t="str">
        <f t="shared" si="734"/>
        <v/>
      </c>
      <c r="M733" s="51" t="str">
        <f t="shared" si="734"/>
        <v/>
      </c>
      <c r="N733" s="51" t="str">
        <f t="shared" si="734"/>
        <v/>
      </c>
      <c r="O733" s="51" t="str">
        <f t="shared" si="734"/>
        <v/>
      </c>
      <c r="P733" s="51" t="str">
        <f t="shared" si="734"/>
        <v/>
      </c>
      <c r="Q733" s="51" t="str">
        <f t="shared" si="734"/>
        <v/>
      </c>
      <c r="R733" s="51" t="str">
        <f t="shared" si="734"/>
        <v/>
      </c>
      <c r="S733" s="51" t="str">
        <f t="shared" si="734"/>
        <v/>
      </c>
      <c r="T733" s="51" t="str">
        <f t="shared" si="734"/>
        <v/>
      </c>
      <c r="U733" s="52"/>
      <c r="V733" s="52" t="str">
        <f>IFERROR(__xludf.DUMMYFUNCTION("""COMPUTED_VALUE"""),"")</f>
        <v/>
      </c>
      <c r="W733" s="52" t="str">
        <f>IFERROR(__xludf.DUMMYFUNCTION("""COMPUTED_VALUE"""),"")</f>
        <v/>
      </c>
      <c r="X733" s="52" t="str">
        <f>IFERROR(__xludf.DUMMYFUNCTION("""COMPUTED_VALUE"""),"")</f>
        <v/>
      </c>
      <c r="Y733" s="52" t="str">
        <f>IFERROR(__xludf.DUMMYFUNCTION("""COMPUTED_VALUE"""),"")</f>
        <v/>
      </c>
      <c r="Z733" s="52" t="str">
        <f>IFERROR(__xludf.DUMMYFUNCTION("""COMPUTED_VALUE"""),"")</f>
        <v/>
      </c>
      <c r="AA733" s="52" t="str">
        <f>IFERROR(__xludf.DUMMYFUNCTION("""COMPUTED_VALUE"""),"")</f>
        <v/>
      </c>
      <c r="AB733" s="52" t="str">
        <f>IFERROR(__xludf.DUMMYFUNCTION("""COMPUTED_VALUE"""),"")</f>
        <v/>
      </c>
      <c r="AC733" s="52" t="str">
        <f>IFERROR(__xludf.DUMMYFUNCTION("""COMPUTED_VALUE"""),"")</f>
        <v/>
      </c>
      <c r="AD733" s="52" t="str">
        <f>IFERROR(__xludf.DUMMYFUNCTION("""COMPUTED_VALUE"""),"")</f>
        <v/>
      </c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</row>
    <row r="734">
      <c r="B734" s="49"/>
      <c r="C734" s="49" t="str">
        <f t="shared" si="2"/>
        <v/>
      </c>
      <c r="D734" s="50" t="str">
        <f t="shared" si="3"/>
        <v/>
      </c>
      <c r="E734" s="51" t="str">
        <f t="shared" ref="E734:T734" si="735">IFERROR(VLOOKUP($A734,INDIRECT("'" &amp; E$1 &amp; "'!$C:$G"), 5, FALSE),"")</f>
        <v/>
      </c>
      <c r="F734" s="51" t="str">
        <f t="shared" si="735"/>
        <v/>
      </c>
      <c r="G734" s="51" t="str">
        <f t="shared" si="735"/>
        <v/>
      </c>
      <c r="H734" s="51" t="str">
        <f t="shared" si="735"/>
        <v/>
      </c>
      <c r="I734" s="51" t="str">
        <f t="shared" si="735"/>
        <v/>
      </c>
      <c r="J734" s="51" t="str">
        <f t="shared" si="735"/>
        <v/>
      </c>
      <c r="K734" s="51" t="str">
        <f t="shared" si="735"/>
        <v/>
      </c>
      <c r="L734" s="51" t="str">
        <f t="shared" si="735"/>
        <v/>
      </c>
      <c r="M734" s="51" t="str">
        <f t="shared" si="735"/>
        <v/>
      </c>
      <c r="N734" s="51" t="str">
        <f t="shared" si="735"/>
        <v/>
      </c>
      <c r="O734" s="51" t="str">
        <f t="shared" si="735"/>
        <v/>
      </c>
      <c r="P734" s="51" t="str">
        <f t="shared" si="735"/>
        <v/>
      </c>
      <c r="Q734" s="51" t="str">
        <f t="shared" si="735"/>
        <v/>
      </c>
      <c r="R734" s="51" t="str">
        <f t="shared" si="735"/>
        <v/>
      </c>
      <c r="S734" s="51" t="str">
        <f t="shared" si="735"/>
        <v/>
      </c>
      <c r="T734" s="51" t="str">
        <f t="shared" si="735"/>
        <v/>
      </c>
      <c r="U734" s="52"/>
      <c r="V734" s="52" t="str">
        <f>IFERROR(__xludf.DUMMYFUNCTION("""COMPUTED_VALUE"""),"")</f>
        <v/>
      </c>
      <c r="W734" s="52" t="str">
        <f>IFERROR(__xludf.DUMMYFUNCTION("""COMPUTED_VALUE"""),"")</f>
        <v/>
      </c>
      <c r="X734" s="52" t="str">
        <f>IFERROR(__xludf.DUMMYFUNCTION("""COMPUTED_VALUE"""),"")</f>
        <v/>
      </c>
      <c r="Y734" s="52" t="str">
        <f>IFERROR(__xludf.DUMMYFUNCTION("""COMPUTED_VALUE"""),"")</f>
        <v/>
      </c>
      <c r="Z734" s="52" t="str">
        <f>IFERROR(__xludf.DUMMYFUNCTION("""COMPUTED_VALUE"""),"")</f>
        <v/>
      </c>
      <c r="AA734" s="52" t="str">
        <f>IFERROR(__xludf.DUMMYFUNCTION("""COMPUTED_VALUE"""),"")</f>
        <v/>
      </c>
      <c r="AB734" s="52" t="str">
        <f>IFERROR(__xludf.DUMMYFUNCTION("""COMPUTED_VALUE"""),"")</f>
        <v/>
      </c>
      <c r="AC734" s="52" t="str">
        <f>IFERROR(__xludf.DUMMYFUNCTION("""COMPUTED_VALUE"""),"")</f>
        <v/>
      </c>
      <c r="AD734" s="52" t="str">
        <f>IFERROR(__xludf.DUMMYFUNCTION("""COMPUTED_VALUE"""),"")</f>
        <v/>
      </c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</row>
    <row r="735">
      <c r="B735" s="49"/>
      <c r="C735" s="49" t="str">
        <f t="shared" si="2"/>
        <v/>
      </c>
      <c r="D735" s="50" t="str">
        <f t="shared" si="3"/>
        <v/>
      </c>
      <c r="E735" s="51" t="str">
        <f t="shared" ref="E735:T735" si="736">IFERROR(VLOOKUP($A735,INDIRECT("'" &amp; E$1 &amp; "'!$C:$G"), 5, FALSE),"")</f>
        <v/>
      </c>
      <c r="F735" s="51" t="str">
        <f t="shared" si="736"/>
        <v/>
      </c>
      <c r="G735" s="51" t="str">
        <f t="shared" si="736"/>
        <v/>
      </c>
      <c r="H735" s="51" t="str">
        <f t="shared" si="736"/>
        <v/>
      </c>
      <c r="I735" s="51" t="str">
        <f t="shared" si="736"/>
        <v/>
      </c>
      <c r="J735" s="51" t="str">
        <f t="shared" si="736"/>
        <v/>
      </c>
      <c r="K735" s="51" t="str">
        <f t="shared" si="736"/>
        <v/>
      </c>
      <c r="L735" s="51" t="str">
        <f t="shared" si="736"/>
        <v/>
      </c>
      <c r="M735" s="51" t="str">
        <f t="shared" si="736"/>
        <v/>
      </c>
      <c r="N735" s="51" t="str">
        <f t="shared" si="736"/>
        <v/>
      </c>
      <c r="O735" s="51" t="str">
        <f t="shared" si="736"/>
        <v/>
      </c>
      <c r="P735" s="51" t="str">
        <f t="shared" si="736"/>
        <v/>
      </c>
      <c r="Q735" s="51" t="str">
        <f t="shared" si="736"/>
        <v/>
      </c>
      <c r="R735" s="51" t="str">
        <f t="shared" si="736"/>
        <v/>
      </c>
      <c r="S735" s="51" t="str">
        <f t="shared" si="736"/>
        <v/>
      </c>
      <c r="T735" s="51" t="str">
        <f t="shared" si="736"/>
        <v/>
      </c>
      <c r="U735" s="52"/>
      <c r="V735" s="52" t="str">
        <f>IFERROR(__xludf.DUMMYFUNCTION("""COMPUTED_VALUE"""),"")</f>
        <v/>
      </c>
      <c r="W735" s="52" t="str">
        <f>IFERROR(__xludf.DUMMYFUNCTION("""COMPUTED_VALUE"""),"")</f>
        <v/>
      </c>
      <c r="X735" s="52" t="str">
        <f>IFERROR(__xludf.DUMMYFUNCTION("""COMPUTED_VALUE"""),"")</f>
        <v/>
      </c>
      <c r="Y735" s="52" t="str">
        <f>IFERROR(__xludf.DUMMYFUNCTION("""COMPUTED_VALUE"""),"")</f>
        <v/>
      </c>
      <c r="Z735" s="52" t="str">
        <f>IFERROR(__xludf.DUMMYFUNCTION("""COMPUTED_VALUE"""),"")</f>
        <v/>
      </c>
      <c r="AA735" s="52" t="str">
        <f>IFERROR(__xludf.DUMMYFUNCTION("""COMPUTED_VALUE"""),"")</f>
        <v/>
      </c>
      <c r="AB735" s="52" t="str">
        <f>IFERROR(__xludf.DUMMYFUNCTION("""COMPUTED_VALUE"""),"")</f>
        <v/>
      </c>
      <c r="AC735" s="52" t="str">
        <f>IFERROR(__xludf.DUMMYFUNCTION("""COMPUTED_VALUE"""),"")</f>
        <v/>
      </c>
      <c r="AD735" s="52" t="str">
        <f>IFERROR(__xludf.DUMMYFUNCTION("""COMPUTED_VALUE"""),"")</f>
        <v/>
      </c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</row>
    <row r="736">
      <c r="B736" s="49"/>
      <c r="C736" s="49" t="str">
        <f t="shared" si="2"/>
        <v/>
      </c>
      <c r="D736" s="50" t="str">
        <f t="shared" si="3"/>
        <v/>
      </c>
      <c r="E736" s="51" t="str">
        <f t="shared" ref="E736:T736" si="737">IFERROR(VLOOKUP($A736,INDIRECT("'" &amp; E$1 &amp; "'!$C:$G"), 5, FALSE),"")</f>
        <v/>
      </c>
      <c r="F736" s="51" t="str">
        <f t="shared" si="737"/>
        <v/>
      </c>
      <c r="G736" s="51" t="str">
        <f t="shared" si="737"/>
        <v/>
      </c>
      <c r="H736" s="51" t="str">
        <f t="shared" si="737"/>
        <v/>
      </c>
      <c r="I736" s="51" t="str">
        <f t="shared" si="737"/>
        <v/>
      </c>
      <c r="J736" s="51" t="str">
        <f t="shared" si="737"/>
        <v/>
      </c>
      <c r="K736" s="51" t="str">
        <f t="shared" si="737"/>
        <v/>
      </c>
      <c r="L736" s="51" t="str">
        <f t="shared" si="737"/>
        <v/>
      </c>
      <c r="M736" s="51" t="str">
        <f t="shared" si="737"/>
        <v/>
      </c>
      <c r="N736" s="51" t="str">
        <f t="shared" si="737"/>
        <v/>
      </c>
      <c r="O736" s="51" t="str">
        <f t="shared" si="737"/>
        <v/>
      </c>
      <c r="P736" s="51" t="str">
        <f t="shared" si="737"/>
        <v/>
      </c>
      <c r="Q736" s="51" t="str">
        <f t="shared" si="737"/>
        <v/>
      </c>
      <c r="R736" s="51" t="str">
        <f t="shared" si="737"/>
        <v/>
      </c>
      <c r="S736" s="51" t="str">
        <f t="shared" si="737"/>
        <v/>
      </c>
      <c r="T736" s="51" t="str">
        <f t="shared" si="737"/>
        <v/>
      </c>
      <c r="U736" s="52"/>
      <c r="V736" s="52" t="str">
        <f>IFERROR(__xludf.DUMMYFUNCTION("""COMPUTED_VALUE"""),"")</f>
        <v/>
      </c>
      <c r="W736" s="52" t="str">
        <f>IFERROR(__xludf.DUMMYFUNCTION("""COMPUTED_VALUE"""),"")</f>
        <v/>
      </c>
      <c r="X736" s="52" t="str">
        <f>IFERROR(__xludf.DUMMYFUNCTION("""COMPUTED_VALUE"""),"")</f>
        <v/>
      </c>
      <c r="Y736" s="52" t="str">
        <f>IFERROR(__xludf.DUMMYFUNCTION("""COMPUTED_VALUE"""),"")</f>
        <v/>
      </c>
      <c r="Z736" s="52" t="str">
        <f>IFERROR(__xludf.DUMMYFUNCTION("""COMPUTED_VALUE"""),"")</f>
        <v/>
      </c>
      <c r="AA736" s="52" t="str">
        <f>IFERROR(__xludf.DUMMYFUNCTION("""COMPUTED_VALUE"""),"")</f>
        <v/>
      </c>
      <c r="AB736" s="52" t="str">
        <f>IFERROR(__xludf.DUMMYFUNCTION("""COMPUTED_VALUE"""),"")</f>
        <v/>
      </c>
      <c r="AC736" s="52" t="str">
        <f>IFERROR(__xludf.DUMMYFUNCTION("""COMPUTED_VALUE"""),"")</f>
        <v/>
      </c>
      <c r="AD736" s="52" t="str">
        <f>IFERROR(__xludf.DUMMYFUNCTION("""COMPUTED_VALUE"""),"")</f>
        <v/>
      </c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</row>
    <row r="737">
      <c r="B737" s="49"/>
      <c r="C737" s="49" t="str">
        <f t="shared" si="2"/>
        <v/>
      </c>
      <c r="D737" s="50" t="str">
        <f t="shared" si="3"/>
        <v/>
      </c>
      <c r="E737" s="51" t="str">
        <f t="shared" ref="E737:T737" si="738">IFERROR(VLOOKUP($A737,INDIRECT("'" &amp; E$1 &amp; "'!$C:$G"), 5, FALSE),"")</f>
        <v/>
      </c>
      <c r="F737" s="51" t="str">
        <f t="shared" si="738"/>
        <v/>
      </c>
      <c r="G737" s="51" t="str">
        <f t="shared" si="738"/>
        <v/>
      </c>
      <c r="H737" s="51" t="str">
        <f t="shared" si="738"/>
        <v/>
      </c>
      <c r="I737" s="51" t="str">
        <f t="shared" si="738"/>
        <v/>
      </c>
      <c r="J737" s="51" t="str">
        <f t="shared" si="738"/>
        <v/>
      </c>
      <c r="K737" s="51" t="str">
        <f t="shared" si="738"/>
        <v/>
      </c>
      <c r="L737" s="51" t="str">
        <f t="shared" si="738"/>
        <v/>
      </c>
      <c r="M737" s="51" t="str">
        <f t="shared" si="738"/>
        <v/>
      </c>
      <c r="N737" s="51" t="str">
        <f t="shared" si="738"/>
        <v/>
      </c>
      <c r="O737" s="51" t="str">
        <f t="shared" si="738"/>
        <v/>
      </c>
      <c r="P737" s="51" t="str">
        <f t="shared" si="738"/>
        <v/>
      </c>
      <c r="Q737" s="51" t="str">
        <f t="shared" si="738"/>
        <v/>
      </c>
      <c r="R737" s="51" t="str">
        <f t="shared" si="738"/>
        <v/>
      </c>
      <c r="S737" s="51" t="str">
        <f t="shared" si="738"/>
        <v/>
      </c>
      <c r="T737" s="51" t="str">
        <f t="shared" si="738"/>
        <v/>
      </c>
      <c r="U737" s="52"/>
      <c r="V737" s="52" t="str">
        <f>IFERROR(__xludf.DUMMYFUNCTION("""COMPUTED_VALUE"""),"")</f>
        <v/>
      </c>
      <c r="W737" s="52" t="str">
        <f>IFERROR(__xludf.DUMMYFUNCTION("""COMPUTED_VALUE"""),"")</f>
        <v/>
      </c>
      <c r="X737" s="52" t="str">
        <f>IFERROR(__xludf.DUMMYFUNCTION("""COMPUTED_VALUE"""),"")</f>
        <v/>
      </c>
      <c r="Y737" s="52" t="str">
        <f>IFERROR(__xludf.DUMMYFUNCTION("""COMPUTED_VALUE"""),"")</f>
        <v/>
      </c>
      <c r="Z737" s="52" t="str">
        <f>IFERROR(__xludf.DUMMYFUNCTION("""COMPUTED_VALUE"""),"")</f>
        <v/>
      </c>
      <c r="AA737" s="52" t="str">
        <f>IFERROR(__xludf.DUMMYFUNCTION("""COMPUTED_VALUE"""),"")</f>
        <v/>
      </c>
      <c r="AB737" s="52" t="str">
        <f>IFERROR(__xludf.DUMMYFUNCTION("""COMPUTED_VALUE"""),"")</f>
        <v/>
      </c>
      <c r="AC737" s="52" t="str">
        <f>IFERROR(__xludf.DUMMYFUNCTION("""COMPUTED_VALUE"""),"")</f>
        <v/>
      </c>
      <c r="AD737" s="52" t="str">
        <f>IFERROR(__xludf.DUMMYFUNCTION("""COMPUTED_VALUE"""),"")</f>
        <v/>
      </c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</row>
    <row r="738">
      <c r="B738" s="49"/>
      <c r="C738" s="49" t="str">
        <f t="shared" si="2"/>
        <v/>
      </c>
      <c r="D738" s="50" t="str">
        <f t="shared" si="3"/>
        <v/>
      </c>
      <c r="E738" s="51" t="str">
        <f t="shared" ref="E738:T738" si="739">IFERROR(VLOOKUP($A738,INDIRECT("'" &amp; E$1 &amp; "'!$C:$G"), 5, FALSE),"")</f>
        <v/>
      </c>
      <c r="F738" s="51" t="str">
        <f t="shared" si="739"/>
        <v/>
      </c>
      <c r="G738" s="51" t="str">
        <f t="shared" si="739"/>
        <v/>
      </c>
      <c r="H738" s="51" t="str">
        <f t="shared" si="739"/>
        <v/>
      </c>
      <c r="I738" s="51" t="str">
        <f t="shared" si="739"/>
        <v/>
      </c>
      <c r="J738" s="51" t="str">
        <f t="shared" si="739"/>
        <v/>
      </c>
      <c r="K738" s="51" t="str">
        <f t="shared" si="739"/>
        <v/>
      </c>
      <c r="L738" s="51" t="str">
        <f t="shared" si="739"/>
        <v/>
      </c>
      <c r="M738" s="51" t="str">
        <f t="shared" si="739"/>
        <v/>
      </c>
      <c r="N738" s="51" t="str">
        <f t="shared" si="739"/>
        <v/>
      </c>
      <c r="O738" s="51" t="str">
        <f t="shared" si="739"/>
        <v/>
      </c>
      <c r="P738" s="51" t="str">
        <f t="shared" si="739"/>
        <v/>
      </c>
      <c r="Q738" s="51" t="str">
        <f t="shared" si="739"/>
        <v/>
      </c>
      <c r="R738" s="51" t="str">
        <f t="shared" si="739"/>
        <v/>
      </c>
      <c r="S738" s="51" t="str">
        <f t="shared" si="739"/>
        <v/>
      </c>
      <c r="T738" s="51" t="str">
        <f t="shared" si="739"/>
        <v/>
      </c>
      <c r="U738" s="52"/>
      <c r="V738" s="52" t="str">
        <f>IFERROR(__xludf.DUMMYFUNCTION("""COMPUTED_VALUE"""),"")</f>
        <v/>
      </c>
      <c r="W738" s="52" t="str">
        <f>IFERROR(__xludf.DUMMYFUNCTION("""COMPUTED_VALUE"""),"")</f>
        <v/>
      </c>
      <c r="X738" s="52" t="str">
        <f>IFERROR(__xludf.DUMMYFUNCTION("""COMPUTED_VALUE"""),"")</f>
        <v/>
      </c>
      <c r="Y738" s="52" t="str">
        <f>IFERROR(__xludf.DUMMYFUNCTION("""COMPUTED_VALUE"""),"")</f>
        <v/>
      </c>
      <c r="Z738" s="52" t="str">
        <f>IFERROR(__xludf.DUMMYFUNCTION("""COMPUTED_VALUE"""),"")</f>
        <v/>
      </c>
      <c r="AA738" s="52" t="str">
        <f>IFERROR(__xludf.DUMMYFUNCTION("""COMPUTED_VALUE"""),"")</f>
        <v/>
      </c>
      <c r="AB738" s="52" t="str">
        <f>IFERROR(__xludf.DUMMYFUNCTION("""COMPUTED_VALUE"""),"")</f>
        <v/>
      </c>
      <c r="AC738" s="52" t="str">
        <f>IFERROR(__xludf.DUMMYFUNCTION("""COMPUTED_VALUE"""),"")</f>
        <v/>
      </c>
      <c r="AD738" s="52" t="str">
        <f>IFERROR(__xludf.DUMMYFUNCTION("""COMPUTED_VALUE"""),"")</f>
        <v/>
      </c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</row>
    <row r="739">
      <c r="B739" s="49"/>
      <c r="C739" s="49" t="str">
        <f t="shared" si="2"/>
        <v/>
      </c>
      <c r="D739" s="50" t="str">
        <f t="shared" si="3"/>
        <v/>
      </c>
      <c r="E739" s="51" t="str">
        <f t="shared" ref="E739:T739" si="740">IFERROR(VLOOKUP($A739,INDIRECT("'" &amp; E$1 &amp; "'!$C:$G"), 5, FALSE),"")</f>
        <v/>
      </c>
      <c r="F739" s="51" t="str">
        <f t="shared" si="740"/>
        <v/>
      </c>
      <c r="G739" s="51" t="str">
        <f t="shared" si="740"/>
        <v/>
      </c>
      <c r="H739" s="51" t="str">
        <f t="shared" si="740"/>
        <v/>
      </c>
      <c r="I739" s="51" t="str">
        <f t="shared" si="740"/>
        <v/>
      </c>
      <c r="J739" s="51" t="str">
        <f t="shared" si="740"/>
        <v/>
      </c>
      <c r="K739" s="51" t="str">
        <f t="shared" si="740"/>
        <v/>
      </c>
      <c r="L739" s="51" t="str">
        <f t="shared" si="740"/>
        <v/>
      </c>
      <c r="M739" s="51" t="str">
        <f t="shared" si="740"/>
        <v/>
      </c>
      <c r="N739" s="51" t="str">
        <f t="shared" si="740"/>
        <v/>
      </c>
      <c r="O739" s="51" t="str">
        <f t="shared" si="740"/>
        <v/>
      </c>
      <c r="P739" s="51" t="str">
        <f t="shared" si="740"/>
        <v/>
      </c>
      <c r="Q739" s="51" t="str">
        <f t="shared" si="740"/>
        <v/>
      </c>
      <c r="R739" s="51" t="str">
        <f t="shared" si="740"/>
        <v/>
      </c>
      <c r="S739" s="51" t="str">
        <f t="shared" si="740"/>
        <v/>
      </c>
      <c r="T739" s="51" t="str">
        <f t="shared" si="740"/>
        <v/>
      </c>
      <c r="U739" s="52"/>
      <c r="V739" s="52" t="str">
        <f>IFERROR(__xludf.DUMMYFUNCTION("""COMPUTED_VALUE"""),"")</f>
        <v/>
      </c>
      <c r="W739" s="52" t="str">
        <f>IFERROR(__xludf.DUMMYFUNCTION("""COMPUTED_VALUE"""),"")</f>
        <v/>
      </c>
      <c r="X739" s="52" t="str">
        <f>IFERROR(__xludf.DUMMYFUNCTION("""COMPUTED_VALUE"""),"")</f>
        <v/>
      </c>
      <c r="Y739" s="52" t="str">
        <f>IFERROR(__xludf.DUMMYFUNCTION("""COMPUTED_VALUE"""),"")</f>
        <v/>
      </c>
      <c r="Z739" s="52" t="str">
        <f>IFERROR(__xludf.DUMMYFUNCTION("""COMPUTED_VALUE"""),"")</f>
        <v/>
      </c>
      <c r="AA739" s="52" t="str">
        <f>IFERROR(__xludf.DUMMYFUNCTION("""COMPUTED_VALUE"""),"")</f>
        <v/>
      </c>
      <c r="AB739" s="52" t="str">
        <f>IFERROR(__xludf.DUMMYFUNCTION("""COMPUTED_VALUE"""),"")</f>
        <v/>
      </c>
      <c r="AC739" s="52" t="str">
        <f>IFERROR(__xludf.DUMMYFUNCTION("""COMPUTED_VALUE"""),"")</f>
        <v/>
      </c>
      <c r="AD739" s="52" t="str">
        <f>IFERROR(__xludf.DUMMYFUNCTION("""COMPUTED_VALUE"""),"")</f>
        <v/>
      </c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</row>
    <row r="740">
      <c r="B740" s="49"/>
      <c r="C740" s="49" t="str">
        <f t="shared" si="2"/>
        <v/>
      </c>
      <c r="D740" s="50" t="str">
        <f t="shared" si="3"/>
        <v/>
      </c>
      <c r="E740" s="51" t="str">
        <f t="shared" ref="E740:T740" si="741">IFERROR(VLOOKUP($A740,INDIRECT("'" &amp; E$1 &amp; "'!$C:$G"), 5, FALSE),"")</f>
        <v/>
      </c>
      <c r="F740" s="51" t="str">
        <f t="shared" si="741"/>
        <v/>
      </c>
      <c r="G740" s="51" t="str">
        <f t="shared" si="741"/>
        <v/>
      </c>
      <c r="H740" s="51" t="str">
        <f t="shared" si="741"/>
        <v/>
      </c>
      <c r="I740" s="51" t="str">
        <f t="shared" si="741"/>
        <v/>
      </c>
      <c r="J740" s="51" t="str">
        <f t="shared" si="741"/>
        <v/>
      </c>
      <c r="K740" s="51" t="str">
        <f t="shared" si="741"/>
        <v/>
      </c>
      <c r="L740" s="51" t="str">
        <f t="shared" si="741"/>
        <v/>
      </c>
      <c r="M740" s="51" t="str">
        <f t="shared" si="741"/>
        <v/>
      </c>
      <c r="N740" s="51" t="str">
        <f t="shared" si="741"/>
        <v/>
      </c>
      <c r="O740" s="51" t="str">
        <f t="shared" si="741"/>
        <v/>
      </c>
      <c r="P740" s="51" t="str">
        <f t="shared" si="741"/>
        <v/>
      </c>
      <c r="Q740" s="51" t="str">
        <f t="shared" si="741"/>
        <v/>
      </c>
      <c r="R740" s="51" t="str">
        <f t="shared" si="741"/>
        <v/>
      </c>
      <c r="S740" s="51" t="str">
        <f t="shared" si="741"/>
        <v/>
      </c>
      <c r="T740" s="51" t="str">
        <f t="shared" si="741"/>
        <v/>
      </c>
      <c r="U740" s="52"/>
      <c r="V740" s="52" t="str">
        <f>IFERROR(__xludf.DUMMYFUNCTION("""COMPUTED_VALUE"""),"")</f>
        <v/>
      </c>
      <c r="W740" s="52" t="str">
        <f>IFERROR(__xludf.DUMMYFUNCTION("""COMPUTED_VALUE"""),"")</f>
        <v/>
      </c>
      <c r="X740" s="52" t="str">
        <f>IFERROR(__xludf.DUMMYFUNCTION("""COMPUTED_VALUE"""),"")</f>
        <v/>
      </c>
      <c r="Y740" s="52" t="str">
        <f>IFERROR(__xludf.DUMMYFUNCTION("""COMPUTED_VALUE"""),"")</f>
        <v/>
      </c>
      <c r="Z740" s="52" t="str">
        <f>IFERROR(__xludf.DUMMYFUNCTION("""COMPUTED_VALUE"""),"")</f>
        <v/>
      </c>
      <c r="AA740" s="52" t="str">
        <f>IFERROR(__xludf.DUMMYFUNCTION("""COMPUTED_VALUE"""),"")</f>
        <v/>
      </c>
      <c r="AB740" s="52" t="str">
        <f>IFERROR(__xludf.DUMMYFUNCTION("""COMPUTED_VALUE"""),"")</f>
        <v/>
      </c>
      <c r="AC740" s="52" t="str">
        <f>IFERROR(__xludf.DUMMYFUNCTION("""COMPUTED_VALUE"""),"")</f>
        <v/>
      </c>
      <c r="AD740" s="52" t="str">
        <f>IFERROR(__xludf.DUMMYFUNCTION("""COMPUTED_VALUE"""),"")</f>
        <v/>
      </c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</row>
    <row r="741">
      <c r="B741" s="49"/>
      <c r="C741" s="49" t="str">
        <f t="shared" si="2"/>
        <v/>
      </c>
      <c r="D741" s="50" t="str">
        <f t="shared" si="3"/>
        <v/>
      </c>
      <c r="E741" s="51" t="str">
        <f t="shared" ref="E741:T741" si="742">IFERROR(VLOOKUP($A741,INDIRECT("'" &amp; E$1 &amp; "'!$C:$G"), 5, FALSE),"")</f>
        <v/>
      </c>
      <c r="F741" s="51" t="str">
        <f t="shared" si="742"/>
        <v/>
      </c>
      <c r="G741" s="51" t="str">
        <f t="shared" si="742"/>
        <v/>
      </c>
      <c r="H741" s="51" t="str">
        <f t="shared" si="742"/>
        <v/>
      </c>
      <c r="I741" s="51" t="str">
        <f t="shared" si="742"/>
        <v/>
      </c>
      <c r="J741" s="51" t="str">
        <f t="shared" si="742"/>
        <v/>
      </c>
      <c r="K741" s="51" t="str">
        <f t="shared" si="742"/>
        <v/>
      </c>
      <c r="L741" s="51" t="str">
        <f t="shared" si="742"/>
        <v/>
      </c>
      <c r="M741" s="51" t="str">
        <f t="shared" si="742"/>
        <v/>
      </c>
      <c r="N741" s="51" t="str">
        <f t="shared" si="742"/>
        <v/>
      </c>
      <c r="O741" s="51" t="str">
        <f t="shared" si="742"/>
        <v/>
      </c>
      <c r="P741" s="51" t="str">
        <f t="shared" si="742"/>
        <v/>
      </c>
      <c r="Q741" s="51" t="str">
        <f t="shared" si="742"/>
        <v/>
      </c>
      <c r="R741" s="51" t="str">
        <f t="shared" si="742"/>
        <v/>
      </c>
      <c r="S741" s="51" t="str">
        <f t="shared" si="742"/>
        <v/>
      </c>
      <c r="T741" s="51" t="str">
        <f t="shared" si="742"/>
        <v/>
      </c>
      <c r="U741" s="52"/>
      <c r="V741" s="52" t="str">
        <f>IFERROR(__xludf.DUMMYFUNCTION("""COMPUTED_VALUE"""),"")</f>
        <v/>
      </c>
      <c r="W741" s="52" t="str">
        <f>IFERROR(__xludf.DUMMYFUNCTION("""COMPUTED_VALUE"""),"")</f>
        <v/>
      </c>
      <c r="X741" s="52" t="str">
        <f>IFERROR(__xludf.DUMMYFUNCTION("""COMPUTED_VALUE"""),"")</f>
        <v/>
      </c>
      <c r="Y741" s="52" t="str">
        <f>IFERROR(__xludf.DUMMYFUNCTION("""COMPUTED_VALUE"""),"")</f>
        <v/>
      </c>
      <c r="Z741" s="52" t="str">
        <f>IFERROR(__xludf.DUMMYFUNCTION("""COMPUTED_VALUE"""),"")</f>
        <v/>
      </c>
      <c r="AA741" s="52" t="str">
        <f>IFERROR(__xludf.DUMMYFUNCTION("""COMPUTED_VALUE"""),"")</f>
        <v/>
      </c>
      <c r="AB741" s="52" t="str">
        <f>IFERROR(__xludf.DUMMYFUNCTION("""COMPUTED_VALUE"""),"")</f>
        <v/>
      </c>
      <c r="AC741" s="52" t="str">
        <f>IFERROR(__xludf.DUMMYFUNCTION("""COMPUTED_VALUE"""),"")</f>
        <v/>
      </c>
      <c r="AD741" s="52" t="str">
        <f>IFERROR(__xludf.DUMMYFUNCTION("""COMPUTED_VALUE"""),"")</f>
        <v/>
      </c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</row>
    <row r="742">
      <c r="B742" s="49"/>
      <c r="C742" s="49" t="str">
        <f t="shared" si="2"/>
        <v/>
      </c>
      <c r="D742" s="50" t="str">
        <f t="shared" si="3"/>
        <v/>
      </c>
      <c r="E742" s="51" t="str">
        <f t="shared" ref="E742:T742" si="743">IFERROR(VLOOKUP($A742,INDIRECT("'" &amp; E$1 &amp; "'!$C:$G"), 5, FALSE),"")</f>
        <v/>
      </c>
      <c r="F742" s="51" t="str">
        <f t="shared" si="743"/>
        <v/>
      </c>
      <c r="G742" s="51" t="str">
        <f t="shared" si="743"/>
        <v/>
      </c>
      <c r="H742" s="51" t="str">
        <f t="shared" si="743"/>
        <v/>
      </c>
      <c r="I742" s="51" t="str">
        <f t="shared" si="743"/>
        <v/>
      </c>
      <c r="J742" s="51" t="str">
        <f t="shared" si="743"/>
        <v/>
      </c>
      <c r="K742" s="51" t="str">
        <f t="shared" si="743"/>
        <v/>
      </c>
      <c r="L742" s="51" t="str">
        <f t="shared" si="743"/>
        <v/>
      </c>
      <c r="M742" s="51" t="str">
        <f t="shared" si="743"/>
        <v/>
      </c>
      <c r="N742" s="51" t="str">
        <f t="shared" si="743"/>
        <v/>
      </c>
      <c r="O742" s="51" t="str">
        <f t="shared" si="743"/>
        <v/>
      </c>
      <c r="P742" s="51" t="str">
        <f t="shared" si="743"/>
        <v/>
      </c>
      <c r="Q742" s="51" t="str">
        <f t="shared" si="743"/>
        <v/>
      </c>
      <c r="R742" s="51" t="str">
        <f t="shared" si="743"/>
        <v/>
      </c>
      <c r="S742" s="51" t="str">
        <f t="shared" si="743"/>
        <v/>
      </c>
      <c r="T742" s="51" t="str">
        <f t="shared" si="743"/>
        <v/>
      </c>
      <c r="U742" s="52"/>
      <c r="V742" s="52" t="str">
        <f>IFERROR(__xludf.DUMMYFUNCTION("""COMPUTED_VALUE"""),"")</f>
        <v/>
      </c>
      <c r="W742" s="52" t="str">
        <f>IFERROR(__xludf.DUMMYFUNCTION("""COMPUTED_VALUE"""),"")</f>
        <v/>
      </c>
      <c r="X742" s="52" t="str">
        <f>IFERROR(__xludf.DUMMYFUNCTION("""COMPUTED_VALUE"""),"")</f>
        <v/>
      </c>
      <c r="Y742" s="52" t="str">
        <f>IFERROR(__xludf.DUMMYFUNCTION("""COMPUTED_VALUE"""),"")</f>
        <v/>
      </c>
      <c r="Z742" s="52" t="str">
        <f>IFERROR(__xludf.DUMMYFUNCTION("""COMPUTED_VALUE"""),"")</f>
        <v/>
      </c>
      <c r="AA742" s="52" t="str">
        <f>IFERROR(__xludf.DUMMYFUNCTION("""COMPUTED_VALUE"""),"")</f>
        <v/>
      </c>
      <c r="AB742" s="52" t="str">
        <f>IFERROR(__xludf.DUMMYFUNCTION("""COMPUTED_VALUE"""),"")</f>
        <v/>
      </c>
      <c r="AC742" s="52" t="str">
        <f>IFERROR(__xludf.DUMMYFUNCTION("""COMPUTED_VALUE"""),"")</f>
        <v/>
      </c>
      <c r="AD742" s="52" t="str">
        <f>IFERROR(__xludf.DUMMYFUNCTION("""COMPUTED_VALUE"""),"")</f>
        <v/>
      </c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</row>
    <row r="743">
      <c r="B743" s="49"/>
      <c r="C743" s="49" t="str">
        <f t="shared" si="2"/>
        <v/>
      </c>
      <c r="D743" s="50" t="str">
        <f t="shared" si="3"/>
        <v/>
      </c>
      <c r="E743" s="51" t="str">
        <f t="shared" ref="E743:T743" si="744">IFERROR(VLOOKUP($A743,INDIRECT("'" &amp; E$1 &amp; "'!$C:$G"), 5, FALSE),"")</f>
        <v/>
      </c>
      <c r="F743" s="51" t="str">
        <f t="shared" si="744"/>
        <v/>
      </c>
      <c r="G743" s="51" t="str">
        <f t="shared" si="744"/>
        <v/>
      </c>
      <c r="H743" s="51" t="str">
        <f t="shared" si="744"/>
        <v/>
      </c>
      <c r="I743" s="51" t="str">
        <f t="shared" si="744"/>
        <v/>
      </c>
      <c r="J743" s="51" t="str">
        <f t="shared" si="744"/>
        <v/>
      </c>
      <c r="K743" s="51" t="str">
        <f t="shared" si="744"/>
        <v/>
      </c>
      <c r="L743" s="51" t="str">
        <f t="shared" si="744"/>
        <v/>
      </c>
      <c r="M743" s="51" t="str">
        <f t="shared" si="744"/>
        <v/>
      </c>
      <c r="N743" s="51" t="str">
        <f t="shared" si="744"/>
        <v/>
      </c>
      <c r="O743" s="51" t="str">
        <f t="shared" si="744"/>
        <v/>
      </c>
      <c r="P743" s="51" t="str">
        <f t="shared" si="744"/>
        <v/>
      </c>
      <c r="Q743" s="51" t="str">
        <f t="shared" si="744"/>
        <v/>
      </c>
      <c r="R743" s="51" t="str">
        <f t="shared" si="744"/>
        <v/>
      </c>
      <c r="S743" s="51" t="str">
        <f t="shared" si="744"/>
        <v/>
      </c>
      <c r="T743" s="51" t="str">
        <f t="shared" si="744"/>
        <v/>
      </c>
      <c r="U743" s="52"/>
      <c r="V743" s="52" t="str">
        <f>IFERROR(__xludf.DUMMYFUNCTION("""COMPUTED_VALUE"""),"")</f>
        <v/>
      </c>
      <c r="W743" s="52" t="str">
        <f>IFERROR(__xludf.DUMMYFUNCTION("""COMPUTED_VALUE"""),"")</f>
        <v/>
      </c>
      <c r="X743" s="52" t="str">
        <f>IFERROR(__xludf.DUMMYFUNCTION("""COMPUTED_VALUE"""),"")</f>
        <v/>
      </c>
      <c r="Y743" s="52" t="str">
        <f>IFERROR(__xludf.DUMMYFUNCTION("""COMPUTED_VALUE"""),"")</f>
        <v/>
      </c>
      <c r="Z743" s="52" t="str">
        <f>IFERROR(__xludf.DUMMYFUNCTION("""COMPUTED_VALUE"""),"")</f>
        <v/>
      </c>
      <c r="AA743" s="52" t="str">
        <f>IFERROR(__xludf.DUMMYFUNCTION("""COMPUTED_VALUE"""),"")</f>
        <v/>
      </c>
      <c r="AB743" s="52" t="str">
        <f>IFERROR(__xludf.DUMMYFUNCTION("""COMPUTED_VALUE"""),"")</f>
        <v/>
      </c>
      <c r="AC743" s="52" t="str">
        <f>IFERROR(__xludf.DUMMYFUNCTION("""COMPUTED_VALUE"""),"")</f>
        <v/>
      </c>
      <c r="AD743" s="52" t="str">
        <f>IFERROR(__xludf.DUMMYFUNCTION("""COMPUTED_VALUE"""),"")</f>
        <v/>
      </c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</row>
    <row r="744">
      <c r="B744" s="49"/>
      <c r="C744" s="49" t="str">
        <f t="shared" si="2"/>
        <v/>
      </c>
      <c r="D744" s="50" t="str">
        <f t="shared" si="3"/>
        <v/>
      </c>
      <c r="E744" s="51" t="str">
        <f t="shared" ref="E744:T744" si="745">IFERROR(VLOOKUP($A744,INDIRECT("'" &amp; E$1 &amp; "'!$C:$G"), 5, FALSE),"")</f>
        <v/>
      </c>
      <c r="F744" s="51" t="str">
        <f t="shared" si="745"/>
        <v/>
      </c>
      <c r="G744" s="51" t="str">
        <f t="shared" si="745"/>
        <v/>
      </c>
      <c r="H744" s="51" t="str">
        <f t="shared" si="745"/>
        <v/>
      </c>
      <c r="I744" s="51" t="str">
        <f t="shared" si="745"/>
        <v/>
      </c>
      <c r="J744" s="51" t="str">
        <f t="shared" si="745"/>
        <v/>
      </c>
      <c r="K744" s="51" t="str">
        <f t="shared" si="745"/>
        <v/>
      </c>
      <c r="L744" s="51" t="str">
        <f t="shared" si="745"/>
        <v/>
      </c>
      <c r="M744" s="51" t="str">
        <f t="shared" si="745"/>
        <v/>
      </c>
      <c r="N744" s="51" t="str">
        <f t="shared" si="745"/>
        <v/>
      </c>
      <c r="O744" s="51" t="str">
        <f t="shared" si="745"/>
        <v/>
      </c>
      <c r="P744" s="51" t="str">
        <f t="shared" si="745"/>
        <v/>
      </c>
      <c r="Q744" s="51" t="str">
        <f t="shared" si="745"/>
        <v/>
      </c>
      <c r="R744" s="51" t="str">
        <f t="shared" si="745"/>
        <v/>
      </c>
      <c r="S744" s="51" t="str">
        <f t="shared" si="745"/>
        <v/>
      </c>
      <c r="T744" s="51" t="str">
        <f t="shared" si="745"/>
        <v/>
      </c>
      <c r="U744" s="52"/>
      <c r="V744" s="52" t="str">
        <f>IFERROR(__xludf.DUMMYFUNCTION("""COMPUTED_VALUE"""),"")</f>
        <v/>
      </c>
      <c r="W744" s="52" t="str">
        <f>IFERROR(__xludf.DUMMYFUNCTION("""COMPUTED_VALUE"""),"")</f>
        <v/>
      </c>
      <c r="X744" s="52" t="str">
        <f>IFERROR(__xludf.DUMMYFUNCTION("""COMPUTED_VALUE"""),"")</f>
        <v/>
      </c>
      <c r="Y744" s="52" t="str">
        <f>IFERROR(__xludf.DUMMYFUNCTION("""COMPUTED_VALUE"""),"")</f>
        <v/>
      </c>
      <c r="Z744" s="52" t="str">
        <f>IFERROR(__xludf.DUMMYFUNCTION("""COMPUTED_VALUE"""),"")</f>
        <v/>
      </c>
      <c r="AA744" s="52" t="str">
        <f>IFERROR(__xludf.DUMMYFUNCTION("""COMPUTED_VALUE"""),"")</f>
        <v/>
      </c>
      <c r="AB744" s="52" t="str">
        <f>IFERROR(__xludf.DUMMYFUNCTION("""COMPUTED_VALUE"""),"")</f>
        <v/>
      </c>
      <c r="AC744" s="52" t="str">
        <f>IFERROR(__xludf.DUMMYFUNCTION("""COMPUTED_VALUE"""),"")</f>
        <v/>
      </c>
      <c r="AD744" s="52" t="str">
        <f>IFERROR(__xludf.DUMMYFUNCTION("""COMPUTED_VALUE"""),"")</f>
        <v/>
      </c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</row>
    <row r="745">
      <c r="B745" s="49"/>
      <c r="C745" s="49" t="str">
        <f t="shared" si="2"/>
        <v/>
      </c>
      <c r="D745" s="50" t="str">
        <f t="shared" si="3"/>
        <v/>
      </c>
      <c r="E745" s="51" t="str">
        <f t="shared" ref="E745:T745" si="746">IFERROR(VLOOKUP($A745,INDIRECT("'" &amp; E$1 &amp; "'!$C:$G"), 5, FALSE),"")</f>
        <v/>
      </c>
      <c r="F745" s="51" t="str">
        <f t="shared" si="746"/>
        <v/>
      </c>
      <c r="G745" s="51" t="str">
        <f t="shared" si="746"/>
        <v/>
      </c>
      <c r="H745" s="51" t="str">
        <f t="shared" si="746"/>
        <v/>
      </c>
      <c r="I745" s="51" t="str">
        <f t="shared" si="746"/>
        <v/>
      </c>
      <c r="J745" s="51" t="str">
        <f t="shared" si="746"/>
        <v/>
      </c>
      <c r="K745" s="51" t="str">
        <f t="shared" si="746"/>
        <v/>
      </c>
      <c r="L745" s="51" t="str">
        <f t="shared" si="746"/>
        <v/>
      </c>
      <c r="M745" s="51" t="str">
        <f t="shared" si="746"/>
        <v/>
      </c>
      <c r="N745" s="51" t="str">
        <f t="shared" si="746"/>
        <v/>
      </c>
      <c r="O745" s="51" t="str">
        <f t="shared" si="746"/>
        <v/>
      </c>
      <c r="P745" s="51" t="str">
        <f t="shared" si="746"/>
        <v/>
      </c>
      <c r="Q745" s="51" t="str">
        <f t="shared" si="746"/>
        <v/>
      </c>
      <c r="R745" s="51" t="str">
        <f t="shared" si="746"/>
        <v/>
      </c>
      <c r="S745" s="51" t="str">
        <f t="shared" si="746"/>
        <v/>
      </c>
      <c r="T745" s="51" t="str">
        <f t="shared" si="746"/>
        <v/>
      </c>
      <c r="U745" s="52"/>
      <c r="V745" s="52" t="str">
        <f>IFERROR(__xludf.DUMMYFUNCTION("""COMPUTED_VALUE"""),"")</f>
        <v/>
      </c>
      <c r="W745" s="52" t="str">
        <f>IFERROR(__xludf.DUMMYFUNCTION("""COMPUTED_VALUE"""),"")</f>
        <v/>
      </c>
      <c r="X745" s="52" t="str">
        <f>IFERROR(__xludf.DUMMYFUNCTION("""COMPUTED_VALUE"""),"")</f>
        <v/>
      </c>
      <c r="Y745" s="52" t="str">
        <f>IFERROR(__xludf.DUMMYFUNCTION("""COMPUTED_VALUE"""),"")</f>
        <v/>
      </c>
      <c r="Z745" s="52" t="str">
        <f>IFERROR(__xludf.DUMMYFUNCTION("""COMPUTED_VALUE"""),"")</f>
        <v/>
      </c>
      <c r="AA745" s="52" t="str">
        <f>IFERROR(__xludf.DUMMYFUNCTION("""COMPUTED_VALUE"""),"")</f>
        <v/>
      </c>
      <c r="AB745" s="52" t="str">
        <f>IFERROR(__xludf.DUMMYFUNCTION("""COMPUTED_VALUE"""),"")</f>
        <v/>
      </c>
      <c r="AC745" s="52" t="str">
        <f>IFERROR(__xludf.DUMMYFUNCTION("""COMPUTED_VALUE"""),"")</f>
        <v/>
      </c>
      <c r="AD745" s="52" t="str">
        <f>IFERROR(__xludf.DUMMYFUNCTION("""COMPUTED_VALUE"""),"")</f>
        <v/>
      </c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</row>
    <row r="746">
      <c r="B746" s="49"/>
      <c r="C746" s="49" t="str">
        <f t="shared" si="2"/>
        <v/>
      </c>
      <c r="D746" s="50" t="str">
        <f t="shared" si="3"/>
        <v/>
      </c>
      <c r="E746" s="51" t="str">
        <f t="shared" ref="E746:T746" si="747">IFERROR(VLOOKUP($A746,INDIRECT("'" &amp; E$1 &amp; "'!$C:$G"), 5, FALSE),"")</f>
        <v/>
      </c>
      <c r="F746" s="51" t="str">
        <f t="shared" si="747"/>
        <v/>
      </c>
      <c r="G746" s="51" t="str">
        <f t="shared" si="747"/>
        <v/>
      </c>
      <c r="H746" s="51" t="str">
        <f t="shared" si="747"/>
        <v/>
      </c>
      <c r="I746" s="51" t="str">
        <f t="shared" si="747"/>
        <v/>
      </c>
      <c r="J746" s="51" t="str">
        <f t="shared" si="747"/>
        <v/>
      </c>
      <c r="K746" s="51" t="str">
        <f t="shared" si="747"/>
        <v/>
      </c>
      <c r="L746" s="51" t="str">
        <f t="shared" si="747"/>
        <v/>
      </c>
      <c r="M746" s="51" t="str">
        <f t="shared" si="747"/>
        <v/>
      </c>
      <c r="N746" s="51" t="str">
        <f t="shared" si="747"/>
        <v/>
      </c>
      <c r="O746" s="51" t="str">
        <f t="shared" si="747"/>
        <v/>
      </c>
      <c r="P746" s="51" t="str">
        <f t="shared" si="747"/>
        <v/>
      </c>
      <c r="Q746" s="51" t="str">
        <f t="shared" si="747"/>
        <v/>
      </c>
      <c r="R746" s="51" t="str">
        <f t="shared" si="747"/>
        <v/>
      </c>
      <c r="S746" s="51" t="str">
        <f t="shared" si="747"/>
        <v/>
      </c>
      <c r="T746" s="51" t="str">
        <f t="shared" si="747"/>
        <v/>
      </c>
      <c r="U746" s="52"/>
      <c r="V746" s="52" t="str">
        <f>IFERROR(__xludf.DUMMYFUNCTION("""COMPUTED_VALUE"""),"")</f>
        <v/>
      </c>
      <c r="W746" s="52" t="str">
        <f>IFERROR(__xludf.DUMMYFUNCTION("""COMPUTED_VALUE"""),"")</f>
        <v/>
      </c>
      <c r="X746" s="52" t="str">
        <f>IFERROR(__xludf.DUMMYFUNCTION("""COMPUTED_VALUE"""),"")</f>
        <v/>
      </c>
      <c r="Y746" s="52" t="str">
        <f>IFERROR(__xludf.DUMMYFUNCTION("""COMPUTED_VALUE"""),"")</f>
        <v/>
      </c>
      <c r="Z746" s="52" t="str">
        <f>IFERROR(__xludf.DUMMYFUNCTION("""COMPUTED_VALUE"""),"")</f>
        <v/>
      </c>
      <c r="AA746" s="52" t="str">
        <f>IFERROR(__xludf.DUMMYFUNCTION("""COMPUTED_VALUE"""),"")</f>
        <v/>
      </c>
      <c r="AB746" s="52" t="str">
        <f>IFERROR(__xludf.DUMMYFUNCTION("""COMPUTED_VALUE"""),"")</f>
        <v/>
      </c>
      <c r="AC746" s="52" t="str">
        <f>IFERROR(__xludf.DUMMYFUNCTION("""COMPUTED_VALUE"""),"")</f>
        <v/>
      </c>
      <c r="AD746" s="52" t="str">
        <f>IFERROR(__xludf.DUMMYFUNCTION("""COMPUTED_VALUE"""),"")</f>
        <v/>
      </c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</row>
    <row r="747">
      <c r="B747" s="49"/>
      <c r="C747" s="49" t="str">
        <f t="shared" si="2"/>
        <v/>
      </c>
      <c r="D747" s="50" t="str">
        <f t="shared" si="3"/>
        <v/>
      </c>
      <c r="E747" s="51" t="str">
        <f t="shared" ref="E747:T747" si="748">IFERROR(VLOOKUP($A747,INDIRECT("'" &amp; E$1 &amp; "'!$C:$G"), 5, FALSE),"")</f>
        <v/>
      </c>
      <c r="F747" s="51" t="str">
        <f t="shared" si="748"/>
        <v/>
      </c>
      <c r="G747" s="51" t="str">
        <f t="shared" si="748"/>
        <v/>
      </c>
      <c r="H747" s="51" t="str">
        <f t="shared" si="748"/>
        <v/>
      </c>
      <c r="I747" s="51" t="str">
        <f t="shared" si="748"/>
        <v/>
      </c>
      <c r="J747" s="51" t="str">
        <f t="shared" si="748"/>
        <v/>
      </c>
      <c r="K747" s="51" t="str">
        <f t="shared" si="748"/>
        <v/>
      </c>
      <c r="L747" s="51" t="str">
        <f t="shared" si="748"/>
        <v/>
      </c>
      <c r="M747" s="51" t="str">
        <f t="shared" si="748"/>
        <v/>
      </c>
      <c r="N747" s="51" t="str">
        <f t="shared" si="748"/>
        <v/>
      </c>
      <c r="O747" s="51" t="str">
        <f t="shared" si="748"/>
        <v/>
      </c>
      <c r="P747" s="51" t="str">
        <f t="shared" si="748"/>
        <v/>
      </c>
      <c r="Q747" s="51" t="str">
        <f t="shared" si="748"/>
        <v/>
      </c>
      <c r="R747" s="51" t="str">
        <f t="shared" si="748"/>
        <v/>
      </c>
      <c r="S747" s="51" t="str">
        <f t="shared" si="748"/>
        <v/>
      </c>
      <c r="T747" s="51" t="str">
        <f t="shared" si="748"/>
        <v/>
      </c>
      <c r="U747" s="52"/>
      <c r="V747" s="52" t="str">
        <f>IFERROR(__xludf.DUMMYFUNCTION("""COMPUTED_VALUE"""),"")</f>
        <v/>
      </c>
      <c r="W747" s="52" t="str">
        <f>IFERROR(__xludf.DUMMYFUNCTION("""COMPUTED_VALUE"""),"")</f>
        <v/>
      </c>
      <c r="X747" s="52" t="str">
        <f>IFERROR(__xludf.DUMMYFUNCTION("""COMPUTED_VALUE"""),"")</f>
        <v/>
      </c>
      <c r="Y747" s="52" t="str">
        <f>IFERROR(__xludf.DUMMYFUNCTION("""COMPUTED_VALUE"""),"")</f>
        <v/>
      </c>
      <c r="Z747" s="52" t="str">
        <f>IFERROR(__xludf.DUMMYFUNCTION("""COMPUTED_VALUE"""),"")</f>
        <v/>
      </c>
      <c r="AA747" s="52" t="str">
        <f>IFERROR(__xludf.DUMMYFUNCTION("""COMPUTED_VALUE"""),"")</f>
        <v/>
      </c>
      <c r="AB747" s="52" t="str">
        <f>IFERROR(__xludf.DUMMYFUNCTION("""COMPUTED_VALUE"""),"")</f>
        <v/>
      </c>
      <c r="AC747" s="52" t="str">
        <f>IFERROR(__xludf.DUMMYFUNCTION("""COMPUTED_VALUE"""),"")</f>
        <v/>
      </c>
      <c r="AD747" s="52" t="str">
        <f>IFERROR(__xludf.DUMMYFUNCTION("""COMPUTED_VALUE"""),"")</f>
        <v/>
      </c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</row>
    <row r="748">
      <c r="B748" s="49"/>
      <c r="C748" s="49" t="str">
        <f t="shared" si="2"/>
        <v/>
      </c>
      <c r="D748" s="50" t="str">
        <f t="shared" si="3"/>
        <v/>
      </c>
      <c r="E748" s="51" t="str">
        <f t="shared" ref="E748:T748" si="749">IFERROR(VLOOKUP($A748,INDIRECT("'" &amp; E$1 &amp; "'!$C:$G"), 5, FALSE),"")</f>
        <v/>
      </c>
      <c r="F748" s="51" t="str">
        <f t="shared" si="749"/>
        <v/>
      </c>
      <c r="G748" s="51" t="str">
        <f t="shared" si="749"/>
        <v/>
      </c>
      <c r="H748" s="51" t="str">
        <f t="shared" si="749"/>
        <v/>
      </c>
      <c r="I748" s="51" t="str">
        <f t="shared" si="749"/>
        <v/>
      </c>
      <c r="J748" s="51" t="str">
        <f t="shared" si="749"/>
        <v/>
      </c>
      <c r="K748" s="51" t="str">
        <f t="shared" si="749"/>
        <v/>
      </c>
      <c r="L748" s="51" t="str">
        <f t="shared" si="749"/>
        <v/>
      </c>
      <c r="M748" s="51" t="str">
        <f t="shared" si="749"/>
        <v/>
      </c>
      <c r="N748" s="51" t="str">
        <f t="shared" si="749"/>
        <v/>
      </c>
      <c r="O748" s="51" t="str">
        <f t="shared" si="749"/>
        <v/>
      </c>
      <c r="P748" s="51" t="str">
        <f t="shared" si="749"/>
        <v/>
      </c>
      <c r="Q748" s="51" t="str">
        <f t="shared" si="749"/>
        <v/>
      </c>
      <c r="R748" s="51" t="str">
        <f t="shared" si="749"/>
        <v/>
      </c>
      <c r="S748" s="51" t="str">
        <f t="shared" si="749"/>
        <v/>
      </c>
      <c r="T748" s="51" t="str">
        <f t="shared" si="749"/>
        <v/>
      </c>
      <c r="U748" s="52"/>
      <c r="V748" s="52" t="str">
        <f>IFERROR(__xludf.DUMMYFUNCTION("""COMPUTED_VALUE"""),"")</f>
        <v/>
      </c>
      <c r="W748" s="52" t="str">
        <f>IFERROR(__xludf.DUMMYFUNCTION("""COMPUTED_VALUE"""),"")</f>
        <v/>
      </c>
      <c r="X748" s="52" t="str">
        <f>IFERROR(__xludf.DUMMYFUNCTION("""COMPUTED_VALUE"""),"")</f>
        <v/>
      </c>
      <c r="Y748" s="52" t="str">
        <f>IFERROR(__xludf.DUMMYFUNCTION("""COMPUTED_VALUE"""),"")</f>
        <v/>
      </c>
      <c r="Z748" s="52" t="str">
        <f>IFERROR(__xludf.DUMMYFUNCTION("""COMPUTED_VALUE"""),"")</f>
        <v/>
      </c>
      <c r="AA748" s="52" t="str">
        <f>IFERROR(__xludf.DUMMYFUNCTION("""COMPUTED_VALUE"""),"")</f>
        <v/>
      </c>
      <c r="AB748" s="52" t="str">
        <f>IFERROR(__xludf.DUMMYFUNCTION("""COMPUTED_VALUE"""),"")</f>
        <v/>
      </c>
      <c r="AC748" s="52" t="str">
        <f>IFERROR(__xludf.DUMMYFUNCTION("""COMPUTED_VALUE"""),"")</f>
        <v/>
      </c>
      <c r="AD748" s="52" t="str">
        <f>IFERROR(__xludf.DUMMYFUNCTION("""COMPUTED_VALUE"""),"")</f>
        <v/>
      </c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</row>
    <row r="749">
      <c r="B749" s="49"/>
      <c r="C749" s="49" t="str">
        <f t="shared" si="2"/>
        <v/>
      </c>
      <c r="D749" s="50" t="str">
        <f t="shared" si="3"/>
        <v/>
      </c>
      <c r="E749" s="51" t="str">
        <f t="shared" ref="E749:T749" si="750">IFERROR(VLOOKUP($A749,INDIRECT("'" &amp; E$1 &amp; "'!$C:$G"), 5, FALSE),"")</f>
        <v/>
      </c>
      <c r="F749" s="51" t="str">
        <f t="shared" si="750"/>
        <v/>
      </c>
      <c r="G749" s="51" t="str">
        <f t="shared" si="750"/>
        <v/>
      </c>
      <c r="H749" s="51" t="str">
        <f t="shared" si="750"/>
        <v/>
      </c>
      <c r="I749" s="51" t="str">
        <f t="shared" si="750"/>
        <v/>
      </c>
      <c r="J749" s="51" t="str">
        <f t="shared" si="750"/>
        <v/>
      </c>
      <c r="K749" s="51" t="str">
        <f t="shared" si="750"/>
        <v/>
      </c>
      <c r="L749" s="51" t="str">
        <f t="shared" si="750"/>
        <v/>
      </c>
      <c r="M749" s="51" t="str">
        <f t="shared" si="750"/>
        <v/>
      </c>
      <c r="N749" s="51" t="str">
        <f t="shared" si="750"/>
        <v/>
      </c>
      <c r="O749" s="51" t="str">
        <f t="shared" si="750"/>
        <v/>
      </c>
      <c r="P749" s="51" t="str">
        <f t="shared" si="750"/>
        <v/>
      </c>
      <c r="Q749" s="51" t="str">
        <f t="shared" si="750"/>
        <v/>
      </c>
      <c r="R749" s="51" t="str">
        <f t="shared" si="750"/>
        <v/>
      </c>
      <c r="S749" s="51" t="str">
        <f t="shared" si="750"/>
        <v/>
      </c>
      <c r="T749" s="51" t="str">
        <f t="shared" si="750"/>
        <v/>
      </c>
      <c r="U749" s="52"/>
      <c r="V749" s="52" t="str">
        <f>IFERROR(__xludf.DUMMYFUNCTION("""COMPUTED_VALUE"""),"")</f>
        <v/>
      </c>
      <c r="W749" s="52" t="str">
        <f>IFERROR(__xludf.DUMMYFUNCTION("""COMPUTED_VALUE"""),"")</f>
        <v/>
      </c>
      <c r="X749" s="52" t="str">
        <f>IFERROR(__xludf.DUMMYFUNCTION("""COMPUTED_VALUE"""),"")</f>
        <v/>
      </c>
      <c r="Y749" s="52" t="str">
        <f>IFERROR(__xludf.DUMMYFUNCTION("""COMPUTED_VALUE"""),"")</f>
        <v/>
      </c>
      <c r="Z749" s="52" t="str">
        <f>IFERROR(__xludf.DUMMYFUNCTION("""COMPUTED_VALUE"""),"")</f>
        <v/>
      </c>
      <c r="AA749" s="52" t="str">
        <f>IFERROR(__xludf.DUMMYFUNCTION("""COMPUTED_VALUE"""),"")</f>
        <v/>
      </c>
      <c r="AB749" s="52" t="str">
        <f>IFERROR(__xludf.DUMMYFUNCTION("""COMPUTED_VALUE"""),"")</f>
        <v/>
      </c>
      <c r="AC749" s="52" t="str">
        <f>IFERROR(__xludf.DUMMYFUNCTION("""COMPUTED_VALUE"""),"")</f>
        <v/>
      </c>
      <c r="AD749" s="52" t="str">
        <f>IFERROR(__xludf.DUMMYFUNCTION("""COMPUTED_VALUE"""),"")</f>
        <v/>
      </c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</row>
    <row r="750">
      <c r="B750" s="49"/>
      <c r="C750" s="49" t="str">
        <f t="shared" si="2"/>
        <v/>
      </c>
      <c r="D750" s="50" t="str">
        <f t="shared" si="3"/>
        <v/>
      </c>
      <c r="E750" s="51" t="str">
        <f t="shared" ref="E750:T750" si="751">IFERROR(VLOOKUP($A750,INDIRECT("'" &amp; E$1 &amp; "'!$C:$G"), 5, FALSE),"")</f>
        <v/>
      </c>
      <c r="F750" s="51" t="str">
        <f t="shared" si="751"/>
        <v/>
      </c>
      <c r="G750" s="51" t="str">
        <f t="shared" si="751"/>
        <v/>
      </c>
      <c r="H750" s="51" t="str">
        <f t="shared" si="751"/>
        <v/>
      </c>
      <c r="I750" s="51" t="str">
        <f t="shared" si="751"/>
        <v/>
      </c>
      <c r="J750" s="51" t="str">
        <f t="shared" si="751"/>
        <v/>
      </c>
      <c r="K750" s="51" t="str">
        <f t="shared" si="751"/>
        <v/>
      </c>
      <c r="L750" s="51" t="str">
        <f t="shared" si="751"/>
        <v/>
      </c>
      <c r="M750" s="51" t="str">
        <f t="shared" si="751"/>
        <v/>
      </c>
      <c r="N750" s="51" t="str">
        <f t="shared" si="751"/>
        <v/>
      </c>
      <c r="O750" s="51" t="str">
        <f t="shared" si="751"/>
        <v/>
      </c>
      <c r="P750" s="51" t="str">
        <f t="shared" si="751"/>
        <v/>
      </c>
      <c r="Q750" s="51" t="str">
        <f t="shared" si="751"/>
        <v/>
      </c>
      <c r="R750" s="51" t="str">
        <f t="shared" si="751"/>
        <v/>
      </c>
      <c r="S750" s="51" t="str">
        <f t="shared" si="751"/>
        <v/>
      </c>
      <c r="T750" s="51" t="str">
        <f t="shared" si="751"/>
        <v/>
      </c>
      <c r="U750" s="52"/>
      <c r="V750" s="52" t="str">
        <f>IFERROR(__xludf.DUMMYFUNCTION("""COMPUTED_VALUE"""),"")</f>
        <v/>
      </c>
      <c r="W750" s="52" t="str">
        <f>IFERROR(__xludf.DUMMYFUNCTION("""COMPUTED_VALUE"""),"")</f>
        <v/>
      </c>
      <c r="X750" s="52" t="str">
        <f>IFERROR(__xludf.DUMMYFUNCTION("""COMPUTED_VALUE"""),"")</f>
        <v/>
      </c>
      <c r="Y750" s="52" t="str">
        <f>IFERROR(__xludf.DUMMYFUNCTION("""COMPUTED_VALUE"""),"")</f>
        <v/>
      </c>
      <c r="Z750" s="52" t="str">
        <f>IFERROR(__xludf.DUMMYFUNCTION("""COMPUTED_VALUE"""),"")</f>
        <v/>
      </c>
      <c r="AA750" s="52" t="str">
        <f>IFERROR(__xludf.DUMMYFUNCTION("""COMPUTED_VALUE"""),"")</f>
        <v/>
      </c>
      <c r="AB750" s="52" t="str">
        <f>IFERROR(__xludf.DUMMYFUNCTION("""COMPUTED_VALUE"""),"")</f>
        <v/>
      </c>
      <c r="AC750" s="52" t="str">
        <f>IFERROR(__xludf.DUMMYFUNCTION("""COMPUTED_VALUE"""),"")</f>
        <v/>
      </c>
      <c r="AD750" s="52" t="str">
        <f>IFERROR(__xludf.DUMMYFUNCTION("""COMPUTED_VALUE"""),"")</f>
        <v/>
      </c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</row>
    <row r="751">
      <c r="B751" s="49"/>
      <c r="C751" s="49" t="str">
        <f t="shared" si="2"/>
        <v/>
      </c>
      <c r="D751" s="50" t="str">
        <f t="shared" si="3"/>
        <v/>
      </c>
      <c r="E751" s="51" t="str">
        <f t="shared" ref="E751:T751" si="752">IFERROR(VLOOKUP($A751,INDIRECT("'" &amp; E$1 &amp; "'!$C:$G"), 5, FALSE),"")</f>
        <v/>
      </c>
      <c r="F751" s="51" t="str">
        <f t="shared" si="752"/>
        <v/>
      </c>
      <c r="G751" s="51" t="str">
        <f t="shared" si="752"/>
        <v/>
      </c>
      <c r="H751" s="51" t="str">
        <f t="shared" si="752"/>
        <v/>
      </c>
      <c r="I751" s="51" t="str">
        <f t="shared" si="752"/>
        <v/>
      </c>
      <c r="J751" s="51" t="str">
        <f t="shared" si="752"/>
        <v/>
      </c>
      <c r="K751" s="51" t="str">
        <f t="shared" si="752"/>
        <v/>
      </c>
      <c r="L751" s="51" t="str">
        <f t="shared" si="752"/>
        <v/>
      </c>
      <c r="M751" s="51" t="str">
        <f t="shared" si="752"/>
        <v/>
      </c>
      <c r="N751" s="51" t="str">
        <f t="shared" si="752"/>
        <v/>
      </c>
      <c r="O751" s="51" t="str">
        <f t="shared" si="752"/>
        <v/>
      </c>
      <c r="P751" s="51" t="str">
        <f t="shared" si="752"/>
        <v/>
      </c>
      <c r="Q751" s="51" t="str">
        <f t="shared" si="752"/>
        <v/>
      </c>
      <c r="R751" s="51" t="str">
        <f t="shared" si="752"/>
        <v/>
      </c>
      <c r="S751" s="51" t="str">
        <f t="shared" si="752"/>
        <v/>
      </c>
      <c r="T751" s="51" t="str">
        <f t="shared" si="752"/>
        <v/>
      </c>
      <c r="U751" s="52"/>
      <c r="V751" s="52" t="str">
        <f>IFERROR(__xludf.DUMMYFUNCTION("""COMPUTED_VALUE"""),"")</f>
        <v/>
      </c>
      <c r="W751" s="52" t="str">
        <f>IFERROR(__xludf.DUMMYFUNCTION("""COMPUTED_VALUE"""),"")</f>
        <v/>
      </c>
      <c r="X751" s="52" t="str">
        <f>IFERROR(__xludf.DUMMYFUNCTION("""COMPUTED_VALUE"""),"")</f>
        <v/>
      </c>
      <c r="Y751" s="52" t="str">
        <f>IFERROR(__xludf.DUMMYFUNCTION("""COMPUTED_VALUE"""),"")</f>
        <v/>
      </c>
      <c r="Z751" s="52" t="str">
        <f>IFERROR(__xludf.DUMMYFUNCTION("""COMPUTED_VALUE"""),"")</f>
        <v/>
      </c>
      <c r="AA751" s="52" t="str">
        <f>IFERROR(__xludf.DUMMYFUNCTION("""COMPUTED_VALUE"""),"")</f>
        <v/>
      </c>
      <c r="AB751" s="52" t="str">
        <f>IFERROR(__xludf.DUMMYFUNCTION("""COMPUTED_VALUE"""),"")</f>
        <v/>
      </c>
      <c r="AC751" s="52" t="str">
        <f>IFERROR(__xludf.DUMMYFUNCTION("""COMPUTED_VALUE"""),"")</f>
        <v/>
      </c>
      <c r="AD751" s="52" t="str">
        <f>IFERROR(__xludf.DUMMYFUNCTION("""COMPUTED_VALUE"""),"")</f>
        <v/>
      </c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</row>
    <row r="752">
      <c r="B752" s="49"/>
      <c r="C752" s="49" t="str">
        <f t="shared" si="2"/>
        <v/>
      </c>
      <c r="D752" s="50" t="str">
        <f t="shared" si="3"/>
        <v/>
      </c>
      <c r="E752" s="51" t="str">
        <f t="shared" ref="E752:T752" si="753">IFERROR(VLOOKUP($A752,INDIRECT("'" &amp; E$1 &amp; "'!$C:$G"), 5, FALSE),"")</f>
        <v/>
      </c>
      <c r="F752" s="51" t="str">
        <f t="shared" si="753"/>
        <v/>
      </c>
      <c r="G752" s="51" t="str">
        <f t="shared" si="753"/>
        <v/>
      </c>
      <c r="H752" s="51" t="str">
        <f t="shared" si="753"/>
        <v/>
      </c>
      <c r="I752" s="51" t="str">
        <f t="shared" si="753"/>
        <v/>
      </c>
      <c r="J752" s="51" t="str">
        <f t="shared" si="753"/>
        <v/>
      </c>
      <c r="K752" s="51" t="str">
        <f t="shared" si="753"/>
        <v/>
      </c>
      <c r="L752" s="51" t="str">
        <f t="shared" si="753"/>
        <v/>
      </c>
      <c r="M752" s="51" t="str">
        <f t="shared" si="753"/>
        <v/>
      </c>
      <c r="N752" s="51" t="str">
        <f t="shared" si="753"/>
        <v/>
      </c>
      <c r="O752" s="51" t="str">
        <f t="shared" si="753"/>
        <v/>
      </c>
      <c r="P752" s="51" t="str">
        <f t="shared" si="753"/>
        <v/>
      </c>
      <c r="Q752" s="51" t="str">
        <f t="shared" si="753"/>
        <v/>
      </c>
      <c r="R752" s="51" t="str">
        <f t="shared" si="753"/>
        <v/>
      </c>
      <c r="S752" s="51" t="str">
        <f t="shared" si="753"/>
        <v/>
      </c>
      <c r="T752" s="51" t="str">
        <f t="shared" si="753"/>
        <v/>
      </c>
      <c r="U752" s="52"/>
      <c r="V752" s="52" t="str">
        <f>IFERROR(__xludf.DUMMYFUNCTION("""COMPUTED_VALUE"""),"")</f>
        <v/>
      </c>
      <c r="W752" s="52" t="str">
        <f>IFERROR(__xludf.DUMMYFUNCTION("""COMPUTED_VALUE"""),"")</f>
        <v/>
      </c>
      <c r="X752" s="52" t="str">
        <f>IFERROR(__xludf.DUMMYFUNCTION("""COMPUTED_VALUE"""),"")</f>
        <v/>
      </c>
      <c r="Y752" s="52" t="str">
        <f>IFERROR(__xludf.DUMMYFUNCTION("""COMPUTED_VALUE"""),"")</f>
        <v/>
      </c>
      <c r="Z752" s="52" t="str">
        <f>IFERROR(__xludf.DUMMYFUNCTION("""COMPUTED_VALUE"""),"")</f>
        <v/>
      </c>
      <c r="AA752" s="52" t="str">
        <f>IFERROR(__xludf.DUMMYFUNCTION("""COMPUTED_VALUE"""),"")</f>
        <v/>
      </c>
      <c r="AB752" s="52" t="str">
        <f>IFERROR(__xludf.DUMMYFUNCTION("""COMPUTED_VALUE"""),"")</f>
        <v/>
      </c>
      <c r="AC752" s="52" t="str">
        <f>IFERROR(__xludf.DUMMYFUNCTION("""COMPUTED_VALUE"""),"")</f>
        <v/>
      </c>
      <c r="AD752" s="52" t="str">
        <f>IFERROR(__xludf.DUMMYFUNCTION("""COMPUTED_VALUE"""),"")</f>
        <v/>
      </c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</row>
    <row r="753">
      <c r="B753" s="49"/>
      <c r="C753" s="49" t="str">
        <f t="shared" si="2"/>
        <v/>
      </c>
      <c r="D753" s="50" t="str">
        <f t="shared" si="3"/>
        <v/>
      </c>
      <c r="E753" s="51" t="str">
        <f t="shared" ref="E753:T753" si="754">IFERROR(VLOOKUP($A753,INDIRECT("'" &amp; E$1 &amp; "'!$C:$G"), 5, FALSE),"")</f>
        <v/>
      </c>
      <c r="F753" s="51" t="str">
        <f t="shared" si="754"/>
        <v/>
      </c>
      <c r="G753" s="51" t="str">
        <f t="shared" si="754"/>
        <v/>
      </c>
      <c r="H753" s="51" t="str">
        <f t="shared" si="754"/>
        <v/>
      </c>
      <c r="I753" s="51" t="str">
        <f t="shared" si="754"/>
        <v/>
      </c>
      <c r="J753" s="51" t="str">
        <f t="shared" si="754"/>
        <v/>
      </c>
      <c r="K753" s="51" t="str">
        <f t="shared" si="754"/>
        <v/>
      </c>
      <c r="L753" s="51" t="str">
        <f t="shared" si="754"/>
        <v/>
      </c>
      <c r="M753" s="51" t="str">
        <f t="shared" si="754"/>
        <v/>
      </c>
      <c r="N753" s="51" t="str">
        <f t="shared" si="754"/>
        <v/>
      </c>
      <c r="O753" s="51" t="str">
        <f t="shared" si="754"/>
        <v/>
      </c>
      <c r="P753" s="51" t="str">
        <f t="shared" si="754"/>
        <v/>
      </c>
      <c r="Q753" s="51" t="str">
        <f t="shared" si="754"/>
        <v/>
      </c>
      <c r="R753" s="51" t="str">
        <f t="shared" si="754"/>
        <v/>
      </c>
      <c r="S753" s="51" t="str">
        <f t="shared" si="754"/>
        <v/>
      </c>
      <c r="T753" s="51" t="str">
        <f t="shared" si="754"/>
        <v/>
      </c>
      <c r="U753" s="52"/>
      <c r="V753" s="52" t="str">
        <f>IFERROR(__xludf.DUMMYFUNCTION("""COMPUTED_VALUE"""),"")</f>
        <v/>
      </c>
      <c r="W753" s="52" t="str">
        <f>IFERROR(__xludf.DUMMYFUNCTION("""COMPUTED_VALUE"""),"")</f>
        <v/>
      </c>
      <c r="X753" s="52" t="str">
        <f>IFERROR(__xludf.DUMMYFUNCTION("""COMPUTED_VALUE"""),"")</f>
        <v/>
      </c>
      <c r="Y753" s="52" t="str">
        <f>IFERROR(__xludf.DUMMYFUNCTION("""COMPUTED_VALUE"""),"")</f>
        <v/>
      </c>
      <c r="Z753" s="52" t="str">
        <f>IFERROR(__xludf.DUMMYFUNCTION("""COMPUTED_VALUE"""),"")</f>
        <v/>
      </c>
      <c r="AA753" s="52" t="str">
        <f>IFERROR(__xludf.DUMMYFUNCTION("""COMPUTED_VALUE"""),"")</f>
        <v/>
      </c>
      <c r="AB753" s="52" t="str">
        <f>IFERROR(__xludf.DUMMYFUNCTION("""COMPUTED_VALUE"""),"")</f>
        <v/>
      </c>
      <c r="AC753" s="52" t="str">
        <f>IFERROR(__xludf.DUMMYFUNCTION("""COMPUTED_VALUE"""),"")</f>
        <v/>
      </c>
      <c r="AD753" s="52" t="str">
        <f>IFERROR(__xludf.DUMMYFUNCTION("""COMPUTED_VALUE"""),"")</f>
        <v/>
      </c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</row>
    <row r="754">
      <c r="B754" s="49"/>
      <c r="C754" s="49" t="str">
        <f t="shared" si="2"/>
        <v/>
      </c>
      <c r="D754" s="50" t="str">
        <f t="shared" si="3"/>
        <v/>
      </c>
      <c r="E754" s="51" t="str">
        <f t="shared" ref="E754:T754" si="755">IFERROR(VLOOKUP($A754,INDIRECT("'" &amp; E$1 &amp; "'!$C:$G"), 5, FALSE),"")</f>
        <v/>
      </c>
      <c r="F754" s="51" t="str">
        <f t="shared" si="755"/>
        <v/>
      </c>
      <c r="G754" s="51" t="str">
        <f t="shared" si="755"/>
        <v/>
      </c>
      <c r="H754" s="51" t="str">
        <f t="shared" si="755"/>
        <v/>
      </c>
      <c r="I754" s="51" t="str">
        <f t="shared" si="755"/>
        <v/>
      </c>
      <c r="J754" s="51" t="str">
        <f t="shared" si="755"/>
        <v/>
      </c>
      <c r="K754" s="51" t="str">
        <f t="shared" si="755"/>
        <v/>
      </c>
      <c r="L754" s="51" t="str">
        <f t="shared" si="755"/>
        <v/>
      </c>
      <c r="M754" s="51" t="str">
        <f t="shared" si="755"/>
        <v/>
      </c>
      <c r="N754" s="51" t="str">
        <f t="shared" si="755"/>
        <v/>
      </c>
      <c r="O754" s="51" t="str">
        <f t="shared" si="755"/>
        <v/>
      </c>
      <c r="P754" s="51" t="str">
        <f t="shared" si="755"/>
        <v/>
      </c>
      <c r="Q754" s="51" t="str">
        <f t="shared" si="755"/>
        <v/>
      </c>
      <c r="R754" s="51" t="str">
        <f t="shared" si="755"/>
        <v/>
      </c>
      <c r="S754" s="51" t="str">
        <f t="shared" si="755"/>
        <v/>
      </c>
      <c r="T754" s="51" t="str">
        <f t="shared" si="755"/>
        <v/>
      </c>
      <c r="U754" s="52"/>
      <c r="V754" s="52" t="str">
        <f>IFERROR(__xludf.DUMMYFUNCTION("""COMPUTED_VALUE"""),"")</f>
        <v/>
      </c>
      <c r="W754" s="52" t="str">
        <f>IFERROR(__xludf.DUMMYFUNCTION("""COMPUTED_VALUE"""),"")</f>
        <v/>
      </c>
      <c r="X754" s="52" t="str">
        <f>IFERROR(__xludf.DUMMYFUNCTION("""COMPUTED_VALUE"""),"")</f>
        <v/>
      </c>
      <c r="Y754" s="52" t="str">
        <f>IFERROR(__xludf.DUMMYFUNCTION("""COMPUTED_VALUE"""),"")</f>
        <v/>
      </c>
      <c r="Z754" s="52" t="str">
        <f>IFERROR(__xludf.DUMMYFUNCTION("""COMPUTED_VALUE"""),"")</f>
        <v/>
      </c>
      <c r="AA754" s="52" t="str">
        <f>IFERROR(__xludf.DUMMYFUNCTION("""COMPUTED_VALUE"""),"")</f>
        <v/>
      </c>
      <c r="AB754" s="52" t="str">
        <f>IFERROR(__xludf.DUMMYFUNCTION("""COMPUTED_VALUE"""),"")</f>
        <v/>
      </c>
      <c r="AC754" s="52" t="str">
        <f>IFERROR(__xludf.DUMMYFUNCTION("""COMPUTED_VALUE"""),"")</f>
        <v/>
      </c>
      <c r="AD754" s="52" t="str">
        <f>IFERROR(__xludf.DUMMYFUNCTION("""COMPUTED_VALUE"""),"")</f>
        <v/>
      </c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</row>
    <row r="755">
      <c r="B755" s="49"/>
      <c r="C755" s="49" t="str">
        <f t="shared" si="2"/>
        <v/>
      </c>
      <c r="D755" s="50" t="str">
        <f t="shared" si="3"/>
        <v/>
      </c>
      <c r="E755" s="51" t="str">
        <f t="shared" ref="E755:T755" si="756">IFERROR(VLOOKUP($A755,INDIRECT("'" &amp; E$1 &amp; "'!$C:$G"), 5, FALSE),"")</f>
        <v/>
      </c>
      <c r="F755" s="51" t="str">
        <f t="shared" si="756"/>
        <v/>
      </c>
      <c r="G755" s="51" t="str">
        <f t="shared" si="756"/>
        <v/>
      </c>
      <c r="H755" s="51" t="str">
        <f t="shared" si="756"/>
        <v/>
      </c>
      <c r="I755" s="51" t="str">
        <f t="shared" si="756"/>
        <v/>
      </c>
      <c r="J755" s="51" t="str">
        <f t="shared" si="756"/>
        <v/>
      </c>
      <c r="K755" s="51" t="str">
        <f t="shared" si="756"/>
        <v/>
      </c>
      <c r="L755" s="51" t="str">
        <f t="shared" si="756"/>
        <v/>
      </c>
      <c r="M755" s="51" t="str">
        <f t="shared" si="756"/>
        <v/>
      </c>
      <c r="N755" s="51" t="str">
        <f t="shared" si="756"/>
        <v/>
      </c>
      <c r="O755" s="51" t="str">
        <f t="shared" si="756"/>
        <v/>
      </c>
      <c r="P755" s="51" t="str">
        <f t="shared" si="756"/>
        <v/>
      </c>
      <c r="Q755" s="51" t="str">
        <f t="shared" si="756"/>
        <v/>
      </c>
      <c r="R755" s="51" t="str">
        <f t="shared" si="756"/>
        <v/>
      </c>
      <c r="S755" s="51" t="str">
        <f t="shared" si="756"/>
        <v/>
      </c>
      <c r="T755" s="51" t="str">
        <f t="shared" si="756"/>
        <v/>
      </c>
      <c r="U755" s="52"/>
      <c r="V755" s="52" t="str">
        <f>IFERROR(__xludf.DUMMYFUNCTION("""COMPUTED_VALUE"""),"")</f>
        <v/>
      </c>
      <c r="W755" s="52" t="str">
        <f>IFERROR(__xludf.DUMMYFUNCTION("""COMPUTED_VALUE"""),"")</f>
        <v/>
      </c>
      <c r="X755" s="52" t="str">
        <f>IFERROR(__xludf.DUMMYFUNCTION("""COMPUTED_VALUE"""),"")</f>
        <v/>
      </c>
      <c r="Y755" s="52" t="str">
        <f>IFERROR(__xludf.DUMMYFUNCTION("""COMPUTED_VALUE"""),"")</f>
        <v/>
      </c>
      <c r="Z755" s="52" t="str">
        <f>IFERROR(__xludf.DUMMYFUNCTION("""COMPUTED_VALUE"""),"")</f>
        <v/>
      </c>
      <c r="AA755" s="52" t="str">
        <f>IFERROR(__xludf.DUMMYFUNCTION("""COMPUTED_VALUE"""),"")</f>
        <v/>
      </c>
      <c r="AB755" s="52" t="str">
        <f>IFERROR(__xludf.DUMMYFUNCTION("""COMPUTED_VALUE"""),"")</f>
        <v/>
      </c>
      <c r="AC755" s="52" t="str">
        <f>IFERROR(__xludf.DUMMYFUNCTION("""COMPUTED_VALUE"""),"")</f>
        <v/>
      </c>
      <c r="AD755" s="52" t="str">
        <f>IFERROR(__xludf.DUMMYFUNCTION("""COMPUTED_VALUE"""),"")</f>
        <v/>
      </c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</row>
    <row r="756">
      <c r="B756" s="49"/>
      <c r="C756" s="49" t="str">
        <f t="shared" si="2"/>
        <v/>
      </c>
      <c r="D756" s="50" t="str">
        <f t="shared" si="3"/>
        <v/>
      </c>
      <c r="E756" s="51" t="str">
        <f t="shared" ref="E756:T756" si="757">IFERROR(VLOOKUP($A756,INDIRECT("'" &amp; E$1 &amp; "'!$C:$G"), 5, FALSE),"")</f>
        <v/>
      </c>
      <c r="F756" s="51" t="str">
        <f t="shared" si="757"/>
        <v/>
      </c>
      <c r="G756" s="51" t="str">
        <f t="shared" si="757"/>
        <v/>
      </c>
      <c r="H756" s="51" t="str">
        <f t="shared" si="757"/>
        <v/>
      </c>
      <c r="I756" s="51" t="str">
        <f t="shared" si="757"/>
        <v/>
      </c>
      <c r="J756" s="51" t="str">
        <f t="shared" si="757"/>
        <v/>
      </c>
      <c r="K756" s="51" t="str">
        <f t="shared" si="757"/>
        <v/>
      </c>
      <c r="L756" s="51" t="str">
        <f t="shared" si="757"/>
        <v/>
      </c>
      <c r="M756" s="51" t="str">
        <f t="shared" si="757"/>
        <v/>
      </c>
      <c r="N756" s="51" t="str">
        <f t="shared" si="757"/>
        <v/>
      </c>
      <c r="O756" s="51" t="str">
        <f t="shared" si="757"/>
        <v/>
      </c>
      <c r="P756" s="51" t="str">
        <f t="shared" si="757"/>
        <v/>
      </c>
      <c r="Q756" s="51" t="str">
        <f t="shared" si="757"/>
        <v/>
      </c>
      <c r="R756" s="51" t="str">
        <f t="shared" si="757"/>
        <v/>
      </c>
      <c r="S756" s="51" t="str">
        <f t="shared" si="757"/>
        <v/>
      </c>
      <c r="T756" s="51" t="str">
        <f t="shared" si="757"/>
        <v/>
      </c>
      <c r="U756" s="52"/>
      <c r="V756" s="52" t="str">
        <f>IFERROR(__xludf.DUMMYFUNCTION("""COMPUTED_VALUE"""),"")</f>
        <v/>
      </c>
      <c r="W756" s="52" t="str">
        <f>IFERROR(__xludf.DUMMYFUNCTION("""COMPUTED_VALUE"""),"")</f>
        <v/>
      </c>
      <c r="X756" s="52" t="str">
        <f>IFERROR(__xludf.DUMMYFUNCTION("""COMPUTED_VALUE"""),"")</f>
        <v/>
      </c>
      <c r="Y756" s="52" t="str">
        <f>IFERROR(__xludf.DUMMYFUNCTION("""COMPUTED_VALUE"""),"")</f>
        <v/>
      </c>
      <c r="Z756" s="52" t="str">
        <f>IFERROR(__xludf.DUMMYFUNCTION("""COMPUTED_VALUE"""),"")</f>
        <v/>
      </c>
      <c r="AA756" s="52" t="str">
        <f>IFERROR(__xludf.DUMMYFUNCTION("""COMPUTED_VALUE"""),"")</f>
        <v/>
      </c>
      <c r="AB756" s="52" t="str">
        <f>IFERROR(__xludf.DUMMYFUNCTION("""COMPUTED_VALUE"""),"")</f>
        <v/>
      </c>
      <c r="AC756" s="52" t="str">
        <f>IFERROR(__xludf.DUMMYFUNCTION("""COMPUTED_VALUE"""),"")</f>
        <v/>
      </c>
      <c r="AD756" s="52" t="str">
        <f>IFERROR(__xludf.DUMMYFUNCTION("""COMPUTED_VALUE"""),"")</f>
        <v/>
      </c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</row>
    <row r="757">
      <c r="B757" s="49"/>
      <c r="C757" s="49" t="str">
        <f t="shared" si="2"/>
        <v/>
      </c>
      <c r="D757" s="50" t="str">
        <f t="shared" si="3"/>
        <v/>
      </c>
      <c r="E757" s="51" t="str">
        <f t="shared" ref="E757:T757" si="758">IFERROR(VLOOKUP($A757,INDIRECT("'" &amp; E$1 &amp; "'!$C:$G"), 5, FALSE),"")</f>
        <v/>
      </c>
      <c r="F757" s="51" t="str">
        <f t="shared" si="758"/>
        <v/>
      </c>
      <c r="G757" s="51" t="str">
        <f t="shared" si="758"/>
        <v/>
      </c>
      <c r="H757" s="51" t="str">
        <f t="shared" si="758"/>
        <v/>
      </c>
      <c r="I757" s="51" t="str">
        <f t="shared" si="758"/>
        <v/>
      </c>
      <c r="J757" s="51" t="str">
        <f t="shared" si="758"/>
        <v/>
      </c>
      <c r="K757" s="51" t="str">
        <f t="shared" si="758"/>
        <v/>
      </c>
      <c r="L757" s="51" t="str">
        <f t="shared" si="758"/>
        <v/>
      </c>
      <c r="M757" s="51" t="str">
        <f t="shared" si="758"/>
        <v/>
      </c>
      <c r="N757" s="51" t="str">
        <f t="shared" si="758"/>
        <v/>
      </c>
      <c r="O757" s="51" t="str">
        <f t="shared" si="758"/>
        <v/>
      </c>
      <c r="P757" s="51" t="str">
        <f t="shared" si="758"/>
        <v/>
      </c>
      <c r="Q757" s="51" t="str">
        <f t="shared" si="758"/>
        <v/>
      </c>
      <c r="R757" s="51" t="str">
        <f t="shared" si="758"/>
        <v/>
      </c>
      <c r="S757" s="51" t="str">
        <f t="shared" si="758"/>
        <v/>
      </c>
      <c r="T757" s="51" t="str">
        <f t="shared" si="758"/>
        <v/>
      </c>
      <c r="U757" s="52"/>
      <c r="V757" s="52" t="str">
        <f>IFERROR(__xludf.DUMMYFUNCTION("""COMPUTED_VALUE"""),"")</f>
        <v/>
      </c>
      <c r="W757" s="52" t="str">
        <f>IFERROR(__xludf.DUMMYFUNCTION("""COMPUTED_VALUE"""),"")</f>
        <v/>
      </c>
      <c r="X757" s="52" t="str">
        <f>IFERROR(__xludf.DUMMYFUNCTION("""COMPUTED_VALUE"""),"")</f>
        <v/>
      </c>
      <c r="Y757" s="52" t="str">
        <f>IFERROR(__xludf.DUMMYFUNCTION("""COMPUTED_VALUE"""),"")</f>
        <v/>
      </c>
      <c r="Z757" s="52" t="str">
        <f>IFERROR(__xludf.DUMMYFUNCTION("""COMPUTED_VALUE"""),"")</f>
        <v/>
      </c>
      <c r="AA757" s="52" t="str">
        <f>IFERROR(__xludf.DUMMYFUNCTION("""COMPUTED_VALUE"""),"")</f>
        <v/>
      </c>
      <c r="AB757" s="52" t="str">
        <f>IFERROR(__xludf.DUMMYFUNCTION("""COMPUTED_VALUE"""),"")</f>
        <v/>
      </c>
      <c r="AC757" s="52" t="str">
        <f>IFERROR(__xludf.DUMMYFUNCTION("""COMPUTED_VALUE"""),"")</f>
        <v/>
      </c>
      <c r="AD757" s="52" t="str">
        <f>IFERROR(__xludf.DUMMYFUNCTION("""COMPUTED_VALUE"""),"")</f>
        <v/>
      </c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</row>
    <row r="758">
      <c r="B758" s="49"/>
      <c r="C758" s="49" t="str">
        <f t="shared" si="2"/>
        <v/>
      </c>
      <c r="D758" s="50" t="str">
        <f t="shared" si="3"/>
        <v/>
      </c>
      <c r="E758" s="51" t="str">
        <f t="shared" ref="E758:T758" si="759">IFERROR(VLOOKUP($A758,INDIRECT("'" &amp; E$1 &amp; "'!$C:$G"), 5, FALSE),"")</f>
        <v/>
      </c>
      <c r="F758" s="51" t="str">
        <f t="shared" si="759"/>
        <v/>
      </c>
      <c r="G758" s="51" t="str">
        <f t="shared" si="759"/>
        <v/>
      </c>
      <c r="H758" s="51" t="str">
        <f t="shared" si="759"/>
        <v/>
      </c>
      <c r="I758" s="51" t="str">
        <f t="shared" si="759"/>
        <v/>
      </c>
      <c r="J758" s="51" t="str">
        <f t="shared" si="759"/>
        <v/>
      </c>
      <c r="K758" s="51" t="str">
        <f t="shared" si="759"/>
        <v/>
      </c>
      <c r="L758" s="51" t="str">
        <f t="shared" si="759"/>
        <v/>
      </c>
      <c r="M758" s="51" t="str">
        <f t="shared" si="759"/>
        <v/>
      </c>
      <c r="N758" s="51" t="str">
        <f t="shared" si="759"/>
        <v/>
      </c>
      <c r="O758" s="51" t="str">
        <f t="shared" si="759"/>
        <v/>
      </c>
      <c r="P758" s="51" t="str">
        <f t="shared" si="759"/>
        <v/>
      </c>
      <c r="Q758" s="51" t="str">
        <f t="shared" si="759"/>
        <v/>
      </c>
      <c r="R758" s="51" t="str">
        <f t="shared" si="759"/>
        <v/>
      </c>
      <c r="S758" s="51" t="str">
        <f t="shared" si="759"/>
        <v/>
      </c>
      <c r="T758" s="51" t="str">
        <f t="shared" si="759"/>
        <v/>
      </c>
      <c r="U758" s="52"/>
      <c r="V758" s="52" t="str">
        <f>IFERROR(__xludf.DUMMYFUNCTION("""COMPUTED_VALUE"""),"")</f>
        <v/>
      </c>
      <c r="W758" s="52" t="str">
        <f>IFERROR(__xludf.DUMMYFUNCTION("""COMPUTED_VALUE"""),"")</f>
        <v/>
      </c>
      <c r="X758" s="52" t="str">
        <f>IFERROR(__xludf.DUMMYFUNCTION("""COMPUTED_VALUE"""),"")</f>
        <v/>
      </c>
      <c r="Y758" s="52" t="str">
        <f>IFERROR(__xludf.DUMMYFUNCTION("""COMPUTED_VALUE"""),"")</f>
        <v/>
      </c>
      <c r="Z758" s="52" t="str">
        <f>IFERROR(__xludf.DUMMYFUNCTION("""COMPUTED_VALUE"""),"")</f>
        <v/>
      </c>
      <c r="AA758" s="52" t="str">
        <f>IFERROR(__xludf.DUMMYFUNCTION("""COMPUTED_VALUE"""),"")</f>
        <v/>
      </c>
      <c r="AB758" s="52" t="str">
        <f>IFERROR(__xludf.DUMMYFUNCTION("""COMPUTED_VALUE"""),"")</f>
        <v/>
      </c>
      <c r="AC758" s="52" t="str">
        <f>IFERROR(__xludf.DUMMYFUNCTION("""COMPUTED_VALUE"""),"")</f>
        <v/>
      </c>
      <c r="AD758" s="52" t="str">
        <f>IFERROR(__xludf.DUMMYFUNCTION("""COMPUTED_VALUE"""),"")</f>
        <v/>
      </c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</row>
    <row r="759">
      <c r="B759" s="49"/>
      <c r="C759" s="49" t="str">
        <f t="shared" si="2"/>
        <v/>
      </c>
      <c r="D759" s="50" t="str">
        <f t="shared" si="3"/>
        <v/>
      </c>
      <c r="E759" s="51" t="str">
        <f t="shared" ref="E759:T759" si="760">IFERROR(VLOOKUP($A759,INDIRECT("'" &amp; E$1 &amp; "'!$C:$G"), 5, FALSE),"")</f>
        <v/>
      </c>
      <c r="F759" s="51" t="str">
        <f t="shared" si="760"/>
        <v/>
      </c>
      <c r="G759" s="51" t="str">
        <f t="shared" si="760"/>
        <v/>
      </c>
      <c r="H759" s="51" t="str">
        <f t="shared" si="760"/>
        <v/>
      </c>
      <c r="I759" s="51" t="str">
        <f t="shared" si="760"/>
        <v/>
      </c>
      <c r="J759" s="51" t="str">
        <f t="shared" si="760"/>
        <v/>
      </c>
      <c r="K759" s="51" t="str">
        <f t="shared" si="760"/>
        <v/>
      </c>
      <c r="L759" s="51" t="str">
        <f t="shared" si="760"/>
        <v/>
      </c>
      <c r="M759" s="51" t="str">
        <f t="shared" si="760"/>
        <v/>
      </c>
      <c r="N759" s="51" t="str">
        <f t="shared" si="760"/>
        <v/>
      </c>
      <c r="O759" s="51" t="str">
        <f t="shared" si="760"/>
        <v/>
      </c>
      <c r="P759" s="51" t="str">
        <f t="shared" si="760"/>
        <v/>
      </c>
      <c r="Q759" s="51" t="str">
        <f t="shared" si="760"/>
        <v/>
      </c>
      <c r="R759" s="51" t="str">
        <f t="shared" si="760"/>
        <v/>
      </c>
      <c r="S759" s="51" t="str">
        <f t="shared" si="760"/>
        <v/>
      </c>
      <c r="T759" s="51" t="str">
        <f t="shared" si="760"/>
        <v/>
      </c>
      <c r="U759" s="52"/>
      <c r="V759" s="52" t="str">
        <f>IFERROR(__xludf.DUMMYFUNCTION("""COMPUTED_VALUE"""),"")</f>
        <v/>
      </c>
      <c r="W759" s="52" t="str">
        <f>IFERROR(__xludf.DUMMYFUNCTION("""COMPUTED_VALUE"""),"")</f>
        <v/>
      </c>
      <c r="X759" s="52" t="str">
        <f>IFERROR(__xludf.DUMMYFUNCTION("""COMPUTED_VALUE"""),"")</f>
        <v/>
      </c>
      <c r="Y759" s="52" t="str">
        <f>IFERROR(__xludf.DUMMYFUNCTION("""COMPUTED_VALUE"""),"")</f>
        <v/>
      </c>
      <c r="Z759" s="52" t="str">
        <f>IFERROR(__xludf.DUMMYFUNCTION("""COMPUTED_VALUE"""),"")</f>
        <v/>
      </c>
      <c r="AA759" s="52" t="str">
        <f>IFERROR(__xludf.DUMMYFUNCTION("""COMPUTED_VALUE"""),"")</f>
        <v/>
      </c>
      <c r="AB759" s="52" t="str">
        <f>IFERROR(__xludf.DUMMYFUNCTION("""COMPUTED_VALUE"""),"")</f>
        <v/>
      </c>
      <c r="AC759" s="52" t="str">
        <f>IFERROR(__xludf.DUMMYFUNCTION("""COMPUTED_VALUE"""),"")</f>
        <v/>
      </c>
      <c r="AD759" s="52" t="str">
        <f>IFERROR(__xludf.DUMMYFUNCTION("""COMPUTED_VALUE"""),"")</f>
        <v/>
      </c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</row>
    <row r="760">
      <c r="B760" s="49"/>
      <c r="C760" s="49" t="str">
        <f t="shared" si="2"/>
        <v/>
      </c>
      <c r="D760" s="50" t="str">
        <f t="shared" si="3"/>
        <v/>
      </c>
      <c r="E760" s="51" t="str">
        <f t="shared" ref="E760:T760" si="761">IFERROR(VLOOKUP($A760,INDIRECT("'" &amp; E$1 &amp; "'!$C:$G"), 5, FALSE),"")</f>
        <v/>
      </c>
      <c r="F760" s="51" t="str">
        <f t="shared" si="761"/>
        <v/>
      </c>
      <c r="G760" s="51" t="str">
        <f t="shared" si="761"/>
        <v/>
      </c>
      <c r="H760" s="51" t="str">
        <f t="shared" si="761"/>
        <v/>
      </c>
      <c r="I760" s="51" t="str">
        <f t="shared" si="761"/>
        <v/>
      </c>
      <c r="J760" s="51" t="str">
        <f t="shared" si="761"/>
        <v/>
      </c>
      <c r="K760" s="51" t="str">
        <f t="shared" si="761"/>
        <v/>
      </c>
      <c r="L760" s="51" t="str">
        <f t="shared" si="761"/>
        <v/>
      </c>
      <c r="M760" s="51" t="str">
        <f t="shared" si="761"/>
        <v/>
      </c>
      <c r="N760" s="51" t="str">
        <f t="shared" si="761"/>
        <v/>
      </c>
      <c r="O760" s="51" t="str">
        <f t="shared" si="761"/>
        <v/>
      </c>
      <c r="P760" s="51" t="str">
        <f t="shared" si="761"/>
        <v/>
      </c>
      <c r="Q760" s="51" t="str">
        <f t="shared" si="761"/>
        <v/>
      </c>
      <c r="R760" s="51" t="str">
        <f t="shared" si="761"/>
        <v/>
      </c>
      <c r="S760" s="51" t="str">
        <f t="shared" si="761"/>
        <v/>
      </c>
      <c r="T760" s="51" t="str">
        <f t="shared" si="761"/>
        <v/>
      </c>
      <c r="U760" s="52"/>
      <c r="V760" s="52" t="str">
        <f>IFERROR(__xludf.DUMMYFUNCTION("""COMPUTED_VALUE"""),"")</f>
        <v/>
      </c>
      <c r="W760" s="52" t="str">
        <f>IFERROR(__xludf.DUMMYFUNCTION("""COMPUTED_VALUE"""),"")</f>
        <v/>
      </c>
      <c r="X760" s="52" t="str">
        <f>IFERROR(__xludf.DUMMYFUNCTION("""COMPUTED_VALUE"""),"")</f>
        <v/>
      </c>
      <c r="Y760" s="52" t="str">
        <f>IFERROR(__xludf.DUMMYFUNCTION("""COMPUTED_VALUE"""),"")</f>
        <v/>
      </c>
      <c r="Z760" s="52" t="str">
        <f>IFERROR(__xludf.DUMMYFUNCTION("""COMPUTED_VALUE"""),"")</f>
        <v/>
      </c>
      <c r="AA760" s="52" t="str">
        <f>IFERROR(__xludf.DUMMYFUNCTION("""COMPUTED_VALUE"""),"")</f>
        <v/>
      </c>
      <c r="AB760" s="52" t="str">
        <f>IFERROR(__xludf.DUMMYFUNCTION("""COMPUTED_VALUE"""),"")</f>
        <v/>
      </c>
      <c r="AC760" s="52" t="str">
        <f>IFERROR(__xludf.DUMMYFUNCTION("""COMPUTED_VALUE"""),"")</f>
        <v/>
      </c>
      <c r="AD760" s="52" t="str">
        <f>IFERROR(__xludf.DUMMYFUNCTION("""COMPUTED_VALUE"""),"")</f>
        <v/>
      </c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</row>
    <row r="761">
      <c r="B761" s="49"/>
      <c r="C761" s="49" t="str">
        <f t="shared" si="2"/>
        <v/>
      </c>
      <c r="D761" s="50" t="str">
        <f t="shared" si="3"/>
        <v/>
      </c>
      <c r="E761" s="51" t="str">
        <f t="shared" ref="E761:T761" si="762">IFERROR(VLOOKUP($A761,INDIRECT("'" &amp; E$1 &amp; "'!$C:$G"), 5, FALSE),"")</f>
        <v/>
      </c>
      <c r="F761" s="51" t="str">
        <f t="shared" si="762"/>
        <v/>
      </c>
      <c r="G761" s="51" t="str">
        <f t="shared" si="762"/>
        <v/>
      </c>
      <c r="H761" s="51" t="str">
        <f t="shared" si="762"/>
        <v/>
      </c>
      <c r="I761" s="51" t="str">
        <f t="shared" si="762"/>
        <v/>
      </c>
      <c r="J761" s="51" t="str">
        <f t="shared" si="762"/>
        <v/>
      </c>
      <c r="K761" s="51" t="str">
        <f t="shared" si="762"/>
        <v/>
      </c>
      <c r="L761" s="51" t="str">
        <f t="shared" si="762"/>
        <v/>
      </c>
      <c r="M761" s="51" t="str">
        <f t="shared" si="762"/>
        <v/>
      </c>
      <c r="N761" s="51" t="str">
        <f t="shared" si="762"/>
        <v/>
      </c>
      <c r="O761" s="51" t="str">
        <f t="shared" si="762"/>
        <v/>
      </c>
      <c r="P761" s="51" t="str">
        <f t="shared" si="762"/>
        <v/>
      </c>
      <c r="Q761" s="51" t="str">
        <f t="shared" si="762"/>
        <v/>
      </c>
      <c r="R761" s="51" t="str">
        <f t="shared" si="762"/>
        <v/>
      </c>
      <c r="S761" s="51" t="str">
        <f t="shared" si="762"/>
        <v/>
      </c>
      <c r="T761" s="51" t="str">
        <f t="shared" si="762"/>
        <v/>
      </c>
      <c r="U761" s="52"/>
      <c r="V761" s="52" t="str">
        <f>IFERROR(__xludf.DUMMYFUNCTION("""COMPUTED_VALUE"""),"")</f>
        <v/>
      </c>
      <c r="W761" s="52" t="str">
        <f>IFERROR(__xludf.DUMMYFUNCTION("""COMPUTED_VALUE"""),"")</f>
        <v/>
      </c>
      <c r="X761" s="52" t="str">
        <f>IFERROR(__xludf.DUMMYFUNCTION("""COMPUTED_VALUE"""),"")</f>
        <v/>
      </c>
      <c r="Y761" s="52" t="str">
        <f>IFERROR(__xludf.DUMMYFUNCTION("""COMPUTED_VALUE"""),"")</f>
        <v/>
      </c>
      <c r="Z761" s="52" t="str">
        <f>IFERROR(__xludf.DUMMYFUNCTION("""COMPUTED_VALUE"""),"")</f>
        <v/>
      </c>
      <c r="AA761" s="52" t="str">
        <f>IFERROR(__xludf.DUMMYFUNCTION("""COMPUTED_VALUE"""),"")</f>
        <v/>
      </c>
      <c r="AB761" s="52" t="str">
        <f>IFERROR(__xludf.DUMMYFUNCTION("""COMPUTED_VALUE"""),"")</f>
        <v/>
      </c>
      <c r="AC761" s="52" t="str">
        <f>IFERROR(__xludf.DUMMYFUNCTION("""COMPUTED_VALUE"""),"")</f>
        <v/>
      </c>
      <c r="AD761" s="52" t="str">
        <f>IFERROR(__xludf.DUMMYFUNCTION("""COMPUTED_VALUE"""),"")</f>
        <v/>
      </c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</row>
    <row r="762">
      <c r="B762" s="49"/>
      <c r="C762" s="49" t="str">
        <f t="shared" si="2"/>
        <v/>
      </c>
      <c r="D762" s="50" t="str">
        <f t="shared" si="3"/>
        <v/>
      </c>
      <c r="E762" s="51" t="str">
        <f t="shared" ref="E762:T762" si="763">IFERROR(VLOOKUP($A762,INDIRECT("'" &amp; E$1 &amp; "'!$C:$G"), 5, FALSE),"")</f>
        <v/>
      </c>
      <c r="F762" s="51" t="str">
        <f t="shared" si="763"/>
        <v/>
      </c>
      <c r="G762" s="51" t="str">
        <f t="shared" si="763"/>
        <v/>
      </c>
      <c r="H762" s="51" t="str">
        <f t="shared" si="763"/>
        <v/>
      </c>
      <c r="I762" s="51" t="str">
        <f t="shared" si="763"/>
        <v/>
      </c>
      <c r="J762" s="51" t="str">
        <f t="shared" si="763"/>
        <v/>
      </c>
      <c r="K762" s="51" t="str">
        <f t="shared" si="763"/>
        <v/>
      </c>
      <c r="L762" s="51" t="str">
        <f t="shared" si="763"/>
        <v/>
      </c>
      <c r="M762" s="51" t="str">
        <f t="shared" si="763"/>
        <v/>
      </c>
      <c r="N762" s="51" t="str">
        <f t="shared" si="763"/>
        <v/>
      </c>
      <c r="O762" s="51" t="str">
        <f t="shared" si="763"/>
        <v/>
      </c>
      <c r="P762" s="51" t="str">
        <f t="shared" si="763"/>
        <v/>
      </c>
      <c r="Q762" s="51" t="str">
        <f t="shared" si="763"/>
        <v/>
      </c>
      <c r="R762" s="51" t="str">
        <f t="shared" si="763"/>
        <v/>
      </c>
      <c r="S762" s="51" t="str">
        <f t="shared" si="763"/>
        <v/>
      </c>
      <c r="T762" s="51" t="str">
        <f t="shared" si="763"/>
        <v/>
      </c>
      <c r="U762" s="52"/>
      <c r="V762" s="52" t="str">
        <f>IFERROR(__xludf.DUMMYFUNCTION("""COMPUTED_VALUE"""),"")</f>
        <v/>
      </c>
      <c r="W762" s="52" t="str">
        <f>IFERROR(__xludf.DUMMYFUNCTION("""COMPUTED_VALUE"""),"")</f>
        <v/>
      </c>
      <c r="X762" s="52" t="str">
        <f>IFERROR(__xludf.DUMMYFUNCTION("""COMPUTED_VALUE"""),"")</f>
        <v/>
      </c>
      <c r="Y762" s="52" t="str">
        <f>IFERROR(__xludf.DUMMYFUNCTION("""COMPUTED_VALUE"""),"")</f>
        <v/>
      </c>
      <c r="Z762" s="52" t="str">
        <f>IFERROR(__xludf.DUMMYFUNCTION("""COMPUTED_VALUE"""),"")</f>
        <v/>
      </c>
      <c r="AA762" s="52" t="str">
        <f>IFERROR(__xludf.DUMMYFUNCTION("""COMPUTED_VALUE"""),"")</f>
        <v/>
      </c>
      <c r="AB762" s="52" t="str">
        <f>IFERROR(__xludf.DUMMYFUNCTION("""COMPUTED_VALUE"""),"")</f>
        <v/>
      </c>
      <c r="AC762" s="52" t="str">
        <f>IFERROR(__xludf.DUMMYFUNCTION("""COMPUTED_VALUE"""),"")</f>
        <v/>
      </c>
      <c r="AD762" s="52" t="str">
        <f>IFERROR(__xludf.DUMMYFUNCTION("""COMPUTED_VALUE"""),"")</f>
        <v/>
      </c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</row>
    <row r="763">
      <c r="B763" s="49"/>
      <c r="C763" s="49" t="str">
        <f t="shared" si="2"/>
        <v/>
      </c>
      <c r="D763" s="50" t="str">
        <f t="shared" si="3"/>
        <v/>
      </c>
      <c r="E763" s="51" t="str">
        <f t="shared" ref="E763:T763" si="764">IFERROR(VLOOKUP($A763,INDIRECT("'" &amp; E$1 &amp; "'!$C:$G"), 5, FALSE),"")</f>
        <v/>
      </c>
      <c r="F763" s="51" t="str">
        <f t="shared" si="764"/>
        <v/>
      </c>
      <c r="G763" s="51" t="str">
        <f t="shared" si="764"/>
        <v/>
      </c>
      <c r="H763" s="51" t="str">
        <f t="shared" si="764"/>
        <v/>
      </c>
      <c r="I763" s="51" t="str">
        <f t="shared" si="764"/>
        <v/>
      </c>
      <c r="J763" s="51" t="str">
        <f t="shared" si="764"/>
        <v/>
      </c>
      <c r="K763" s="51" t="str">
        <f t="shared" si="764"/>
        <v/>
      </c>
      <c r="L763" s="51" t="str">
        <f t="shared" si="764"/>
        <v/>
      </c>
      <c r="M763" s="51" t="str">
        <f t="shared" si="764"/>
        <v/>
      </c>
      <c r="N763" s="51" t="str">
        <f t="shared" si="764"/>
        <v/>
      </c>
      <c r="O763" s="51" t="str">
        <f t="shared" si="764"/>
        <v/>
      </c>
      <c r="P763" s="51" t="str">
        <f t="shared" si="764"/>
        <v/>
      </c>
      <c r="Q763" s="51" t="str">
        <f t="shared" si="764"/>
        <v/>
      </c>
      <c r="R763" s="51" t="str">
        <f t="shared" si="764"/>
        <v/>
      </c>
      <c r="S763" s="51" t="str">
        <f t="shared" si="764"/>
        <v/>
      </c>
      <c r="T763" s="51" t="str">
        <f t="shared" si="764"/>
        <v/>
      </c>
      <c r="U763" s="52"/>
      <c r="V763" s="52" t="str">
        <f>IFERROR(__xludf.DUMMYFUNCTION("""COMPUTED_VALUE"""),"")</f>
        <v/>
      </c>
      <c r="W763" s="52" t="str">
        <f>IFERROR(__xludf.DUMMYFUNCTION("""COMPUTED_VALUE"""),"")</f>
        <v/>
      </c>
      <c r="X763" s="52" t="str">
        <f>IFERROR(__xludf.DUMMYFUNCTION("""COMPUTED_VALUE"""),"")</f>
        <v/>
      </c>
      <c r="Y763" s="52" t="str">
        <f>IFERROR(__xludf.DUMMYFUNCTION("""COMPUTED_VALUE"""),"")</f>
        <v/>
      </c>
      <c r="Z763" s="52" t="str">
        <f>IFERROR(__xludf.DUMMYFUNCTION("""COMPUTED_VALUE"""),"")</f>
        <v/>
      </c>
      <c r="AA763" s="52" t="str">
        <f>IFERROR(__xludf.DUMMYFUNCTION("""COMPUTED_VALUE"""),"")</f>
        <v/>
      </c>
      <c r="AB763" s="52" t="str">
        <f>IFERROR(__xludf.DUMMYFUNCTION("""COMPUTED_VALUE"""),"")</f>
        <v/>
      </c>
      <c r="AC763" s="52" t="str">
        <f>IFERROR(__xludf.DUMMYFUNCTION("""COMPUTED_VALUE"""),"")</f>
        <v/>
      </c>
      <c r="AD763" s="52" t="str">
        <f>IFERROR(__xludf.DUMMYFUNCTION("""COMPUTED_VALUE"""),"")</f>
        <v/>
      </c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</row>
    <row r="764">
      <c r="B764" s="49"/>
      <c r="C764" s="49" t="str">
        <f t="shared" si="2"/>
        <v/>
      </c>
      <c r="D764" s="50" t="str">
        <f t="shared" si="3"/>
        <v/>
      </c>
      <c r="E764" s="51" t="str">
        <f t="shared" ref="E764:T764" si="765">IFERROR(VLOOKUP($A764,INDIRECT("'" &amp; E$1 &amp; "'!$C:$G"), 5, FALSE),"")</f>
        <v/>
      </c>
      <c r="F764" s="51" t="str">
        <f t="shared" si="765"/>
        <v/>
      </c>
      <c r="G764" s="51" t="str">
        <f t="shared" si="765"/>
        <v/>
      </c>
      <c r="H764" s="51" t="str">
        <f t="shared" si="765"/>
        <v/>
      </c>
      <c r="I764" s="51" t="str">
        <f t="shared" si="765"/>
        <v/>
      </c>
      <c r="J764" s="51" t="str">
        <f t="shared" si="765"/>
        <v/>
      </c>
      <c r="K764" s="51" t="str">
        <f t="shared" si="765"/>
        <v/>
      </c>
      <c r="L764" s="51" t="str">
        <f t="shared" si="765"/>
        <v/>
      </c>
      <c r="M764" s="51" t="str">
        <f t="shared" si="765"/>
        <v/>
      </c>
      <c r="N764" s="51" t="str">
        <f t="shared" si="765"/>
        <v/>
      </c>
      <c r="O764" s="51" t="str">
        <f t="shared" si="765"/>
        <v/>
      </c>
      <c r="P764" s="51" t="str">
        <f t="shared" si="765"/>
        <v/>
      </c>
      <c r="Q764" s="51" t="str">
        <f t="shared" si="765"/>
        <v/>
      </c>
      <c r="R764" s="51" t="str">
        <f t="shared" si="765"/>
        <v/>
      </c>
      <c r="S764" s="51" t="str">
        <f t="shared" si="765"/>
        <v/>
      </c>
      <c r="T764" s="51" t="str">
        <f t="shared" si="765"/>
        <v/>
      </c>
      <c r="U764" s="52"/>
      <c r="V764" s="52" t="str">
        <f>IFERROR(__xludf.DUMMYFUNCTION("""COMPUTED_VALUE"""),"")</f>
        <v/>
      </c>
      <c r="W764" s="52" t="str">
        <f>IFERROR(__xludf.DUMMYFUNCTION("""COMPUTED_VALUE"""),"")</f>
        <v/>
      </c>
      <c r="X764" s="52" t="str">
        <f>IFERROR(__xludf.DUMMYFUNCTION("""COMPUTED_VALUE"""),"")</f>
        <v/>
      </c>
      <c r="Y764" s="52" t="str">
        <f>IFERROR(__xludf.DUMMYFUNCTION("""COMPUTED_VALUE"""),"")</f>
        <v/>
      </c>
      <c r="Z764" s="52" t="str">
        <f>IFERROR(__xludf.DUMMYFUNCTION("""COMPUTED_VALUE"""),"")</f>
        <v/>
      </c>
      <c r="AA764" s="52" t="str">
        <f>IFERROR(__xludf.DUMMYFUNCTION("""COMPUTED_VALUE"""),"")</f>
        <v/>
      </c>
      <c r="AB764" s="52" t="str">
        <f>IFERROR(__xludf.DUMMYFUNCTION("""COMPUTED_VALUE"""),"")</f>
        <v/>
      </c>
      <c r="AC764" s="52" t="str">
        <f>IFERROR(__xludf.DUMMYFUNCTION("""COMPUTED_VALUE"""),"")</f>
        <v/>
      </c>
      <c r="AD764" s="52" t="str">
        <f>IFERROR(__xludf.DUMMYFUNCTION("""COMPUTED_VALUE"""),"")</f>
        <v/>
      </c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</row>
    <row r="765">
      <c r="B765" s="49"/>
      <c r="C765" s="49" t="str">
        <f t="shared" si="2"/>
        <v/>
      </c>
      <c r="D765" s="50" t="str">
        <f t="shared" si="3"/>
        <v/>
      </c>
      <c r="E765" s="51" t="str">
        <f t="shared" ref="E765:T765" si="766">IFERROR(VLOOKUP($A765,INDIRECT("'" &amp; E$1 &amp; "'!$C:$G"), 5, FALSE),"")</f>
        <v/>
      </c>
      <c r="F765" s="51" t="str">
        <f t="shared" si="766"/>
        <v/>
      </c>
      <c r="G765" s="51" t="str">
        <f t="shared" si="766"/>
        <v/>
      </c>
      <c r="H765" s="51" t="str">
        <f t="shared" si="766"/>
        <v/>
      </c>
      <c r="I765" s="51" t="str">
        <f t="shared" si="766"/>
        <v/>
      </c>
      <c r="J765" s="51" t="str">
        <f t="shared" si="766"/>
        <v/>
      </c>
      <c r="K765" s="51" t="str">
        <f t="shared" si="766"/>
        <v/>
      </c>
      <c r="L765" s="51" t="str">
        <f t="shared" si="766"/>
        <v/>
      </c>
      <c r="M765" s="51" t="str">
        <f t="shared" si="766"/>
        <v/>
      </c>
      <c r="N765" s="51" t="str">
        <f t="shared" si="766"/>
        <v/>
      </c>
      <c r="O765" s="51" t="str">
        <f t="shared" si="766"/>
        <v/>
      </c>
      <c r="P765" s="51" t="str">
        <f t="shared" si="766"/>
        <v/>
      </c>
      <c r="Q765" s="51" t="str">
        <f t="shared" si="766"/>
        <v/>
      </c>
      <c r="R765" s="51" t="str">
        <f t="shared" si="766"/>
        <v/>
      </c>
      <c r="S765" s="51" t="str">
        <f t="shared" si="766"/>
        <v/>
      </c>
      <c r="T765" s="51" t="str">
        <f t="shared" si="766"/>
        <v/>
      </c>
      <c r="U765" s="52"/>
      <c r="V765" s="52" t="str">
        <f>IFERROR(__xludf.DUMMYFUNCTION("""COMPUTED_VALUE"""),"")</f>
        <v/>
      </c>
      <c r="W765" s="52" t="str">
        <f>IFERROR(__xludf.DUMMYFUNCTION("""COMPUTED_VALUE"""),"")</f>
        <v/>
      </c>
      <c r="X765" s="52" t="str">
        <f>IFERROR(__xludf.DUMMYFUNCTION("""COMPUTED_VALUE"""),"")</f>
        <v/>
      </c>
      <c r="Y765" s="52" t="str">
        <f>IFERROR(__xludf.DUMMYFUNCTION("""COMPUTED_VALUE"""),"")</f>
        <v/>
      </c>
      <c r="Z765" s="52" t="str">
        <f>IFERROR(__xludf.DUMMYFUNCTION("""COMPUTED_VALUE"""),"")</f>
        <v/>
      </c>
      <c r="AA765" s="52" t="str">
        <f>IFERROR(__xludf.DUMMYFUNCTION("""COMPUTED_VALUE"""),"")</f>
        <v/>
      </c>
      <c r="AB765" s="52" t="str">
        <f>IFERROR(__xludf.DUMMYFUNCTION("""COMPUTED_VALUE"""),"")</f>
        <v/>
      </c>
      <c r="AC765" s="52" t="str">
        <f>IFERROR(__xludf.DUMMYFUNCTION("""COMPUTED_VALUE"""),"")</f>
        <v/>
      </c>
      <c r="AD765" s="52" t="str">
        <f>IFERROR(__xludf.DUMMYFUNCTION("""COMPUTED_VALUE"""),"")</f>
        <v/>
      </c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</row>
    <row r="766">
      <c r="B766" s="49"/>
      <c r="C766" s="49" t="str">
        <f t="shared" si="2"/>
        <v/>
      </c>
      <c r="D766" s="50" t="str">
        <f t="shared" si="3"/>
        <v/>
      </c>
      <c r="E766" s="51" t="str">
        <f t="shared" ref="E766:T766" si="767">IFERROR(VLOOKUP($A766,INDIRECT("'" &amp; E$1 &amp; "'!$C:$G"), 5, FALSE),"")</f>
        <v/>
      </c>
      <c r="F766" s="51" t="str">
        <f t="shared" si="767"/>
        <v/>
      </c>
      <c r="G766" s="51" t="str">
        <f t="shared" si="767"/>
        <v/>
      </c>
      <c r="H766" s="51" t="str">
        <f t="shared" si="767"/>
        <v/>
      </c>
      <c r="I766" s="51" t="str">
        <f t="shared" si="767"/>
        <v/>
      </c>
      <c r="J766" s="51" t="str">
        <f t="shared" si="767"/>
        <v/>
      </c>
      <c r="K766" s="51" t="str">
        <f t="shared" si="767"/>
        <v/>
      </c>
      <c r="L766" s="51" t="str">
        <f t="shared" si="767"/>
        <v/>
      </c>
      <c r="M766" s="51" t="str">
        <f t="shared" si="767"/>
        <v/>
      </c>
      <c r="N766" s="51" t="str">
        <f t="shared" si="767"/>
        <v/>
      </c>
      <c r="O766" s="51" t="str">
        <f t="shared" si="767"/>
        <v/>
      </c>
      <c r="P766" s="51" t="str">
        <f t="shared" si="767"/>
        <v/>
      </c>
      <c r="Q766" s="51" t="str">
        <f t="shared" si="767"/>
        <v/>
      </c>
      <c r="R766" s="51" t="str">
        <f t="shared" si="767"/>
        <v/>
      </c>
      <c r="S766" s="51" t="str">
        <f t="shared" si="767"/>
        <v/>
      </c>
      <c r="T766" s="51" t="str">
        <f t="shared" si="767"/>
        <v/>
      </c>
      <c r="U766" s="52"/>
      <c r="V766" s="52" t="str">
        <f>IFERROR(__xludf.DUMMYFUNCTION("""COMPUTED_VALUE"""),"")</f>
        <v/>
      </c>
      <c r="W766" s="52" t="str">
        <f>IFERROR(__xludf.DUMMYFUNCTION("""COMPUTED_VALUE"""),"")</f>
        <v/>
      </c>
      <c r="X766" s="52" t="str">
        <f>IFERROR(__xludf.DUMMYFUNCTION("""COMPUTED_VALUE"""),"")</f>
        <v/>
      </c>
      <c r="Y766" s="52" t="str">
        <f>IFERROR(__xludf.DUMMYFUNCTION("""COMPUTED_VALUE"""),"")</f>
        <v/>
      </c>
      <c r="Z766" s="52" t="str">
        <f>IFERROR(__xludf.DUMMYFUNCTION("""COMPUTED_VALUE"""),"")</f>
        <v/>
      </c>
      <c r="AA766" s="52" t="str">
        <f>IFERROR(__xludf.DUMMYFUNCTION("""COMPUTED_VALUE"""),"")</f>
        <v/>
      </c>
      <c r="AB766" s="52" t="str">
        <f>IFERROR(__xludf.DUMMYFUNCTION("""COMPUTED_VALUE"""),"")</f>
        <v/>
      </c>
      <c r="AC766" s="52" t="str">
        <f>IFERROR(__xludf.DUMMYFUNCTION("""COMPUTED_VALUE"""),"")</f>
        <v/>
      </c>
      <c r="AD766" s="52" t="str">
        <f>IFERROR(__xludf.DUMMYFUNCTION("""COMPUTED_VALUE"""),"")</f>
        <v/>
      </c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</row>
    <row r="767">
      <c r="B767" s="49"/>
      <c r="C767" s="49" t="str">
        <f t="shared" si="2"/>
        <v/>
      </c>
      <c r="D767" s="50" t="str">
        <f t="shared" si="3"/>
        <v/>
      </c>
      <c r="E767" s="51" t="str">
        <f t="shared" ref="E767:T767" si="768">IFERROR(VLOOKUP($A767,INDIRECT("'" &amp; E$1 &amp; "'!$C:$G"), 5, FALSE),"")</f>
        <v/>
      </c>
      <c r="F767" s="51" t="str">
        <f t="shared" si="768"/>
        <v/>
      </c>
      <c r="G767" s="51" t="str">
        <f t="shared" si="768"/>
        <v/>
      </c>
      <c r="H767" s="51" t="str">
        <f t="shared" si="768"/>
        <v/>
      </c>
      <c r="I767" s="51" t="str">
        <f t="shared" si="768"/>
        <v/>
      </c>
      <c r="J767" s="51" t="str">
        <f t="shared" si="768"/>
        <v/>
      </c>
      <c r="K767" s="51" t="str">
        <f t="shared" si="768"/>
        <v/>
      </c>
      <c r="L767" s="51" t="str">
        <f t="shared" si="768"/>
        <v/>
      </c>
      <c r="M767" s="51" t="str">
        <f t="shared" si="768"/>
        <v/>
      </c>
      <c r="N767" s="51" t="str">
        <f t="shared" si="768"/>
        <v/>
      </c>
      <c r="O767" s="51" t="str">
        <f t="shared" si="768"/>
        <v/>
      </c>
      <c r="P767" s="51" t="str">
        <f t="shared" si="768"/>
        <v/>
      </c>
      <c r="Q767" s="51" t="str">
        <f t="shared" si="768"/>
        <v/>
      </c>
      <c r="R767" s="51" t="str">
        <f t="shared" si="768"/>
        <v/>
      </c>
      <c r="S767" s="51" t="str">
        <f t="shared" si="768"/>
        <v/>
      </c>
      <c r="T767" s="51" t="str">
        <f t="shared" si="768"/>
        <v/>
      </c>
      <c r="U767" s="52"/>
      <c r="V767" s="52" t="str">
        <f>IFERROR(__xludf.DUMMYFUNCTION("""COMPUTED_VALUE"""),"")</f>
        <v/>
      </c>
      <c r="W767" s="52" t="str">
        <f>IFERROR(__xludf.DUMMYFUNCTION("""COMPUTED_VALUE"""),"")</f>
        <v/>
      </c>
      <c r="X767" s="52" t="str">
        <f>IFERROR(__xludf.DUMMYFUNCTION("""COMPUTED_VALUE"""),"")</f>
        <v/>
      </c>
      <c r="Y767" s="52" t="str">
        <f>IFERROR(__xludf.DUMMYFUNCTION("""COMPUTED_VALUE"""),"")</f>
        <v/>
      </c>
      <c r="Z767" s="52" t="str">
        <f>IFERROR(__xludf.DUMMYFUNCTION("""COMPUTED_VALUE"""),"")</f>
        <v/>
      </c>
      <c r="AA767" s="52" t="str">
        <f>IFERROR(__xludf.DUMMYFUNCTION("""COMPUTED_VALUE"""),"")</f>
        <v/>
      </c>
      <c r="AB767" s="52" t="str">
        <f>IFERROR(__xludf.DUMMYFUNCTION("""COMPUTED_VALUE"""),"")</f>
        <v/>
      </c>
      <c r="AC767" s="52" t="str">
        <f>IFERROR(__xludf.DUMMYFUNCTION("""COMPUTED_VALUE"""),"")</f>
        <v/>
      </c>
      <c r="AD767" s="52" t="str">
        <f>IFERROR(__xludf.DUMMYFUNCTION("""COMPUTED_VALUE"""),"")</f>
        <v/>
      </c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</row>
    <row r="768">
      <c r="B768" s="49"/>
      <c r="C768" s="49" t="str">
        <f t="shared" si="2"/>
        <v/>
      </c>
      <c r="D768" s="50" t="str">
        <f t="shared" si="3"/>
        <v/>
      </c>
      <c r="E768" s="51" t="str">
        <f t="shared" ref="E768:T768" si="769">IFERROR(VLOOKUP($A768,INDIRECT("'" &amp; E$1 &amp; "'!$C:$G"), 5, FALSE),"")</f>
        <v/>
      </c>
      <c r="F768" s="51" t="str">
        <f t="shared" si="769"/>
        <v/>
      </c>
      <c r="G768" s="51" t="str">
        <f t="shared" si="769"/>
        <v/>
      </c>
      <c r="H768" s="51" t="str">
        <f t="shared" si="769"/>
        <v/>
      </c>
      <c r="I768" s="51" t="str">
        <f t="shared" si="769"/>
        <v/>
      </c>
      <c r="J768" s="51" t="str">
        <f t="shared" si="769"/>
        <v/>
      </c>
      <c r="K768" s="51" t="str">
        <f t="shared" si="769"/>
        <v/>
      </c>
      <c r="L768" s="51" t="str">
        <f t="shared" si="769"/>
        <v/>
      </c>
      <c r="M768" s="51" t="str">
        <f t="shared" si="769"/>
        <v/>
      </c>
      <c r="N768" s="51" t="str">
        <f t="shared" si="769"/>
        <v/>
      </c>
      <c r="O768" s="51" t="str">
        <f t="shared" si="769"/>
        <v/>
      </c>
      <c r="P768" s="51" t="str">
        <f t="shared" si="769"/>
        <v/>
      </c>
      <c r="Q768" s="51" t="str">
        <f t="shared" si="769"/>
        <v/>
      </c>
      <c r="R768" s="51" t="str">
        <f t="shared" si="769"/>
        <v/>
      </c>
      <c r="S768" s="51" t="str">
        <f t="shared" si="769"/>
        <v/>
      </c>
      <c r="T768" s="51" t="str">
        <f t="shared" si="769"/>
        <v/>
      </c>
      <c r="U768" s="52"/>
      <c r="V768" s="52" t="str">
        <f>IFERROR(__xludf.DUMMYFUNCTION("""COMPUTED_VALUE"""),"")</f>
        <v/>
      </c>
      <c r="W768" s="52" t="str">
        <f>IFERROR(__xludf.DUMMYFUNCTION("""COMPUTED_VALUE"""),"")</f>
        <v/>
      </c>
      <c r="X768" s="52" t="str">
        <f>IFERROR(__xludf.DUMMYFUNCTION("""COMPUTED_VALUE"""),"")</f>
        <v/>
      </c>
      <c r="Y768" s="52" t="str">
        <f>IFERROR(__xludf.DUMMYFUNCTION("""COMPUTED_VALUE"""),"")</f>
        <v/>
      </c>
      <c r="Z768" s="52" t="str">
        <f>IFERROR(__xludf.DUMMYFUNCTION("""COMPUTED_VALUE"""),"")</f>
        <v/>
      </c>
      <c r="AA768" s="52" t="str">
        <f>IFERROR(__xludf.DUMMYFUNCTION("""COMPUTED_VALUE"""),"")</f>
        <v/>
      </c>
      <c r="AB768" s="52" t="str">
        <f>IFERROR(__xludf.DUMMYFUNCTION("""COMPUTED_VALUE"""),"")</f>
        <v/>
      </c>
      <c r="AC768" s="52" t="str">
        <f>IFERROR(__xludf.DUMMYFUNCTION("""COMPUTED_VALUE"""),"")</f>
        <v/>
      </c>
      <c r="AD768" s="52" t="str">
        <f>IFERROR(__xludf.DUMMYFUNCTION("""COMPUTED_VALUE"""),"")</f>
        <v/>
      </c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</row>
    <row r="769">
      <c r="B769" s="49"/>
      <c r="C769" s="49" t="str">
        <f t="shared" si="2"/>
        <v/>
      </c>
      <c r="D769" s="50" t="str">
        <f t="shared" si="3"/>
        <v/>
      </c>
      <c r="E769" s="51" t="str">
        <f t="shared" ref="E769:T769" si="770">IFERROR(VLOOKUP($A769,INDIRECT("'" &amp; E$1 &amp; "'!$C:$G"), 5, FALSE),"")</f>
        <v/>
      </c>
      <c r="F769" s="51" t="str">
        <f t="shared" si="770"/>
        <v/>
      </c>
      <c r="G769" s="51" t="str">
        <f t="shared" si="770"/>
        <v/>
      </c>
      <c r="H769" s="51" t="str">
        <f t="shared" si="770"/>
        <v/>
      </c>
      <c r="I769" s="51" t="str">
        <f t="shared" si="770"/>
        <v/>
      </c>
      <c r="J769" s="51" t="str">
        <f t="shared" si="770"/>
        <v/>
      </c>
      <c r="K769" s="51" t="str">
        <f t="shared" si="770"/>
        <v/>
      </c>
      <c r="L769" s="51" t="str">
        <f t="shared" si="770"/>
        <v/>
      </c>
      <c r="M769" s="51" t="str">
        <f t="shared" si="770"/>
        <v/>
      </c>
      <c r="N769" s="51" t="str">
        <f t="shared" si="770"/>
        <v/>
      </c>
      <c r="O769" s="51" t="str">
        <f t="shared" si="770"/>
        <v/>
      </c>
      <c r="P769" s="51" t="str">
        <f t="shared" si="770"/>
        <v/>
      </c>
      <c r="Q769" s="51" t="str">
        <f t="shared" si="770"/>
        <v/>
      </c>
      <c r="R769" s="51" t="str">
        <f t="shared" si="770"/>
        <v/>
      </c>
      <c r="S769" s="51" t="str">
        <f t="shared" si="770"/>
        <v/>
      </c>
      <c r="T769" s="51" t="str">
        <f t="shared" si="770"/>
        <v/>
      </c>
      <c r="U769" s="52"/>
      <c r="V769" s="52" t="str">
        <f>IFERROR(__xludf.DUMMYFUNCTION("""COMPUTED_VALUE"""),"")</f>
        <v/>
      </c>
      <c r="W769" s="52" t="str">
        <f>IFERROR(__xludf.DUMMYFUNCTION("""COMPUTED_VALUE"""),"")</f>
        <v/>
      </c>
      <c r="X769" s="52" t="str">
        <f>IFERROR(__xludf.DUMMYFUNCTION("""COMPUTED_VALUE"""),"")</f>
        <v/>
      </c>
      <c r="Y769" s="52" t="str">
        <f>IFERROR(__xludf.DUMMYFUNCTION("""COMPUTED_VALUE"""),"")</f>
        <v/>
      </c>
      <c r="Z769" s="52" t="str">
        <f>IFERROR(__xludf.DUMMYFUNCTION("""COMPUTED_VALUE"""),"")</f>
        <v/>
      </c>
      <c r="AA769" s="52" t="str">
        <f>IFERROR(__xludf.DUMMYFUNCTION("""COMPUTED_VALUE"""),"")</f>
        <v/>
      </c>
      <c r="AB769" s="52" t="str">
        <f>IFERROR(__xludf.DUMMYFUNCTION("""COMPUTED_VALUE"""),"")</f>
        <v/>
      </c>
      <c r="AC769" s="52" t="str">
        <f>IFERROR(__xludf.DUMMYFUNCTION("""COMPUTED_VALUE"""),"")</f>
        <v/>
      </c>
      <c r="AD769" s="52" t="str">
        <f>IFERROR(__xludf.DUMMYFUNCTION("""COMPUTED_VALUE"""),"")</f>
        <v/>
      </c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</row>
    <row r="770">
      <c r="B770" s="49"/>
      <c r="C770" s="49" t="str">
        <f t="shared" si="2"/>
        <v/>
      </c>
      <c r="D770" s="50" t="str">
        <f t="shared" si="3"/>
        <v/>
      </c>
      <c r="E770" s="51" t="str">
        <f t="shared" ref="E770:T770" si="771">IFERROR(VLOOKUP($A770,INDIRECT("'" &amp; E$1 &amp; "'!$C:$G"), 5, FALSE),"")</f>
        <v/>
      </c>
      <c r="F770" s="51" t="str">
        <f t="shared" si="771"/>
        <v/>
      </c>
      <c r="G770" s="51" t="str">
        <f t="shared" si="771"/>
        <v/>
      </c>
      <c r="H770" s="51" t="str">
        <f t="shared" si="771"/>
        <v/>
      </c>
      <c r="I770" s="51" t="str">
        <f t="shared" si="771"/>
        <v/>
      </c>
      <c r="J770" s="51" t="str">
        <f t="shared" si="771"/>
        <v/>
      </c>
      <c r="K770" s="51" t="str">
        <f t="shared" si="771"/>
        <v/>
      </c>
      <c r="L770" s="51" t="str">
        <f t="shared" si="771"/>
        <v/>
      </c>
      <c r="M770" s="51" t="str">
        <f t="shared" si="771"/>
        <v/>
      </c>
      <c r="N770" s="51" t="str">
        <f t="shared" si="771"/>
        <v/>
      </c>
      <c r="O770" s="51" t="str">
        <f t="shared" si="771"/>
        <v/>
      </c>
      <c r="P770" s="51" t="str">
        <f t="shared" si="771"/>
        <v/>
      </c>
      <c r="Q770" s="51" t="str">
        <f t="shared" si="771"/>
        <v/>
      </c>
      <c r="R770" s="51" t="str">
        <f t="shared" si="771"/>
        <v/>
      </c>
      <c r="S770" s="51" t="str">
        <f t="shared" si="771"/>
        <v/>
      </c>
      <c r="T770" s="51" t="str">
        <f t="shared" si="771"/>
        <v/>
      </c>
      <c r="U770" s="52"/>
      <c r="V770" s="52" t="str">
        <f>IFERROR(__xludf.DUMMYFUNCTION("""COMPUTED_VALUE"""),"")</f>
        <v/>
      </c>
      <c r="W770" s="52" t="str">
        <f>IFERROR(__xludf.DUMMYFUNCTION("""COMPUTED_VALUE"""),"")</f>
        <v/>
      </c>
      <c r="X770" s="52" t="str">
        <f>IFERROR(__xludf.DUMMYFUNCTION("""COMPUTED_VALUE"""),"")</f>
        <v/>
      </c>
      <c r="Y770" s="52" t="str">
        <f>IFERROR(__xludf.DUMMYFUNCTION("""COMPUTED_VALUE"""),"")</f>
        <v/>
      </c>
      <c r="Z770" s="52" t="str">
        <f>IFERROR(__xludf.DUMMYFUNCTION("""COMPUTED_VALUE"""),"")</f>
        <v/>
      </c>
      <c r="AA770" s="52" t="str">
        <f>IFERROR(__xludf.DUMMYFUNCTION("""COMPUTED_VALUE"""),"")</f>
        <v/>
      </c>
      <c r="AB770" s="52" t="str">
        <f>IFERROR(__xludf.DUMMYFUNCTION("""COMPUTED_VALUE"""),"")</f>
        <v/>
      </c>
      <c r="AC770" s="52" t="str">
        <f>IFERROR(__xludf.DUMMYFUNCTION("""COMPUTED_VALUE"""),"")</f>
        <v/>
      </c>
      <c r="AD770" s="52" t="str">
        <f>IFERROR(__xludf.DUMMYFUNCTION("""COMPUTED_VALUE"""),"")</f>
        <v/>
      </c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</row>
    <row r="771">
      <c r="B771" s="49"/>
      <c r="C771" s="49" t="str">
        <f t="shared" si="2"/>
        <v/>
      </c>
      <c r="D771" s="50" t="str">
        <f t="shared" si="3"/>
        <v/>
      </c>
      <c r="E771" s="51" t="str">
        <f t="shared" ref="E771:T771" si="772">IFERROR(VLOOKUP($A771,INDIRECT("'" &amp; E$1 &amp; "'!$C:$G"), 5, FALSE),"")</f>
        <v/>
      </c>
      <c r="F771" s="51" t="str">
        <f t="shared" si="772"/>
        <v/>
      </c>
      <c r="G771" s="51" t="str">
        <f t="shared" si="772"/>
        <v/>
      </c>
      <c r="H771" s="51" t="str">
        <f t="shared" si="772"/>
        <v/>
      </c>
      <c r="I771" s="51" t="str">
        <f t="shared" si="772"/>
        <v/>
      </c>
      <c r="J771" s="51" t="str">
        <f t="shared" si="772"/>
        <v/>
      </c>
      <c r="K771" s="51" t="str">
        <f t="shared" si="772"/>
        <v/>
      </c>
      <c r="L771" s="51" t="str">
        <f t="shared" si="772"/>
        <v/>
      </c>
      <c r="M771" s="51" t="str">
        <f t="shared" si="772"/>
        <v/>
      </c>
      <c r="N771" s="51" t="str">
        <f t="shared" si="772"/>
        <v/>
      </c>
      <c r="O771" s="51" t="str">
        <f t="shared" si="772"/>
        <v/>
      </c>
      <c r="P771" s="51" t="str">
        <f t="shared" si="772"/>
        <v/>
      </c>
      <c r="Q771" s="51" t="str">
        <f t="shared" si="772"/>
        <v/>
      </c>
      <c r="R771" s="51" t="str">
        <f t="shared" si="772"/>
        <v/>
      </c>
      <c r="S771" s="51" t="str">
        <f t="shared" si="772"/>
        <v/>
      </c>
      <c r="T771" s="51" t="str">
        <f t="shared" si="772"/>
        <v/>
      </c>
      <c r="U771" s="52"/>
      <c r="V771" s="52" t="str">
        <f>IFERROR(__xludf.DUMMYFUNCTION("""COMPUTED_VALUE"""),"")</f>
        <v/>
      </c>
      <c r="W771" s="52" t="str">
        <f>IFERROR(__xludf.DUMMYFUNCTION("""COMPUTED_VALUE"""),"")</f>
        <v/>
      </c>
      <c r="X771" s="52" t="str">
        <f>IFERROR(__xludf.DUMMYFUNCTION("""COMPUTED_VALUE"""),"")</f>
        <v/>
      </c>
      <c r="Y771" s="52" t="str">
        <f>IFERROR(__xludf.DUMMYFUNCTION("""COMPUTED_VALUE"""),"")</f>
        <v/>
      </c>
      <c r="Z771" s="52" t="str">
        <f>IFERROR(__xludf.DUMMYFUNCTION("""COMPUTED_VALUE"""),"")</f>
        <v/>
      </c>
      <c r="AA771" s="52" t="str">
        <f>IFERROR(__xludf.DUMMYFUNCTION("""COMPUTED_VALUE"""),"")</f>
        <v/>
      </c>
      <c r="AB771" s="52" t="str">
        <f>IFERROR(__xludf.DUMMYFUNCTION("""COMPUTED_VALUE"""),"")</f>
        <v/>
      </c>
      <c r="AC771" s="52" t="str">
        <f>IFERROR(__xludf.DUMMYFUNCTION("""COMPUTED_VALUE"""),"")</f>
        <v/>
      </c>
      <c r="AD771" s="52" t="str">
        <f>IFERROR(__xludf.DUMMYFUNCTION("""COMPUTED_VALUE"""),"")</f>
        <v/>
      </c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</row>
    <row r="772">
      <c r="B772" s="49"/>
      <c r="C772" s="49" t="str">
        <f t="shared" si="2"/>
        <v/>
      </c>
      <c r="D772" s="50" t="str">
        <f t="shared" si="3"/>
        <v/>
      </c>
      <c r="E772" s="51" t="str">
        <f t="shared" ref="E772:T772" si="773">IFERROR(VLOOKUP($A772,INDIRECT("'" &amp; E$1 &amp; "'!$C:$G"), 5, FALSE),"")</f>
        <v/>
      </c>
      <c r="F772" s="51" t="str">
        <f t="shared" si="773"/>
        <v/>
      </c>
      <c r="G772" s="51" t="str">
        <f t="shared" si="773"/>
        <v/>
      </c>
      <c r="H772" s="51" t="str">
        <f t="shared" si="773"/>
        <v/>
      </c>
      <c r="I772" s="51" t="str">
        <f t="shared" si="773"/>
        <v/>
      </c>
      <c r="J772" s="51" t="str">
        <f t="shared" si="773"/>
        <v/>
      </c>
      <c r="K772" s="51" t="str">
        <f t="shared" si="773"/>
        <v/>
      </c>
      <c r="L772" s="51" t="str">
        <f t="shared" si="773"/>
        <v/>
      </c>
      <c r="M772" s="51" t="str">
        <f t="shared" si="773"/>
        <v/>
      </c>
      <c r="N772" s="51" t="str">
        <f t="shared" si="773"/>
        <v/>
      </c>
      <c r="O772" s="51" t="str">
        <f t="shared" si="773"/>
        <v/>
      </c>
      <c r="P772" s="51" t="str">
        <f t="shared" si="773"/>
        <v/>
      </c>
      <c r="Q772" s="51" t="str">
        <f t="shared" si="773"/>
        <v/>
      </c>
      <c r="R772" s="51" t="str">
        <f t="shared" si="773"/>
        <v/>
      </c>
      <c r="S772" s="51" t="str">
        <f t="shared" si="773"/>
        <v/>
      </c>
      <c r="T772" s="51" t="str">
        <f t="shared" si="773"/>
        <v/>
      </c>
      <c r="U772" s="52"/>
      <c r="V772" s="52" t="str">
        <f>IFERROR(__xludf.DUMMYFUNCTION("""COMPUTED_VALUE"""),"")</f>
        <v/>
      </c>
      <c r="W772" s="52" t="str">
        <f>IFERROR(__xludf.DUMMYFUNCTION("""COMPUTED_VALUE"""),"")</f>
        <v/>
      </c>
      <c r="X772" s="52" t="str">
        <f>IFERROR(__xludf.DUMMYFUNCTION("""COMPUTED_VALUE"""),"")</f>
        <v/>
      </c>
      <c r="Y772" s="52" t="str">
        <f>IFERROR(__xludf.DUMMYFUNCTION("""COMPUTED_VALUE"""),"")</f>
        <v/>
      </c>
      <c r="Z772" s="52" t="str">
        <f>IFERROR(__xludf.DUMMYFUNCTION("""COMPUTED_VALUE"""),"")</f>
        <v/>
      </c>
      <c r="AA772" s="52" t="str">
        <f>IFERROR(__xludf.DUMMYFUNCTION("""COMPUTED_VALUE"""),"")</f>
        <v/>
      </c>
      <c r="AB772" s="52" t="str">
        <f>IFERROR(__xludf.DUMMYFUNCTION("""COMPUTED_VALUE"""),"")</f>
        <v/>
      </c>
      <c r="AC772" s="52" t="str">
        <f>IFERROR(__xludf.DUMMYFUNCTION("""COMPUTED_VALUE"""),"")</f>
        <v/>
      </c>
      <c r="AD772" s="52" t="str">
        <f>IFERROR(__xludf.DUMMYFUNCTION("""COMPUTED_VALUE"""),"")</f>
        <v/>
      </c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</row>
    <row r="773">
      <c r="B773" s="49"/>
      <c r="C773" s="49" t="str">
        <f t="shared" si="2"/>
        <v/>
      </c>
      <c r="D773" s="50" t="str">
        <f t="shared" si="3"/>
        <v/>
      </c>
      <c r="E773" s="51" t="str">
        <f t="shared" ref="E773:T773" si="774">IFERROR(VLOOKUP($A773,INDIRECT("'" &amp; E$1 &amp; "'!$C:$G"), 5, FALSE),"")</f>
        <v/>
      </c>
      <c r="F773" s="51" t="str">
        <f t="shared" si="774"/>
        <v/>
      </c>
      <c r="G773" s="51" t="str">
        <f t="shared" si="774"/>
        <v/>
      </c>
      <c r="H773" s="51" t="str">
        <f t="shared" si="774"/>
        <v/>
      </c>
      <c r="I773" s="51" t="str">
        <f t="shared" si="774"/>
        <v/>
      </c>
      <c r="J773" s="51" t="str">
        <f t="shared" si="774"/>
        <v/>
      </c>
      <c r="K773" s="51" t="str">
        <f t="shared" si="774"/>
        <v/>
      </c>
      <c r="L773" s="51" t="str">
        <f t="shared" si="774"/>
        <v/>
      </c>
      <c r="M773" s="51" t="str">
        <f t="shared" si="774"/>
        <v/>
      </c>
      <c r="N773" s="51" t="str">
        <f t="shared" si="774"/>
        <v/>
      </c>
      <c r="O773" s="51" t="str">
        <f t="shared" si="774"/>
        <v/>
      </c>
      <c r="P773" s="51" t="str">
        <f t="shared" si="774"/>
        <v/>
      </c>
      <c r="Q773" s="51" t="str">
        <f t="shared" si="774"/>
        <v/>
      </c>
      <c r="R773" s="51" t="str">
        <f t="shared" si="774"/>
        <v/>
      </c>
      <c r="S773" s="51" t="str">
        <f t="shared" si="774"/>
        <v/>
      </c>
      <c r="T773" s="51" t="str">
        <f t="shared" si="774"/>
        <v/>
      </c>
      <c r="U773" s="52"/>
      <c r="V773" s="52" t="str">
        <f>IFERROR(__xludf.DUMMYFUNCTION("""COMPUTED_VALUE"""),"")</f>
        <v/>
      </c>
      <c r="W773" s="52" t="str">
        <f>IFERROR(__xludf.DUMMYFUNCTION("""COMPUTED_VALUE"""),"")</f>
        <v/>
      </c>
      <c r="X773" s="52" t="str">
        <f>IFERROR(__xludf.DUMMYFUNCTION("""COMPUTED_VALUE"""),"")</f>
        <v/>
      </c>
      <c r="Y773" s="52" t="str">
        <f>IFERROR(__xludf.DUMMYFUNCTION("""COMPUTED_VALUE"""),"")</f>
        <v/>
      </c>
      <c r="Z773" s="52" t="str">
        <f>IFERROR(__xludf.DUMMYFUNCTION("""COMPUTED_VALUE"""),"")</f>
        <v/>
      </c>
      <c r="AA773" s="52" t="str">
        <f>IFERROR(__xludf.DUMMYFUNCTION("""COMPUTED_VALUE"""),"")</f>
        <v/>
      </c>
      <c r="AB773" s="52" t="str">
        <f>IFERROR(__xludf.DUMMYFUNCTION("""COMPUTED_VALUE"""),"")</f>
        <v/>
      </c>
      <c r="AC773" s="52" t="str">
        <f>IFERROR(__xludf.DUMMYFUNCTION("""COMPUTED_VALUE"""),"")</f>
        <v/>
      </c>
      <c r="AD773" s="52" t="str">
        <f>IFERROR(__xludf.DUMMYFUNCTION("""COMPUTED_VALUE"""),"")</f>
        <v/>
      </c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</row>
    <row r="774">
      <c r="B774" s="49"/>
      <c r="C774" s="49" t="str">
        <f t="shared" si="2"/>
        <v/>
      </c>
      <c r="D774" s="50" t="str">
        <f t="shared" si="3"/>
        <v/>
      </c>
      <c r="E774" s="51" t="str">
        <f t="shared" ref="E774:T774" si="775">IFERROR(VLOOKUP($A774,INDIRECT("'" &amp; E$1 &amp; "'!$C:$G"), 5, FALSE),"")</f>
        <v/>
      </c>
      <c r="F774" s="51" t="str">
        <f t="shared" si="775"/>
        <v/>
      </c>
      <c r="G774" s="51" t="str">
        <f t="shared" si="775"/>
        <v/>
      </c>
      <c r="H774" s="51" t="str">
        <f t="shared" si="775"/>
        <v/>
      </c>
      <c r="I774" s="51" t="str">
        <f t="shared" si="775"/>
        <v/>
      </c>
      <c r="J774" s="51" t="str">
        <f t="shared" si="775"/>
        <v/>
      </c>
      <c r="K774" s="51" t="str">
        <f t="shared" si="775"/>
        <v/>
      </c>
      <c r="L774" s="51" t="str">
        <f t="shared" si="775"/>
        <v/>
      </c>
      <c r="M774" s="51" t="str">
        <f t="shared" si="775"/>
        <v/>
      </c>
      <c r="N774" s="51" t="str">
        <f t="shared" si="775"/>
        <v/>
      </c>
      <c r="O774" s="51" t="str">
        <f t="shared" si="775"/>
        <v/>
      </c>
      <c r="P774" s="51" t="str">
        <f t="shared" si="775"/>
        <v/>
      </c>
      <c r="Q774" s="51" t="str">
        <f t="shared" si="775"/>
        <v/>
      </c>
      <c r="R774" s="51" t="str">
        <f t="shared" si="775"/>
        <v/>
      </c>
      <c r="S774" s="51" t="str">
        <f t="shared" si="775"/>
        <v/>
      </c>
      <c r="T774" s="51" t="str">
        <f t="shared" si="775"/>
        <v/>
      </c>
      <c r="U774" s="52"/>
      <c r="V774" s="52" t="str">
        <f>IFERROR(__xludf.DUMMYFUNCTION("""COMPUTED_VALUE"""),"")</f>
        <v/>
      </c>
      <c r="W774" s="52" t="str">
        <f>IFERROR(__xludf.DUMMYFUNCTION("""COMPUTED_VALUE"""),"")</f>
        <v/>
      </c>
      <c r="X774" s="52" t="str">
        <f>IFERROR(__xludf.DUMMYFUNCTION("""COMPUTED_VALUE"""),"")</f>
        <v/>
      </c>
      <c r="Y774" s="52" t="str">
        <f>IFERROR(__xludf.DUMMYFUNCTION("""COMPUTED_VALUE"""),"")</f>
        <v/>
      </c>
      <c r="Z774" s="52" t="str">
        <f>IFERROR(__xludf.DUMMYFUNCTION("""COMPUTED_VALUE"""),"")</f>
        <v/>
      </c>
      <c r="AA774" s="52" t="str">
        <f>IFERROR(__xludf.DUMMYFUNCTION("""COMPUTED_VALUE"""),"")</f>
        <v/>
      </c>
      <c r="AB774" s="52" t="str">
        <f>IFERROR(__xludf.DUMMYFUNCTION("""COMPUTED_VALUE"""),"")</f>
        <v/>
      </c>
      <c r="AC774" s="52" t="str">
        <f>IFERROR(__xludf.DUMMYFUNCTION("""COMPUTED_VALUE"""),"")</f>
        <v/>
      </c>
      <c r="AD774" s="52" t="str">
        <f>IFERROR(__xludf.DUMMYFUNCTION("""COMPUTED_VALUE"""),"")</f>
        <v/>
      </c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</row>
    <row r="775">
      <c r="B775" s="49"/>
      <c r="C775" s="49" t="str">
        <f t="shared" si="2"/>
        <v/>
      </c>
      <c r="D775" s="50" t="str">
        <f t="shared" si="3"/>
        <v/>
      </c>
      <c r="E775" s="51" t="str">
        <f t="shared" ref="E775:T775" si="776">IFERROR(VLOOKUP($A775,INDIRECT("'" &amp; E$1 &amp; "'!$C:$G"), 5, FALSE),"")</f>
        <v/>
      </c>
      <c r="F775" s="51" t="str">
        <f t="shared" si="776"/>
        <v/>
      </c>
      <c r="G775" s="51" t="str">
        <f t="shared" si="776"/>
        <v/>
      </c>
      <c r="H775" s="51" t="str">
        <f t="shared" si="776"/>
        <v/>
      </c>
      <c r="I775" s="51" t="str">
        <f t="shared" si="776"/>
        <v/>
      </c>
      <c r="J775" s="51" t="str">
        <f t="shared" si="776"/>
        <v/>
      </c>
      <c r="K775" s="51" t="str">
        <f t="shared" si="776"/>
        <v/>
      </c>
      <c r="L775" s="51" t="str">
        <f t="shared" si="776"/>
        <v/>
      </c>
      <c r="M775" s="51" t="str">
        <f t="shared" si="776"/>
        <v/>
      </c>
      <c r="N775" s="51" t="str">
        <f t="shared" si="776"/>
        <v/>
      </c>
      <c r="O775" s="51" t="str">
        <f t="shared" si="776"/>
        <v/>
      </c>
      <c r="P775" s="51" t="str">
        <f t="shared" si="776"/>
        <v/>
      </c>
      <c r="Q775" s="51" t="str">
        <f t="shared" si="776"/>
        <v/>
      </c>
      <c r="R775" s="51" t="str">
        <f t="shared" si="776"/>
        <v/>
      </c>
      <c r="S775" s="51" t="str">
        <f t="shared" si="776"/>
        <v/>
      </c>
      <c r="T775" s="51" t="str">
        <f t="shared" si="776"/>
        <v/>
      </c>
      <c r="U775" s="52"/>
      <c r="V775" s="52" t="str">
        <f>IFERROR(__xludf.DUMMYFUNCTION("""COMPUTED_VALUE"""),"")</f>
        <v/>
      </c>
      <c r="W775" s="52" t="str">
        <f>IFERROR(__xludf.DUMMYFUNCTION("""COMPUTED_VALUE"""),"")</f>
        <v/>
      </c>
      <c r="X775" s="52" t="str">
        <f>IFERROR(__xludf.DUMMYFUNCTION("""COMPUTED_VALUE"""),"")</f>
        <v/>
      </c>
      <c r="Y775" s="52" t="str">
        <f>IFERROR(__xludf.DUMMYFUNCTION("""COMPUTED_VALUE"""),"")</f>
        <v/>
      </c>
      <c r="Z775" s="52" t="str">
        <f>IFERROR(__xludf.DUMMYFUNCTION("""COMPUTED_VALUE"""),"")</f>
        <v/>
      </c>
      <c r="AA775" s="52" t="str">
        <f>IFERROR(__xludf.DUMMYFUNCTION("""COMPUTED_VALUE"""),"")</f>
        <v/>
      </c>
      <c r="AB775" s="52" t="str">
        <f>IFERROR(__xludf.DUMMYFUNCTION("""COMPUTED_VALUE"""),"")</f>
        <v/>
      </c>
      <c r="AC775" s="52" t="str">
        <f>IFERROR(__xludf.DUMMYFUNCTION("""COMPUTED_VALUE"""),"")</f>
        <v/>
      </c>
      <c r="AD775" s="52" t="str">
        <f>IFERROR(__xludf.DUMMYFUNCTION("""COMPUTED_VALUE"""),"")</f>
        <v/>
      </c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</row>
    <row r="776">
      <c r="B776" s="49"/>
      <c r="C776" s="49" t="str">
        <f t="shared" si="2"/>
        <v/>
      </c>
      <c r="D776" s="50" t="str">
        <f t="shared" si="3"/>
        <v/>
      </c>
      <c r="E776" s="51" t="str">
        <f t="shared" ref="E776:T776" si="777">IFERROR(VLOOKUP($A776,INDIRECT("'" &amp; E$1 &amp; "'!$C:$G"), 5, FALSE),"")</f>
        <v/>
      </c>
      <c r="F776" s="51" t="str">
        <f t="shared" si="777"/>
        <v/>
      </c>
      <c r="G776" s="51" t="str">
        <f t="shared" si="777"/>
        <v/>
      </c>
      <c r="H776" s="51" t="str">
        <f t="shared" si="777"/>
        <v/>
      </c>
      <c r="I776" s="51" t="str">
        <f t="shared" si="777"/>
        <v/>
      </c>
      <c r="J776" s="51" t="str">
        <f t="shared" si="777"/>
        <v/>
      </c>
      <c r="K776" s="51" t="str">
        <f t="shared" si="777"/>
        <v/>
      </c>
      <c r="L776" s="51" t="str">
        <f t="shared" si="777"/>
        <v/>
      </c>
      <c r="M776" s="51" t="str">
        <f t="shared" si="777"/>
        <v/>
      </c>
      <c r="N776" s="51" t="str">
        <f t="shared" si="777"/>
        <v/>
      </c>
      <c r="O776" s="51" t="str">
        <f t="shared" si="777"/>
        <v/>
      </c>
      <c r="P776" s="51" t="str">
        <f t="shared" si="777"/>
        <v/>
      </c>
      <c r="Q776" s="51" t="str">
        <f t="shared" si="777"/>
        <v/>
      </c>
      <c r="R776" s="51" t="str">
        <f t="shared" si="777"/>
        <v/>
      </c>
      <c r="S776" s="51" t="str">
        <f t="shared" si="777"/>
        <v/>
      </c>
      <c r="T776" s="51" t="str">
        <f t="shared" si="777"/>
        <v/>
      </c>
      <c r="U776" s="52"/>
      <c r="V776" s="52" t="str">
        <f>IFERROR(__xludf.DUMMYFUNCTION("""COMPUTED_VALUE"""),"")</f>
        <v/>
      </c>
      <c r="W776" s="52" t="str">
        <f>IFERROR(__xludf.DUMMYFUNCTION("""COMPUTED_VALUE"""),"")</f>
        <v/>
      </c>
      <c r="X776" s="52" t="str">
        <f>IFERROR(__xludf.DUMMYFUNCTION("""COMPUTED_VALUE"""),"")</f>
        <v/>
      </c>
      <c r="Y776" s="52" t="str">
        <f>IFERROR(__xludf.DUMMYFUNCTION("""COMPUTED_VALUE"""),"")</f>
        <v/>
      </c>
      <c r="Z776" s="52" t="str">
        <f>IFERROR(__xludf.DUMMYFUNCTION("""COMPUTED_VALUE"""),"")</f>
        <v/>
      </c>
      <c r="AA776" s="52" t="str">
        <f>IFERROR(__xludf.DUMMYFUNCTION("""COMPUTED_VALUE"""),"")</f>
        <v/>
      </c>
      <c r="AB776" s="52" t="str">
        <f>IFERROR(__xludf.DUMMYFUNCTION("""COMPUTED_VALUE"""),"")</f>
        <v/>
      </c>
      <c r="AC776" s="52" t="str">
        <f>IFERROR(__xludf.DUMMYFUNCTION("""COMPUTED_VALUE"""),"")</f>
        <v/>
      </c>
      <c r="AD776" s="52" t="str">
        <f>IFERROR(__xludf.DUMMYFUNCTION("""COMPUTED_VALUE"""),"")</f>
        <v/>
      </c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</row>
    <row r="777">
      <c r="B777" s="49"/>
      <c r="C777" s="49" t="str">
        <f t="shared" si="2"/>
        <v/>
      </c>
      <c r="D777" s="50" t="str">
        <f t="shared" si="3"/>
        <v/>
      </c>
      <c r="E777" s="51" t="str">
        <f t="shared" ref="E777:T777" si="778">IFERROR(VLOOKUP($A777,INDIRECT("'" &amp; E$1 &amp; "'!$C:$G"), 5, FALSE),"")</f>
        <v/>
      </c>
      <c r="F777" s="51" t="str">
        <f t="shared" si="778"/>
        <v/>
      </c>
      <c r="G777" s="51" t="str">
        <f t="shared" si="778"/>
        <v/>
      </c>
      <c r="H777" s="51" t="str">
        <f t="shared" si="778"/>
        <v/>
      </c>
      <c r="I777" s="51" t="str">
        <f t="shared" si="778"/>
        <v/>
      </c>
      <c r="J777" s="51" t="str">
        <f t="shared" si="778"/>
        <v/>
      </c>
      <c r="K777" s="51" t="str">
        <f t="shared" si="778"/>
        <v/>
      </c>
      <c r="L777" s="51" t="str">
        <f t="shared" si="778"/>
        <v/>
      </c>
      <c r="M777" s="51" t="str">
        <f t="shared" si="778"/>
        <v/>
      </c>
      <c r="N777" s="51" t="str">
        <f t="shared" si="778"/>
        <v/>
      </c>
      <c r="O777" s="51" t="str">
        <f t="shared" si="778"/>
        <v/>
      </c>
      <c r="P777" s="51" t="str">
        <f t="shared" si="778"/>
        <v/>
      </c>
      <c r="Q777" s="51" t="str">
        <f t="shared" si="778"/>
        <v/>
      </c>
      <c r="R777" s="51" t="str">
        <f t="shared" si="778"/>
        <v/>
      </c>
      <c r="S777" s="51" t="str">
        <f t="shared" si="778"/>
        <v/>
      </c>
      <c r="T777" s="51" t="str">
        <f t="shared" si="778"/>
        <v/>
      </c>
      <c r="U777" s="52"/>
      <c r="V777" s="52" t="str">
        <f>IFERROR(__xludf.DUMMYFUNCTION("""COMPUTED_VALUE"""),"")</f>
        <v/>
      </c>
      <c r="W777" s="52" t="str">
        <f>IFERROR(__xludf.DUMMYFUNCTION("""COMPUTED_VALUE"""),"")</f>
        <v/>
      </c>
      <c r="X777" s="52" t="str">
        <f>IFERROR(__xludf.DUMMYFUNCTION("""COMPUTED_VALUE"""),"")</f>
        <v/>
      </c>
      <c r="Y777" s="52" t="str">
        <f>IFERROR(__xludf.DUMMYFUNCTION("""COMPUTED_VALUE"""),"")</f>
        <v/>
      </c>
      <c r="Z777" s="52" t="str">
        <f>IFERROR(__xludf.DUMMYFUNCTION("""COMPUTED_VALUE"""),"")</f>
        <v/>
      </c>
      <c r="AA777" s="52" t="str">
        <f>IFERROR(__xludf.DUMMYFUNCTION("""COMPUTED_VALUE"""),"")</f>
        <v/>
      </c>
      <c r="AB777" s="52" t="str">
        <f>IFERROR(__xludf.DUMMYFUNCTION("""COMPUTED_VALUE"""),"")</f>
        <v/>
      </c>
      <c r="AC777" s="52" t="str">
        <f>IFERROR(__xludf.DUMMYFUNCTION("""COMPUTED_VALUE"""),"")</f>
        <v/>
      </c>
      <c r="AD777" s="52" t="str">
        <f>IFERROR(__xludf.DUMMYFUNCTION("""COMPUTED_VALUE"""),"")</f>
        <v/>
      </c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</row>
    <row r="778">
      <c r="B778" s="49"/>
      <c r="C778" s="49" t="str">
        <f t="shared" si="2"/>
        <v/>
      </c>
      <c r="D778" s="50" t="str">
        <f t="shared" si="3"/>
        <v/>
      </c>
      <c r="E778" s="51" t="str">
        <f t="shared" ref="E778:T778" si="779">IFERROR(VLOOKUP($A778,INDIRECT("'" &amp; E$1 &amp; "'!$C:$G"), 5, FALSE),"")</f>
        <v/>
      </c>
      <c r="F778" s="51" t="str">
        <f t="shared" si="779"/>
        <v/>
      </c>
      <c r="G778" s="51" t="str">
        <f t="shared" si="779"/>
        <v/>
      </c>
      <c r="H778" s="51" t="str">
        <f t="shared" si="779"/>
        <v/>
      </c>
      <c r="I778" s="51" t="str">
        <f t="shared" si="779"/>
        <v/>
      </c>
      <c r="J778" s="51" t="str">
        <f t="shared" si="779"/>
        <v/>
      </c>
      <c r="K778" s="51" t="str">
        <f t="shared" si="779"/>
        <v/>
      </c>
      <c r="L778" s="51" t="str">
        <f t="shared" si="779"/>
        <v/>
      </c>
      <c r="M778" s="51" t="str">
        <f t="shared" si="779"/>
        <v/>
      </c>
      <c r="N778" s="51" t="str">
        <f t="shared" si="779"/>
        <v/>
      </c>
      <c r="O778" s="51" t="str">
        <f t="shared" si="779"/>
        <v/>
      </c>
      <c r="P778" s="51" t="str">
        <f t="shared" si="779"/>
        <v/>
      </c>
      <c r="Q778" s="51" t="str">
        <f t="shared" si="779"/>
        <v/>
      </c>
      <c r="R778" s="51" t="str">
        <f t="shared" si="779"/>
        <v/>
      </c>
      <c r="S778" s="51" t="str">
        <f t="shared" si="779"/>
        <v/>
      </c>
      <c r="T778" s="51" t="str">
        <f t="shared" si="779"/>
        <v/>
      </c>
      <c r="U778" s="52"/>
      <c r="V778" s="52" t="str">
        <f>IFERROR(__xludf.DUMMYFUNCTION("""COMPUTED_VALUE"""),"")</f>
        <v/>
      </c>
      <c r="W778" s="52" t="str">
        <f>IFERROR(__xludf.DUMMYFUNCTION("""COMPUTED_VALUE"""),"")</f>
        <v/>
      </c>
      <c r="X778" s="52" t="str">
        <f>IFERROR(__xludf.DUMMYFUNCTION("""COMPUTED_VALUE"""),"")</f>
        <v/>
      </c>
      <c r="Y778" s="52" t="str">
        <f>IFERROR(__xludf.DUMMYFUNCTION("""COMPUTED_VALUE"""),"")</f>
        <v/>
      </c>
      <c r="Z778" s="52" t="str">
        <f>IFERROR(__xludf.DUMMYFUNCTION("""COMPUTED_VALUE"""),"")</f>
        <v/>
      </c>
      <c r="AA778" s="52" t="str">
        <f>IFERROR(__xludf.DUMMYFUNCTION("""COMPUTED_VALUE"""),"")</f>
        <v/>
      </c>
      <c r="AB778" s="52" t="str">
        <f>IFERROR(__xludf.DUMMYFUNCTION("""COMPUTED_VALUE"""),"")</f>
        <v/>
      </c>
      <c r="AC778" s="52" t="str">
        <f>IFERROR(__xludf.DUMMYFUNCTION("""COMPUTED_VALUE"""),"")</f>
        <v/>
      </c>
      <c r="AD778" s="52" t="str">
        <f>IFERROR(__xludf.DUMMYFUNCTION("""COMPUTED_VALUE"""),"")</f>
        <v/>
      </c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</row>
    <row r="779">
      <c r="B779" s="49"/>
      <c r="C779" s="49" t="str">
        <f t="shared" si="2"/>
        <v/>
      </c>
      <c r="D779" s="50" t="str">
        <f t="shared" si="3"/>
        <v/>
      </c>
      <c r="E779" s="51" t="str">
        <f t="shared" ref="E779:T779" si="780">IFERROR(VLOOKUP($A779,INDIRECT("'" &amp; E$1 &amp; "'!$C:$G"), 5, FALSE),"")</f>
        <v/>
      </c>
      <c r="F779" s="51" t="str">
        <f t="shared" si="780"/>
        <v/>
      </c>
      <c r="G779" s="51" t="str">
        <f t="shared" si="780"/>
        <v/>
      </c>
      <c r="H779" s="51" t="str">
        <f t="shared" si="780"/>
        <v/>
      </c>
      <c r="I779" s="51" t="str">
        <f t="shared" si="780"/>
        <v/>
      </c>
      <c r="J779" s="51" t="str">
        <f t="shared" si="780"/>
        <v/>
      </c>
      <c r="K779" s="51" t="str">
        <f t="shared" si="780"/>
        <v/>
      </c>
      <c r="L779" s="51" t="str">
        <f t="shared" si="780"/>
        <v/>
      </c>
      <c r="M779" s="51" t="str">
        <f t="shared" si="780"/>
        <v/>
      </c>
      <c r="N779" s="51" t="str">
        <f t="shared" si="780"/>
        <v/>
      </c>
      <c r="O779" s="51" t="str">
        <f t="shared" si="780"/>
        <v/>
      </c>
      <c r="P779" s="51" t="str">
        <f t="shared" si="780"/>
        <v/>
      </c>
      <c r="Q779" s="51" t="str">
        <f t="shared" si="780"/>
        <v/>
      </c>
      <c r="R779" s="51" t="str">
        <f t="shared" si="780"/>
        <v/>
      </c>
      <c r="S779" s="51" t="str">
        <f t="shared" si="780"/>
        <v/>
      </c>
      <c r="T779" s="51" t="str">
        <f t="shared" si="780"/>
        <v/>
      </c>
      <c r="U779" s="52"/>
      <c r="V779" s="52" t="str">
        <f>IFERROR(__xludf.DUMMYFUNCTION("""COMPUTED_VALUE"""),"")</f>
        <v/>
      </c>
      <c r="W779" s="52" t="str">
        <f>IFERROR(__xludf.DUMMYFUNCTION("""COMPUTED_VALUE"""),"")</f>
        <v/>
      </c>
      <c r="X779" s="52" t="str">
        <f>IFERROR(__xludf.DUMMYFUNCTION("""COMPUTED_VALUE"""),"")</f>
        <v/>
      </c>
      <c r="Y779" s="52" t="str">
        <f>IFERROR(__xludf.DUMMYFUNCTION("""COMPUTED_VALUE"""),"")</f>
        <v/>
      </c>
      <c r="Z779" s="52" t="str">
        <f>IFERROR(__xludf.DUMMYFUNCTION("""COMPUTED_VALUE"""),"")</f>
        <v/>
      </c>
      <c r="AA779" s="52" t="str">
        <f>IFERROR(__xludf.DUMMYFUNCTION("""COMPUTED_VALUE"""),"")</f>
        <v/>
      </c>
      <c r="AB779" s="52" t="str">
        <f>IFERROR(__xludf.DUMMYFUNCTION("""COMPUTED_VALUE"""),"")</f>
        <v/>
      </c>
      <c r="AC779" s="52" t="str">
        <f>IFERROR(__xludf.DUMMYFUNCTION("""COMPUTED_VALUE"""),"")</f>
        <v/>
      </c>
      <c r="AD779" s="52" t="str">
        <f>IFERROR(__xludf.DUMMYFUNCTION("""COMPUTED_VALUE"""),"")</f>
        <v/>
      </c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</row>
    <row r="780">
      <c r="B780" s="49"/>
      <c r="C780" s="49" t="str">
        <f t="shared" si="2"/>
        <v/>
      </c>
      <c r="D780" s="50" t="str">
        <f t="shared" si="3"/>
        <v/>
      </c>
      <c r="E780" s="51" t="str">
        <f t="shared" ref="E780:T780" si="781">IFERROR(VLOOKUP($A780,INDIRECT("'" &amp; E$1 &amp; "'!$C:$G"), 5, FALSE),"")</f>
        <v/>
      </c>
      <c r="F780" s="51" t="str">
        <f t="shared" si="781"/>
        <v/>
      </c>
      <c r="G780" s="51" t="str">
        <f t="shared" si="781"/>
        <v/>
      </c>
      <c r="H780" s="51" t="str">
        <f t="shared" si="781"/>
        <v/>
      </c>
      <c r="I780" s="51" t="str">
        <f t="shared" si="781"/>
        <v/>
      </c>
      <c r="J780" s="51" t="str">
        <f t="shared" si="781"/>
        <v/>
      </c>
      <c r="K780" s="51" t="str">
        <f t="shared" si="781"/>
        <v/>
      </c>
      <c r="L780" s="51" t="str">
        <f t="shared" si="781"/>
        <v/>
      </c>
      <c r="M780" s="51" t="str">
        <f t="shared" si="781"/>
        <v/>
      </c>
      <c r="N780" s="51" t="str">
        <f t="shared" si="781"/>
        <v/>
      </c>
      <c r="O780" s="51" t="str">
        <f t="shared" si="781"/>
        <v/>
      </c>
      <c r="P780" s="51" t="str">
        <f t="shared" si="781"/>
        <v/>
      </c>
      <c r="Q780" s="51" t="str">
        <f t="shared" si="781"/>
        <v/>
      </c>
      <c r="R780" s="51" t="str">
        <f t="shared" si="781"/>
        <v/>
      </c>
      <c r="S780" s="51" t="str">
        <f t="shared" si="781"/>
        <v/>
      </c>
      <c r="T780" s="51" t="str">
        <f t="shared" si="781"/>
        <v/>
      </c>
      <c r="U780" s="52"/>
      <c r="V780" s="52" t="str">
        <f>IFERROR(__xludf.DUMMYFUNCTION("""COMPUTED_VALUE"""),"")</f>
        <v/>
      </c>
      <c r="W780" s="52" t="str">
        <f>IFERROR(__xludf.DUMMYFUNCTION("""COMPUTED_VALUE"""),"")</f>
        <v/>
      </c>
      <c r="X780" s="52" t="str">
        <f>IFERROR(__xludf.DUMMYFUNCTION("""COMPUTED_VALUE"""),"")</f>
        <v/>
      </c>
      <c r="Y780" s="52" t="str">
        <f>IFERROR(__xludf.DUMMYFUNCTION("""COMPUTED_VALUE"""),"")</f>
        <v/>
      </c>
      <c r="Z780" s="52" t="str">
        <f>IFERROR(__xludf.DUMMYFUNCTION("""COMPUTED_VALUE"""),"")</f>
        <v/>
      </c>
      <c r="AA780" s="52" t="str">
        <f>IFERROR(__xludf.DUMMYFUNCTION("""COMPUTED_VALUE"""),"")</f>
        <v/>
      </c>
      <c r="AB780" s="52" t="str">
        <f>IFERROR(__xludf.DUMMYFUNCTION("""COMPUTED_VALUE"""),"")</f>
        <v/>
      </c>
      <c r="AC780" s="52" t="str">
        <f>IFERROR(__xludf.DUMMYFUNCTION("""COMPUTED_VALUE"""),"")</f>
        <v/>
      </c>
      <c r="AD780" s="52" t="str">
        <f>IFERROR(__xludf.DUMMYFUNCTION("""COMPUTED_VALUE"""),"")</f>
        <v/>
      </c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</row>
    <row r="781">
      <c r="B781" s="49"/>
      <c r="C781" s="49" t="str">
        <f t="shared" si="2"/>
        <v/>
      </c>
      <c r="D781" s="50" t="str">
        <f t="shared" si="3"/>
        <v/>
      </c>
      <c r="E781" s="51" t="str">
        <f t="shared" ref="E781:T781" si="782">IFERROR(VLOOKUP($A781,INDIRECT("'" &amp; E$1 &amp; "'!$C:$G"), 5, FALSE),"")</f>
        <v/>
      </c>
      <c r="F781" s="51" t="str">
        <f t="shared" si="782"/>
        <v/>
      </c>
      <c r="G781" s="51" t="str">
        <f t="shared" si="782"/>
        <v/>
      </c>
      <c r="H781" s="51" t="str">
        <f t="shared" si="782"/>
        <v/>
      </c>
      <c r="I781" s="51" t="str">
        <f t="shared" si="782"/>
        <v/>
      </c>
      <c r="J781" s="51" t="str">
        <f t="shared" si="782"/>
        <v/>
      </c>
      <c r="K781" s="51" t="str">
        <f t="shared" si="782"/>
        <v/>
      </c>
      <c r="L781" s="51" t="str">
        <f t="shared" si="782"/>
        <v/>
      </c>
      <c r="M781" s="51" t="str">
        <f t="shared" si="782"/>
        <v/>
      </c>
      <c r="N781" s="51" t="str">
        <f t="shared" si="782"/>
        <v/>
      </c>
      <c r="O781" s="51" t="str">
        <f t="shared" si="782"/>
        <v/>
      </c>
      <c r="P781" s="51" t="str">
        <f t="shared" si="782"/>
        <v/>
      </c>
      <c r="Q781" s="51" t="str">
        <f t="shared" si="782"/>
        <v/>
      </c>
      <c r="R781" s="51" t="str">
        <f t="shared" si="782"/>
        <v/>
      </c>
      <c r="S781" s="51" t="str">
        <f t="shared" si="782"/>
        <v/>
      </c>
      <c r="T781" s="51" t="str">
        <f t="shared" si="782"/>
        <v/>
      </c>
      <c r="U781" s="52"/>
      <c r="V781" s="52" t="str">
        <f>IFERROR(__xludf.DUMMYFUNCTION("""COMPUTED_VALUE"""),"")</f>
        <v/>
      </c>
      <c r="W781" s="52" t="str">
        <f>IFERROR(__xludf.DUMMYFUNCTION("""COMPUTED_VALUE"""),"")</f>
        <v/>
      </c>
      <c r="X781" s="52" t="str">
        <f>IFERROR(__xludf.DUMMYFUNCTION("""COMPUTED_VALUE"""),"")</f>
        <v/>
      </c>
      <c r="Y781" s="52" t="str">
        <f>IFERROR(__xludf.DUMMYFUNCTION("""COMPUTED_VALUE"""),"")</f>
        <v/>
      </c>
      <c r="Z781" s="52" t="str">
        <f>IFERROR(__xludf.DUMMYFUNCTION("""COMPUTED_VALUE"""),"")</f>
        <v/>
      </c>
      <c r="AA781" s="52" t="str">
        <f>IFERROR(__xludf.DUMMYFUNCTION("""COMPUTED_VALUE"""),"")</f>
        <v/>
      </c>
      <c r="AB781" s="52" t="str">
        <f>IFERROR(__xludf.DUMMYFUNCTION("""COMPUTED_VALUE"""),"")</f>
        <v/>
      </c>
      <c r="AC781" s="52" t="str">
        <f>IFERROR(__xludf.DUMMYFUNCTION("""COMPUTED_VALUE"""),"")</f>
        <v/>
      </c>
      <c r="AD781" s="52" t="str">
        <f>IFERROR(__xludf.DUMMYFUNCTION("""COMPUTED_VALUE"""),"")</f>
        <v/>
      </c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</row>
    <row r="782">
      <c r="B782" s="49"/>
      <c r="C782" s="49" t="str">
        <f t="shared" si="2"/>
        <v/>
      </c>
      <c r="D782" s="50" t="str">
        <f t="shared" si="3"/>
        <v/>
      </c>
      <c r="E782" s="51" t="str">
        <f t="shared" ref="E782:T782" si="783">IFERROR(VLOOKUP($A782,INDIRECT("'" &amp; E$1 &amp; "'!$C:$G"), 5, FALSE),"")</f>
        <v/>
      </c>
      <c r="F782" s="51" t="str">
        <f t="shared" si="783"/>
        <v/>
      </c>
      <c r="G782" s="51" t="str">
        <f t="shared" si="783"/>
        <v/>
      </c>
      <c r="H782" s="51" t="str">
        <f t="shared" si="783"/>
        <v/>
      </c>
      <c r="I782" s="51" t="str">
        <f t="shared" si="783"/>
        <v/>
      </c>
      <c r="J782" s="51" t="str">
        <f t="shared" si="783"/>
        <v/>
      </c>
      <c r="K782" s="51" t="str">
        <f t="shared" si="783"/>
        <v/>
      </c>
      <c r="L782" s="51" t="str">
        <f t="shared" si="783"/>
        <v/>
      </c>
      <c r="M782" s="51" t="str">
        <f t="shared" si="783"/>
        <v/>
      </c>
      <c r="N782" s="51" t="str">
        <f t="shared" si="783"/>
        <v/>
      </c>
      <c r="O782" s="51" t="str">
        <f t="shared" si="783"/>
        <v/>
      </c>
      <c r="P782" s="51" t="str">
        <f t="shared" si="783"/>
        <v/>
      </c>
      <c r="Q782" s="51" t="str">
        <f t="shared" si="783"/>
        <v/>
      </c>
      <c r="R782" s="51" t="str">
        <f t="shared" si="783"/>
        <v/>
      </c>
      <c r="S782" s="51" t="str">
        <f t="shared" si="783"/>
        <v/>
      </c>
      <c r="T782" s="51" t="str">
        <f t="shared" si="783"/>
        <v/>
      </c>
      <c r="U782" s="52"/>
      <c r="V782" s="52" t="str">
        <f>IFERROR(__xludf.DUMMYFUNCTION("""COMPUTED_VALUE"""),"")</f>
        <v/>
      </c>
      <c r="W782" s="52" t="str">
        <f>IFERROR(__xludf.DUMMYFUNCTION("""COMPUTED_VALUE"""),"")</f>
        <v/>
      </c>
      <c r="X782" s="52" t="str">
        <f>IFERROR(__xludf.DUMMYFUNCTION("""COMPUTED_VALUE"""),"")</f>
        <v/>
      </c>
      <c r="Y782" s="52" t="str">
        <f>IFERROR(__xludf.DUMMYFUNCTION("""COMPUTED_VALUE"""),"")</f>
        <v/>
      </c>
      <c r="Z782" s="52" t="str">
        <f>IFERROR(__xludf.DUMMYFUNCTION("""COMPUTED_VALUE"""),"")</f>
        <v/>
      </c>
      <c r="AA782" s="52" t="str">
        <f>IFERROR(__xludf.DUMMYFUNCTION("""COMPUTED_VALUE"""),"")</f>
        <v/>
      </c>
      <c r="AB782" s="52" t="str">
        <f>IFERROR(__xludf.DUMMYFUNCTION("""COMPUTED_VALUE"""),"")</f>
        <v/>
      </c>
      <c r="AC782" s="52" t="str">
        <f>IFERROR(__xludf.DUMMYFUNCTION("""COMPUTED_VALUE"""),"")</f>
        <v/>
      </c>
      <c r="AD782" s="52" t="str">
        <f>IFERROR(__xludf.DUMMYFUNCTION("""COMPUTED_VALUE"""),"")</f>
        <v/>
      </c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</row>
    <row r="783">
      <c r="B783" s="49"/>
      <c r="C783" s="49" t="str">
        <f t="shared" si="2"/>
        <v/>
      </c>
      <c r="D783" s="50" t="str">
        <f t="shared" si="3"/>
        <v/>
      </c>
      <c r="E783" s="51" t="str">
        <f t="shared" ref="E783:T783" si="784">IFERROR(VLOOKUP($A783,INDIRECT("'" &amp; E$1 &amp; "'!$C:$G"), 5, FALSE),"")</f>
        <v/>
      </c>
      <c r="F783" s="51" t="str">
        <f t="shared" si="784"/>
        <v/>
      </c>
      <c r="G783" s="51" t="str">
        <f t="shared" si="784"/>
        <v/>
      </c>
      <c r="H783" s="51" t="str">
        <f t="shared" si="784"/>
        <v/>
      </c>
      <c r="I783" s="51" t="str">
        <f t="shared" si="784"/>
        <v/>
      </c>
      <c r="J783" s="51" t="str">
        <f t="shared" si="784"/>
        <v/>
      </c>
      <c r="K783" s="51" t="str">
        <f t="shared" si="784"/>
        <v/>
      </c>
      <c r="L783" s="51" t="str">
        <f t="shared" si="784"/>
        <v/>
      </c>
      <c r="M783" s="51" t="str">
        <f t="shared" si="784"/>
        <v/>
      </c>
      <c r="N783" s="51" t="str">
        <f t="shared" si="784"/>
        <v/>
      </c>
      <c r="O783" s="51" t="str">
        <f t="shared" si="784"/>
        <v/>
      </c>
      <c r="P783" s="51" t="str">
        <f t="shared" si="784"/>
        <v/>
      </c>
      <c r="Q783" s="51" t="str">
        <f t="shared" si="784"/>
        <v/>
      </c>
      <c r="R783" s="51" t="str">
        <f t="shared" si="784"/>
        <v/>
      </c>
      <c r="S783" s="51" t="str">
        <f t="shared" si="784"/>
        <v/>
      </c>
      <c r="T783" s="51" t="str">
        <f t="shared" si="784"/>
        <v/>
      </c>
      <c r="U783" s="52"/>
      <c r="V783" s="52" t="str">
        <f>IFERROR(__xludf.DUMMYFUNCTION("""COMPUTED_VALUE"""),"")</f>
        <v/>
      </c>
      <c r="W783" s="52" t="str">
        <f>IFERROR(__xludf.DUMMYFUNCTION("""COMPUTED_VALUE"""),"")</f>
        <v/>
      </c>
      <c r="X783" s="52" t="str">
        <f>IFERROR(__xludf.DUMMYFUNCTION("""COMPUTED_VALUE"""),"")</f>
        <v/>
      </c>
      <c r="Y783" s="52" t="str">
        <f>IFERROR(__xludf.DUMMYFUNCTION("""COMPUTED_VALUE"""),"")</f>
        <v/>
      </c>
      <c r="Z783" s="52" t="str">
        <f>IFERROR(__xludf.DUMMYFUNCTION("""COMPUTED_VALUE"""),"")</f>
        <v/>
      </c>
      <c r="AA783" s="52" t="str">
        <f>IFERROR(__xludf.DUMMYFUNCTION("""COMPUTED_VALUE"""),"")</f>
        <v/>
      </c>
      <c r="AB783" s="52" t="str">
        <f>IFERROR(__xludf.DUMMYFUNCTION("""COMPUTED_VALUE"""),"")</f>
        <v/>
      </c>
      <c r="AC783" s="52" t="str">
        <f>IFERROR(__xludf.DUMMYFUNCTION("""COMPUTED_VALUE"""),"")</f>
        <v/>
      </c>
      <c r="AD783" s="52" t="str">
        <f>IFERROR(__xludf.DUMMYFUNCTION("""COMPUTED_VALUE"""),"")</f>
        <v/>
      </c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</row>
    <row r="784">
      <c r="B784" s="49"/>
      <c r="C784" s="49" t="str">
        <f t="shared" si="2"/>
        <v/>
      </c>
      <c r="D784" s="50" t="str">
        <f t="shared" si="3"/>
        <v/>
      </c>
      <c r="E784" s="51" t="str">
        <f t="shared" ref="E784:T784" si="785">IFERROR(VLOOKUP($A784,INDIRECT("'" &amp; E$1 &amp; "'!$C:$G"), 5, FALSE),"")</f>
        <v/>
      </c>
      <c r="F784" s="51" t="str">
        <f t="shared" si="785"/>
        <v/>
      </c>
      <c r="G784" s="51" t="str">
        <f t="shared" si="785"/>
        <v/>
      </c>
      <c r="H784" s="51" t="str">
        <f t="shared" si="785"/>
        <v/>
      </c>
      <c r="I784" s="51" t="str">
        <f t="shared" si="785"/>
        <v/>
      </c>
      <c r="J784" s="51" t="str">
        <f t="shared" si="785"/>
        <v/>
      </c>
      <c r="K784" s="51" t="str">
        <f t="shared" si="785"/>
        <v/>
      </c>
      <c r="L784" s="51" t="str">
        <f t="shared" si="785"/>
        <v/>
      </c>
      <c r="M784" s="51" t="str">
        <f t="shared" si="785"/>
        <v/>
      </c>
      <c r="N784" s="51" t="str">
        <f t="shared" si="785"/>
        <v/>
      </c>
      <c r="O784" s="51" t="str">
        <f t="shared" si="785"/>
        <v/>
      </c>
      <c r="P784" s="51" t="str">
        <f t="shared" si="785"/>
        <v/>
      </c>
      <c r="Q784" s="51" t="str">
        <f t="shared" si="785"/>
        <v/>
      </c>
      <c r="R784" s="51" t="str">
        <f t="shared" si="785"/>
        <v/>
      </c>
      <c r="S784" s="51" t="str">
        <f t="shared" si="785"/>
        <v/>
      </c>
      <c r="T784" s="51" t="str">
        <f t="shared" si="785"/>
        <v/>
      </c>
      <c r="U784" s="52"/>
      <c r="V784" s="52" t="str">
        <f>IFERROR(__xludf.DUMMYFUNCTION("""COMPUTED_VALUE"""),"")</f>
        <v/>
      </c>
      <c r="W784" s="52" t="str">
        <f>IFERROR(__xludf.DUMMYFUNCTION("""COMPUTED_VALUE"""),"")</f>
        <v/>
      </c>
      <c r="X784" s="52" t="str">
        <f>IFERROR(__xludf.DUMMYFUNCTION("""COMPUTED_VALUE"""),"")</f>
        <v/>
      </c>
      <c r="Y784" s="52" t="str">
        <f>IFERROR(__xludf.DUMMYFUNCTION("""COMPUTED_VALUE"""),"")</f>
        <v/>
      </c>
      <c r="Z784" s="52" t="str">
        <f>IFERROR(__xludf.DUMMYFUNCTION("""COMPUTED_VALUE"""),"")</f>
        <v/>
      </c>
      <c r="AA784" s="52" t="str">
        <f>IFERROR(__xludf.DUMMYFUNCTION("""COMPUTED_VALUE"""),"")</f>
        <v/>
      </c>
      <c r="AB784" s="52" t="str">
        <f>IFERROR(__xludf.DUMMYFUNCTION("""COMPUTED_VALUE"""),"")</f>
        <v/>
      </c>
      <c r="AC784" s="52" t="str">
        <f>IFERROR(__xludf.DUMMYFUNCTION("""COMPUTED_VALUE"""),"")</f>
        <v/>
      </c>
      <c r="AD784" s="52" t="str">
        <f>IFERROR(__xludf.DUMMYFUNCTION("""COMPUTED_VALUE"""),"")</f>
        <v/>
      </c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</row>
    <row r="785">
      <c r="B785" s="49"/>
      <c r="C785" s="49" t="str">
        <f t="shared" si="2"/>
        <v/>
      </c>
      <c r="D785" s="50" t="str">
        <f t="shared" si="3"/>
        <v/>
      </c>
      <c r="E785" s="51" t="str">
        <f t="shared" ref="E785:T785" si="786">IFERROR(VLOOKUP($A785,INDIRECT("'" &amp; E$1 &amp; "'!$C:$G"), 5, FALSE),"")</f>
        <v/>
      </c>
      <c r="F785" s="51" t="str">
        <f t="shared" si="786"/>
        <v/>
      </c>
      <c r="G785" s="51" t="str">
        <f t="shared" si="786"/>
        <v/>
      </c>
      <c r="H785" s="51" t="str">
        <f t="shared" si="786"/>
        <v/>
      </c>
      <c r="I785" s="51" t="str">
        <f t="shared" si="786"/>
        <v/>
      </c>
      <c r="J785" s="51" t="str">
        <f t="shared" si="786"/>
        <v/>
      </c>
      <c r="K785" s="51" t="str">
        <f t="shared" si="786"/>
        <v/>
      </c>
      <c r="L785" s="51" t="str">
        <f t="shared" si="786"/>
        <v/>
      </c>
      <c r="M785" s="51" t="str">
        <f t="shared" si="786"/>
        <v/>
      </c>
      <c r="N785" s="51" t="str">
        <f t="shared" si="786"/>
        <v/>
      </c>
      <c r="O785" s="51" t="str">
        <f t="shared" si="786"/>
        <v/>
      </c>
      <c r="P785" s="51" t="str">
        <f t="shared" si="786"/>
        <v/>
      </c>
      <c r="Q785" s="51" t="str">
        <f t="shared" si="786"/>
        <v/>
      </c>
      <c r="R785" s="51" t="str">
        <f t="shared" si="786"/>
        <v/>
      </c>
      <c r="S785" s="51" t="str">
        <f t="shared" si="786"/>
        <v/>
      </c>
      <c r="T785" s="51" t="str">
        <f t="shared" si="786"/>
        <v/>
      </c>
      <c r="U785" s="52"/>
      <c r="V785" s="52" t="str">
        <f>IFERROR(__xludf.DUMMYFUNCTION("""COMPUTED_VALUE"""),"")</f>
        <v/>
      </c>
      <c r="W785" s="52" t="str">
        <f>IFERROR(__xludf.DUMMYFUNCTION("""COMPUTED_VALUE"""),"")</f>
        <v/>
      </c>
      <c r="X785" s="52" t="str">
        <f>IFERROR(__xludf.DUMMYFUNCTION("""COMPUTED_VALUE"""),"")</f>
        <v/>
      </c>
      <c r="Y785" s="52" t="str">
        <f>IFERROR(__xludf.DUMMYFUNCTION("""COMPUTED_VALUE"""),"")</f>
        <v/>
      </c>
      <c r="Z785" s="52" t="str">
        <f>IFERROR(__xludf.DUMMYFUNCTION("""COMPUTED_VALUE"""),"")</f>
        <v/>
      </c>
      <c r="AA785" s="52" t="str">
        <f>IFERROR(__xludf.DUMMYFUNCTION("""COMPUTED_VALUE"""),"")</f>
        <v/>
      </c>
      <c r="AB785" s="52" t="str">
        <f>IFERROR(__xludf.DUMMYFUNCTION("""COMPUTED_VALUE"""),"")</f>
        <v/>
      </c>
      <c r="AC785" s="52" t="str">
        <f>IFERROR(__xludf.DUMMYFUNCTION("""COMPUTED_VALUE"""),"")</f>
        <v/>
      </c>
      <c r="AD785" s="52" t="str">
        <f>IFERROR(__xludf.DUMMYFUNCTION("""COMPUTED_VALUE"""),"")</f>
        <v/>
      </c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</row>
    <row r="786">
      <c r="B786" s="49"/>
      <c r="C786" s="49" t="str">
        <f t="shared" si="2"/>
        <v/>
      </c>
      <c r="D786" s="50" t="str">
        <f t="shared" si="3"/>
        <v/>
      </c>
      <c r="E786" s="51" t="str">
        <f t="shared" ref="E786:T786" si="787">IFERROR(VLOOKUP($A786,INDIRECT("'" &amp; E$1 &amp; "'!$C:$G"), 5, FALSE),"")</f>
        <v/>
      </c>
      <c r="F786" s="51" t="str">
        <f t="shared" si="787"/>
        <v/>
      </c>
      <c r="G786" s="51" t="str">
        <f t="shared" si="787"/>
        <v/>
      </c>
      <c r="H786" s="51" t="str">
        <f t="shared" si="787"/>
        <v/>
      </c>
      <c r="I786" s="51" t="str">
        <f t="shared" si="787"/>
        <v/>
      </c>
      <c r="J786" s="51" t="str">
        <f t="shared" si="787"/>
        <v/>
      </c>
      <c r="K786" s="51" t="str">
        <f t="shared" si="787"/>
        <v/>
      </c>
      <c r="L786" s="51" t="str">
        <f t="shared" si="787"/>
        <v/>
      </c>
      <c r="M786" s="51" t="str">
        <f t="shared" si="787"/>
        <v/>
      </c>
      <c r="N786" s="51" t="str">
        <f t="shared" si="787"/>
        <v/>
      </c>
      <c r="O786" s="51" t="str">
        <f t="shared" si="787"/>
        <v/>
      </c>
      <c r="P786" s="51" t="str">
        <f t="shared" si="787"/>
        <v/>
      </c>
      <c r="Q786" s="51" t="str">
        <f t="shared" si="787"/>
        <v/>
      </c>
      <c r="R786" s="51" t="str">
        <f t="shared" si="787"/>
        <v/>
      </c>
      <c r="S786" s="51" t="str">
        <f t="shared" si="787"/>
        <v/>
      </c>
      <c r="T786" s="51" t="str">
        <f t="shared" si="787"/>
        <v/>
      </c>
      <c r="U786" s="52"/>
      <c r="V786" s="52" t="str">
        <f>IFERROR(__xludf.DUMMYFUNCTION("""COMPUTED_VALUE"""),"")</f>
        <v/>
      </c>
      <c r="W786" s="52" t="str">
        <f>IFERROR(__xludf.DUMMYFUNCTION("""COMPUTED_VALUE"""),"")</f>
        <v/>
      </c>
      <c r="X786" s="52" t="str">
        <f>IFERROR(__xludf.DUMMYFUNCTION("""COMPUTED_VALUE"""),"")</f>
        <v/>
      </c>
      <c r="Y786" s="52" t="str">
        <f>IFERROR(__xludf.DUMMYFUNCTION("""COMPUTED_VALUE"""),"")</f>
        <v/>
      </c>
      <c r="Z786" s="52" t="str">
        <f>IFERROR(__xludf.DUMMYFUNCTION("""COMPUTED_VALUE"""),"")</f>
        <v/>
      </c>
      <c r="AA786" s="52" t="str">
        <f>IFERROR(__xludf.DUMMYFUNCTION("""COMPUTED_VALUE"""),"")</f>
        <v/>
      </c>
      <c r="AB786" s="52" t="str">
        <f>IFERROR(__xludf.DUMMYFUNCTION("""COMPUTED_VALUE"""),"")</f>
        <v/>
      </c>
      <c r="AC786" s="52" t="str">
        <f>IFERROR(__xludf.DUMMYFUNCTION("""COMPUTED_VALUE"""),"")</f>
        <v/>
      </c>
      <c r="AD786" s="52" t="str">
        <f>IFERROR(__xludf.DUMMYFUNCTION("""COMPUTED_VALUE"""),"")</f>
        <v/>
      </c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</row>
    <row r="787">
      <c r="B787" s="49"/>
      <c r="C787" s="49" t="str">
        <f t="shared" si="2"/>
        <v/>
      </c>
      <c r="D787" s="50" t="str">
        <f t="shared" si="3"/>
        <v/>
      </c>
      <c r="E787" s="51" t="str">
        <f t="shared" ref="E787:T787" si="788">IFERROR(VLOOKUP($A787,INDIRECT("'" &amp; E$1 &amp; "'!$C:$G"), 5, FALSE),"")</f>
        <v/>
      </c>
      <c r="F787" s="51" t="str">
        <f t="shared" si="788"/>
        <v/>
      </c>
      <c r="G787" s="51" t="str">
        <f t="shared" si="788"/>
        <v/>
      </c>
      <c r="H787" s="51" t="str">
        <f t="shared" si="788"/>
        <v/>
      </c>
      <c r="I787" s="51" t="str">
        <f t="shared" si="788"/>
        <v/>
      </c>
      <c r="J787" s="51" t="str">
        <f t="shared" si="788"/>
        <v/>
      </c>
      <c r="K787" s="51" t="str">
        <f t="shared" si="788"/>
        <v/>
      </c>
      <c r="L787" s="51" t="str">
        <f t="shared" si="788"/>
        <v/>
      </c>
      <c r="M787" s="51" t="str">
        <f t="shared" si="788"/>
        <v/>
      </c>
      <c r="N787" s="51" t="str">
        <f t="shared" si="788"/>
        <v/>
      </c>
      <c r="O787" s="51" t="str">
        <f t="shared" si="788"/>
        <v/>
      </c>
      <c r="P787" s="51" t="str">
        <f t="shared" si="788"/>
        <v/>
      </c>
      <c r="Q787" s="51" t="str">
        <f t="shared" si="788"/>
        <v/>
      </c>
      <c r="R787" s="51" t="str">
        <f t="shared" si="788"/>
        <v/>
      </c>
      <c r="S787" s="51" t="str">
        <f t="shared" si="788"/>
        <v/>
      </c>
      <c r="T787" s="51" t="str">
        <f t="shared" si="788"/>
        <v/>
      </c>
      <c r="U787" s="52"/>
      <c r="V787" s="52" t="str">
        <f>IFERROR(__xludf.DUMMYFUNCTION("""COMPUTED_VALUE"""),"")</f>
        <v/>
      </c>
      <c r="W787" s="52" t="str">
        <f>IFERROR(__xludf.DUMMYFUNCTION("""COMPUTED_VALUE"""),"")</f>
        <v/>
      </c>
      <c r="X787" s="52" t="str">
        <f>IFERROR(__xludf.DUMMYFUNCTION("""COMPUTED_VALUE"""),"")</f>
        <v/>
      </c>
      <c r="Y787" s="52" t="str">
        <f>IFERROR(__xludf.DUMMYFUNCTION("""COMPUTED_VALUE"""),"")</f>
        <v/>
      </c>
      <c r="Z787" s="52" t="str">
        <f>IFERROR(__xludf.DUMMYFUNCTION("""COMPUTED_VALUE"""),"")</f>
        <v/>
      </c>
      <c r="AA787" s="52" t="str">
        <f>IFERROR(__xludf.DUMMYFUNCTION("""COMPUTED_VALUE"""),"")</f>
        <v/>
      </c>
      <c r="AB787" s="52" t="str">
        <f>IFERROR(__xludf.DUMMYFUNCTION("""COMPUTED_VALUE"""),"")</f>
        <v/>
      </c>
      <c r="AC787" s="52" t="str">
        <f>IFERROR(__xludf.DUMMYFUNCTION("""COMPUTED_VALUE"""),"")</f>
        <v/>
      </c>
      <c r="AD787" s="52" t="str">
        <f>IFERROR(__xludf.DUMMYFUNCTION("""COMPUTED_VALUE"""),"")</f>
        <v/>
      </c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</row>
    <row r="788">
      <c r="B788" s="49"/>
      <c r="C788" s="49" t="str">
        <f t="shared" si="2"/>
        <v/>
      </c>
      <c r="D788" s="50" t="str">
        <f t="shared" si="3"/>
        <v/>
      </c>
      <c r="E788" s="51" t="str">
        <f t="shared" ref="E788:T788" si="789">IFERROR(VLOOKUP($A788,INDIRECT("'" &amp; E$1 &amp; "'!$C:$G"), 5, FALSE),"")</f>
        <v/>
      </c>
      <c r="F788" s="51" t="str">
        <f t="shared" si="789"/>
        <v/>
      </c>
      <c r="G788" s="51" t="str">
        <f t="shared" si="789"/>
        <v/>
      </c>
      <c r="H788" s="51" t="str">
        <f t="shared" si="789"/>
        <v/>
      </c>
      <c r="I788" s="51" t="str">
        <f t="shared" si="789"/>
        <v/>
      </c>
      <c r="J788" s="51" t="str">
        <f t="shared" si="789"/>
        <v/>
      </c>
      <c r="K788" s="51" t="str">
        <f t="shared" si="789"/>
        <v/>
      </c>
      <c r="L788" s="51" t="str">
        <f t="shared" si="789"/>
        <v/>
      </c>
      <c r="M788" s="51" t="str">
        <f t="shared" si="789"/>
        <v/>
      </c>
      <c r="N788" s="51" t="str">
        <f t="shared" si="789"/>
        <v/>
      </c>
      <c r="O788" s="51" t="str">
        <f t="shared" si="789"/>
        <v/>
      </c>
      <c r="P788" s="51" t="str">
        <f t="shared" si="789"/>
        <v/>
      </c>
      <c r="Q788" s="51" t="str">
        <f t="shared" si="789"/>
        <v/>
      </c>
      <c r="R788" s="51" t="str">
        <f t="shared" si="789"/>
        <v/>
      </c>
      <c r="S788" s="51" t="str">
        <f t="shared" si="789"/>
        <v/>
      </c>
      <c r="T788" s="51" t="str">
        <f t="shared" si="789"/>
        <v/>
      </c>
      <c r="U788" s="52"/>
      <c r="V788" s="52" t="str">
        <f>IFERROR(__xludf.DUMMYFUNCTION("""COMPUTED_VALUE"""),"")</f>
        <v/>
      </c>
      <c r="W788" s="52" t="str">
        <f>IFERROR(__xludf.DUMMYFUNCTION("""COMPUTED_VALUE"""),"")</f>
        <v/>
      </c>
      <c r="X788" s="52" t="str">
        <f>IFERROR(__xludf.DUMMYFUNCTION("""COMPUTED_VALUE"""),"")</f>
        <v/>
      </c>
      <c r="Y788" s="52" t="str">
        <f>IFERROR(__xludf.DUMMYFUNCTION("""COMPUTED_VALUE"""),"")</f>
        <v/>
      </c>
      <c r="Z788" s="52" t="str">
        <f>IFERROR(__xludf.DUMMYFUNCTION("""COMPUTED_VALUE"""),"")</f>
        <v/>
      </c>
      <c r="AA788" s="52" t="str">
        <f>IFERROR(__xludf.DUMMYFUNCTION("""COMPUTED_VALUE"""),"")</f>
        <v/>
      </c>
      <c r="AB788" s="52" t="str">
        <f>IFERROR(__xludf.DUMMYFUNCTION("""COMPUTED_VALUE"""),"")</f>
        <v/>
      </c>
      <c r="AC788" s="52" t="str">
        <f>IFERROR(__xludf.DUMMYFUNCTION("""COMPUTED_VALUE"""),"")</f>
        <v/>
      </c>
      <c r="AD788" s="52" t="str">
        <f>IFERROR(__xludf.DUMMYFUNCTION("""COMPUTED_VALUE"""),"")</f>
        <v/>
      </c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</row>
    <row r="789">
      <c r="B789" s="49"/>
      <c r="C789" s="49" t="str">
        <f t="shared" si="2"/>
        <v/>
      </c>
      <c r="D789" s="50" t="str">
        <f t="shared" si="3"/>
        <v/>
      </c>
      <c r="E789" s="51" t="str">
        <f t="shared" ref="E789:T789" si="790">IFERROR(VLOOKUP($A789,INDIRECT("'" &amp; E$1 &amp; "'!$C:$G"), 5, FALSE),"")</f>
        <v/>
      </c>
      <c r="F789" s="51" t="str">
        <f t="shared" si="790"/>
        <v/>
      </c>
      <c r="G789" s="51" t="str">
        <f t="shared" si="790"/>
        <v/>
      </c>
      <c r="H789" s="51" t="str">
        <f t="shared" si="790"/>
        <v/>
      </c>
      <c r="I789" s="51" t="str">
        <f t="shared" si="790"/>
        <v/>
      </c>
      <c r="J789" s="51" t="str">
        <f t="shared" si="790"/>
        <v/>
      </c>
      <c r="K789" s="51" t="str">
        <f t="shared" si="790"/>
        <v/>
      </c>
      <c r="L789" s="51" t="str">
        <f t="shared" si="790"/>
        <v/>
      </c>
      <c r="M789" s="51" t="str">
        <f t="shared" si="790"/>
        <v/>
      </c>
      <c r="N789" s="51" t="str">
        <f t="shared" si="790"/>
        <v/>
      </c>
      <c r="O789" s="51" t="str">
        <f t="shared" si="790"/>
        <v/>
      </c>
      <c r="P789" s="51" t="str">
        <f t="shared" si="790"/>
        <v/>
      </c>
      <c r="Q789" s="51" t="str">
        <f t="shared" si="790"/>
        <v/>
      </c>
      <c r="R789" s="51" t="str">
        <f t="shared" si="790"/>
        <v/>
      </c>
      <c r="S789" s="51" t="str">
        <f t="shared" si="790"/>
        <v/>
      </c>
      <c r="T789" s="51" t="str">
        <f t="shared" si="790"/>
        <v/>
      </c>
      <c r="U789" s="52"/>
      <c r="V789" s="52" t="str">
        <f>IFERROR(__xludf.DUMMYFUNCTION("""COMPUTED_VALUE"""),"")</f>
        <v/>
      </c>
      <c r="W789" s="52" t="str">
        <f>IFERROR(__xludf.DUMMYFUNCTION("""COMPUTED_VALUE"""),"")</f>
        <v/>
      </c>
      <c r="X789" s="52" t="str">
        <f>IFERROR(__xludf.DUMMYFUNCTION("""COMPUTED_VALUE"""),"")</f>
        <v/>
      </c>
      <c r="Y789" s="52" t="str">
        <f>IFERROR(__xludf.DUMMYFUNCTION("""COMPUTED_VALUE"""),"")</f>
        <v/>
      </c>
      <c r="Z789" s="52" t="str">
        <f>IFERROR(__xludf.DUMMYFUNCTION("""COMPUTED_VALUE"""),"")</f>
        <v/>
      </c>
      <c r="AA789" s="52" t="str">
        <f>IFERROR(__xludf.DUMMYFUNCTION("""COMPUTED_VALUE"""),"")</f>
        <v/>
      </c>
      <c r="AB789" s="52" t="str">
        <f>IFERROR(__xludf.DUMMYFUNCTION("""COMPUTED_VALUE"""),"")</f>
        <v/>
      </c>
      <c r="AC789" s="52" t="str">
        <f>IFERROR(__xludf.DUMMYFUNCTION("""COMPUTED_VALUE"""),"")</f>
        <v/>
      </c>
      <c r="AD789" s="52" t="str">
        <f>IFERROR(__xludf.DUMMYFUNCTION("""COMPUTED_VALUE"""),"")</f>
        <v/>
      </c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</row>
    <row r="790">
      <c r="B790" s="49"/>
      <c r="C790" s="49" t="str">
        <f t="shared" si="2"/>
        <v/>
      </c>
      <c r="D790" s="50" t="str">
        <f t="shared" si="3"/>
        <v/>
      </c>
      <c r="E790" s="51" t="str">
        <f t="shared" ref="E790:T790" si="791">IFERROR(VLOOKUP($A790,INDIRECT("'" &amp; E$1 &amp; "'!$C:$G"), 5, FALSE),"")</f>
        <v/>
      </c>
      <c r="F790" s="51" t="str">
        <f t="shared" si="791"/>
        <v/>
      </c>
      <c r="G790" s="51" t="str">
        <f t="shared" si="791"/>
        <v/>
      </c>
      <c r="H790" s="51" t="str">
        <f t="shared" si="791"/>
        <v/>
      </c>
      <c r="I790" s="51" t="str">
        <f t="shared" si="791"/>
        <v/>
      </c>
      <c r="J790" s="51" t="str">
        <f t="shared" si="791"/>
        <v/>
      </c>
      <c r="K790" s="51" t="str">
        <f t="shared" si="791"/>
        <v/>
      </c>
      <c r="L790" s="51" t="str">
        <f t="shared" si="791"/>
        <v/>
      </c>
      <c r="M790" s="51" t="str">
        <f t="shared" si="791"/>
        <v/>
      </c>
      <c r="N790" s="51" t="str">
        <f t="shared" si="791"/>
        <v/>
      </c>
      <c r="O790" s="51" t="str">
        <f t="shared" si="791"/>
        <v/>
      </c>
      <c r="P790" s="51" t="str">
        <f t="shared" si="791"/>
        <v/>
      </c>
      <c r="Q790" s="51" t="str">
        <f t="shared" si="791"/>
        <v/>
      </c>
      <c r="R790" s="51" t="str">
        <f t="shared" si="791"/>
        <v/>
      </c>
      <c r="S790" s="51" t="str">
        <f t="shared" si="791"/>
        <v/>
      </c>
      <c r="T790" s="51" t="str">
        <f t="shared" si="791"/>
        <v/>
      </c>
      <c r="U790" s="52"/>
      <c r="V790" s="52" t="str">
        <f>IFERROR(__xludf.DUMMYFUNCTION("""COMPUTED_VALUE"""),"")</f>
        <v/>
      </c>
      <c r="W790" s="52" t="str">
        <f>IFERROR(__xludf.DUMMYFUNCTION("""COMPUTED_VALUE"""),"")</f>
        <v/>
      </c>
      <c r="X790" s="52" t="str">
        <f>IFERROR(__xludf.DUMMYFUNCTION("""COMPUTED_VALUE"""),"")</f>
        <v/>
      </c>
      <c r="Y790" s="52" t="str">
        <f>IFERROR(__xludf.DUMMYFUNCTION("""COMPUTED_VALUE"""),"")</f>
        <v/>
      </c>
      <c r="Z790" s="52" t="str">
        <f>IFERROR(__xludf.DUMMYFUNCTION("""COMPUTED_VALUE"""),"")</f>
        <v/>
      </c>
      <c r="AA790" s="52" t="str">
        <f>IFERROR(__xludf.DUMMYFUNCTION("""COMPUTED_VALUE"""),"")</f>
        <v/>
      </c>
      <c r="AB790" s="52" t="str">
        <f>IFERROR(__xludf.DUMMYFUNCTION("""COMPUTED_VALUE"""),"")</f>
        <v/>
      </c>
      <c r="AC790" s="52" t="str">
        <f>IFERROR(__xludf.DUMMYFUNCTION("""COMPUTED_VALUE"""),"")</f>
        <v/>
      </c>
      <c r="AD790" s="52" t="str">
        <f>IFERROR(__xludf.DUMMYFUNCTION("""COMPUTED_VALUE"""),"")</f>
        <v/>
      </c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</row>
    <row r="791">
      <c r="B791" s="49"/>
      <c r="C791" s="49" t="str">
        <f t="shared" si="2"/>
        <v/>
      </c>
      <c r="D791" s="50" t="str">
        <f t="shared" si="3"/>
        <v/>
      </c>
      <c r="E791" s="51" t="str">
        <f t="shared" ref="E791:T791" si="792">IFERROR(VLOOKUP($A791,INDIRECT("'" &amp; E$1 &amp; "'!$C:$G"), 5, FALSE),"")</f>
        <v/>
      </c>
      <c r="F791" s="51" t="str">
        <f t="shared" si="792"/>
        <v/>
      </c>
      <c r="G791" s="51" t="str">
        <f t="shared" si="792"/>
        <v/>
      </c>
      <c r="H791" s="51" t="str">
        <f t="shared" si="792"/>
        <v/>
      </c>
      <c r="I791" s="51" t="str">
        <f t="shared" si="792"/>
        <v/>
      </c>
      <c r="J791" s="51" t="str">
        <f t="shared" si="792"/>
        <v/>
      </c>
      <c r="K791" s="51" t="str">
        <f t="shared" si="792"/>
        <v/>
      </c>
      <c r="L791" s="51" t="str">
        <f t="shared" si="792"/>
        <v/>
      </c>
      <c r="M791" s="51" t="str">
        <f t="shared" si="792"/>
        <v/>
      </c>
      <c r="N791" s="51" t="str">
        <f t="shared" si="792"/>
        <v/>
      </c>
      <c r="O791" s="51" t="str">
        <f t="shared" si="792"/>
        <v/>
      </c>
      <c r="P791" s="51" t="str">
        <f t="shared" si="792"/>
        <v/>
      </c>
      <c r="Q791" s="51" t="str">
        <f t="shared" si="792"/>
        <v/>
      </c>
      <c r="R791" s="51" t="str">
        <f t="shared" si="792"/>
        <v/>
      </c>
      <c r="S791" s="51" t="str">
        <f t="shared" si="792"/>
        <v/>
      </c>
      <c r="T791" s="51" t="str">
        <f t="shared" si="792"/>
        <v/>
      </c>
      <c r="U791" s="52"/>
      <c r="V791" s="52" t="str">
        <f>IFERROR(__xludf.DUMMYFUNCTION("""COMPUTED_VALUE"""),"")</f>
        <v/>
      </c>
      <c r="W791" s="52" t="str">
        <f>IFERROR(__xludf.DUMMYFUNCTION("""COMPUTED_VALUE"""),"")</f>
        <v/>
      </c>
      <c r="X791" s="52" t="str">
        <f>IFERROR(__xludf.DUMMYFUNCTION("""COMPUTED_VALUE"""),"")</f>
        <v/>
      </c>
      <c r="Y791" s="52" t="str">
        <f>IFERROR(__xludf.DUMMYFUNCTION("""COMPUTED_VALUE"""),"")</f>
        <v/>
      </c>
      <c r="Z791" s="52" t="str">
        <f>IFERROR(__xludf.DUMMYFUNCTION("""COMPUTED_VALUE"""),"")</f>
        <v/>
      </c>
      <c r="AA791" s="52" t="str">
        <f>IFERROR(__xludf.DUMMYFUNCTION("""COMPUTED_VALUE"""),"")</f>
        <v/>
      </c>
      <c r="AB791" s="52" t="str">
        <f>IFERROR(__xludf.DUMMYFUNCTION("""COMPUTED_VALUE"""),"")</f>
        <v/>
      </c>
      <c r="AC791" s="52" t="str">
        <f>IFERROR(__xludf.DUMMYFUNCTION("""COMPUTED_VALUE"""),"")</f>
        <v/>
      </c>
      <c r="AD791" s="52" t="str">
        <f>IFERROR(__xludf.DUMMYFUNCTION("""COMPUTED_VALUE"""),"")</f>
        <v/>
      </c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</row>
    <row r="792">
      <c r="B792" s="49"/>
      <c r="C792" s="49" t="str">
        <f t="shared" si="2"/>
        <v/>
      </c>
      <c r="D792" s="50" t="str">
        <f t="shared" si="3"/>
        <v/>
      </c>
      <c r="E792" s="51" t="str">
        <f t="shared" ref="E792:T792" si="793">IFERROR(VLOOKUP($A792,INDIRECT("'" &amp; E$1 &amp; "'!$C:$G"), 5, FALSE),"")</f>
        <v/>
      </c>
      <c r="F792" s="51" t="str">
        <f t="shared" si="793"/>
        <v/>
      </c>
      <c r="G792" s="51" t="str">
        <f t="shared" si="793"/>
        <v/>
      </c>
      <c r="H792" s="51" t="str">
        <f t="shared" si="793"/>
        <v/>
      </c>
      <c r="I792" s="51" t="str">
        <f t="shared" si="793"/>
        <v/>
      </c>
      <c r="J792" s="51" t="str">
        <f t="shared" si="793"/>
        <v/>
      </c>
      <c r="K792" s="51" t="str">
        <f t="shared" si="793"/>
        <v/>
      </c>
      <c r="L792" s="51" t="str">
        <f t="shared" si="793"/>
        <v/>
      </c>
      <c r="M792" s="51" t="str">
        <f t="shared" si="793"/>
        <v/>
      </c>
      <c r="N792" s="51" t="str">
        <f t="shared" si="793"/>
        <v/>
      </c>
      <c r="O792" s="51" t="str">
        <f t="shared" si="793"/>
        <v/>
      </c>
      <c r="P792" s="51" t="str">
        <f t="shared" si="793"/>
        <v/>
      </c>
      <c r="Q792" s="51" t="str">
        <f t="shared" si="793"/>
        <v/>
      </c>
      <c r="R792" s="51" t="str">
        <f t="shared" si="793"/>
        <v/>
      </c>
      <c r="S792" s="51" t="str">
        <f t="shared" si="793"/>
        <v/>
      </c>
      <c r="T792" s="51" t="str">
        <f t="shared" si="793"/>
        <v/>
      </c>
      <c r="U792" s="52"/>
      <c r="V792" s="52" t="str">
        <f>IFERROR(__xludf.DUMMYFUNCTION("""COMPUTED_VALUE"""),"")</f>
        <v/>
      </c>
      <c r="W792" s="52" t="str">
        <f>IFERROR(__xludf.DUMMYFUNCTION("""COMPUTED_VALUE"""),"")</f>
        <v/>
      </c>
      <c r="X792" s="52" t="str">
        <f>IFERROR(__xludf.DUMMYFUNCTION("""COMPUTED_VALUE"""),"")</f>
        <v/>
      </c>
      <c r="Y792" s="52" t="str">
        <f>IFERROR(__xludf.DUMMYFUNCTION("""COMPUTED_VALUE"""),"")</f>
        <v/>
      </c>
      <c r="Z792" s="52" t="str">
        <f>IFERROR(__xludf.DUMMYFUNCTION("""COMPUTED_VALUE"""),"")</f>
        <v/>
      </c>
      <c r="AA792" s="52" t="str">
        <f>IFERROR(__xludf.DUMMYFUNCTION("""COMPUTED_VALUE"""),"")</f>
        <v/>
      </c>
      <c r="AB792" s="52" t="str">
        <f>IFERROR(__xludf.DUMMYFUNCTION("""COMPUTED_VALUE"""),"")</f>
        <v/>
      </c>
      <c r="AC792" s="52" t="str">
        <f>IFERROR(__xludf.DUMMYFUNCTION("""COMPUTED_VALUE"""),"")</f>
        <v/>
      </c>
      <c r="AD792" s="52" t="str">
        <f>IFERROR(__xludf.DUMMYFUNCTION("""COMPUTED_VALUE"""),"")</f>
        <v/>
      </c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</row>
    <row r="793">
      <c r="B793" s="49"/>
      <c r="C793" s="49" t="str">
        <f t="shared" si="2"/>
        <v/>
      </c>
      <c r="D793" s="50" t="str">
        <f t="shared" si="3"/>
        <v/>
      </c>
      <c r="E793" s="51" t="str">
        <f t="shared" ref="E793:T793" si="794">IFERROR(VLOOKUP($A793,INDIRECT("'" &amp; E$1 &amp; "'!$C:$G"), 5, FALSE),"")</f>
        <v/>
      </c>
      <c r="F793" s="51" t="str">
        <f t="shared" si="794"/>
        <v/>
      </c>
      <c r="G793" s="51" t="str">
        <f t="shared" si="794"/>
        <v/>
      </c>
      <c r="H793" s="51" t="str">
        <f t="shared" si="794"/>
        <v/>
      </c>
      <c r="I793" s="51" t="str">
        <f t="shared" si="794"/>
        <v/>
      </c>
      <c r="J793" s="51" t="str">
        <f t="shared" si="794"/>
        <v/>
      </c>
      <c r="K793" s="51" t="str">
        <f t="shared" si="794"/>
        <v/>
      </c>
      <c r="L793" s="51" t="str">
        <f t="shared" si="794"/>
        <v/>
      </c>
      <c r="M793" s="51" t="str">
        <f t="shared" si="794"/>
        <v/>
      </c>
      <c r="N793" s="51" t="str">
        <f t="shared" si="794"/>
        <v/>
      </c>
      <c r="O793" s="51" t="str">
        <f t="shared" si="794"/>
        <v/>
      </c>
      <c r="P793" s="51" t="str">
        <f t="shared" si="794"/>
        <v/>
      </c>
      <c r="Q793" s="51" t="str">
        <f t="shared" si="794"/>
        <v/>
      </c>
      <c r="R793" s="51" t="str">
        <f t="shared" si="794"/>
        <v/>
      </c>
      <c r="S793" s="51" t="str">
        <f t="shared" si="794"/>
        <v/>
      </c>
      <c r="T793" s="51" t="str">
        <f t="shared" si="794"/>
        <v/>
      </c>
      <c r="U793" s="52"/>
      <c r="V793" s="52" t="str">
        <f>IFERROR(__xludf.DUMMYFUNCTION("""COMPUTED_VALUE"""),"")</f>
        <v/>
      </c>
      <c r="W793" s="52" t="str">
        <f>IFERROR(__xludf.DUMMYFUNCTION("""COMPUTED_VALUE"""),"")</f>
        <v/>
      </c>
      <c r="X793" s="52" t="str">
        <f>IFERROR(__xludf.DUMMYFUNCTION("""COMPUTED_VALUE"""),"")</f>
        <v/>
      </c>
      <c r="Y793" s="52" t="str">
        <f>IFERROR(__xludf.DUMMYFUNCTION("""COMPUTED_VALUE"""),"")</f>
        <v/>
      </c>
      <c r="Z793" s="52" t="str">
        <f>IFERROR(__xludf.DUMMYFUNCTION("""COMPUTED_VALUE"""),"")</f>
        <v/>
      </c>
      <c r="AA793" s="52" t="str">
        <f>IFERROR(__xludf.DUMMYFUNCTION("""COMPUTED_VALUE"""),"")</f>
        <v/>
      </c>
      <c r="AB793" s="52" t="str">
        <f>IFERROR(__xludf.DUMMYFUNCTION("""COMPUTED_VALUE"""),"")</f>
        <v/>
      </c>
      <c r="AC793" s="52" t="str">
        <f>IFERROR(__xludf.DUMMYFUNCTION("""COMPUTED_VALUE"""),"")</f>
        <v/>
      </c>
      <c r="AD793" s="52" t="str">
        <f>IFERROR(__xludf.DUMMYFUNCTION("""COMPUTED_VALUE"""),"")</f>
        <v/>
      </c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</row>
    <row r="794">
      <c r="B794" s="49"/>
      <c r="C794" s="49" t="str">
        <f t="shared" si="2"/>
        <v/>
      </c>
      <c r="D794" s="50" t="str">
        <f t="shared" si="3"/>
        <v/>
      </c>
      <c r="E794" s="51" t="str">
        <f t="shared" ref="E794:T794" si="795">IFERROR(VLOOKUP($A794,INDIRECT("'" &amp; E$1 &amp; "'!$C:$G"), 5, FALSE),"")</f>
        <v/>
      </c>
      <c r="F794" s="51" t="str">
        <f t="shared" si="795"/>
        <v/>
      </c>
      <c r="G794" s="51" t="str">
        <f t="shared" si="795"/>
        <v/>
      </c>
      <c r="H794" s="51" t="str">
        <f t="shared" si="795"/>
        <v/>
      </c>
      <c r="I794" s="51" t="str">
        <f t="shared" si="795"/>
        <v/>
      </c>
      <c r="J794" s="51" t="str">
        <f t="shared" si="795"/>
        <v/>
      </c>
      <c r="K794" s="51" t="str">
        <f t="shared" si="795"/>
        <v/>
      </c>
      <c r="L794" s="51" t="str">
        <f t="shared" si="795"/>
        <v/>
      </c>
      <c r="M794" s="51" t="str">
        <f t="shared" si="795"/>
        <v/>
      </c>
      <c r="N794" s="51" t="str">
        <f t="shared" si="795"/>
        <v/>
      </c>
      <c r="O794" s="51" t="str">
        <f t="shared" si="795"/>
        <v/>
      </c>
      <c r="P794" s="51" t="str">
        <f t="shared" si="795"/>
        <v/>
      </c>
      <c r="Q794" s="51" t="str">
        <f t="shared" si="795"/>
        <v/>
      </c>
      <c r="R794" s="51" t="str">
        <f t="shared" si="795"/>
        <v/>
      </c>
      <c r="S794" s="51" t="str">
        <f t="shared" si="795"/>
        <v/>
      </c>
      <c r="T794" s="51" t="str">
        <f t="shared" si="795"/>
        <v/>
      </c>
      <c r="U794" s="52"/>
      <c r="V794" s="52" t="str">
        <f>IFERROR(__xludf.DUMMYFUNCTION("""COMPUTED_VALUE"""),"")</f>
        <v/>
      </c>
      <c r="W794" s="52" t="str">
        <f>IFERROR(__xludf.DUMMYFUNCTION("""COMPUTED_VALUE"""),"")</f>
        <v/>
      </c>
      <c r="X794" s="52" t="str">
        <f>IFERROR(__xludf.DUMMYFUNCTION("""COMPUTED_VALUE"""),"")</f>
        <v/>
      </c>
      <c r="Y794" s="52" t="str">
        <f>IFERROR(__xludf.DUMMYFUNCTION("""COMPUTED_VALUE"""),"")</f>
        <v/>
      </c>
      <c r="Z794" s="52" t="str">
        <f>IFERROR(__xludf.DUMMYFUNCTION("""COMPUTED_VALUE"""),"")</f>
        <v/>
      </c>
      <c r="AA794" s="52" t="str">
        <f>IFERROR(__xludf.DUMMYFUNCTION("""COMPUTED_VALUE"""),"")</f>
        <v/>
      </c>
      <c r="AB794" s="52" t="str">
        <f>IFERROR(__xludf.DUMMYFUNCTION("""COMPUTED_VALUE"""),"")</f>
        <v/>
      </c>
      <c r="AC794" s="52" t="str">
        <f>IFERROR(__xludf.DUMMYFUNCTION("""COMPUTED_VALUE"""),"")</f>
        <v/>
      </c>
      <c r="AD794" s="52" t="str">
        <f>IFERROR(__xludf.DUMMYFUNCTION("""COMPUTED_VALUE"""),"")</f>
        <v/>
      </c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</row>
    <row r="795">
      <c r="B795" s="49"/>
      <c r="C795" s="49" t="str">
        <f t="shared" si="2"/>
        <v/>
      </c>
      <c r="D795" s="50" t="str">
        <f t="shared" si="3"/>
        <v/>
      </c>
      <c r="E795" s="51" t="str">
        <f t="shared" ref="E795:T795" si="796">IFERROR(VLOOKUP($A795,INDIRECT("'" &amp; E$1 &amp; "'!$C:$G"), 5, FALSE),"")</f>
        <v/>
      </c>
      <c r="F795" s="51" t="str">
        <f t="shared" si="796"/>
        <v/>
      </c>
      <c r="G795" s="51" t="str">
        <f t="shared" si="796"/>
        <v/>
      </c>
      <c r="H795" s="51" t="str">
        <f t="shared" si="796"/>
        <v/>
      </c>
      <c r="I795" s="51" t="str">
        <f t="shared" si="796"/>
        <v/>
      </c>
      <c r="J795" s="51" t="str">
        <f t="shared" si="796"/>
        <v/>
      </c>
      <c r="K795" s="51" t="str">
        <f t="shared" si="796"/>
        <v/>
      </c>
      <c r="L795" s="51" t="str">
        <f t="shared" si="796"/>
        <v/>
      </c>
      <c r="M795" s="51" t="str">
        <f t="shared" si="796"/>
        <v/>
      </c>
      <c r="N795" s="51" t="str">
        <f t="shared" si="796"/>
        <v/>
      </c>
      <c r="O795" s="51" t="str">
        <f t="shared" si="796"/>
        <v/>
      </c>
      <c r="P795" s="51" t="str">
        <f t="shared" si="796"/>
        <v/>
      </c>
      <c r="Q795" s="51" t="str">
        <f t="shared" si="796"/>
        <v/>
      </c>
      <c r="R795" s="51" t="str">
        <f t="shared" si="796"/>
        <v/>
      </c>
      <c r="S795" s="51" t="str">
        <f t="shared" si="796"/>
        <v/>
      </c>
      <c r="T795" s="51" t="str">
        <f t="shared" si="796"/>
        <v/>
      </c>
      <c r="U795" s="52"/>
      <c r="V795" s="52" t="str">
        <f>IFERROR(__xludf.DUMMYFUNCTION("""COMPUTED_VALUE"""),"")</f>
        <v/>
      </c>
      <c r="W795" s="52" t="str">
        <f>IFERROR(__xludf.DUMMYFUNCTION("""COMPUTED_VALUE"""),"")</f>
        <v/>
      </c>
      <c r="X795" s="52" t="str">
        <f>IFERROR(__xludf.DUMMYFUNCTION("""COMPUTED_VALUE"""),"")</f>
        <v/>
      </c>
      <c r="Y795" s="52" t="str">
        <f>IFERROR(__xludf.DUMMYFUNCTION("""COMPUTED_VALUE"""),"")</f>
        <v/>
      </c>
      <c r="Z795" s="52" t="str">
        <f>IFERROR(__xludf.DUMMYFUNCTION("""COMPUTED_VALUE"""),"")</f>
        <v/>
      </c>
      <c r="AA795" s="52" t="str">
        <f>IFERROR(__xludf.DUMMYFUNCTION("""COMPUTED_VALUE"""),"")</f>
        <v/>
      </c>
      <c r="AB795" s="52" t="str">
        <f>IFERROR(__xludf.DUMMYFUNCTION("""COMPUTED_VALUE"""),"")</f>
        <v/>
      </c>
      <c r="AC795" s="52" t="str">
        <f>IFERROR(__xludf.DUMMYFUNCTION("""COMPUTED_VALUE"""),"")</f>
        <v/>
      </c>
      <c r="AD795" s="52" t="str">
        <f>IFERROR(__xludf.DUMMYFUNCTION("""COMPUTED_VALUE"""),"")</f>
        <v/>
      </c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</row>
    <row r="796">
      <c r="B796" s="49"/>
      <c r="C796" s="49" t="str">
        <f t="shared" si="2"/>
        <v/>
      </c>
      <c r="D796" s="50" t="str">
        <f t="shared" si="3"/>
        <v/>
      </c>
      <c r="E796" s="51" t="str">
        <f t="shared" ref="E796:T796" si="797">IFERROR(VLOOKUP($A796,INDIRECT("'" &amp; E$1 &amp; "'!$C:$G"), 5, FALSE),"")</f>
        <v/>
      </c>
      <c r="F796" s="51" t="str">
        <f t="shared" si="797"/>
        <v/>
      </c>
      <c r="G796" s="51" t="str">
        <f t="shared" si="797"/>
        <v/>
      </c>
      <c r="H796" s="51" t="str">
        <f t="shared" si="797"/>
        <v/>
      </c>
      <c r="I796" s="51" t="str">
        <f t="shared" si="797"/>
        <v/>
      </c>
      <c r="J796" s="51" t="str">
        <f t="shared" si="797"/>
        <v/>
      </c>
      <c r="K796" s="51" t="str">
        <f t="shared" si="797"/>
        <v/>
      </c>
      <c r="L796" s="51" t="str">
        <f t="shared" si="797"/>
        <v/>
      </c>
      <c r="M796" s="51" t="str">
        <f t="shared" si="797"/>
        <v/>
      </c>
      <c r="N796" s="51" t="str">
        <f t="shared" si="797"/>
        <v/>
      </c>
      <c r="O796" s="51" t="str">
        <f t="shared" si="797"/>
        <v/>
      </c>
      <c r="P796" s="51" t="str">
        <f t="shared" si="797"/>
        <v/>
      </c>
      <c r="Q796" s="51" t="str">
        <f t="shared" si="797"/>
        <v/>
      </c>
      <c r="R796" s="51" t="str">
        <f t="shared" si="797"/>
        <v/>
      </c>
      <c r="S796" s="51" t="str">
        <f t="shared" si="797"/>
        <v/>
      </c>
      <c r="T796" s="51" t="str">
        <f t="shared" si="797"/>
        <v/>
      </c>
      <c r="U796" s="52"/>
      <c r="V796" s="52" t="str">
        <f>IFERROR(__xludf.DUMMYFUNCTION("""COMPUTED_VALUE"""),"")</f>
        <v/>
      </c>
      <c r="W796" s="52" t="str">
        <f>IFERROR(__xludf.DUMMYFUNCTION("""COMPUTED_VALUE"""),"")</f>
        <v/>
      </c>
      <c r="X796" s="52" t="str">
        <f>IFERROR(__xludf.DUMMYFUNCTION("""COMPUTED_VALUE"""),"")</f>
        <v/>
      </c>
      <c r="Y796" s="52" t="str">
        <f>IFERROR(__xludf.DUMMYFUNCTION("""COMPUTED_VALUE"""),"")</f>
        <v/>
      </c>
      <c r="Z796" s="52" t="str">
        <f>IFERROR(__xludf.DUMMYFUNCTION("""COMPUTED_VALUE"""),"")</f>
        <v/>
      </c>
      <c r="AA796" s="52" t="str">
        <f>IFERROR(__xludf.DUMMYFUNCTION("""COMPUTED_VALUE"""),"")</f>
        <v/>
      </c>
      <c r="AB796" s="52" t="str">
        <f>IFERROR(__xludf.DUMMYFUNCTION("""COMPUTED_VALUE"""),"")</f>
        <v/>
      </c>
      <c r="AC796" s="52" t="str">
        <f>IFERROR(__xludf.DUMMYFUNCTION("""COMPUTED_VALUE"""),"")</f>
        <v/>
      </c>
      <c r="AD796" s="52" t="str">
        <f>IFERROR(__xludf.DUMMYFUNCTION("""COMPUTED_VALUE"""),"")</f>
        <v/>
      </c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</row>
    <row r="797">
      <c r="B797" s="49"/>
      <c r="C797" s="49" t="str">
        <f t="shared" si="2"/>
        <v/>
      </c>
      <c r="D797" s="50" t="str">
        <f t="shared" si="3"/>
        <v/>
      </c>
      <c r="E797" s="51" t="str">
        <f t="shared" ref="E797:T797" si="798">IFERROR(VLOOKUP($A797,INDIRECT("'" &amp; E$1 &amp; "'!$C:$G"), 5, FALSE),"")</f>
        <v/>
      </c>
      <c r="F797" s="51" t="str">
        <f t="shared" si="798"/>
        <v/>
      </c>
      <c r="G797" s="51" t="str">
        <f t="shared" si="798"/>
        <v/>
      </c>
      <c r="H797" s="51" t="str">
        <f t="shared" si="798"/>
        <v/>
      </c>
      <c r="I797" s="51" t="str">
        <f t="shared" si="798"/>
        <v/>
      </c>
      <c r="J797" s="51" t="str">
        <f t="shared" si="798"/>
        <v/>
      </c>
      <c r="K797" s="51" t="str">
        <f t="shared" si="798"/>
        <v/>
      </c>
      <c r="L797" s="51" t="str">
        <f t="shared" si="798"/>
        <v/>
      </c>
      <c r="M797" s="51" t="str">
        <f t="shared" si="798"/>
        <v/>
      </c>
      <c r="N797" s="51" t="str">
        <f t="shared" si="798"/>
        <v/>
      </c>
      <c r="O797" s="51" t="str">
        <f t="shared" si="798"/>
        <v/>
      </c>
      <c r="P797" s="51" t="str">
        <f t="shared" si="798"/>
        <v/>
      </c>
      <c r="Q797" s="51" t="str">
        <f t="shared" si="798"/>
        <v/>
      </c>
      <c r="R797" s="51" t="str">
        <f t="shared" si="798"/>
        <v/>
      </c>
      <c r="S797" s="51" t="str">
        <f t="shared" si="798"/>
        <v/>
      </c>
      <c r="T797" s="51" t="str">
        <f t="shared" si="798"/>
        <v/>
      </c>
      <c r="U797" s="52"/>
      <c r="V797" s="52" t="str">
        <f>IFERROR(__xludf.DUMMYFUNCTION("""COMPUTED_VALUE"""),"")</f>
        <v/>
      </c>
      <c r="W797" s="52" t="str">
        <f>IFERROR(__xludf.DUMMYFUNCTION("""COMPUTED_VALUE"""),"")</f>
        <v/>
      </c>
      <c r="X797" s="52" t="str">
        <f>IFERROR(__xludf.DUMMYFUNCTION("""COMPUTED_VALUE"""),"")</f>
        <v/>
      </c>
      <c r="Y797" s="52" t="str">
        <f>IFERROR(__xludf.DUMMYFUNCTION("""COMPUTED_VALUE"""),"")</f>
        <v/>
      </c>
      <c r="Z797" s="52" t="str">
        <f>IFERROR(__xludf.DUMMYFUNCTION("""COMPUTED_VALUE"""),"")</f>
        <v/>
      </c>
      <c r="AA797" s="52" t="str">
        <f>IFERROR(__xludf.DUMMYFUNCTION("""COMPUTED_VALUE"""),"")</f>
        <v/>
      </c>
      <c r="AB797" s="52" t="str">
        <f>IFERROR(__xludf.DUMMYFUNCTION("""COMPUTED_VALUE"""),"")</f>
        <v/>
      </c>
      <c r="AC797" s="52" t="str">
        <f>IFERROR(__xludf.DUMMYFUNCTION("""COMPUTED_VALUE"""),"")</f>
        <v/>
      </c>
      <c r="AD797" s="52" t="str">
        <f>IFERROR(__xludf.DUMMYFUNCTION("""COMPUTED_VALUE"""),"")</f>
        <v/>
      </c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</row>
    <row r="798">
      <c r="B798" s="49"/>
      <c r="C798" s="49" t="str">
        <f t="shared" si="2"/>
        <v/>
      </c>
      <c r="D798" s="50" t="str">
        <f t="shared" si="3"/>
        <v/>
      </c>
      <c r="E798" s="51" t="str">
        <f t="shared" ref="E798:T798" si="799">IFERROR(VLOOKUP($A798,INDIRECT("'" &amp; E$1 &amp; "'!$C:$G"), 5, FALSE),"")</f>
        <v/>
      </c>
      <c r="F798" s="51" t="str">
        <f t="shared" si="799"/>
        <v/>
      </c>
      <c r="G798" s="51" t="str">
        <f t="shared" si="799"/>
        <v/>
      </c>
      <c r="H798" s="51" t="str">
        <f t="shared" si="799"/>
        <v/>
      </c>
      <c r="I798" s="51" t="str">
        <f t="shared" si="799"/>
        <v/>
      </c>
      <c r="J798" s="51" t="str">
        <f t="shared" si="799"/>
        <v/>
      </c>
      <c r="K798" s="51" t="str">
        <f t="shared" si="799"/>
        <v/>
      </c>
      <c r="L798" s="51" t="str">
        <f t="shared" si="799"/>
        <v/>
      </c>
      <c r="M798" s="51" t="str">
        <f t="shared" si="799"/>
        <v/>
      </c>
      <c r="N798" s="51" t="str">
        <f t="shared" si="799"/>
        <v/>
      </c>
      <c r="O798" s="51" t="str">
        <f t="shared" si="799"/>
        <v/>
      </c>
      <c r="P798" s="51" t="str">
        <f t="shared" si="799"/>
        <v/>
      </c>
      <c r="Q798" s="51" t="str">
        <f t="shared" si="799"/>
        <v/>
      </c>
      <c r="R798" s="51" t="str">
        <f t="shared" si="799"/>
        <v/>
      </c>
      <c r="S798" s="51" t="str">
        <f t="shared" si="799"/>
        <v/>
      </c>
      <c r="T798" s="51" t="str">
        <f t="shared" si="799"/>
        <v/>
      </c>
      <c r="U798" s="52"/>
      <c r="V798" s="52" t="str">
        <f>IFERROR(__xludf.DUMMYFUNCTION("""COMPUTED_VALUE"""),"")</f>
        <v/>
      </c>
      <c r="W798" s="52" t="str">
        <f>IFERROR(__xludf.DUMMYFUNCTION("""COMPUTED_VALUE"""),"")</f>
        <v/>
      </c>
      <c r="X798" s="52" t="str">
        <f>IFERROR(__xludf.DUMMYFUNCTION("""COMPUTED_VALUE"""),"")</f>
        <v/>
      </c>
      <c r="Y798" s="52" t="str">
        <f>IFERROR(__xludf.DUMMYFUNCTION("""COMPUTED_VALUE"""),"")</f>
        <v/>
      </c>
      <c r="Z798" s="52" t="str">
        <f>IFERROR(__xludf.DUMMYFUNCTION("""COMPUTED_VALUE"""),"")</f>
        <v/>
      </c>
      <c r="AA798" s="52" t="str">
        <f>IFERROR(__xludf.DUMMYFUNCTION("""COMPUTED_VALUE"""),"")</f>
        <v/>
      </c>
      <c r="AB798" s="52" t="str">
        <f>IFERROR(__xludf.DUMMYFUNCTION("""COMPUTED_VALUE"""),"")</f>
        <v/>
      </c>
      <c r="AC798" s="52" t="str">
        <f>IFERROR(__xludf.DUMMYFUNCTION("""COMPUTED_VALUE"""),"")</f>
        <v/>
      </c>
      <c r="AD798" s="52" t="str">
        <f>IFERROR(__xludf.DUMMYFUNCTION("""COMPUTED_VALUE"""),"")</f>
        <v/>
      </c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</row>
    <row r="799">
      <c r="B799" s="49"/>
      <c r="C799" s="49" t="str">
        <f t="shared" si="2"/>
        <v/>
      </c>
      <c r="D799" s="50" t="str">
        <f t="shared" si="3"/>
        <v/>
      </c>
      <c r="E799" s="51" t="str">
        <f t="shared" ref="E799:T799" si="800">IFERROR(VLOOKUP($A799,INDIRECT("'" &amp; E$1 &amp; "'!$C:$G"), 5, FALSE),"")</f>
        <v/>
      </c>
      <c r="F799" s="51" t="str">
        <f t="shared" si="800"/>
        <v/>
      </c>
      <c r="G799" s="51" t="str">
        <f t="shared" si="800"/>
        <v/>
      </c>
      <c r="H799" s="51" t="str">
        <f t="shared" si="800"/>
        <v/>
      </c>
      <c r="I799" s="51" t="str">
        <f t="shared" si="800"/>
        <v/>
      </c>
      <c r="J799" s="51" t="str">
        <f t="shared" si="800"/>
        <v/>
      </c>
      <c r="K799" s="51" t="str">
        <f t="shared" si="800"/>
        <v/>
      </c>
      <c r="L799" s="51" t="str">
        <f t="shared" si="800"/>
        <v/>
      </c>
      <c r="M799" s="51" t="str">
        <f t="shared" si="800"/>
        <v/>
      </c>
      <c r="N799" s="51" t="str">
        <f t="shared" si="800"/>
        <v/>
      </c>
      <c r="O799" s="51" t="str">
        <f t="shared" si="800"/>
        <v/>
      </c>
      <c r="P799" s="51" t="str">
        <f t="shared" si="800"/>
        <v/>
      </c>
      <c r="Q799" s="51" t="str">
        <f t="shared" si="800"/>
        <v/>
      </c>
      <c r="R799" s="51" t="str">
        <f t="shared" si="800"/>
        <v/>
      </c>
      <c r="S799" s="51" t="str">
        <f t="shared" si="800"/>
        <v/>
      </c>
      <c r="T799" s="51" t="str">
        <f t="shared" si="800"/>
        <v/>
      </c>
      <c r="U799" s="52"/>
      <c r="V799" s="52" t="str">
        <f>IFERROR(__xludf.DUMMYFUNCTION("""COMPUTED_VALUE"""),"")</f>
        <v/>
      </c>
      <c r="W799" s="52" t="str">
        <f>IFERROR(__xludf.DUMMYFUNCTION("""COMPUTED_VALUE"""),"")</f>
        <v/>
      </c>
      <c r="X799" s="52" t="str">
        <f>IFERROR(__xludf.DUMMYFUNCTION("""COMPUTED_VALUE"""),"")</f>
        <v/>
      </c>
      <c r="Y799" s="52" t="str">
        <f>IFERROR(__xludf.DUMMYFUNCTION("""COMPUTED_VALUE"""),"")</f>
        <v/>
      </c>
      <c r="Z799" s="52" t="str">
        <f>IFERROR(__xludf.DUMMYFUNCTION("""COMPUTED_VALUE"""),"")</f>
        <v/>
      </c>
      <c r="AA799" s="52" t="str">
        <f>IFERROR(__xludf.DUMMYFUNCTION("""COMPUTED_VALUE"""),"")</f>
        <v/>
      </c>
      <c r="AB799" s="52" t="str">
        <f>IFERROR(__xludf.DUMMYFUNCTION("""COMPUTED_VALUE"""),"")</f>
        <v/>
      </c>
      <c r="AC799" s="52" t="str">
        <f>IFERROR(__xludf.DUMMYFUNCTION("""COMPUTED_VALUE"""),"")</f>
        <v/>
      </c>
      <c r="AD799" s="52" t="str">
        <f>IFERROR(__xludf.DUMMYFUNCTION("""COMPUTED_VALUE"""),"")</f>
        <v/>
      </c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</row>
    <row r="800">
      <c r="B800" s="49"/>
      <c r="C800" s="49" t="str">
        <f t="shared" si="2"/>
        <v/>
      </c>
      <c r="D800" s="50" t="str">
        <f t="shared" si="3"/>
        <v/>
      </c>
      <c r="E800" s="51" t="str">
        <f t="shared" ref="E800:T800" si="801">IFERROR(VLOOKUP($A800,INDIRECT("'" &amp; E$1 &amp; "'!$C:$G"), 5, FALSE),"")</f>
        <v/>
      </c>
      <c r="F800" s="51" t="str">
        <f t="shared" si="801"/>
        <v/>
      </c>
      <c r="G800" s="51" t="str">
        <f t="shared" si="801"/>
        <v/>
      </c>
      <c r="H800" s="51" t="str">
        <f t="shared" si="801"/>
        <v/>
      </c>
      <c r="I800" s="51" t="str">
        <f t="shared" si="801"/>
        <v/>
      </c>
      <c r="J800" s="51" t="str">
        <f t="shared" si="801"/>
        <v/>
      </c>
      <c r="K800" s="51" t="str">
        <f t="shared" si="801"/>
        <v/>
      </c>
      <c r="L800" s="51" t="str">
        <f t="shared" si="801"/>
        <v/>
      </c>
      <c r="M800" s="51" t="str">
        <f t="shared" si="801"/>
        <v/>
      </c>
      <c r="N800" s="51" t="str">
        <f t="shared" si="801"/>
        <v/>
      </c>
      <c r="O800" s="51" t="str">
        <f t="shared" si="801"/>
        <v/>
      </c>
      <c r="P800" s="51" t="str">
        <f t="shared" si="801"/>
        <v/>
      </c>
      <c r="Q800" s="51" t="str">
        <f t="shared" si="801"/>
        <v/>
      </c>
      <c r="R800" s="51" t="str">
        <f t="shared" si="801"/>
        <v/>
      </c>
      <c r="S800" s="51" t="str">
        <f t="shared" si="801"/>
        <v/>
      </c>
      <c r="T800" s="51" t="str">
        <f t="shared" si="801"/>
        <v/>
      </c>
      <c r="U800" s="52"/>
      <c r="V800" s="52" t="str">
        <f>IFERROR(__xludf.DUMMYFUNCTION("""COMPUTED_VALUE"""),"")</f>
        <v/>
      </c>
      <c r="W800" s="52" t="str">
        <f>IFERROR(__xludf.DUMMYFUNCTION("""COMPUTED_VALUE"""),"")</f>
        <v/>
      </c>
      <c r="X800" s="52" t="str">
        <f>IFERROR(__xludf.DUMMYFUNCTION("""COMPUTED_VALUE"""),"")</f>
        <v/>
      </c>
      <c r="Y800" s="52" t="str">
        <f>IFERROR(__xludf.DUMMYFUNCTION("""COMPUTED_VALUE"""),"")</f>
        <v/>
      </c>
      <c r="Z800" s="52" t="str">
        <f>IFERROR(__xludf.DUMMYFUNCTION("""COMPUTED_VALUE"""),"")</f>
        <v/>
      </c>
      <c r="AA800" s="52" t="str">
        <f>IFERROR(__xludf.DUMMYFUNCTION("""COMPUTED_VALUE"""),"")</f>
        <v/>
      </c>
      <c r="AB800" s="52" t="str">
        <f>IFERROR(__xludf.DUMMYFUNCTION("""COMPUTED_VALUE"""),"")</f>
        <v/>
      </c>
      <c r="AC800" s="52" t="str">
        <f>IFERROR(__xludf.DUMMYFUNCTION("""COMPUTED_VALUE"""),"")</f>
        <v/>
      </c>
      <c r="AD800" s="52" t="str">
        <f>IFERROR(__xludf.DUMMYFUNCTION("""COMPUTED_VALUE"""),"")</f>
        <v/>
      </c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</row>
    <row r="801">
      <c r="B801" s="49"/>
      <c r="C801" s="49" t="str">
        <f t="shared" si="2"/>
        <v/>
      </c>
      <c r="D801" s="50" t="str">
        <f t="shared" si="3"/>
        <v/>
      </c>
      <c r="E801" s="51" t="str">
        <f t="shared" ref="E801:T801" si="802">IFERROR(VLOOKUP($A801,INDIRECT("'" &amp; E$1 &amp; "'!$C:$G"), 5, FALSE),"")</f>
        <v/>
      </c>
      <c r="F801" s="51" t="str">
        <f t="shared" si="802"/>
        <v/>
      </c>
      <c r="G801" s="51" t="str">
        <f t="shared" si="802"/>
        <v/>
      </c>
      <c r="H801" s="51" t="str">
        <f t="shared" si="802"/>
        <v/>
      </c>
      <c r="I801" s="51" t="str">
        <f t="shared" si="802"/>
        <v/>
      </c>
      <c r="J801" s="51" t="str">
        <f t="shared" si="802"/>
        <v/>
      </c>
      <c r="K801" s="51" t="str">
        <f t="shared" si="802"/>
        <v/>
      </c>
      <c r="L801" s="51" t="str">
        <f t="shared" si="802"/>
        <v/>
      </c>
      <c r="M801" s="51" t="str">
        <f t="shared" si="802"/>
        <v/>
      </c>
      <c r="N801" s="51" t="str">
        <f t="shared" si="802"/>
        <v/>
      </c>
      <c r="O801" s="51" t="str">
        <f t="shared" si="802"/>
        <v/>
      </c>
      <c r="P801" s="51" t="str">
        <f t="shared" si="802"/>
        <v/>
      </c>
      <c r="Q801" s="51" t="str">
        <f t="shared" si="802"/>
        <v/>
      </c>
      <c r="R801" s="51" t="str">
        <f t="shared" si="802"/>
        <v/>
      </c>
      <c r="S801" s="51" t="str">
        <f t="shared" si="802"/>
        <v/>
      </c>
      <c r="T801" s="51" t="str">
        <f t="shared" si="802"/>
        <v/>
      </c>
      <c r="U801" s="52"/>
      <c r="V801" s="52" t="str">
        <f>IFERROR(__xludf.DUMMYFUNCTION("""COMPUTED_VALUE"""),"")</f>
        <v/>
      </c>
      <c r="W801" s="52" t="str">
        <f>IFERROR(__xludf.DUMMYFUNCTION("""COMPUTED_VALUE"""),"")</f>
        <v/>
      </c>
      <c r="X801" s="52" t="str">
        <f>IFERROR(__xludf.DUMMYFUNCTION("""COMPUTED_VALUE"""),"")</f>
        <v/>
      </c>
      <c r="Y801" s="52" t="str">
        <f>IFERROR(__xludf.DUMMYFUNCTION("""COMPUTED_VALUE"""),"")</f>
        <v/>
      </c>
      <c r="Z801" s="52" t="str">
        <f>IFERROR(__xludf.DUMMYFUNCTION("""COMPUTED_VALUE"""),"")</f>
        <v/>
      </c>
      <c r="AA801" s="52" t="str">
        <f>IFERROR(__xludf.DUMMYFUNCTION("""COMPUTED_VALUE"""),"")</f>
        <v/>
      </c>
      <c r="AB801" s="52" t="str">
        <f>IFERROR(__xludf.DUMMYFUNCTION("""COMPUTED_VALUE"""),"")</f>
        <v/>
      </c>
      <c r="AC801" s="52" t="str">
        <f>IFERROR(__xludf.DUMMYFUNCTION("""COMPUTED_VALUE"""),"")</f>
        <v/>
      </c>
      <c r="AD801" s="52" t="str">
        <f>IFERROR(__xludf.DUMMYFUNCTION("""COMPUTED_VALUE"""),"")</f>
        <v/>
      </c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</row>
    <row r="802">
      <c r="B802" s="49"/>
      <c r="C802" s="49" t="str">
        <f t="shared" si="2"/>
        <v/>
      </c>
      <c r="D802" s="50" t="str">
        <f t="shared" si="3"/>
        <v/>
      </c>
      <c r="E802" s="51" t="str">
        <f t="shared" ref="E802:T802" si="803">IFERROR(VLOOKUP($A802,INDIRECT("'" &amp; E$1 &amp; "'!$C:$G"), 5, FALSE),"")</f>
        <v/>
      </c>
      <c r="F802" s="51" t="str">
        <f t="shared" si="803"/>
        <v/>
      </c>
      <c r="G802" s="51" t="str">
        <f t="shared" si="803"/>
        <v/>
      </c>
      <c r="H802" s="51" t="str">
        <f t="shared" si="803"/>
        <v/>
      </c>
      <c r="I802" s="51" t="str">
        <f t="shared" si="803"/>
        <v/>
      </c>
      <c r="J802" s="51" t="str">
        <f t="shared" si="803"/>
        <v/>
      </c>
      <c r="K802" s="51" t="str">
        <f t="shared" si="803"/>
        <v/>
      </c>
      <c r="L802" s="51" t="str">
        <f t="shared" si="803"/>
        <v/>
      </c>
      <c r="M802" s="51" t="str">
        <f t="shared" si="803"/>
        <v/>
      </c>
      <c r="N802" s="51" t="str">
        <f t="shared" si="803"/>
        <v/>
      </c>
      <c r="O802" s="51" t="str">
        <f t="shared" si="803"/>
        <v/>
      </c>
      <c r="P802" s="51" t="str">
        <f t="shared" si="803"/>
        <v/>
      </c>
      <c r="Q802" s="51" t="str">
        <f t="shared" si="803"/>
        <v/>
      </c>
      <c r="R802" s="51" t="str">
        <f t="shared" si="803"/>
        <v/>
      </c>
      <c r="S802" s="51" t="str">
        <f t="shared" si="803"/>
        <v/>
      </c>
      <c r="T802" s="51" t="str">
        <f t="shared" si="803"/>
        <v/>
      </c>
      <c r="U802" s="52"/>
      <c r="V802" s="52" t="str">
        <f>IFERROR(__xludf.DUMMYFUNCTION("""COMPUTED_VALUE"""),"")</f>
        <v/>
      </c>
      <c r="W802" s="52" t="str">
        <f>IFERROR(__xludf.DUMMYFUNCTION("""COMPUTED_VALUE"""),"")</f>
        <v/>
      </c>
      <c r="X802" s="52" t="str">
        <f>IFERROR(__xludf.DUMMYFUNCTION("""COMPUTED_VALUE"""),"")</f>
        <v/>
      </c>
      <c r="Y802" s="52" t="str">
        <f>IFERROR(__xludf.DUMMYFUNCTION("""COMPUTED_VALUE"""),"")</f>
        <v/>
      </c>
      <c r="Z802" s="52" t="str">
        <f>IFERROR(__xludf.DUMMYFUNCTION("""COMPUTED_VALUE"""),"")</f>
        <v/>
      </c>
      <c r="AA802" s="52" t="str">
        <f>IFERROR(__xludf.DUMMYFUNCTION("""COMPUTED_VALUE"""),"")</f>
        <v/>
      </c>
      <c r="AB802" s="52" t="str">
        <f>IFERROR(__xludf.DUMMYFUNCTION("""COMPUTED_VALUE"""),"")</f>
        <v/>
      </c>
      <c r="AC802" s="52" t="str">
        <f>IFERROR(__xludf.DUMMYFUNCTION("""COMPUTED_VALUE"""),"")</f>
        <v/>
      </c>
      <c r="AD802" s="52" t="str">
        <f>IFERROR(__xludf.DUMMYFUNCTION("""COMPUTED_VALUE"""),"")</f>
        <v/>
      </c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</row>
    <row r="803">
      <c r="B803" s="49"/>
      <c r="C803" s="49" t="str">
        <f t="shared" si="2"/>
        <v/>
      </c>
      <c r="D803" s="50" t="str">
        <f t="shared" si="3"/>
        <v/>
      </c>
      <c r="E803" s="51" t="str">
        <f t="shared" ref="E803:T803" si="804">IFERROR(VLOOKUP($A803,INDIRECT("'" &amp; E$1 &amp; "'!$C:$G"), 5, FALSE),"")</f>
        <v/>
      </c>
      <c r="F803" s="51" t="str">
        <f t="shared" si="804"/>
        <v/>
      </c>
      <c r="G803" s="51" t="str">
        <f t="shared" si="804"/>
        <v/>
      </c>
      <c r="H803" s="51" t="str">
        <f t="shared" si="804"/>
        <v/>
      </c>
      <c r="I803" s="51" t="str">
        <f t="shared" si="804"/>
        <v/>
      </c>
      <c r="J803" s="51" t="str">
        <f t="shared" si="804"/>
        <v/>
      </c>
      <c r="K803" s="51" t="str">
        <f t="shared" si="804"/>
        <v/>
      </c>
      <c r="L803" s="51" t="str">
        <f t="shared" si="804"/>
        <v/>
      </c>
      <c r="M803" s="51" t="str">
        <f t="shared" si="804"/>
        <v/>
      </c>
      <c r="N803" s="51" t="str">
        <f t="shared" si="804"/>
        <v/>
      </c>
      <c r="O803" s="51" t="str">
        <f t="shared" si="804"/>
        <v/>
      </c>
      <c r="P803" s="51" t="str">
        <f t="shared" si="804"/>
        <v/>
      </c>
      <c r="Q803" s="51" t="str">
        <f t="shared" si="804"/>
        <v/>
      </c>
      <c r="R803" s="51" t="str">
        <f t="shared" si="804"/>
        <v/>
      </c>
      <c r="S803" s="51" t="str">
        <f t="shared" si="804"/>
        <v/>
      </c>
      <c r="T803" s="51" t="str">
        <f t="shared" si="804"/>
        <v/>
      </c>
      <c r="U803" s="52"/>
      <c r="V803" s="52" t="str">
        <f>IFERROR(__xludf.DUMMYFUNCTION("""COMPUTED_VALUE"""),"")</f>
        <v/>
      </c>
      <c r="W803" s="52" t="str">
        <f>IFERROR(__xludf.DUMMYFUNCTION("""COMPUTED_VALUE"""),"")</f>
        <v/>
      </c>
      <c r="X803" s="52" t="str">
        <f>IFERROR(__xludf.DUMMYFUNCTION("""COMPUTED_VALUE"""),"")</f>
        <v/>
      </c>
      <c r="Y803" s="52" t="str">
        <f>IFERROR(__xludf.DUMMYFUNCTION("""COMPUTED_VALUE"""),"")</f>
        <v/>
      </c>
      <c r="Z803" s="52" t="str">
        <f>IFERROR(__xludf.DUMMYFUNCTION("""COMPUTED_VALUE"""),"")</f>
        <v/>
      </c>
      <c r="AA803" s="52" t="str">
        <f>IFERROR(__xludf.DUMMYFUNCTION("""COMPUTED_VALUE"""),"")</f>
        <v/>
      </c>
      <c r="AB803" s="52" t="str">
        <f>IFERROR(__xludf.DUMMYFUNCTION("""COMPUTED_VALUE"""),"")</f>
        <v/>
      </c>
      <c r="AC803" s="52" t="str">
        <f>IFERROR(__xludf.DUMMYFUNCTION("""COMPUTED_VALUE"""),"")</f>
        <v/>
      </c>
      <c r="AD803" s="52" t="str">
        <f>IFERROR(__xludf.DUMMYFUNCTION("""COMPUTED_VALUE"""),"")</f>
        <v/>
      </c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</row>
    <row r="804">
      <c r="B804" s="49"/>
      <c r="C804" s="49" t="str">
        <f t="shared" si="2"/>
        <v/>
      </c>
      <c r="D804" s="50" t="str">
        <f t="shared" si="3"/>
        <v/>
      </c>
      <c r="E804" s="51" t="str">
        <f t="shared" ref="E804:T804" si="805">IFERROR(VLOOKUP($A804,INDIRECT("'" &amp; E$1 &amp; "'!$C:$G"), 5, FALSE),"")</f>
        <v/>
      </c>
      <c r="F804" s="51" t="str">
        <f t="shared" si="805"/>
        <v/>
      </c>
      <c r="G804" s="51" t="str">
        <f t="shared" si="805"/>
        <v/>
      </c>
      <c r="H804" s="51" t="str">
        <f t="shared" si="805"/>
        <v/>
      </c>
      <c r="I804" s="51" t="str">
        <f t="shared" si="805"/>
        <v/>
      </c>
      <c r="J804" s="51" t="str">
        <f t="shared" si="805"/>
        <v/>
      </c>
      <c r="K804" s="51" t="str">
        <f t="shared" si="805"/>
        <v/>
      </c>
      <c r="L804" s="51" t="str">
        <f t="shared" si="805"/>
        <v/>
      </c>
      <c r="M804" s="51" t="str">
        <f t="shared" si="805"/>
        <v/>
      </c>
      <c r="N804" s="51" t="str">
        <f t="shared" si="805"/>
        <v/>
      </c>
      <c r="O804" s="51" t="str">
        <f t="shared" si="805"/>
        <v/>
      </c>
      <c r="P804" s="51" t="str">
        <f t="shared" si="805"/>
        <v/>
      </c>
      <c r="Q804" s="51" t="str">
        <f t="shared" si="805"/>
        <v/>
      </c>
      <c r="R804" s="51" t="str">
        <f t="shared" si="805"/>
        <v/>
      </c>
      <c r="S804" s="51" t="str">
        <f t="shared" si="805"/>
        <v/>
      </c>
      <c r="T804" s="51" t="str">
        <f t="shared" si="805"/>
        <v/>
      </c>
      <c r="U804" s="52"/>
      <c r="V804" s="52" t="str">
        <f>IFERROR(__xludf.DUMMYFUNCTION("""COMPUTED_VALUE"""),"")</f>
        <v/>
      </c>
      <c r="W804" s="52" t="str">
        <f>IFERROR(__xludf.DUMMYFUNCTION("""COMPUTED_VALUE"""),"")</f>
        <v/>
      </c>
      <c r="X804" s="52" t="str">
        <f>IFERROR(__xludf.DUMMYFUNCTION("""COMPUTED_VALUE"""),"")</f>
        <v/>
      </c>
      <c r="Y804" s="52" t="str">
        <f>IFERROR(__xludf.DUMMYFUNCTION("""COMPUTED_VALUE"""),"")</f>
        <v/>
      </c>
      <c r="Z804" s="52" t="str">
        <f>IFERROR(__xludf.DUMMYFUNCTION("""COMPUTED_VALUE"""),"")</f>
        <v/>
      </c>
      <c r="AA804" s="52" t="str">
        <f>IFERROR(__xludf.DUMMYFUNCTION("""COMPUTED_VALUE"""),"")</f>
        <v/>
      </c>
      <c r="AB804" s="52" t="str">
        <f>IFERROR(__xludf.DUMMYFUNCTION("""COMPUTED_VALUE"""),"")</f>
        <v/>
      </c>
      <c r="AC804" s="52" t="str">
        <f>IFERROR(__xludf.DUMMYFUNCTION("""COMPUTED_VALUE"""),"")</f>
        <v/>
      </c>
      <c r="AD804" s="52" t="str">
        <f>IFERROR(__xludf.DUMMYFUNCTION("""COMPUTED_VALUE"""),"")</f>
        <v/>
      </c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</row>
    <row r="805">
      <c r="B805" s="49"/>
      <c r="C805" s="49" t="str">
        <f t="shared" si="2"/>
        <v/>
      </c>
      <c r="D805" s="50" t="str">
        <f t="shared" si="3"/>
        <v/>
      </c>
      <c r="E805" s="51" t="str">
        <f t="shared" ref="E805:T805" si="806">IFERROR(VLOOKUP($A805,INDIRECT("'" &amp; E$1 &amp; "'!$C:$G"), 5, FALSE),"")</f>
        <v/>
      </c>
      <c r="F805" s="51" t="str">
        <f t="shared" si="806"/>
        <v/>
      </c>
      <c r="G805" s="51" t="str">
        <f t="shared" si="806"/>
        <v/>
      </c>
      <c r="H805" s="51" t="str">
        <f t="shared" si="806"/>
        <v/>
      </c>
      <c r="I805" s="51" t="str">
        <f t="shared" si="806"/>
        <v/>
      </c>
      <c r="J805" s="51" t="str">
        <f t="shared" si="806"/>
        <v/>
      </c>
      <c r="K805" s="51" t="str">
        <f t="shared" si="806"/>
        <v/>
      </c>
      <c r="L805" s="51" t="str">
        <f t="shared" si="806"/>
        <v/>
      </c>
      <c r="M805" s="51" t="str">
        <f t="shared" si="806"/>
        <v/>
      </c>
      <c r="N805" s="51" t="str">
        <f t="shared" si="806"/>
        <v/>
      </c>
      <c r="O805" s="51" t="str">
        <f t="shared" si="806"/>
        <v/>
      </c>
      <c r="P805" s="51" t="str">
        <f t="shared" si="806"/>
        <v/>
      </c>
      <c r="Q805" s="51" t="str">
        <f t="shared" si="806"/>
        <v/>
      </c>
      <c r="R805" s="51" t="str">
        <f t="shared" si="806"/>
        <v/>
      </c>
      <c r="S805" s="51" t="str">
        <f t="shared" si="806"/>
        <v/>
      </c>
      <c r="T805" s="51" t="str">
        <f t="shared" si="806"/>
        <v/>
      </c>
      <c r="U805" s="52"/>
      <c r="V805" s="52" t="str">
        <f>IFERROR(__xludf.DUMMYFUNCTION("""COMPUTED_VALUE"""),"")</f>
        <v/>
      </c>
      <c r="W805" s="52" t="str">
        <f>IFERROR(__xludf.DUMMYFUNCTION("""COMPUTED_VALUE"""),"")</f>
        <v/>
      </c>
      <c r="X805" s="52" t="str">
        <f>IFERROR(__xludf.DUMMYFUNCTION("""COMPUTED_VALUE"""),"")</f>
        <v/>
      </c>
      <c r="Y805" s="52" t="str">
        <f>IFERROR(__xludf.DUMMYFUNCTION("""COMPUTED_VALUE"""),"")</f>
        <v/>
      </c>
      <c r="Z805" s="52" t="str">
        <f>IFERROR(__xludf.DUMMYFUNCTION("""COMPUTED_VALUE"""),"")</f>
        <v/>
      </c>
      <c r="AA805" s="52" t="str">
        <f>IFERROR(__xludf.DUMMYFUNCTION("""COMPUTED_VALUE"""),"")</f>
        <v/>
      </c>
      <c r="AB805" s="52" t="str">
        <f>IFERROR(__xludf.DUMMYFUNCTION("""COMPUTED_VALUE"""),"")</f>
        <v/>
      </c>
      <c r="AC805" s="52" t="str">
        <f>IFERROR(__xludf.DUMMYFUNCTION("""COMPUTED_VALUE"""),"")</f>
        <v/>
      </c>
      <c r="AD805" s="52" t="str">
        <f>IFERROR(__xludf.DUMMYFUNCTION("""COMPUTED_VALUE"""),"")</f>
        <v/>
      </c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</row>
    <row r="806">
      <c r="B806" s="49"/>
      <c r="C806" s="49" t="str">
        <f t="shared" si="2"/>
        <v/>
      </c>
      <c r="D806" s="50" t="str">
        <f t="shared" si="3"/>
        <v/>
      </c>
      <c r="E806" s="51" t="str">
        <f t="shared" ref="E806:T806" si="807">IFERROR(VLOOKUP($A806,INDIRECT("'" &amp; E$1 &amp; "'!$C:$G"), 5, FALSE),"")</f>
        <v/>
      </c>
      <c r="F806" s="51" t="str">
        <f t="shared" si="807"/>
        <v/>
      </c>
      <c r="G806" s="51" t="str">
        <f t="shared" si="807"/>
        <v/>
      </c>
      <c r="H806" s="51" t="str">
        <f t="shared" si="807"/>
        <v/>
      </c>
      <c r="I806" s="51" t="str">
        <f t="shared" si="807"/>
        <v/>
      </c>
      <c r="J806" s="51" t="str">
        <f t="shared" si="807"/>
        <v/>
      </c>
      <c r="K806" s="51" t="str">
        <f t="shared" si="807"/>
        <v/>
      </c>
      <c r="L806" s="51" t="str">
        <f t="shared" si="807"/>
        <v/>
      </c>
      <c r="M806" s="51" t="str">
        <f t="shared" si="807"/>
        <v/>
      </c>
      <c r="N806" s="51" t="str">
        <f t="shared" si="807"/>
        <v/>
      </c>
      <c r="O806" s="51" t="str">
        <f t="shared" si="807"/>
        <v/>
      </c>
      <c r="P806" s="51" t="str">
        <f t="shared" si="807"/>
        <v/>
      </c>
      <c r="Q806" s="51" t="str">
        <f t="shared" si="807"/>
        <v/>
      </c>
      <c r="R806" s="51" t="str">
        <f t="shared" si="807"/>
        <v/>
      </c>
      <c r="S806" s="51" t="str">
        <f t="shared" si="807"/>
        <v/>
      </c>
      <c r="T806" s="51" t="str">
        <f t="shared" si="807"/>
        <v/>
      </c>
      <c r="U806" s="52"/>
      <c r="V806" s="52" t="str">
        <f>IFERROR(__xludf.DUMMYFUNCTION("""COMPUTED_VALUE"""),"")</f>
        <v/>
      </c>
      <c r="W806" s="52" t="str">
        <f>IFERROR(__xludf.DUMMYFUNCTION("""COMPUTED_VALUE"""),"")</f>
        <v/>
      </c>
      <c r="X806" s="52" t="str">
        <f>IFERROR(__xludf.DUMMYFUNCTION("""COMPUTED_VALUE"""),"")</f>
        <v/>
      </c>
      <c r="Y806" s="52" t="str">
        <f>IFERROR(__xludf.DUMMYFUNCTION("""COMPUTED_VALUE"""),"")</f>
        <v/>
      </c>
      <c r="Z806" s="52" t="str">
        <f>IFERROR(__xludf.DUMMYFUNCTION("""COMPUTED_VALUE"""),"")</f>
        <v/>
      </c>
      <c r="AA806" s="52" t="str">
        <f>IFERROR(__xludf.DUMMYFUNCTION("""COMPUTED_VALUE"""),"")</f>
        <v/>
      </c>
      <c r="AB806" s="52" t="str">
        <f>IFERROR(__xludf.DUMMYFUNCTION("""COMPUTED_VALUE"""),"")</f>
        <v/>
      </c>
      <c r="AC806" s="52" t="str">
        <f>IFERROR(__xludf.DUMMYFUNCTION("""COMPUTED_VALUE"""),"")</f>
        <v/>
      </c>
      <c r="AD806" s="52" t="str">
        <f>IFERROR(__xludf.DUMMYFUNCTION("""COMPUTED_VALUE"""),"")</f>
        <v/>
      </c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</row>
    <row r="807">
      <c r="B807" s="49"/>
      <c r="C807" s="49" t="str">
        <f t="shared" si="2"/>
        <v/>
      </c>
      <c r="D807" s="50" t="str">
        <f t="shared" si="3"/>
        <v/>
      </c>
      <c r="E807" s="51" t="str">
        <f t="shared" ref="E807:T807" si="808">IFERROR(VLOOKUP($A807,INDIRECT("'" &amp; E$1 &amp; "'!$C:$G"), 5, FALSE),"")</f>
        <v/>
      </c>
      <c r="F807" s="51" t="str">
        <f t="shared" si="808"/>
        <v/>
      </c>
      <c r="G807" s="51" t="str">
        <f t="shared" si="808"/>
        <v/>
      </c>
      <c r="H807" s="51" t="str">
        <f t="shared" si="808"/>
        <v/>
      </c>
      <c r="I807" s="51" t="str">
        <f t="shared" si="808"/>
        <v/>
      </c>
      <c r="J807" s="51" t="str">
        <f t="shared" si="808"/>
        <v/>
      </c>
      <c r="K807" s="51" t="str">
        <f t="shared" si="808"/>
        <v/>
      </c>
      <c r="L807" s="51" t="str">
        <f t="shared" si="808"/>
        <v/>
      </c>
      <c r="M807" s="51" t="str">
        <f t="shared" si="808"/>
        <v/>
      </c>
      <c r="N807" s="51" t="str">
        <f t="shared" si="808"/>
        <v/>
      </c>
      <c r="O807" s="51" t="str">
        <f t="shared" si="808"/>
        <v/>
      </c>
      <c r="P807" s="51" t="str">
        <f t="shared" si="808"/>
        <v/>
      </c>
      <c r="Q807" s="51" t="str">
        <f t="shared" si="808"/>
        <v/>
      </c>
      <c r="R807" s="51" t="str">
        <f t="shared" si="808"/>
        <v/>
      </c>
      <c r="S807" s="51" t="str">
        <f t="shared" si="808"/>
        <v/>
      </c>
      <c r="T807" s="51" t="str">
        <f t="shared" si="808"/>
        <v/>
      </c>
      <c r="U807" s="52"/>
      <c r="V807" s="52" t="str">
        <f>IFERROR(__xludf.DUMMYFUNCTION("""COMPUTED_VALUE"""),"")</f>
        <v/>
      </c>
      <c r="W807" s="52" t="str">
        <f>IFERROR(__xludf.DUMMYFUNCTION("""COMPUTED_VALUE"""),"")</f>
        <v/>
      </c>
      <c r="X807" s="52" t="str">
        <f>IFERROR(__xludf.DUMMYFUNCTION("""COMPUTED_VALUE"""),"")</f>
        <v/>
      </c>
      <c r="Y807" s="52" t="str">
        <f>IFERROR(__xludf.DUMMYFUNCTION("""COMPUTED_VALUE"""),"")</f>
        <v/>
      </c>
      <c r="Z807" s="52" t="str">
        <f>IFERROR(__xludf.DUMMYFUNCTION("""COMPUTED_VALUE"""),"")</f>
        <v/>
      </c>
      <c r="AA807" s="52" t="str">
        <f>IFERROR(__xludf.DUMMYFUNCTION("""COMPUTED_VALUE"""),"")</f>
        <v/>
      </c>
      <c r="AB807" s="52" t="str">
        <f>IFERROR(__xludf.DUMMYFUNCTION("""COMPUTED_VALUE"""),"")</f>
        <v/>
      </c>
      <c r="AC807" s="52" t="str">
        <f>IFERROR(__xludf.DUMMYFUNCTION("""COMPUTED_VALUE"""),"")</f>
        <v/>
      </c>
      <c r="AD807" s="52" t="str">
        <f>IFERROR(__xludf.DUMMYFUNCTION("""COMPUTED_VALUE"""),"")</f>
        <v/>
      </c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</row>
    <row r="808">
      <c r="B808" s="49"/>
      <c r="C808" s="49" t="str">
        <f t="shared" si="2"/>
        <v/>
      </c>
      <c r="D808" s="50" t="str">
        <f t="shared" si="3"/>
        <v/>
      </c>
      <c r="E808" s="51" t="str">
        <f t="shared" ref="E808:T808" si="809">IFERROR(VLOOKUP($A808,INDIRECT("'" &amp; E$1 &amp; "'!$C:$G"), 5, FALSE),"")</f>
        <v/>
      </c>
      <c r="F808" s="51" t="str">
        <f t="shared" si="809"/>
        <v/>
      </c>
      <c r="G808" s="51" t="str">
        <f t="shared" si="809"/>
        <v/>
      </c>
      <c r="H808" s="51" t="str">
        <f t="shared" si="809"/>
        <v/>
      </c>
      <c r="I808" s="51" t="str">
        <f t="shared" si="809"/>
        <v/>
      </c>
      <c r="J808" s="51" t="str">
        <f t="shared" si="809"/>
        <v/>
      </c>
      <c r="K808" s="51" t="str">
        <f t="shared" si="809"/>
        <v/>
      </c>
      <c r="L808" s="51" t="str">
        <f t="shared" si="809"/>
        <v/>
      </c>
      <c r="M808" s="51" t="str">
        <f t="shared" si="809"/>
        <v/>
      </c>
      <c r="N808" s="51" t="str">
        <f t="shared" si="809"/>
        <v/>
      </c>
      <c r="O808" s="51" t="str">
        <f t="shared" si="809"/>
        <v/>
      </c>
      <c r="P808" s="51" t="str">
        <f t="shared" si="809"/>
        <v/>
      </c>
      <c r="Q808" s="51" t="str">
        <f t="shared" si="809"/>
        <v/>
      </c>
      <c r="R808" s="51" t="str">
        <f t="shared" si="809"/>
        <v/>
      </c>
      <c r="S808" s="51" t="str">
        <f t="shared" si="809"/>
        <v/>
      </c>
      <c r="T808" s="51" t="str">
        <f t="shared" si="809"/>
        <v/>
      </c>
      <c r="U808" s="52"/>
      <c r="V808" s="52" t="str">
        <f>IFERROR(__xludf.DUMMYFUNCTION("""COMPUTED_VALUE"""),"")</f>
        <v/>
      </c>
      <c r="W808" s="52" t="str">
        <f>IFERROR(__xludf.DUMMYFUNCTION("""COMPUTED_VALUE"""),"")</f>
        <v/>
      </c>
      <c r="X808" s="52" t="str">
        <f>IFERROR(__xludf.DUMMYFUNCTION("""COMPUTED_VALUE"""),"")</f>
        <v/>
      </c>
      <c r="Y808" s="52" t="str">
        <f>IFERROR(__xludf.DUMMYFUNCTION("""COMPUTED_VALUE"""),"")</f>
        <v/>
      </c>
      <c r="Z808" s="52" t="str">
        <f>IFERROR(__xludf.DUMMYFUNCTION("""COMPUTED_VALUE"""),"")</f>
        <v/>
      </c>
      <c r="AA808" s="52" t="str">
        <f>IFERROR(__xludf.DUMMYFUNCTION("""COMPUTED_VALUE"""),"")</f>
        <v/>
      </c>
      <c r="AB808" s="52" t="str">
        <f>IFERROR(__xludf.DUMMYFUNCTION("""COMPUTED_VALUE"""),"")</f>
        <v/>
      </c>
      <c r="AC808" s="52" t="str">
        <f>IFERROR(__xludf.DUMMYFUNCTION("""COMPUTED_VALUE"""),"")</f>
        <v/>
      </c>
      <c r="AD808" s="52" t="str">
        <f>IFERROR(__xludf.DUMMYFUNCTION("""COMPUTED_VALUE"""),"")</f>
        <v/>
      </c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</row>
    <row r="809">
      <c r="B809" s="49"/>
      <c r="C809" s="49" t="str">
        <f t="shared" si="2"/>
        <v/>
      </c>
      <c r="D809" s="50" t="str">
        <f t="shared" si="3"/>
        <v/>
      </c>
      <c r="E809" s="51" t="str">
        <f t="shared" ref="E809:T809" si="810">IFERROR(VLOOKUP($A809,INDIRECT("'" &amp; E$1 &amp; "'!$C:$G"), 5, FALSE),"")</f>
        <v/>
      </c>
      <c r="F809" s="51" t="str">
        <f t="shared" si="810"/>
        <v/>
      </c>
      <c r="G809" s="51" t="str">
        <f t="shared" si="810"/>
        <v/>
      </c>
      <c r="H809" s="51" t="str">
        <f t="shared" si="810"/>
        <v/>
      </c>
      <c r="I809" s="51" t="str">
        <f t="shared" si="810"/>
        <v/>
      </c>
      <c r="J809" s="51" t="str">
        <f t="shared" si="810"/>
        <v/>
      </c>
      <c r="K809" s="51" t="str">
        <f t="shared" si="810"/>
        <v/>
      </c>
      <c r="L809" s="51" t="str">
        <f t="shared" si="810"/>
        <v/>
      </c>
      <c r="M809" s="51" t="str">
        <f t="shared" si="810"/>
        <v/>
      </c>
      <c r="N809" s="51" t="str">
        <f t="shared" si="810"/>
        <v/>
      </c>
      <c r="O809" s="51" t="str">
        <f t="shared" si="810"/>
        <v/>
      </c>
      <c r="P809" s="51" t="str">
        <f t="shared" si="810"/>
        <v/>
      </c>
      <c r="Q809" s="51" t="str">
        <f t="shared" si="810"/>
        <v/>
      </c>
      <c r="R809" s="51" t="str">
        <f t="shared" si="810"/>
        <v/>
      </c>
      <c r="S809" s="51" t="str">
        <f t="shared" si="810"/>
        <v/>
      </c>
      <c r="T809" s="51" t="str">
        <f t="shared" si="810"/>
        <v/>
      </c>
      <c r="U809" s="52"/>
      <c r="V809" s="52" t="str">
        <f>IFERROR(__xludf.DUMMYFUNCTION("""COMPUTED_VALUE"""),"")</f>
        <v/>
      </c>
      <c r="W809" s="52" t="str">
        <f>IFERROR(__xludf.DUMMYFUNCTION("""COMPUTED_VALUE"""),"")</f>
        <v/>
      </c>
      <c r="X809" s="52" t="str">
        <f>IFERROR(__xludf.DUMMYFUNCTION("""COMPUTED_VALUE"""),"")</f>
        <v/>
      </c>
      <c r="Y809" s="52" t="str">
        <f>IFERROR(__xludf.DUMMYFUNCTION("""COMPUTED_VALUE"""),"")</f>
        <v/>
      </c>
      <c r="Z809" s="52" t="str">
        <f>IFERROR(__xludf.DUMMYFUNCTION("""COMPUTED_VALUE"""),"")</f>
        <v/>
      </c>
      <c r="AA809" s="52" t="str">
        <f>IFERROR(__xludf.DUMMYFUNCTION("""COMPUTED_VALUE"""),"")</f>
        <v/>
      </c>
      <c r="AB809" s="52" t="str">
        <f>IFERROR(__xludf.DUMMYFUNCTION("""COMPUTED_VALUE"""),"")</f>
        <v/>
      </c>
      <c r="AC809" s="52" t="str">
        <f>IFERROR(__xludf.DUMMYFUNCTION("""COMPUTED_VALUE"""),"")</f>
        <v/>
      </c>
      <c r="AD809" s="52" t="str">
        <f>IFERROR(__xludf.DUMMYFUNCTION("""COMPUTED_VALUE"""),"")</f>
        <v/>
      </c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</row>
    <row r="810">
      <c r="B810" s="49"/>
      <c r="C810" s="49" t="str">
        <f t="shared" si="2"/>
        <v/>
      </c>
      <c r="D810" s="50" t="str">
        <f t="shared" si="3"/>
        <v/>
      </c>
      <c r="E810" s="51" t="str">
        <f t="shared" ref="E810:T810" si="811">IFERROR(VLOOKUP($A810,INDIRECT("'" &amp; E$1 &amp; "'!$C:$G"), 5, FALSE),"")</f>
        <v/>
      </c>
      <c r="F810" s="51" t="str">
        <f t="shared" si="811"/>
        <v/>
      </c>
      <c r="G810" s="51" t="str">
        <f t="shared" si="811"/>
        <v/>
      </c>
      <c r="H810" s="51" t="str">
        <f t="shared" si="811"/>
        <v/>
      </c>
      <c r="I810" s="51" t="str">
        <f t="shared" si="811"/>
        <v/>
      </c>
      <c r="J810" s="51" t="str">
        <f t="shared" si="811"/>
        <v/>
      </c>
      <c r="K810" s="51" t="str">
        <f t="shared" si="811"/>
        <v/>
      </c>
      <c r="L810" s="51" t="str">
        <f t="shared" si="811"/>
        <v/>
      </c>
      <c r="M810" s="51" t="str">
        <f t="shared" si="811"/>
        <v/>
      </c>
      <c r="N810" s="51" t="str">
        <f t="shared" si="811"/>
        <v/>
      </c>
      <c r="O810" s="51" t="str">
        <f t="shared" si="811"/>
        <v/>
      </c>
      <c r="P810" s="51" t="str">
        <f t="shared" si="811"/>
        <v/>
      </c>
      <c r="Q810" s="51" t="str">
        <f t="shared" si="811"/>
        <v/>
      </c>
      <c r="R810" s="51" t="str">
        <f t="shared" si="811"/>
        <v/>
      </c>
      <c r="S810" s="51" t="str">
        <f t="shared" si="811"/>
        <v/>
      </c>
      <c r="T810" s="51" t="str">
        <f t="shared" si="811"/>
        <v/>
      </c>
      <c r="U810" s="52"/>
      <c r="V810" s="52" t="str">
        <f>IFERROR(__xludf.DUMMYFUNCTION("""COMPUTED_VALUE"""),"")</f>
        <v/>
      </c>
      <c r="W810" s="52" t="str">
        <f>IFERROR(__xludf.DUMMYFUNCTION("""COMPUTED_VALUE"""),"")</f>
        <v/>
      </c>
      <c r="X810" s="52" t="str">
        <f>IFERROR(__xludf.DUMMYFUNCTION("""COMPUTED_VALUE"""),"")</f>
        <v/>
      </c>
      <c r="Y810" s="52" t="str">
        <f>IFERROR(__xludf.DUMMYFUNCTION("""COMPUTED_VALUE"""),"")</f>
        <v/>
      </c>
      <c r="Z810" s="52" t="str">
        <f>IFERROR(__xludf.DUMMYFUNCTION("""COMPUTED_VALUE"""),"")</f>
        <v/>
      </c>
      <c r="AA810" s="52" t="str">
        <f>IFERROR(__xludf.DUMMYFUNCTION("""COMPUTED_VALUE"""),"")</f>
        <v/>
      </c>
      <c r="AB810" s="52" t="str">
        <f>IFERROR(__xludf.DUMMYFUNCTION("""COMPUTED_VALUE"""),"")</f>
        <v/>
      </c>
      <c r="AC810" s="52" t="str">
        <f>IFERROR(__xludf.DUMMYFUNCTION("""COMPUTED_VALUE"""),"")</f>
        <v/>
      </c>
      <c r="AD810" s="52" t="str">
        <f>IFERROR(__xludf.DUMMYFUNCTION("""COMPUTED_VALUE"""),"")</f>
        <v/>
      </c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</row>
    <row r="811">
      <c r="B811" s="49"/>
      <c r="C811" s="49" t="str">
        <f t="shared" si="2"/>
        <v/>
      </c>
      <c r="D811" s="50" t="str">
        <f t="shared" si="3"/>
        <v/>
      </c>
      <c r="E811" s="51" t="str">
        <f t="shared" ref="E811:T811" si="812">IFERROR(VLOOKUP($A811,INDIRECT("'" &amp; E$1 &amp; "'!$C:$G"), 5, FALSE),"")</f>
        <v/>
      </c>
      <c r="F811" s="51" t="str">
        <f t="shared" si="812"/>
        <v/>
      </c>
      <c r="G811" s="51" t="str">
        <f t="shared" si="812"/>
        <v/>
      </c>
      <c r="H811" s="51" t="str">
        <f t="shared" si="812"/>
        <v/>
      </c>
      <c r="I811" s="51" t="str">
        <f t="shared" si="812"/>
        <v/>
      </c>
      <c r="J811" s="51" t="str">
        <f t="shared" si="812"/>
        <v/>
      </c>
      <c r="K811" s="51" t="str">
        <f t="shared" si="812"/>
        <v/>
      </c>
      <c r="L811" s="51" t="str">
        <f t="shared" si="812"/>
        <v/>
      </c>
      <c r="M811" s="51" t="str">
        <f t="shared" si="812"/>
        <v/>
      </c>
      <c r="N811" s="51" t="str">
        <f t="shared" si="812"/>
        <v/>
      </c>
      <c r="O811" s="51" t="str">
        <f t="shared" si="812"/>
        <v/>
      </c>
      <c r="P811" s="51" t="str">
        <f t="shared" si="812"/>
        <v/>
      </c>
      <c r="Q811" s="51" t="str">
        <f t="shared" si="812"/>
        <v/>
      </c>
      <c r="R811" s="51" t="str">
        <f t="shared" si="812"/>
        <v/>
      </c>
      <c r="S811" s="51" t="str">
        <f t="shared" si="812"/>
        <v/>
      </c>
      <c r="T811" s="51" t="str">
        <f t="shared" si="812"/>
        <v/>
      </c>
      <c r="U811" s="52"/>
      <c r="V811" s="52" t="str">
        <f>IFERROR(__xludf.DUMMYFUNCTION("""COMPUTED_VALUE"""),"")</f>
        <v/>
      </c>
      <c r="W811" s="52" t="str">
        <f>IFERROR(__xludf.DUMMYFUNCTION("""COMPUTED_VALUE"""),"")</f>
        <v/>
      </c>
      <c r="X811" s="52" t="str">
        <f>IFERROR(__xludf.DUMMYFUNCTION("""COMPUTED_VALUE"""),"")</f>
        <v/>
      </c>
      <c r="Y811" s="52" t="str">
        <f>IFERROR(__xludf.DUMMYFUNCTION("""COMPUTED_VALUE"""),"")</f>
        <v/>
      </c>
      <c r="Z811" s="52" t="str">
        <f>IFERROR(__xludf.DUMMYFUNCTION("""COMPUTED_VALUE"""),"")</f>
        <v/>
      </c>
      <c r="AA811" s="52" t="str">
        <f>IFERROR(__xludf.DUMMYFUNCTION("""COMPUTED_VALUE"""),"")</f>
        <v/>
      </c>
      <c r="AB811" s="52" t="str">
        <f>IFERROR(__xludf.DUMMYFUNCTION("""COMPUTED_VALUE"""),"")</f>
        <v/>
      </c>
      <c r="AC811" s="52" t="str">
        <f>IFERROR(__xludf.DUMMYFUNCTION("""COMPUTED_VALUE"""),"")</f>
        <v/>
      </c>
      <c r="AD811" s="52" t="str">
        <f>IFERROR(__xludf.DUMMYFUNCTION("""COMPUTED_VALUE"""),"")</f>
        <v/>
      </c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</row>
    <row r="812">
      <c r="B812" s="49"/>
      <c r="C812" s="49" t="str">
        <f t="shared" si="2"/>
        <v/>
      </c>
      <c r="D812" s="50" t="str">
        <f t="shared" si="3"/>
        <v/>
      </c>
      <c r="E812" s="51" t="str">
        <f t="shared" ref="E812:T812" si="813">IFERROR(VLOOKUP($A812,INDIRECT("'" &amp; E$1 &amp; "'!$C:$G"), 5, FALSE),"")</f>
        <v/>
      </c>
      <c r="F812" s="51" t="str">
        <f t="shared" si="813"/>
        <v/>
      </c>
      <c r="G812" s="51" t="str">
        <f t="shared" si="813"/>
        <v/>
      </c>
      <c r="H812" s="51" t="str">
        <f t="shared" si="813"/>
        <v/>
      </c>
      <c r="I812" s="51" t="str">
        <f t="shared" si="813"/>
        <v/>
      </c>
      <c r="J812" s="51" t="str">
        <f t="shared" si="813"/>
        <v/>
      </c>
      <c r="K812" s="51" t="str">
        <f t="shared" si="813"/>
        <v/>
      </c>
      <c r="L812" s="51" t="str">
        <f t="shared" si="813"/>
        <v/>
      </c>
      <c r="M812" s="51" t="str">
        <f t="shared" si="813"/>
        <v/>
      </c>
      <c r="N812" s="51" t="str">
        <f t="shared" si="813"/>
        <v/>
      </c>
      <c r="O812" s="51" t="str">
        <f t="shared" si="813"/>
        <v/>
      </c>
      <c r="P812" s="51" t="str">
        <f t="shared" si="813"/>
        <v/>
      </c>
      <c r="Q812" s="51" t="str">
        <f t="shared" si="813"/>
        <v/>
      </c>
      <c r="R812" s="51" t="str">
        <f t="shared" si="813"/>
        <v/>
      </c>
      <c r="S812" s="51" t="str">
        <f t="shared" si="813"/>
        <v/>
      </c>
      <c r="T812" s="51" t="str">
        <f t="shared" si="813"/>
        <v/>
      </c>
      <c r="U812" s="52"/>
      <c r="V812" s="52" t="str">
        <f>IFERROR(__xludf.DUMMYFUNCTION("""COMPUTED_VALUE"""),"")</f>
        <v/>
      </c>
      <c r="W812" s="52" t="str">
        <f>IFERROR(__xludf.DUMMYFUNCTION("""COMPUTED_VALUE"""),"")</f>
        <v/>
      </c>
      <c r="X812" s="52" t="str">
        <f>IFERROR(__xludf.DUMMYFUNCTION("""COMPUTED_VALUE"""),"")</f>
        <v/>
      </c>
      <c r="Y812" s="52" t="str">
        <f>IFERROR(__xludf.DUMMYFUNCTION("""COMPUTED_VALUE"""),"")</f>
        <v/>
      </c>
      <c r="Z812" s="52" t="str">
        <f>IFERROR(__xludf.DUMMYFUNCTION("""COMPUTED_VALUE"""),"")</f>
        <v/>
      </c>
      <c r="AA812" s="52" t="str">
        <f>IFERROR(__xludf.DUMMYFUNCTION("""COMPUTED_VALUE"""),"")</f>
        <v/>
      </c>
      <c r="AB812" s="52" t="str">
        <f>IFERROR(__xludf.DUMMYFUNCTION("""COMPUTED_VALUE"""),"")</f>
        <v/>
      </c>
      <c r="AC812" s="52" t="str">
        <f>IFERROR(__xludf.DUMMYFUNCTION("""COMPUTED_VALUE"""),"")</f>
        <v/>
      </c>
      <c r="AD812" s="52" t="str">
        <f>IFERROR(__xludf.DUMMYFUNCTION("""COMPUTED_VALUE"""),"")</f>
        <v/>
      </c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</row>
    <row r="813">
      <c r="B813" s="49"/>
      <c r="C813" s="49" t="str">
        <f t="shared" si="2"/>
        <v/>
      </c>
      <c r="D813" s="50" t="str">
        <f t="shared" si="3"/>
        <v/>
      </c>
      <c r="E813" s="51" t="str">
        <f t="shared" ref="E813:T813" si="814">IFERROR(VLOOKUP($A813,INDIRECT("'" &amp; E$1 &amp; "'!$C:$G"), 5, FALSE),"")</f>
        <v/>
      </c>
      <c r="F813" s="51" t="str">
        <f t="shared" si="814"/>
        <v/>
      </c>
      <c r="G813" s="51" t="str">
        <f t="shared" si="814"/>
        <v/>
      </c>
      <c r="H813" s="51" t="str">
        <f t="shared" si="814"/>
        <v/>
      </c>
      <c r="I813" s="51" t="str">
        <f t="shared" si="814"/>
        <v/>
      </c>
      <c r="J813" s="51" t="str">
        <f t="shared" si="814"/>
        <v/>
      </c>
      <c r="K813" s="51" t="str">
        <f t="shared" si="814"/>
        <v/>
      </c>
      <c r="L813" s="51" t="str">
        <f t="shared" si="814"/>
        <v/>
      </c>
      <c r="M813" s="51" t="str">
        <f t="shared" si="814"/>
        <v/>
      </c>
      <c r="N813" s="51" t="str">
        <f t="shared" si="814"/>
        <v/>
      </c>
      <c r="O813" s="51" t="str">
        <f t="shared" si="814"/>
        <v/>
      </c>
      <c r="P813" s="51" t="str">
        <f t="shared" si="814"/>
        <v/>
      </c>
      <c r="Q813" s="51" t="str">
        <f t="shared" si="814"/>
        <v/>
      </c>
      <c r="R813" s="51" t="str">
        <f t="shared" si="814"/>
        <v/>
      </c>
      <c r="S813" s="51" t="str">
        <f t="shared" si="814"/>
        <v/>
      </c>
      <c r="T813" s="51" t="str">
        <f t="shared" si="814"/>
        <v/>
      </c>
      <c r="U813" s="52"/>
      <c r="V813" s="52" t="str">
        <f>IFERROR(__xludf.DUMMYFUNCTION("""COMPUTED_VALUE"""),"")</f>
        <v/>
      </c>
      <c r="W813" s="52" t="str">
        <f>IFERROR(__xludf.DUMMYFUNCTION("""COMPUTED_VALUE"""),"")</f>
        <v/>
      </c>
      <c r="X813" s="52" t="str">
        <f>IFERROR(__xludf.DUMMYFUNCTION("""COMPUTED_VALUE"""),"")</f>
        <v/>
      </c>
      <c r="Y813" s="52" t="str">
        <f>IFERROR(__xludf.DUMMYFUNCTION("""COMPUTED_VALUE"""),"")</f>
        <v/>
      </c>
      <c r="Z813" s="52" t="str">
        <f>IFERROR(__xludf.DUMMYFUNCTION("""COMPUTED_VALUE"""),"")</f>
        <v/>
      </c>
      <c r="AA813" s="52" t="str">
        <f>IFERROR(__xludf.DUMMYFUNCTION("""COMPUTED_VALUE"""),"")</f>
        <v/>
      </c>
      <c r="AB813" s="52" t="str">
        <f>IFERROR(__xludf.DUMMYFUNCTION("""COMPUTED_VALUE"""),"")</f>
        <v/>
      </c>
      <c r="AC813" s="52" t="str">
        <f>IFERROR(__xludf.DUMMYFUNCTION("""COMPUTED_VALUE"""),"")</f>
        <v/>
      </c>
      <c r="AD813" s="52" t="str">
        <f>IFERROR(__xludf.DUMMYFUNCTION("""COMPUTED_VALUE"""),"")</f>
        <v/>
      </c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</row>
    <row r="814">
      <c r="B814" s="49"/>
      <c r="C814" s="49" t="str">
        <f t="shared" si="2"/>
        <v/>
      </c>
      <c r="D814" s="50" t="str">
        <f t="shared" si="3"/>
        <v/>
      </c>
      <c r="E814" s="51" t="str">
        <f t="shared" ref="E814:T814" si="815">IFERROR(VLOOKUP($A814,INDIRECT("'" &amp; E$1 &amp; "'!$C:$G"), 5, FALSE),"")</f>
        <v/>
      </c>
      <c r="F814" s="51" t="str">
        <f t="shared" si="815"/>
        <v/>
      </c>
      <c r="G814" s="51" t="str">
        <f t="shared" si="815"/>
        <v/>
      </c>
      <c r="H814" s="51" t="str">
        <f t="shared" si="815"/>
        <v/>
      </c>
      <c r="I814" s="51" t="str">
        <f t="shared" si="815"/>
        <v/>
      </c>
      <c r="J814" s="51" t="str">
        <f t="shared" si="815"/>
        <v/>
      </c>
      <c r="K814" s="51" t="str">
        <f t="shared" si="815"/>
        <v/>
      </c>
      <c r="L814" s="51" t="str">
        <f t="shared" si="815"/>
        <v/>
      </c>
      <c r="M814" s="51" t="str">
        <f t="shared" si="815"/>
        <v/>
      </c>
      <c r="N814" s="51" t="str">
        <f t="shared" si="815"/>
        <v/>
      </c>
      <c r="O814" s="51" t="str">
        <f t="shared" si="815"/>
        <v/>
      </c>
      <c r="P814" s="51" t="str">
        <f t="shared" si="815"/>
        <v/>
      </c>
      <c r="Q814" s="51" t="str">
        <f t="shared" si="815"/>
        <v/>
      </c>
      <c r="R814" s="51" t="str">
        <f t="shared" si="815"/>
        <v/>
      </c>
      <c r="S814" s="51" t="str">
        <f t="shared" si="815"/>
        <v/>
      </c>
      <c r="T814" s="51" t="str">
        <f t="shared" si="815"/>
        <v/>
      </c>
      <c r="U814" s="52"/>
      <c r="V814" s="52" t="str">
        <f>IFERROR(__xludf.DUMMYFUNCTION("""COMPUTED_VALUE"""),"")</f>
        <v/>
      </c>
      <c r="W814" s="52" t="str">
        <f>IFERROR(__xludf.DUMMYFUNCTION("""COMPUTED_VALUE"""),"")</f>
        <v/>
      </c>
      <c r="X814" s="52" t="str">
        <f>IFERROR(__xludf.DUMMYFUNCTION("""COMPUTED_VALUE"""),"")</f>
        <v/>
      </c>
      <c r="Y814" s="52" t="str">
        <f>IFERROR(__xludf.DUMMYFUNCTION("""COMPUTED_VALUE"""),"")</f>
        <v/>
      </c>
      <c r="Z814" s="52" t="str">
        <f>IFERROR(__xludf.DUMMYFUNCTION("""COMPUTED_VALUE"""),"")</f>
        <v/>
      </c>
      <c r="AA814" s="52" t="str">
        <f>IFERROR(__xludf.DUMMYFUNCTION("""COMPUTED_VALUE"""),"")</f>
        <v/>
      </c>
      <c r="AB814" s="52" t="str">
        <f>IFERROR(__xludf.DUMMYFUNCTION("""COMPUTED_VALUE"""),"")</f>
        <v/>
      </c>
      <c r="AC814" s="52" t="str">
        <f>IFERROR(__xludf.DUMMYFUNCTION("""COMPUTED_VALUE"""),"")</f>
        <v/>
      </c>
      <c r="AD814" s="52" t="str">
        <f>IFERROR(__xludf.DUMMYFUNCTION("""COMPUTED_VALUE"""),"")</f>
        <v/>
      </c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</row>
    <row r="815">
      <c r="B815" s="49"/>
      <c r="C815" s="49" t="str">
        <f t="shared" si="2"/>
        <v/>
      </c>
      <c r="D815" s="50" t="str">
        <f t="shared" si="3"/>
        <v/>
      </c>
      <c r="E815" s="51" t="str">
        <f t="shared" ref="E815:T815" si="816">IFERROR(VLOOKUP($A815,INDIRECT("'" &amp; E$1 &amp; "'!$C:$G"), 5, FALSE),"")</f>
        <v/>
      </c>
      <c r="F815" s="51" t="str">
        <f t="shared" si="816"/>
        <v/>
      </c>
      <c r="G815" s="51" t="str">
        <f t="shared" si="816"/>
        <v/>
      </c>
      <c r="H815" s="51" t="str">
        <f t="shared" si="816"/>
        <v/>
      </c>
      <c r="I815" s="51" t="str">
        <f t="shared" si="816"/>
        <v/>
      </c>
      <c r="J815" s="51" t="str">
        <f t="shared" si="816"/>
        <v/>
      </c>
      <c r="K815" s="51" t="str">
        <f t="shared" si="816"/>
        <v/>
      </c>
      <c r="L815" s="51" t="str">
        <f t="shared" si="816"/>
        <v/>
      </c>
      <c r="M815" s="51" t="str">
        <f t="shared" si="816"/>
        <v/>
      </c>
      <c r="N815" s="51" t="str">
        <f t="shared" si="816"/>
        <v/>
      </c>
      <c r="O815" s="51" t="str">
        <f t="shared" si="816"/>
        <v/>
      </c>
      <c r="P815" s="51" t="str">
        <f t="shared" si="816"/>
        <v/>
      </c>
      <c r="Q815" s="51" t="str">
        <f t="shared" si="816"/>
        <v/>
      </c>
      <c r="R815" s="51" t="str">
        <f t="shared" si="816"/>
        <v/>
      </c>
      <c r="S815" s="51" t="str">
        <f t="shared" si="816"/>
        <v/>
      </c>
      <c r="T815" s="51" t="str">
        <f t="shared" si="816"/>
        <v/>
      </c>
      <c r="U815" s="52"/>
      <c r="V815" s="52" t="str">
        <f>IFERROR(__xludf.DUMMYFUNCTION("""COMPUTED_VALUE"""),"")</f>
        <v/>
      </c>
      <c r="W815" s="52" t="str">
        <f>IFERROR(__xludf.DUMMYFUNCTION("""COMPUTED_VALUE"""),"")</f>
        <v/>
      </c>
      <c r="X815" s="52" t="str">
        <f>IFERROR(__xludf.DUMMYFUNCTION("""COMPUTED_VALUE"""),"")</f>
        <v/>
      </c>
      <c r="Y815" s="52" t="str">
        <f>IFERROR(__xludf.DUMMYFUNCTION("""COMPUTED_VALUE"""),"")</f>
        <v/>
      </c>
      <c r="Z815" s="52" t="str">
        <f>IFERROR(__xludf.DUMMYFUNCTION("""COMPUTED_VALUE"""),"")</f>
        <v/>
      </c>
      <c r="AA815" s="52" t="str">
        <f>IFERROR(__xludf.DUMMYFUNCTION("""COMPUTED_VALUE"""),"")</f>
        <v/>
      </c>
      <c r="AB815" s="52" t="str">
        <f>IFERROR(__xludf.DUMMYFUNCTION("""COMPUTED_VALUE"""),"")</f>
        <v/>
      </c>
      <c r="AC815" s="52" t="str">
        <f>IFERROR(__xludf.DUMMYFUNCTION("""COMPUTED_VALUE"""),"")</f>
        <v/>
      </c>
      <c r="AD815" s="52" t="str">
        <f>IFERROR(__xludf.DUMMYFUNCTION("""COMPUTED_VALUE"""),"")</f>
        <v/>
      </c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</row>
    <row r="816">
      <c r="B816" s="49"/>
      <c r="C816" s="49" t="str">
        <f t="shared" si="2"/>
        <v/>
      </c>
      <c r="D816" s="50" t="str">
        <f t="shared" si="3"/>
        <v/>
      </c>
      <c r="E816" s="51" t="str">
        <f t="shared" ref="E816:T816" si="817">IFERROR(VLOOKUP($A816,INDIRECT("'" &amp; E$1 &amp; "'!$C:$G"), 5, FALSE),"")</f>
        <v/>
      </c>
      <c r="F816" s="51" t="str">
        <f t="shared" si="817"/>
        <v/>
      </c>
      <c r="G816" s="51" t="str">
        <f t="shared" si="817"/>
        <v/>
      </c>
      <c r="H816" s="51" t="str">
        <f t="shared" si="817"/>
        <v/>
      </c>
      <c r="I816" s="51" t="str">
        <f t="shared" si="817"/>
        <v/>
      </c>
      <c r="J816" s="51" t="str">
        <f t="shared" si="817"/>
        <v/>
      </c>
      <c r="K816" s="51" t="str">
        <f t="shared" si="817"/>
        <v/>
      </c>
      <c r="L816" s="51" t="str">
        <f t="shared" si="817"/>
        <v/>
      </c>
      <c r="M816" s="51" t="str">
        <f t="shared" si="817"/>
        <v/>
      </c>
      <c r="N816" s="51" t="str">
        <f t="shared" si="817"/>
        <v/>
      </c>
      <c r="O816" s="51" t="str">
        <f t="shared" si="817"/>
        <v/>
      </c>
      <c r="P816" s="51" t="str">
        <f t="shared" si="817"/>
        <v/>
      </c>
      <c r="Q816" s="51" t="str">
        <f t="shared" si="817"/>
        <v/>
      </c>
      <c r="R816" s="51" t="str">
        <f t="shared" si="817"/>
        <v/>
      </c>
      <c r="S816" s="51" t="str">
        <f t="shared" si="817"/>
        <v/>
      </c>
      <c r="T816" s="51" t="str">
        <f t="shared" si="817"/>
        <v/>
      </c>
      <c r="U816" s="52"/>
      <c r="V816" s="52" t="str">
        <f>IFERROR(__xludf.DUMMYFUNCTION("""COMPUTED_VALUE"""),"")</f>
        <v/>
      </c>
      <c r="W816" s="52" t="str">
        <f>IFERROR(__xludf.DUMMYFUNCTION("""COMPUTED_VALUE"""),"")</f>
        <v/>
      </c>
      <c r="X816" s="52" t="str">
        <f>IFERROR(__xludf.DUMMYFUNCTION("""COMPUTED_VALUE"""),"")</f>
        <v/>
      </c>
      <c r="Y816" s="52" t="str">
        <f>IFERROR(__xludf.DUMMYFUNCTION("""COMPUTED_VALUE"""),"")</f>
        <v/>
      </c>
      <c r="Z816" s="52" t="str">
        <f>IFERROR(__xludf.DUMMYFUNCTION("""COMPUTED_VALUE"""),"")</f>
        <v/>
      </c>
      <c r="AA816" s="52" t="str">
        <f>IFERROR(__xludf.DUMMYFUNCTION("""COMPUTED_VALUE"""),"")</f>
        <v/>
      </c>
      <c r="AB816" s="52" t="str">
        <f>IFERROR(__xludf.DUMMYFUNCTION("""COMPUTED_VALUE"""),"")</f>
        <v/>
      </c>
      <c r="AC816" s="52" t="str">
        <f>IFERROR(__xludf.DUMMYFUNCTION("""COMPUTED_VALUE"""),"")</f>
        <v/>
      </c>
      <c r="AD816" s="52" t="str">
        <f>IFERROR(__xludf.DUMMYFUNCTION("""COMPUTED_VALUE"""),"")</f>
        <v/>
      </c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</row>
    <row r="817">
      <c r="B817" s="49"/>
      <c r="C817" s="49" t="str">
        <f t="shared" si="2"/>
        <v/>
      </c>
      <c r="D817" s="50" t="str">
        <f t="shared" si="3"/>
        <v/>
      </c>
      <c r="E817" s="51" t="str">
        <f t="shared" ref="E817:T817" si="818">IFERROR(VLOOKUP($A817,INDIRECT("'" &amp; E$1 &amp; "'!$C:$G"), 5, FALSE),"")</f>
        <v/>
      </c>
      <c r="F817" s="51" t="str">
        <f t="shared" si="818"/>
        <v/>
      </c>
      <c r="G817" s="51" t="str">
        <f t="shared" si="818"/>
        <v/>
      </c>
      <c r="H817" s="51" t="str">
        <f t="shared" si="818"/>
        <v/>
      </c>
      <c r="I817" s="51" t="str">
        <f t="shared" si="818"/>
        <v/>
      </c>
      <c r="J817" s="51" t="str">
        <f t="shared" si="818"/>
        <v/>
      </c>
      <c r="K817" s="51" t="str">
        <f t="shared" si="818"/>
        <v/>
      </c>
      <c r="L817" s="51" t="str">
        <f t="shared" si="818"/>
        <v/>
      </c>
      <c r="M817" s="51" t="str">
        <f t="shared" si="818"/>
        <v/>
      </c>
      <c r="N817" s="51" t="str">
        <f t="shared" si="818"/>
        <v/>
      </c>
      <c r="O817" s="51" t="str">
        <f t="shared" si="818"/>
        <v/>
      </c>
      <c r="P817" s="51" t="str">
        <f t="shared" si="818"/>
        <v/>
      </c>
      <c r="Q817" s="51" t="str">
        <f t="shared" si="818"/>
        <v/>
      </c>
      <c r="R817" s="51" t="str">
        <f t="shared" si="818"/>
        <v/>
      </c>
      <c r="S817" s="51" t="str">
        <f t="shared" si="818"/>
        <v/>
      </c>
      <c r="T817" s="51" t="str">
        <f t="shared" si="818"/>
        <v/>
      </c>
      <c r="U817" s="52"/>
      <c r="V817" s="52" t="str">
        <f>IFERROR(__xludf.DUMMYFUNCTION("""COMPUTED_VALUE"""),"")</f>
        <v/>
      </c>
      <c r="W817" s="52" t="str">
        <f>IFERROR(__xludf.DUMMYFUNCTION("""COMPUTED_VALUE"""),"")</f>
        <v/>
      </c>
      <c r="X817" s="52" t="str">
        <f>IFERROR(__xludf.DUMMYFUNCTION("""COMPUTED_VALUE"""),"")</f>
        <v/>
      </c>
      <c r="Y817" s="52" t="str">
        <f>IFERROR(__xludf.DUMMYFUNCTION("""COMPUTED_VALUE"""),"")</f>
        <v/>
      </c>
      <c r="Z817" s="52" t="str">
        <f>IFERROR(__xludf.DUMMYFUNCTION("""COMPUTED_VALUE"""),"")</f>
        <v/>
      </c>
      <c r="AA817" s="52" t="str">
        <f>IFERROR(__xludf.DUMMYFUNCTION("""COMPUTED_VALUE"""),"")</f>
        <v/>
      </c>
      <c r="AB817" s="52" t="str">
        <f>IFERROR(__xludf.DUMMYFUNCTION("""COMPUTED_VALUE"""),"")</f>
        <v/>
      </c>
      <c r="AC817" s="52" t="str">
        <f>IFERROR(__xludf.DUMMYFUNCTION("""COMPUTED_VALUE"""),"")</f>
        <v/>
      </c>
      <c r="AD817" s="52" t="str">
        <f>IFERROR(__xludf.DUMMYFUNCTION("""COMPUTED_VALUE"""),"")</f>
        <v/>
      </c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</row>
    <row r="818">
      <c r="B818" s="49"/>
      <c r="C818" s="49" t="str">
        <f t="shared" si="2"/>
        <v/>
      </c>
      <c r="D818" s="50" t="str">
        <f t="shared" si="3"/>
        <v/>
      </c>
      <c r="E818" s="51" t="str">
        <f t="shared" ref="E818:T818" si="819">IFERROR(VLOOKUP($A818,INDIRECT("'" &amp; E$1 &amp; "'!$C:$G"), 5, FALSE),"")</f>
        <v/>
      </c>
      <c r="F818" s="51" t="str">
        <f t="shared" si="819"/>
        <v/>
      </c>
      <c r="G818" s="51" t="str">
        <f t="shared" si="819"/>
        <v/>
      </c>
      <c r="H818" s="51" t="str">
        <f t="shared" si="819"/>
        <v/>
      </c>
      <c r="I818" s="51" t="str">
        <f t="shared" si="819"/>
        <v/>
      </c>
      <c r="J818" s="51" t="str">
        <f t="shared" si="819"/>
        <v/>
      </c>
      <c r="K818" s="51" t="str">
        <f t="shared" si="819"/>
        <v/>
      </c>
      <c r="L818" s="51" t="str">
        <f t="shared" si="819"/>
        <v/>
      </c>
      <c r="M818" s="51" t="str">
        <f t="shared" si="819"/>
        <v/>
      </c>
      <c r="N818" s="51" t="str">
        <f t="shared" si="819"/>
        <v/>
      </c>
      <c r="O818" s="51" t="str">
        <f t="shared" si="819"/>
        <v/>
      </c>
      <c r="P818" s="51" t="str">
        <f t="shared" si="819"/>
        <v/>
      </c>
      <c r="Q818" s="51" t="str">
        <f t="shared" si="819"/>
        <v/>
      </c>
      <c r="R818" s="51" t="str">
        <f t="shared" si="819"/>
        <v/>
      </c>
      <c r="S818" s="51" t="str">
        <f t="shared" si="819"/>
        <v/>
      </c>
      <c r="T818" s="51" t="str">
        <f t="shared" si="819"/>
        <v/>
      </c>
      <c r="U818" s="52"/>
      <c r="V818" s="52" t="str">
        <f>IFERROR(__xludf.DUMMYFUNCTION("""COMPUTED_VALUE"""),"")</f>
        <v/>
      </c>
      <c r="W818" s="52" t="str">
        <f>IFERROR(__xludf.DUMMYFUNCTION("""COMPUTED_VALUE"""),"")</f>
        <v/>
      </c>
      <c r="X818" s="52" t="str">
        <f>IFERROR(__xludf.DUMMYFUNCTION("""COMPUTED_VALUE"""),"")</f>
        <v/>
      </c>
      <c r="Y818" s="52" t="str">
        <f>IFERROR(__xludf.DUMMYFUNCTION("""COMPUTED_VALUE"""),"")</f>
        <v/>
      </c>
      <c r="Z818" s="52" t="str">
        <f>IFERROR(__xludf.DUMMYFUNCTION("""COMPUTED_VALUE"""),"")</f>
        <v/>
      </c>
      <c r="AA818" s="52" t="str">
        <f>IFERROR(__xludf.DUMMYFUNCTION("""COMPUTED_VALUE"""),"")</f>
        <v/>
      </c>
      <c r="AB818" s="52" t="str">
        <f>IFERROR(__xludf.DUMMYFUNCTION("""COMPUTED_VALUE"""),"")</f>
        <v/>
      </c>
      <c r="AC818" s="52" t="str">
        <f>IFERROR(__xludf.DUMMYFUNCTION("""COMPUTED_VALUE"""),"")</f>
        <v/>
      </c>
      <c r="AD818" s="52" t="str">
        <f>IFERROR(__xludf.DUMMYFUNCTION("""COMPUTED_VALUE"""),"")</f>
        <v/>
      </c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</row>
    <row r="819">
      <c r="B819" s="49"/>
      <c r="C819" s="49" t="str">
        <f t="shared" si="2"/>
        <v/>
      </c>
      <c r="D819" s="50" t="str">
        <f t="shared" si="3"/>
        <v/>
      </c>
      <c r="E819" s="51" t="str">
        <f t="shared" ref="E819:T819" si="820">IFERROR(VLOOKUP($A819,INDIRECT("'" &amp; E$1 &amp; "'!$C:$G"), 5, FALSE),"")</f>
        <v/>
      </c>
      <c r="F819" s="51" t="str">
        <f t="shared" si="820"/>
        <v/>
      </c>
      <c r="G819" s="51" t="str">
        <f t="shared" si="820"/>
        <v/>
      </c>
      <c r="H819" s="51" t="str">
        <f t="shared" si="820"/>
        <v/>
      </c>
      <c r="I819" s="51" t="str">
        <f t="shared" si="820"/>
        <v/>
      </c>
      <c r="J819" s="51" t="str">
        <f t="shared" si="820"/>
        <v/>
      </c>
      <c r="K819" s="51" t="str">
        <f t="shared" si="820"/>
        <v/>
      </c>
      <c r="L819" s="51" t="str">
        <f t="shared" si="820"/>
        <v/>
      </c>
      <c r="M819" s="51" t="str">
        <f t="shared" si="820"/>
        <v/>
      </c>
      <c r="N819" s="51" t="str">
        <f t="shared" si="820"/>
        <v/>
      </c>
      <c r="O819" s="51" t="str">
        <f t="shared" si="820"/>
        <v/>
      </c>
      <c r="P819" s="51" t="str">
        <f t="shared" si="820"/>
        <v/>
      </c>
      <c r="Q819" s="51" t="str">
        <f t="shared" si="820"/>
        <v/>
      </c>
      <c r="R819" s="51" t="str">
        <f t="shared" si="820"/>
        <v/>
      </c>
      <c r="S819" s="51" t="str">
        <f t="shared" si="820"/>
        <v/>
      </c>
      <c r="T819" s="51" t="str">
        <f t="shared" si="820"/>
        <v/>
      </c>
      <c r="U819" s="52"/>
      <c r="V819" s="52" t="str">
        <f>IFERROR(__xludf.DUMMYFUNCTION("""COMPUTED_VALUE"""),"")</f>
        <v/>
      </c>
      <c r="W819" s="52" t="str">
        <f>IFERROR(__xludf.DUMMYFUNCTION("""COMPUTED_VALUE"""),"")</f>
        <v/>
      </c>
      <c r="X819" s="52" t="str">
        <f>IFERROR(__xludf.DUMMYFUNCTION("""COMPUTED_VALUE"""),"")</f>
        <v/>
      </c>
      <c r="Y819" s="52" t="str">
        <f>IFERROR(__xludf.DUMMYFUNCTION("""COMPUTED_VALUE"""),"")</f>
        <v/>
      </c>
      <c r="Z819" s="52" t="str">
        <f>IFERROR(__xludf.DUMMYFUNCTION("""COMPUTED_VALUE"""),"")</f>
        <v/>
      </c>
      <c r="AA819" s="52" t="str">
        <f>IFERROR(__xludf.DUMMYFUNCTION("""COMPUTED_VALUE"""),"")</f>
        <v/>
      </c>
      <c r="AB819" s="52" t="str">
        <f>IFERROR(__xludf.DUMMYFUNCTION("""COMPUTED_VALUE"""),"")</f>
        <v/>
      </c>
      <c r="AC819" s="52" t="str">
        <f>IFERROR(__xludf.DUMMYFUNCTION("""COMPUTED_VALUE"""),"")</f>
        <v/>
      </c>
      <c r="AD819" s="52" t="str">
        <f>IFERROR(__xludf.DUMMYFUNCTION("""COMPUTED_VALUE"""),"")</f>
        <v/>
      </c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</row>
    <row r="820">
      <c r="B820" s="49"/>
      <c r="C820" s="49" t="str">
        <f t="shared" si="2"/>
        <v/>
      </c>
      <c r="D820" s="50" t="str">
        <f t="shared" si="3"/>
        <v/>
      </c>
      <c r="E820" s="51" t="str">
        <f t="shared" ref="E820:T820" si="821">IFERROR(VLOOKUP($A820,INDIRECT("'" &amp; E$1 &amp; "'!$C:$G"), 5, FALSE),"")</f>
        <v/>
      </c>
      <c r="F820" s="51" t="str">
        <f t="shared" si="821"/>
        <v/>
      </c>
      <c r="G820" s="51" t="str">
        <f t="shared" si="821"/>
        <v/>
      </c>
      <c r="H820" s="51" t="str">
        <f t="shared" si="821"/>
        <v/>
      </c>
      <c r="I820" s="51" t="str">
        <f t="shared" si="821"/>
        <v/>
      </c>
      <c r="J820" s="51" t="str">
        <f t="shared" si="821"/>
        <v/>
      </c>
      <c r="K820" s="51" t="str">
        <f t="shared" si="821"/>
        <v/>
      </c>
      <c r="L820" s="51" t="str">
        <f t="shared" si="821"/>
        <v/>
      </c>
      <c r="M820" s="51" t="str">
        <f t="shared" si="821"/>
        <v/>
      </c>
      <c r="N820" s="51" t="str">
        <f t="shared" si="821"/>
        <v/>
      </c>
      <c r="O820" s="51" t="str">
        <f t="shared" si="821"/>
        <v/>
      </c>
      <c r="P820" s="51" t="str">
        <f t="shared" si="821"/>
        <v/>
      </c>
      <c r="Q820" s="51" t="str">
        <f t="shared" si="821"/>
        <v/>
      </c>
      <c r="R820" s="51" t="str">
        <f t="shared" si="821"/>
        <v/>
      </c>
      <c r="S820" s="51" t="str">
        <f t="shared" si="821"/>
        <v/>
      </c>
      <c r="T820" s="51" t="str">
        <f t="shared" si="821"/>
        <v/>
      </c>
      <c r="U820" s="52"/>
      <c r="V820" s="52" t="str">
        <f>IFERROR(__xludf.DUMMYFUNCTION("""COMPUTED_VALUE"""),"")</f>
        <v/>
      </c>
      <c r="W820" s="52" t="str">
        <f>IFERROR(__xludf.DUMMYFUNCTION("""COMPUTED_VALUE"""),"")</f>
        <v/>
      </c>
      <c r="X820" s="52" t="str">
        <f>IFERROR(__xludf.DUMMYFUNCTION("""COMPUTED_VALUE"""),"")</f>
        <v/>
      </c>
      <c r="Y820" s="52" t="str">
        <f>IFERROR(__xludf.DUMMYFUNCTION("""COMPUTED_VALUE"""),"")</f>
        <v/>
      </c>
      <c r="Z820" s="52" t="str">
        <f>IFERROR(__xludf.DUMMYFUNCTION("""COMPUTED_VALUE"""),"")</f>
        <v/>
      </c>
      <c r="AA820" s="52" t="str">
        <f>IFERROR(__xludf.DUMMYFUNCTION("""COMPUTED_VALUE"""),"")</f>
        <v/>
      </c>
      <c r="AB820" s="52" t="str">
        <f>IFERROR(__xludf.DUMMYFUNCTION("""COMPUTED_VALUE"""),"")</f>
        <v/>
      </c>
      <c r="AC820" s="52" t="str">
        <f>IFERROR(__xludf.DUMMYFUNCTION("""COMPUTED_VALUE"""),"")</f>
        <v/>
      </c>
      <c r="AD820" s="52" t="str">
        <f>IFERROR(__xludf.DUMMYFUNCTION("""COMPUTED_VALUE"""),"")</f>
        <v/>
      </c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</row>
    <row r="821">
      <c r="B821" s="49"/>
      <c r="C821" s="49" t="str">
        <f t="shared" si="2"/>
        <v/>
      </c>
      <c r="D821" s="50" t="str">
        <f t="shared" si="3"/>
        <v/>
      </c>
      <c r="E821" s="51" t="str">
        <f t="shared" ref="E821:T821" si="822">IFERROR(VLOOKUP($A821,INDIRECT("'" &amp; E$1 &amp; "'!$C:$G"), 5, FALSE),"")</f>
        <v/>
      </c>
      <c r="F821" s="51" t="str">
        <f t="shared" si="822"/>
        <v/>
      </c>
      <c r="G821" s="51" t="str">
        <f t="shared" si="822"/>
        <v/>
      </c>
      <c r="H821" s="51" t="str">
        <f t="shared" si="822"/>
        <v/>
      </c>
      <c r="I821" s="51" t="str">
        <f t="shared" si="822"/>
        <v/>
      </c>
      <c r="J821" s="51" t="str">
        <f t="shared" si="822"/>
        <v/>
      </c>
      <c r="K821" s="51" t="str">
        <f t="shared" si="822"/>
        <v/>
      </c>
      <c r="L821" s="51" t="str">
        <f t="shared" si="822"/>
        <v/>
      </c>
      <c r="M821" s="51" t="str">
        <f t="shared" si="822"/>
        <v/>
      </c>
      <c r="N821" s="51" t="str">
        <f t="shared" si="822"/>
        <v/>
      </c>
      <c r="O821" s="51" t="str">
        <f t="shared" si="822"/>
        <v/>
      </c>
      <c r="P821" s="51" t="str">
        <f t="shared" si="822"/>
        <v/>
      </c>
      <c r="Q821" s="51" t="str">
        <f t="shared" si="822"/>
        <v/>
      </c>
      <c r="R821" s="51" t="str">
        <f t="shared" si="822"/>
        <v/>
      </c>
      <c r="S821" s="51" t="str">
        <f t="shared" si="822"/>
        <v/>
      </c>
      <c r="T821" s="51" t="str">
        <f t="shared" si="822"/>
        <v/>
      </c>
      <c r="U821" s="52"/>
      <c r="V821" s="52" t="str">
        <f>IFERROR(__xludf.DUMMYFUNCTION("""COMPUTED_VALUE"""),"")</f>
        <v/>
      </c>
      <c r="W821" s="52" t="str">
        <f>IFERROR(__xludf.DUMMYFUNCTION("""COMPUTED_VALUE"""),"")</f>
        <v/>
      </c>
      <c r="X821" s="52" t="str">
        <f>IFERROR(__xludf.DUMMYFUNCTION("""COMPUTED_VALUE"""),"")</f>
        <v/>
      </c>
      <c r="Y821" s="52" t="str">
        <f>IFERROR(__xludf.DUMMYFUNCTION("""COMPUTED_VALUE"""),"")</f>
        <v/>
      </c>
      <c r="Z821" s="52" t="str">
        <f>IFERROR(__xludf.DUMMYFUNCTION("""COMPUTED_VALUE"""),"")</f>
        <v/>
      </c>
      <c r="AA821" s="52" t="str">
        <f>IFERROR(__xludf.DUMMYFUNCTION("""COMPUTED_VALUE"""),"")</f>
        <v/>
      </c>
      <c r="AB821" s="52" t="str">
        <f>IFERROR(__xludf.DUMMYFUNCTION("""COMPUTED_VALUE"""),"")</f>
        <v/>
      </c>
      <c r="AC821" s="52" t="str">
        <f>IFERROR(__xludf.DUMMYFUNCTION("""COMPUTED_VALUE"""),"")</f>
        <v/>
      </c>
      <c r="AD821" s="52" t="str">
        <f>IFERROR(__xludf.DUMMYFUNCTION("""COMPUTED_VALUE"""),"")</f>
        <v/>
      </c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</row>
    <row r="822">
      <c r="B822" s="49"/>
      <c r="C822" s="49" t="str">
        <f t="shared" si="2"/>
        <v/>
      </c>
      <c r="D822" s="50" t="str">
        <f t="shared" si="3"/>
        <v/>
      </c>
      <c r="E822" s="51" t="str">
        <f t="shared" ref="E822:T822" si="823">IFERROR(VLOOKUP($A822,INDIRECT("'" &amp; E$1 &amp; "'!$C:$G"), 5, FALSE),"")</f>
        <v/>
      </c>
      <c r="F822" s="51" t="str">
        <f t="shared" si="823"/>
        <v/>
      </c>
      <c r="G822" s="51" t="str">
        <f t="shared" si="823"/>
        <v/>
      </c>
      <c r="H822" s="51" t="str">
        <f t="shared" si="823"/>
        <v/>
      </c>
      <c r="I822" s="51" t="str">
        <f t="shared" si="823"/>
        <v/>
      </c>
      <c r="J822" s="51" t="str">
        <f t="shared" si="823"/>
        <v/>
      </c>
      <c r="K822" s="51" t="str">
        <f t="shared" si="823"/>
        <v/>
      </c>
      <c r="L822" s="51" t="str">
        <f t="shared" si="823"/>
        <v/>
      </c>
      <c r="M822" s="51" t="str">
        <f t="shared" si="823"/>
        <v/>
      </c>
      <c r="N822" s="51" t="str">
        <f t="shared" si="823"/>
        <v/>
      </c>
      <c r="O822" s="51" t="str">
        <f t="shared" si="823"/>
        <v/>
      </c>
      <c r="P822" s="51" t="str">
        <f t="shared" si="823"/>
        <v/>
      </c>
      <c r="Q822" s="51" t="str">
        <f t="shared" si="823"/>
        <v/>
      </c>
      <c r="R822" s="51" t="str">
        <f t="shared" si="823"/>
        <v/>
      </c>
      <c r="S822" s="51" t="str">
        <f t="shared" si="823"/>
        <v/>
      </c>
      <c r="T822" s="51" t="str">
        <f t="shared" si="823"/>
        <v/>
      </c>
      <c r="U822" s="52"/>
      <c r="V822" s="52" t="str">
        <f>IFERROR(__xludf.DUMMYFUNCTION("""COMPUTED_VALUE"""),"")</f>
        <v/>
      </c>
      <c r="W822" s="52" t="str">
        <f>IFERROR(__xludf.DUMMYFUNCTION("""COMPUTED_VALUE"""),"")</f>
        <v/>
      </c>
      <c r="X822" s="52" t="str">
        <f>IFERROR(__xludf.DUMMYFUNCTION("""COMPUTED_VALUE"""),"")</f>
        <v/>
      </c>
      <c r="Y822" s="52" t="str">
        <f>IFERROR(__xludf.DUMMYFUNCTION("""COMPUTED_VALUE"""),"")</f>
        <v/>
      </c>
      <c r="Z822" s="52" t="str">
        <f>IFERROR(__xludf.DUMMYFUNCTION("""COMPUTED_VALUE"""),"")</f>
        <v/>
      </c>
      <c r="AA822" s="52" t="str">
        <f>IFERROR(__xludf.DUMMYFUNCTION("""COMPUTED_VALUE"""),"")</f>
        <v/>
      </c>
      <c r="AB822" s="52" t="str">
        <f>IFERROR(__xludf.DUMMYFUNCTION("""COMPUTED_VALUE"""),"")</f>
        <v/>
      </c>
      <c r="AC822" s="52" t="str">
        <f>IFERROR(__xludf.DUMMYFUNCTION("""COMPUTED_VALUE"""),"")</f>
        <v/>
      </c>
      <c r="AD822" s="52" t="str">
        <f>IFERROR(__xludf.DUMMYFUNCTION("""COMPUTED_VALUE"""),"")</f>
        <v/>
      </c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</row>
    <row r="823">
      <c r="B823" s="49"/>
      <c r="C823" s="49" t="str">
        <f t="shared" si="2"/>
        <v/>
      </c>
      <c r="D823" s="50" t="str">
        <f t="shared" si="3"/>
        <v/>
      </c>
      <c r="E823" s="51" t="str">
        <f t="shared" ref="E823:T823" si="824">IFERROR(VLOOKUP($A823,INDIRECT("'" &amp; E$1 &amp; "'!$C:$G"), 5, FALSE),"")</f>
        <v/>
      </c>
      <c r="F823" s="51" t="str">
        <f t="shared" si="824"/>
        <v/>
      </c>
      <c r="G823" s="51" t="str">
        <f t="shared" si="824"/>
        <v/>
      </c>
      <c r="H823" s="51" t="str">
        <f t="shared" si="824"/>
        <v/>
      </c>
      <c r="I823" s="51" t="str">
        <f t="shared" si="824"/>
        <v/>
      </c>
      <c r="J823" s="51" t="str">
        <f t="shared" si="824"/>
        <v/>
      </c>
      <c r="K823" s="51" t="str">
        <f t="shared" si="824"/>
        <v/>
      </c>
      <c r="L823" s="51" t="str">
        <f t="shared" si="824"/>
        <v/>
      </c>
      <c r="M823" s="51" t="str">
        <f t="shared" si="824"/>
        <v/>
      </c>
      <c r="N823" s="51" t="str">
        <f t="shared" si="824"/>
        <v/>
      </c>
      <c r="O823" s="51" t="str">
        <f t="shared" si="824"/>
        <v/>
      </c>
      <c r="P823" s="51" t="str">
        <f t="shared" si="824"/>
        <v/>
      </c>
      <c r="Q823" s="51" t="str">
        <f t="shared" si="824"/>
        <v/>
      </c>
      <c r="R823" s="51" t="str">
        <f t="shared" si="824"/>
        <v/>
      </c>
      <c r="S823" s="51" t="str">
        <f t="shared" si="824"/>
        <v/>
      </c>
      <c r="T823" s="51" t="str">
        <f t="shared" si="824"/>
        <v/>
      </c>
      <c r="U823" s="52"/>
      <c r="V823" s="52" t="str">
        <f>IFERROR(__xludf.DUMMYFUNCTION("""COMPUTED_VALUE"""),"")</f>
        <v/>
      </c>
      <c r="W823" s="52" t="str">
        <f>IFERROR(__xludf.DUMMYFUNCTION("""COMPUTED_VALUE"""),"")</f>
        <v/>
      </c>
      <c r="X823" s="52" t="str">
        <f>IFERROR(__xludf.DUMMYFUNCTION("""COMPUTED_VALUE"""),"")</f>
        <v/>
      </c>
      <c r="Y823" s="52" t="str">
        <f>IFERROR(__xludf.DUMMYFUNCTION("""COMPUTED_VALUE"""),"")</f>
        <v/>
      </c>
      <c r="Z823" s="52" t="str">
        <f>IFERROR(__xludf.DUMMYFUNCTION("""COMPUTED_VALUE"""),"")</f>
        <v/>
      </c>
      <c r="AA823" s="52" t="str">
        <f>IFERROR(__xludf.DUMMYFUNCTION("""COMPUTED_VALUE"""),"")</f>
        <v/>
      </c>
      <c r="AB823" s="52" t="str">
        <f>IFERROR(__xludf.DUMMYFUNCTION("""COMPUTED_VALUE"""),"")</f>
        <v/>
      </c>
      <c r="AC823" s="52" t="str">
        <f>IFERROR(__xludf.DUMMYFUNCTION("""COMPUTED_VALUE"""),"")</f>
        <v/>
      </c>
      <c r="AD823" s="52" t="str">
        <f>IFERROR(__xludf.DUMMYFUNCTION("""COMPUTED_VALUE"""),"")</f>
        <v/>
      </c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</row>
    <row r="824">
      <c r="B824" s="49"/>
      <c r="C824" s="49" t="str">
        <f t="shared" si="2"/>
        <v/>
      </c>
      <c r="D824" s="50" t="str">
        <f t="shared" si="3"/>
        <v/>
      </c>
      <c r="E824" s="51" t="str">
        <f t="shared" ref="E824:T824" si="825">IFERROR(VLOOKUP($A824,INDIRECT("'" &amp; E$1 &amp; "'!$C:$G"), 5, FALSE),"")</f>
        <v/>
      </c>
      <c r="F824" s="51" t="str">
        <f t="shared" si="825"/>
        <v/>
      </c>
      <c r="G824" s="51" t="str">
        <f t="shared" si="825"/>
        <v/>
      </c>
      <c r="H824" s="51" t="str">
        <f t="shared" si="825"/>
        <v/>
      </c>
      <c r="I824" s="51" t="str">
        <f t="shared" si="825"/>
        <v/>
      </c>
      <c r="J824" s="51" t="str">
        <f t="shared" si="825"/>
        <v/>
      </c>
      <c r="K824" s="51" t="str">
        <f t="shared" si="825"/>
        <v/>
      </c>
      <c r="L824" s="51" t="str">
        <f t="shared" si="825"/>
        <v/>
      </c>
      <c r="M824" s="51" t="str">
        <f t="shared" si="825"/>
        <v/>
      </c>
      <c r="N824" s="51" t="str">
        <f t="shared" si="825"/>
        <v/>
      </c>
      <c r="O824" s="51" t="str">
        <f t="shared" si="825"/>
        <v/>
      </c>
      <c r="P824" s="51" t="str">
        <f t="shared" si="825"/>
        <v/>
      </c>
      <c r="Q824" s="51" t="str">
        <f t="shared" si="825"/>
        <v/>
      </c>
      <c r="R824" s="51" t="str">
        <f t="shared" si="825"/>
        <v/>
      </c>
      <c r="S824" s="51" t="str">
        <f t="shared" si="825"/>
        <v/>
      </c>
      <c r="T824" s="51" t="str">
        <f t="shared" si="825"/>
        <v/>
      </c>
      <c r="U824" s="52"/>
      <c r="V824" s="52" t="str">
        <f>IFERROR(__xludf.DUMMYFUNCTION("""COMPUTED_VALUE"""),"")</f>
        <v/>
      </c>
      <c r="W824" s="52" t="str">
        <f>IFERROR(__xludf.DUMMYFUNCTION("""COMPUTED_VALUE"""),"")</f>
        <v/>
      </c>
      <c r="X824" s="52" t="str">
        <f>IFERROR(__xludf.DUMMYFUNCTION("""COMPUTED_VALUE"""),"")</f>
        <v/>
      </c>
      <c r="Y824" s="52" t="str">
        <f>IFERROR(__xludf.DUMMYFUNCTION("""COMPUTED_VALUE"""),"")</f>
        <v/>
      </c>
      <c r="Z824" s="52" t="str">
        <f>IFERROR(__xludf.DUMMYFUNCTION("""COMPUTED_VALUE"""),"")</f>
        <v/>
      </c>
      <c r="AA824" s="52" t="str">
        <f>IFERROR(__xludf.DUMMYFUNCTION("""COMPUTED_VALUE"""),"")</f>
        <v/>
      </c>
      <c r="AB824" s="52" t="str">
        <f>IFERROR(__xludf.DUMMYFUNCTION("""COMPUTED_VALUE"""),"")</f>
        <v/>
      </c>
      <c r="AC824" s="52" t="str">
        <f>IFERROR(__xludf.DUMMYFUNCTION("""COMPUTED_VALUE"""),"")</f>
        <v/>
      </c>
      <c r="AD824" s="52" t="str">
        <f>IFERROR(__xludf.DUMMYFUNCTION("""COMPUTED_VALUE"""),"")</f>
        <v/>
      </c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</row>
    <row r="825">
      <c r="B825" s="49"/>
      <c r="C825" s="49" t="str">
        <f t="shared" si="2"/>
        <v/>
      </c>
      <c r="D825" s="50" t="str">
        <f t="shared" si="3"/>
        <v/>
      </c>
      <c r="E825" s="51" t="str">
        <f t="shared" ref="E825:T825" si="826">IFERROR(VLOOKUP($A825,INDIRECT("'" &amp; E$1 &amp; "'!$C:$G"), 5, FALSE),"")</f>
        <v/>
      </c>
      <c r="F825" s="51" t="str">
        <f t="shared" si="826"/>
        <v/>
      </c>
      <c r="G825" s="51" t="str">
        <f t="shared" si="826"/>
        <v/>
      </c>
      <c r="H825" s="51" t="str">
        <f t="shared" si="826"/>
        <v/>
      </c>
      <c r="I825" s="51" t="str">
        <f t="shared" si="826"/>
        <v/>
      </c>
      <c r="J825" s="51" t="str">
        <f t="shared" si="826"/>
        <v/>
      </c>
      <c r="K825" s="51" t="str">
        <f t="shared" si="826"/>
        <v/>
      </c>
      <c r="L825" s="51" t="str">
        <f t="shared" si="826"/>
        <v/>
      </c>
      <c r="M825" s="51" t="str">
        <f t="shared" si="826"/>
        <v/>
      </c>
      <c r="N825" s="51" t="str">
        <f t="shared" si="826"/>
        <v/>
      </c>
      <c r="O825" s="51" t="str">
        <f t="shared" si="826"/>
        <v/>
      </c>
      <c r="P825" s="51" t="str">
        <f t="shared" si="826"/>
        <v/>
      </c>
      <c r="Q825" s="51" t="str">
        <f t="shared" si="826"/>
        <v/>
      </c>
      <c r="R825" s="51" t="str">
        <f t="shared" si="826"/>
        <v/>
      </c>
      <c r="S825" s="51" t="str">
        <f t="shared" si="826"/>
        <v/>
      </c>
      <c r="T825" s="51" t="str">
        <f t="shared" si="826"/>
        <v/>
      </c>
      <c r="U825" s="52"/>
      <c r="V825" s="52" t="str">
        <f>IFERROR(__xludf.DUMMYFUNCTION("""COMPUTED_VALUE"""),"")</f>
        <v/>
      </c>
      <c r="W825" s="52" t="str">
        <f>IFERROR(__xludf.DUMMYFUNCTION("""COMPUTED_VALUE"""),"")</f>
        <v/>
      </c>
      <c r="X825" s="52" t="str">
        <f>IFERROR(__xludf.DUMMYFUNCTION("""COMPUTED_VALUE"""),"")</f>
        <v/>
      </c>
      <c r="Y825" s="52" t="str">
        <f>IFERROR(__xludf.DUMMYFUNCTION("""COMPUTED_VALUE"""),"")</f>
        <v/>
      </c>
      <c r="Z825" s="52" t="str">
        <f>IFERROR(__xludf.DUMMYFUNCTION("""COMPUTED_VALUE"""),"")</f>
        <v/>
      </c>
      <c r="AA825" s="52" t="str">
        <f>IFERROR(__xludf.DUMMYFUNCTION("""COMPUTED_VALUE"""),"")</f>
        <v/>
      </c>
      <c r="AB825" s="52" t="str">
        <f>IFERROR(__xludf.DUMMYFUNCTION("""COMPUTED_VALUE"""),"")</f>
        <v/>
      </c>
      <c r="AC825" s="52" t="str">
        <f>IFERROR(__xludf.DUMMYFUNCTION("""COMPUTED_VALUE"""),"")</f>
        <v/>
      </c>
      <c r="AD825" s="52" t="str">
        <f>IFERROR(__xludf.DUMMYFUNCTION("""COMPUTED_VALUE"""),"")</f>
        <v/>
      </c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</row>
    <row r="826">
      <c r="B826" s="49"/>
      <c r="C826" s="49" t="str">
        <f t="shared" si="2"/>
        <v/>
      </c>
      <c r="D826" s="50" t="str">
        <f t="shared" si="3"/>
        <v/>
      </c>
      <c r="E826" s="51" t="str">
        <f t="shared" ref="E826:T826" si="827">IFERROR(VLOOKUP($A826,INDIRECT("'" &amp; E$1 &amp; "'!$C:$G"), 5, FALSE),"")</f>
        <v/>
      </c>
      <c r="F826" s="51" t="str">
        <f t="shared" si="827"/>
        <v/>
      </c>
      <c r="G826" s="51" t="str">
        <f t="shared" si="827"/>
        <v/>
      </c>
      <c r="H826" s="51" t="str">
        <f t="shared" si="827"/>
        <v/>
      </c>
      <c r="I826" s="51" t="str">
        <f t="shared" si="827"/>
        <v/>
      </c>
      <c r="J826" s="51" t="str">
        <f t="shared" si="827"/>
        <v/>
      </c>
      <c r="K826" s="51" t="str">
        <f t="shared" si="827"/>
        <v/>
      </c>
      <c r="L826" s="51" t="str">
        <f t="shared" si="827"/>
        <v/>
      </c>
      <c r="M826" s="51" t="str">
        <f t="shared" si="827"/>
        <v/>
      </c>
      <c r="N826" s="51" t="str">
        <f t="shared" si="827"/>
        <v/>
      </c>
      <c r="O826" s="51" t="str">
        <f t="shared" si="827"/>
        <v/>
      </c>
      <c r="P826" s="51" t="str">
        <f t="shared" si="827"/>
        <v/>
      </c>
      <c r="Q826" s="51" t="str">
        <f t="shared" si="827"/>
        <v/>
      </c>
      <c r="R826" s="51" t="str">
        <f t="shared" si="827"/>
        <v/>
      </c>
      <c r="S826" s="51" t="str">
        <f t="shared" si="827"/>
        <v/>
      </c>
      <c r="T826" s="51" t="str">
        <f t="shared" si="827"/>
        <v/>
      </c>
      <c r="U826" s="52"/>
      <c r="V826" s="52" t="str">
        <f>IFERROR(__xludf.DUMMYFUNCTION("""COMPUTED_VALUE"""),"")</f>
        <v/>
      </c>
      <c r="W826" s="52" t="str">
        <f>IFERROR(__xludf.DUMMYFUNCTION("""COMPUTED_VALUE"""),"")</f>
        <v/>
      </c>
      <c r="X826" s="52" t="str">
        <f>IFERROR(__xludf.DUMMYFUNCTION("""COMPUTED_VALUE"""),"")</f>
        <v/>
      </c>
      <c r="Y826" s="52" t="str">
        <f>IFERROR(__xludf.DUMMYFUNCTION("""COMPUTED_VALUE"""),"")</f>
        <v/>
      </c>
      <c r="Z826" s="52" t="str">
        <f>IFERROR(__xludf.DUMMYFUNCTION("""COMPUTED_VALUE"""),"")</f>
        <v/>
      </c>
      <c r="AA826" s="52" t="str">
        <f>IFERROR(__xludf.DUMMYFUNCTION("""COMPUTED_VALUE"""),"")</f>
        <v/>
      </c>
      <c r="AB826" s="52" t="str">
        <f>IFERROR(__xludf.DUMMYFUNCTION("""COMPUTED_VALUE"""),"")</f>
        <v/>
      </c>
      <c r="AC826" s="52" t="str">
        <f>IFERROR(__xludf.DUMMYFUNCTION("""COMPUTED_VALUE"""),"")</f>
        <v/>
      </c>
      <c r="AD826" s="52" t="str">
        <f>IFERROR(__xludf.DUMMYFUNCTION("""COMPUTED_VALUE"""),"")</f>
        <v/>
      </c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</row>
    <row r="827">
      <c r="B827" s="49"/>
      <c r="C827" s="49" t="str">
        <f t="shared" si="2"/>
        <v/>
      </c>
      <c r="D827" s="50" t="str">
        <f t="shared" si="3"/>
        <v/>
      </c>
      <c r="E827" s="51" t="str">
        <f t="shared" ref="E827:T827" si="828">IFERROR(VLOOKUP($A827,INDIRECT("'" &amp; E$1 &amp; "'!$C:$G"), 5, FALSE),"")</f>
        <v/>
      </c>
      <c r="F827" s="51" t="str">
        <f t="shared" si="828"/>
        <v/>
      </c>
      <c r="G827" s="51" t="str">
        <f t="shared" si="828"/>
        <v/>
      </c>
      <c r="H827" s="51" t="str">
        <f t="shared" si="828"/>
        <v/>
      </c>
      <c r="I827" s="51" t="str">
        <f t="shared" si="828"/>
        <v/>
      </c>
      <c r="J827" s="51" t="str">
        <f t="shared" si="828"/>
        <v/>
      </c>
      <c r="K827" s="51" t="str">
        <f t="shared" si="828"/>
        <v/>
      </c>
      <c r="L827" s="51" t="str">
        <f t="shared" si="828"/>
        <v/>
      </c>
      <c r="M827" s="51" t="str">
        <f t="shared" si="828"/>
        <v/>
      </c>
      <c r="N827" s="51" t="str">
        <f t="shared" si="828"/>
        <v/>
      </c>
      <c r="O827" s="51" t="str">
        <f t="shared" si="828"/>
        <v/>
      </c>
      <c r="P827" s="51" t="str">
        <f t="shared" si="828"/>
        <v/>
      </c>
      <c r="Q827" s="51" t="str">
        <f t="shared" si="828"/>
        <v/>
      </c>
      <c r="R827" s="51" t="str">
        <f t="shared" si="828"/>
        <v/>
      </c>
      <c r="S827" s="51" t="str">
        <f t="shared" si="828"/>
        <v/>
      </c>
      <c r="T827" s="51" t="str">
        <f t="shared" si="828"/>
        <v/>
      </c>
      <c r="U827" s="52"/>
      <c r="V827" s="52" t="str">
        <f>IFERROR(__xludf.DUMMYFUNCTION("""COMPUTED_VALUE"""),"")</f>
        <v/>
      </c>
      <c r="W827" s="52" t="str">
        <f>IFERROR(__xludf.DUMMYFUNCTION("""COMPUTED_VALUE"""),"")</f>
        <v/>
      </c>
      <c r="X827" s="52" t="str">
        <f>IFERROR(__xludf.DUMMYFUNCTION("""COMPUTED_VALUE"""),"")</f>
        <v/>
      </c>
      <c r="Y827" s="52" t="str">
        <f>IFERROR(__xludf.DUMMYFUNCTION("""COMPUTED_VALUE"""),"")</f>
        <v/>
      </c>
      <c r="Z827" s="52" t="str">
        <f>IFERROR(__xludf.DUMMYFUNCTION("""COMPUTED_VALUE"""),"")</f>
        <v/>
      </c>
      <c r="AA827" s="52" t="str">
        <f>IFERROR(__xludf.DUMMYFUNCTION("""COMPUTED_VALUE"""),"")</f>
        <v/>
      </c>
      <c r="AB827" s="52" t="str">
        <f>IFERROR(__xludf.DUMMYFUNCTION("""COMPUTED_VALUE"""),"")</f>
        <v/>
      </c>
      <c r="AC827" s="52" t="str">
        <f>IFERROR(__xludf.DUMMYFUNCTION("""COMPUTED_VALUE"""),"")</f>
        <v/>
      </c>
      <c r="AD827" s="52" t="str">
        <f>IFERROR(__xludf.DUMMYFUNCTION("""COMPUTED_VALUE"""),"")</f>
        <v/>
      </c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</row>
    <row r="828">
      <c r="B828" s="49"/>
      <c r="C828" s="49" t="str">
        <f t="shared" si="2"/>
        <v/>
      </c>
      <c r="D828" s="50" t="str">
        <f t="shared" si="3"/>
        <v/>
      </c>
      <c r="E828" s="51" t="str">
        <f t="shared" ref="E828:T828" si="829">IFERROR(VLOOKUP($A828,INDIRECT("'" &amp; E$1 &amp; "'!$C:$G"), 5, FALSE),"")</f>
        <v/>
      </c>
      <c r="F828" s="51" t="str">
        <f t="shared" si="829"/>
        <v/>
      </c>
      <c r="G828" s="51" t="str">
        <f t="shared" si="829"/>
        <v/>
      </c>
      <c r="H828" s="51" t="str">
        <f t="shared" si="829"/>
        <v/>
      </c>
      <c r="I828" s="51" t="str">
        <f t="shared" si="829"/>
        <v/>
      </c>
      <c r="J828" s="51" t="str">
        <f t="shared" si="829"/>
        <v/>
      </c>
      <c r="K828" s="51" t="str">
        <f t="shared" si="829"/>
        <v/>
      </c>
      <c r="L828" s="51" t="str">
        <f t="shared" si="829"/>
        <v/>
      </c>
      <c r="M828" s="51" t="str">
        <f t="shared" si="829"/>
        <v/>
      </c>
      <c r="N828" s="51" t="str">
        <f t="shared" si="829"/>
        <v/>
      </c>
      <c r="O828" s="51" t="str">
        <f t="shared" si="829"/>
        <v/>
      </c>
      <c r="P828" s="51" t="str">
        <f t="shared" si="829"/>
        <v/>
      </c>
      <c r="Q828" s="51" t="str">
        <f t="shared" si="829"/>
        <v/>
      </c>
      <c r="R828" s="51" t="str">
        <f t="shared" si="829"/>
        <v/>
      </c>
      <c r="S828" s="51" t="str">
        <f t="shared" si="829"/>
        <v/>
      </c>
      <c r="T828" s="51" t="str">
        <f t="shared" si="829"/>
        <v/>
      </c>
      <c r="U828" s="52"/>
      <c r="V828" s="52" t="str">
        <f>IFERROR(__xludf.DUMMYFUNCTION("""COMPUTED_VALUE"""),"")</f>
        <v/>
      </c>
      <c r="W828" s="52" t="str">
        <f>IFERROR(__xludf.DUMMYFUNCTION("""COMPUTED_VALUE"""),"")</f>
        <v/>
      </c>
      <c r="X828" s="52" t="str">
        <f>IFERROR(__xludf.DUMMYFUNCTION("""COMPUTED_VALUE"""),"")</f>
        <v/>
      </c>
      <c r="Y828" s="52" t="str">
        <f>IFERROR(__xludf.DUMMYFUNCTION("""COMPUTED_VALUE"""),"")</f>
        <v/>
      </c>
      <c r="Z828" s="52" t="str">
        <f>IFERROR(__xludf.DUMMYFUNCTION("""COMPUTED_VALUE"""),"")</f>
        <v/>
      </c>
      <c r="AA828" s="52" t="str">
        <f>IFERROR(__xludf.DUMMYFUNCTION("""COMPUTED_VALUE"""),"")</f>
        <v/>
      </c>
      <c r="AB828" s="52" t="str">
        <f>IFERROR(__xludf.DUMMYFUNCTION("""COMPUTED_VALUE"""),"")</f>
        <v/>
      </c>
      <c r="AC828" s="52" t="str">
        <f>IFERROR(__xludf.DUMMYFUNCTION("""COMPUTED_VALUE"""),"")</f>
        <v/>
      </c>
      <c r="AD828" s="52" t="str">
        <f>IFERROR(__xludf.DUMMYFUNCTION("""COMPUTED_VALUE"""),"")</f>
        <v/>
      </c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</row>
    <row r="829">
      <c r="B829" s="49"/>
      <c r="C829" s="49" t="str">
        <f t="shared" si="2"/>
        <v/>
      </c>
      <c r="D829" s="50" t="str">
        <f t="shared" si="3"/>
        <v/>
      </c>
      <c r="E829" s="51" t="str">
        <f t="shared" ref="E829:T829" si="830">IFERROR(VLOOKUP($A829,INDIRECT("'" &amp; E$1 &amp; "'!$C:$G"), 5, FALSE),"")</f>
        <v/>
      </c>
      <c r="F829" s="51" t="str">
        <f t="shared" si="830"/>
        <v/>
      </c>
      <c r="G829" s="51" t="str">
        <f t="shared" si="830"/>
        <v/>
      </c>
      <c r="H829" s="51" t="str">
        <f t="shared" si="830"/>
        <v/>
      </c>
      <c r="I829" s="51" t="str">
        <f t="shared" si="830"/>
        <v/>
      </c>
      <c r="J829" s="51" t="str">
        <f t="shared" si="830"/>
        <v/>
      </c>
      <c r="K829" s="51" t="str">
        <f t="shared" si="830"/>
        <v/>
      </c>
      <c r="L829" s="51" t="str">
        <f t="shared" si="830"/>
        <v/>
      </c>
      <c r="M829" s="51" t="str">
        <f t="shared" si="830"/>
        <v/>
      </c>
      <c r="N829" s="51" t="str">
        <f t="shared" si="830"/>
        <v/>
      </c>
      <c r="O829" s="51" t="str">
        <f t="shared" si="830"/>
        <v/>
      </c>
      <c r="P829" s="51" t="str">
        <f t="shared" si="830"/>
        <v/>
      </c>
      <c r="Q829" s="51" t="str">
        <f t="shared" si="830"/>
        <v/>
      </c>
      <c r="R829" s="51" t="str">
        <f t="shared" si="830"/>
        <v/>
      </c>
      <c r="S829" s="51" t="str">
        <f t="shared" si="830"/>
        <v/>
      </c>
      <c r="T829" s="51" t="str">
        <f t="shared" si="830"/>
        <v/>
      </c>
      <c r="U829" s="52"/>
      <c r="V829" s="52" t="str">
        <f>IFERROR(__xludf.DUMMYFUNCTION("""COMPUTED_VALUE"""),"")</f>
        <v/>
      </c>
      <c r="W829" s="52" t="str">
        <f>IFERROR(__xludf.DUMMYFUNCTION("""COMPUTED_VALUE"""),"")</f>
        <v/>
      </c>
      <c r="X829" s="52" t="str">
        <f>IFERROR(__xludf.DUMMYFUNCTION("""COMPUTED_VALUE"""),"")</f>
        <v/>
      </c>
      <c r="Y829" s="52" t="str">
        <f>IFERROR(__xludf.DUMMYFUNCTION("""COMPUTED_VALUE"""),"")</f>
        <v/>
      </c>
      <c r="Z829" s="52" t="str">
        <f>IFERROR(__xludf.DUMMYFUNCTION("""COMPUTED_VALUE"""),"")</f>
        <v/>
      </c>
      <c r="AA829" s="52" t="str">
        <f>IFERROR(__xludf.DUMMYFUNCTION("""COMPUTED_VALUE"""),"")</f>
        <v/>
      </c>
      <c r="AB829" s="52" t="str">
        <f>IFERROR(__xludf.DUMMYFUNCTION("""COMPUTED_VALUE"""),"")</f>
        <v/>
      </c>
      <c r="AC829" s="52" t="str">
        <f>IFERROR(__xludf.DUMMYFUNCTION("""COMPUTED_VALUE"""),"")</f>
        <v/>
      </c>
      <c r="AD829" s="52" t="str">
        <f>IFERROR(__xludf.DUMMYFUNCTION("""COMPUTED_VALUE"""),"")</f>
        <v/>
      </c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</row>
    <row r="830">
      <c r="B830" s="49"/>
      <c r="C830" s="49" t="str">
        <f t="shared" si="2"/>
        <v/>
      </c>
      <c r="D830" s="50" t="str">
        <f t="shared" si="3"/>
        <v/>
      </c>
      <c r="E830" s="51" t="str">
        <f t="shared" ref="E830:T830" si="831">IFERROR(VLOOKUP($A830,INDIRECT("'" &amp; E$1 &amp; "'!$C:$G"), 5, FALSE),"")</f>
        <v/>
      </c>
      <c r="F830" s="51" t="str">
        <f t="shared" si="831"/>
        <v/>
      </c>
      <c r="G830" s="51" t="str">
        <f t="shared" si="831"/>
        <v/>
      </c>
      <c r="H830" s="51" t="str">
        <f t="shared" si="831"/>
        <v/>
      </c>
      <c r="I830" s="51" t="str">
        <f t="shared" si="831"/>
        <v/>
      </c>
      <c r="J830" s="51" t="str">
        <f t="shared" si="831"/>
        <v/>
      </c>
      <c r="K830" s="51" t="str">
        <f t="shared" si="831"/>
        <v/>
      </c>
      <c r="L830" s="51" t="str">
        <f t="shared" si="831"/>
        <v/>
      </c>
      <c r="M830" s="51" t="str">
        <f t="shared" si="831"/>
        <v/>
      </c>
      <c r="N830" s="51" t="str">
        <f t="shared" si="831"/>
        <v/>
      </c>
      <c r="O830" s="51" t="str">
        <f t="shared" si="831"/>
        <v/>
      </c>
      <c r="P830" s="51" t="str">
        <f t="shared" si="831"/>
        <v/>
      </c>
      <c r="Q830" s="51" t="str">
        <f t="shared" si="831"/>
        <v/>
      </c>
      <c r="R830" s="51" t="str">
        <f t="shared" si="831"/>
        <v/>
      </c>
      <c r="S830" s="51" t="str">
        <f t="shared" si="831"/>
        <v/>
      </c>
      <c r="T830" s="51" t="str">
        <f t="shared" si="831"/>
        <v/>
      </c>
      <c r="U830" s="52"/>
      <c r="V830" s="52" t="str">
        <f>IFERROR(__xludf.DUMMYFUNCTION("""COMPUTED_VALUE"""),"")</f>
        <v/>
      </c>
      <c r="W830" s="52" t="str">
        <f>IFERROR(__xludf.DUMMYFUNCTION("""COMPUTED_VALUE"""),"")</f>
        <v/>
      </c>
      <c r="X830" s="52" t="str">
        <f>IFERROR(__xludf.DUMMYFUNCTION("""COMPUTED_VALUE"""),"")</f>
        <v/>
      </c>
      <c r="Y830" s="52" t="str">
        <f>IFERROR(__xludf.DUMMYFUNCTION("""COMPUTED_VALUE"""),"")</f>
        <v/>
      </c>
      <c r="Z830" s="52" t="str">
        <f>IFERROR(__xludf.DUMMYFUNCTION("""COMPUTED_VALUE"""),"")</f>
        <v/>
      </c>
      <c r="AA830" s="52" t="str">
        <f>IFERROR(__xludf.DUMMYFUNCTION("""COMPUTED_VALUE"""),"")</f>
        <v/>
      </c>
      <c r="AB830" s="52" t="str">
        <f>IFERROR(__xludf.DUMMYFUNCTION("""COMPUTED_VALUE"""),"")</f>
        <v/>
      </c>
      <c r="AC830" s="52" t="str">
        <f>IFERROR(__xludf.DUMMYFUNCTION("""COMPUTED_VALUE"""),"")</f>
        <v/>
      </c>
      <c r="AD830" s="52" t="str">
        <f>IFERROR(__xludf.DUMMYFUNCTION("""COMPUTED_VALUE"""),"")</f>
        <v/>
      </c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</row>
    <row r="831">
      <c r="B831" s="49"/>
      <c r="C831" s="49" t="str">
        <f t="shared" si="2"/>
        <v/>
      </c>
      <c r="D831" s="50" t="str">
        <f t="shared" si="3"/>
        <v/>
      </c>
      <c r="E831" s="51" t="str">
        <f t="shared" ref="E831:T831" si="832">IFERROR(VLOOKUP($A831,INDIRECT("'" &amp; E$1 &amp; "'!$C:$G"), 5, FALSE),"")</f>
        <v/>
      </c>
      <c r="F831" s="51" t="str">
        <f t="shared" si="832"/>
        <v/>
      </c>
      <c r="G831" s="51" t="str">
        <f t="shared" si="832"/>
        <v/>
      </c>
      <c r="H831" s="51" t="str">
        <f t="shared" si="832"/>
        <v/>
      </c>
      <c r="I831" s="51" t="str">
        <f t="shared" si="832"/>
        <v/>
      </c>
      <c r="J831" s="51" t="str">
        <f t="shared" si="832"/>
        <v/>
      </c>
      <c r="K831" s="51" t="str">
        <f t="shared" si="832"/>
        <v/>
      </c>
      <c r="L831" s="51" t="str">
        <f t="shared" si="832"/>
        <v/>
      </c>
      <c r="M831" s="51" t="str">
        <f t="shared" si="832"/>
        <v/>
      </c>
      <c r="N831" s="51" t="str">
        <f t="shared" si="832"/>
        <v/>
      </c>
      <c r="O831" s="51" t="str">
        <f t="shared" si="832"/>
        <v/>
      </c>
      <c r="P831" s="51" t="str">
        <f t="shared" si="832"/>
        <v/>
      </c>
      <c r="Q831" s="51" t="str">
        <f t="shared" si="832"/>
        <v/>
      </c>
      <c r="R831" s="51" t="str">
        <f t="shared" si="832"/>
        <v/>
      </c>
      <c r="S831" s="51" t="str">
        <f t="shared" si="832"/>
        <v/>
      </c>
      <c r="T831" s="51" t="str">
        <f t="shared" si="832"/>
        <v/>
      </c>
      <c r="U831" s="52"/>
      <c r="V831" s="52" t="str">
        <f>IFERROR(__xludf.DUMMYFUNCTION("""COMPUTED_VALUE"""),"")</f>
        <v/>
      </c>
      <c r="W831" s="52" t="str">
        <f>IFERROR(__xludf.DUMMYFUNCTION("""COMPUTED_VALUE"""),"")</f>
        <v/>
      </c>
      <c r="X831" s="52" t="str">
        <f>IFERROR(__xludf.DUMMYFUNCTION("""COMPUTED_VALUE"""),"")</f>
        <v/>
      </c>
      <c r="Y831" s="52" t="str">
        <f>IFERROR(__xludf.DUMMYFUNCTION("""COMPUTED_VALUE"""),"")</f>
        <v/>
      </c>
      <c r="Z831" s="52" t="str">
        <f>IFERROR(__xludf.DUMMYFUNCTION("""COMPUTED_VALUE"""),"")</f>
        <v/>
      </c>
      <c r="AA831" s="52" t="str">
        <f>IFERROR(__xludf.DUMMYFUNCTION("""COMPUTED_VALUE"""),"")</f>
        <v/>
      </c>
      <c r="AB831" s="52" t="str">
        <f>IFERROR(__xludf.DUMMYFUNCTION("""COMPUTED_VALUE"""),"")</f>
        <v/>
      </c>
      <c r="AC831" s="52" t="str">
        <f>IFERROR(__xludf.DUMMYFUNCTION("""COMPUTED_VALUE"""),"")</f>
        <v/>
      </c>
      <c r="AD831" s="52" t="str">
        <f>IFERROR(__xludf.DUMMYFUNCTION("""COMPUTED_VALUE"""),"")</f>
        <v/>
      </c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</row>
    <row r="832">
      <c r="B832" s="49"/>
      <c r="C832" s="49" t="str">
        <f t="shared" si="2"/>
        <v/>
      </c>
      <c r="D832" s="50" t="str">
        <f t="shared" si="3"/>
        <v/>
      </c>
      <c r="E832" s="51" t="str">
        <f t="shared" ref="E832:T832" si="833">IFERROR(VLOOKUP($A832,INDIRECT("'" &amp; E$1 &amp; "'!$C:$G"), 5, FALSE),"")</f>
        <v/>
      </c>
      <c r="F832" s="51" t="str">
        <f t="shared" si="833"/>
        <v/>
      </c>
      <c r="G832" s="51" t="str">
        <f t="shared" si="833"/>
        <v/>
      </c>
      <c r="H832" s="51" t="str">
        <f t="shared" si="833"/>
        <v/>
      </c>
      <c r="I832" s="51" t="str">
        <f t="shared" si="833"/>
        <v/>
      </c>
      <c r="J832" s="51" t="str">
        <f t="shared" si="833"/>
        <v/>
      </c>
      <c r="K832" s="51" t="str">
        <f t="shared" si="833"/>
        <v/>
      </c>
      <c r="L832" s="51" t="str">
        <f t="shared" si="833"/>
        <v/>
      </c>
      <c r="M832" s="51" t="str">
        <f t="shared" si="833"/>
        <v/>
      </c>
      <c r="N832" s="51" t="str">
        <f t="shared" si="833"/>
        <v/>
      </c>
      <c r="O832" s="51" t="str">
        <f t="shared" si="833"/>
        <v/>
      </c>
      <c r="P832" s="51" t="str">
        <f t="shared" si="833"/>
        <v/>
      </c>
      <c r="Q832" s="51" t="str">
        <f t="shared" si="833"/>
        <v/>
      </c>
      <c r="R832" s="51" t="str">
        <f t="shared" si="833"/>
        <v/>
      </c>
      <c r="S832" s="51" t="str">
        <f t="shared" si="833"/>
        <v/>
      </c>
      <c r="T832" s="51" t="str">
        <f t="shared" si="833"/>
        <v/>
      </c>
      <c r="U832" s="52"/>
      <c r="V832" s="52" t="str">
        <f>IFERROR(__xludf.DUMMYFUNCTION("""COMPUTED_VALUE"""),"")</f>
        <v/>
      </c>
      <c r="W832" s="52" t="str">
        <f>IFERROR(__xludf.DUMMYFUNCTION("""COMPUTED_VALUE"""),"")</f>
        <v/>
      </c>
      <c r="X832" s="52" t="str">
        <f>IFERROR(__xludf.DUMMYFUNCTION("""COMPUTED_VALUE"""),"")</f>
        <v/>
      </c>
      <c r="Y832" s="52" t="str">
        <f>IFERROR(__xludf.DUMMYFUNCTION("""COMPUTED_VALUE"""),"")</f>
        <v/>
      </c>
      <c r="Z832" s="52" t="str">
        <f>IFERROR(__xludf.DUMMYFUNCTION("""COMPUTED_VALUE"""),"")</f>
        <v/>
      </c>
      <c r="AA832" s="52" t="str">
        <f>IFERROR(__xludf.DUMMYFUNCTION("""COMPUTED_VALUE"""),"")</f>
        <v/>
      </c>
      <c r="AB832" s="52" t="str">
        <f>IFERROR(__xludf.DUMMYFUNCTION("""COMPUTED_VALUE"""),"")</f>
        <v/>
      </c>
      <c r="AC832" s="52" t="str">
        <f>IFERROR(__xludf.DUMMYFUNCTION("""COMPUTED_VALUE"""),"")</f>
        <v/>
      </c>
      <c r="AD832" s="52" t="str">
        <f>IFERROR(__xludf.DUMMYFUNCTION("""COMPUTED_VALUE"""),"")</f>
        <v/>
      </c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</row>
    <row r="833">
      <c r="B833" s="49"/>
      <c r="C833" s="49" t="str">
        <f t="shared" si="2"/>
        <v/>
      </c>
      <c r="D833" s="50" t="str">
        <f t="shared" si="3"/>
        <v/>
      </c>
      <c r="E833" s="51" t="str">
        <f t="shared" ref="E833:T833" si="834">IFERROR(VLOOKUP($A833,INDIRECT("'" &amp; E$1 &amp; "'!$C:$G"), 5, FALSE),"")</f>
        <v/>
      </c>
      <c r="F833" s="51" t="str">
        <f t="shared" si="834"/>
        <v/>
      </c>
      <c r="G833" s="51" t="str">
        <f t="shared" si="834"/>
        <v/>
      </c>
      <c r="H833" s="51" t="str">
        <f t="shared" si="834"/>
        <v/>
      </c>
      <c r="I833" s="51" t="str">
        <f t="shared" si="834"/>
        <v/>
      </c>
      <c r="J833" s="51" t="str">
        <f t="shared" si="834"/>
        <v/>
      </c>
      <c r="K833" s="51" t="str">
        <f t="shared" si="834"/>
        <v/>
      </c>
      <c r="L833" s="51" t="str">
        <f t="shared" si="834"/>
        <v/>
      </c>
      <c r="M833" s="51" t="str">
        <f t="shared" si="834"/>
        <v/>
      </c>
      <c r="N833" s="51" t="str">
        <f t="shared" si="834"/>
        <v/>
      </c>
      <c r="O833" s="51" t="str">
        <f t="shared" si="834"/>
        <v/>
      </c>
      <c r="P833" s="51" t="str">
        <f t="shared" si="834"/>
        <v/>
      </c>
      <c r="Q833" s="51" t="str">
        <f t="shared" si="834"/>
        <v/>
      </c>
      <c r="R833" s="51" t="str">
        <f t="shared" si="834"/>
        <v/>
      </c>
      <c r="S833" s="51" t="str">
        <f t="shared" si="834"/>
        <v/>
      </c>
      <c r="T833" s="51" t="str">
        <f t="shared" si="834"/>
        <v/>
      </c>
      <c r="U833" s="52"/>
      <c r="V833" s="52" t="str">
        <f>IFERROR(__xludf.DUMMYFUNCTION("""COMPUTED_VALUE"""),"")</f>
        <v/>
      </c>
      <c r="W833" s="52" t="str">
        <f>IFERROR(__xludf.DUMMYFUNCTION("""COMPUTED_VALUE"""),"")</f>
        <v/>
      </c>
      <c r="X833" s="52" t="str">
        <f>IFERROR(__xludf.DUMMYFUNCTION("""COMPUTED_VALUE"""),"")</f>
        <v/>
      </c>
      <c r="Y833" s="52" t="str">
        <f>IFERROR(__xludf.DUMMYFUNCTION("""COMPUTED_VALUE"""),"")</f>
        <v/>
      </c>
      <c r="Z833" s="52" t="str">
        <f>IFERROR(__xludf.DUMMYFUNCTION("""COMPUTED_VALUE"""),"")</f>
        <v/>
      </c>
      <c r="AA833" s="52" t="str">
        <f>IFERROR(__xludf.DUMMYFUNCTION("""COMPUTED_VALUE"""),"")</f>
        <v/>
      </c>
      <c r="AB833" s="52" t="str">
        <f>IFERROR(__xludf.DUMMYFUNCTION("""COMPUTED_VALUE"""),"")</f>
        <v/>
      </c>
      <c r="AC833" s="52" t="str">
        <f>IFERROR(__xludf.DUMMYFUNCTION("""COMPUTED_VALUE"""),"")</f>
        <v/>
      </c>
      <c r="AD833" s="52" t="str">
        <f>IFERROR(__xludf.DUMMYFUNCTION("""COMPUTED_VALUE"""),"")</f>
        <v/>
      </c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</row>
    <row r="834">
      <c r="B834" s="49"/>
      <c r="C834" s="49" t="str">
        <f t="shared" si="2"/>
        <v/>
      </c>
      <c r="D834" s="50" t="str">
        <f t="shared" si="3"/>
        <v/>
      </c>
      <c r="E834" s="51" t="str">
        <f t="shared" ref="E834:T834" si="835">IFERROR(VLOOKUP($A834,INDIRECT("'" &amp; E$1 &amp; "'!$C:$G"), 5, FALSE),"")</f>
        <v/>
      </c>
      <c r="F834" s="51" t="str">
        <f t="shared" si="835"/>
        <v/>
      </c>
      <c r="G834" s="51" t="str">
        <f t="shared" si="835"/>
        <v/>
      </c>
      <c r="H834" s="51" t="str">
        <f t="shared" si="835"/>
        <v/>
      </c>
      <c r="I834" s="51" t="str">
        <f t="shared" si="835"/>
        <v/>
      </c>
      <c r="J834" s="51" t="str">
        <f t="shared" si="835"/>
        <v/>
      </c>
      <c r="K834" s="51" t="str">
        <f t="shared" si="835"/>
        <v/>
      </c>
      <c r="L834" s="51" t="str">
        <f t="shared" si="835"/>
        <v/>
      </c>
      <c r="M834" s="51" t="str">
        <f t="shared" si="835"/>
        <v/>
      </c>
      <c r="N834" s="51" t="str">
        <f t="shared" si="835"/>
        <v/>
      </c>
      <c r="O834" s="51" t="str">
        <f t="shared" si="835"/>
        <v/>
      </c>
      <c r="P834" s="51" t="str">
        <f t="shared" si="835"/>
        <v/>
      </c>
      <c r="Q834" s="51" t="str">
        <f t="shared" si="835"/>
        <v/>
      </c>
      <c r="R834" s="51" t="str">
        <f t="shared" si="835"/>
        <v/>
      </c>
      <c r="S834" s="51" t="str">
        <f t="shared" si="835"/>
        <v/>
      </c>
      <c r="T834" s="51" t="str">
        <f t="shared" si="835"/>
        <v/>
      </c>
      <c r="U834" s="52"/>
      <c r="V834" s="52" t="str">
        <f>IFERROR(__xludf.DUMMYFUNCTION("""COMPUTED_VALUE"""),"")</f>
        <v/>
      </c>
      <c r="W834" s="52" t="str">
        <f>IFERROR(__xludf.DUMMYFUNCTION("""COMPUTED_VALUE"""),"")</f>
        <v/>
      </c>
      <c r="X834" s="52" t="str">
        <f>IFERROR(__xludf.DUMMYFUNCTION("""COMPUTED_VALUE"""),"")</f>
        <v/>
      </c>
      <c r="Y834" s="52" t="str">
        <f>IFERROR(__xludf.DUMMYFUNCTION("""COMPUTED_VALUE"""),"")</f>
        <v/>
      </c>
      <c r="Z834" s="52" t="str">
        <f>IFERROR(__xludf.DUMMYFUNCTION("""COMPUTED_VALUE"""),"")</f>
        <v/>
      </c>
      <c r="AA834" s="52" t="str">
        <f>IFERROR(__xludf.DUMMYFUNCTION("""COMPUTED_VALUE"""),"")</f>
        <v/>
      </c>
      <c r="AB834" s="52" t="str">
        <f>IFERROR(__xludf.DUMMYFUNCTION("""COMPUTED_VALUE"""),"")</f>
        <v/>
      </c>
      <c r="AC834" s="52" t="str">
        <f>IFERROR(__xludf.DUMMYFUNCTION("""COMPUTED_VALUE"""),"")</f>
        <v/>
      </c>
      <c r="AD834" s="52" t="str">
        <f>IFERROR(__xludf.DUMMYFUNCTION("""COMPUTED_VALUE"""),"")</f>
        <v/>
      </c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</row>
    <row r="835">
      <c r="B835" s="49"/>
      <c r="C835" s="49" t="str">
        <f t="shared" si="2"/>
        <v/>
      </c>
      <c r="D835" s="50" t="str">
        <f t="shared" si="3"/>
        <v/>
      </c>
      <c r="E835" s="51" t="str">
        <f t="shared" ref="E835:T835" si="836">IFERROR(VLOOKUP($A835,INDIRECT("'" &amp; E$1 &amp; "'!$C:$G"), 5, FALSE),"")</f>
        <v/>
      </c>
      <c r="F835" s="51" t="str">
        <f t="shared" si="836"/>
        <v/>
      </c>
      <c r="G835" s="51" t="str">
        <f t="shared" si="836"/>
        <v/>
      </c>
      <c r="H835" s="51" t="str">
        <f t="shared" si="836"/>
        <v/>
      </c>
      <c r="I835" s="51" t="str">
        <f t="shared" si="836"/>
        <v/>
      </c>
      <c r="J835" s="51" t="str">
        <f t="shared" si="836"/>
        <v/>
      </c>
      <c r="K835" s="51" t="str">
        <f t="shared" si="836"/>
        <v/>
      </c>
      <c r="L835" s="51" t="str">
        <f t="shared" si="836"/>
        <v/>
      </c>
      <c r="M835" s="51" t="str">
        <f t="shared" si="836"/>
        <v/>
      </c>
      <c r="N835" s="51" t="str">
        <f t="shared" si="836"/>
        <v/>
      </c>
      <c r="O835" s="51" t="str">
        <f t="shared" si="836"/>
        <v/>
      </c>
      <c r="P835" s="51" t="str">
        <f t="shared" si="836"/>
        <v/>
      </c>
      <c r="Q835" s="51" t="str">
        <f t="shared" si="836"/>
        <v/>
      </c>
      <c r="R835" s="51" t="str">
        <f t="shared" si="836"/>
        <v/>
      </c>
      <c r="S835" s="51" t="str">
        <f t="shared" si="836"/>
        <v/>
      </c>
      <c r="T835" s="51" t="str">
        <f t="shared" si="836"/>
        <v/>
      </c>
      <c r="U835" s="52"/>
      <c r="V835" s="52" t="str">
        <f>IFERROR(__xludf.DUMMYFUNCTION("""COMPUTED_VALUE"""),"")</f>
        <v/>
      </c>
      <c r="W835" s="52" t="str">
        <f>IFERROR(__xludf.DUMMYFUNCTION("""COMPUTED_VALUE"""),"")</f>
        <v/>
      </c>
      <c r="X835" s="52" t="str">
        <f>IFERROR(__xludf.DUMMYFUNCTION("""COMPUTED_VALUE"""),"")</f>
        <v/>
      </c>
      <c r="Y835" s="52" t="str">
        <f>IFERROR(__xludf.DUMMYFUNCTION("""COMPUTED_VALUE"""),"")</f>
        <v/>
      </c>
      <c r="Z835" s="52" t="str">
        <f>IFERROR(__xludf.DUMMYFUNCTION("""COMPUTED_VALUE"""),"")</f>
        <v/>
      </c>
      <c r="AA835" s="52" t="str">
        <f>IFERROR(__xludf.DUMMYFUNCTION("""COMPUTED_VALUE"""),"")</f>
        <v/>
      </c>
      <c r="AB835" s="52" t="str">
        <f>IFERROR(__xludf.DUMMYFUNCTION("""COMPUTED_VALUE"""),"")</f>
        <v/>
      </c>
      <c r="AC835" s="52" t="str">
        <f>IFERROR(__xludf.DUMMYFUNCTION("""COMPUTED_VALUE"""),"")</f>
        <v/>
      </c>
      <c r="AD835" s="52" t="str">
        <f>IFERROR(__xludf.DUMMYFUNCTION("""COMPUTED_VALUE"""),"")</f>
        <v/>
      </c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</row>
    <row r="836">
      <c r="B836" s="49"/>
      <c r="C836" s="49" t="str">
        <f t="shared" si="2"/>
        <v/>
      </c>
      <c r="D836" s="50" t="str">
        <f t="shared" si="3"/>
        <v/>
      </c>
      <c r="E836" s="51" t="str">
        <f t="shared" ref="E836:T836" si="837">IFERROR(VLOOKUP($A836,INDIRECT("'" &amp; E$1 &amp; "'!$C:$G"), 5, FALSE),"")</f>
        <v/>
      </c>
      <c r="F836" s="51" t="str">
        <f t="shared" si="837"/>
        <v/>
      </c>
      <c r="G836" s="51" t="str">
        <f t="shared" si="837"/>
        <v/>
      </c>
      <c r="H836" s="51" t="str">
        <f t="shared" si="837"/>
        <v/>
      </c>
      <c r="I836" s="51" t="str">
        <f t="shared" si="837"/>
        <v/>
      </c>
      <c r="J836" s="51" t="str">
        <f t="shared" si="837"/>
        <v/>
      </c>
      <c r="K836" s="51" t="str">
        <f t="shared" si="837"/>
        <v/>
      </c>
      <c r="L836" s="51" t="str">
        <f t="shared" si="837"/>
        <v/>
      </c>
      <c r="M836" s="51" t="str">
        <f t="shared" si="837"/>
        <v/>
      </c>
      <c r="N836" s="51" t="str">
        <f t="shared" si="837"/>
        <v/>
      </c>
      <c r="O836" s="51" t="str">
        <f t="shared" si="837"/>
        <v/>
      </c>
      <c r="P836" s="51" t="str">
        <f t="shared" si="837"/>
        <v/>
      </c>
      <c r="Q836" s="51" t="str">
        <f t="shared" si="837"/>
        <v/>
      </c>
      <c r="R836" s="51" t="str">
        <f t="shared" si="837"/>
        <v/>
      </c>
      <c r="S836" s="51" t="str">
        <f t="shared" si="837"/>
        <v/>
      </c>
      <c r="T836" s="51" t="str">
        <f t="shared" si="837"/>
        <v/>
      </c>
      <c r="U836" s="52"/>
      <c r="V836" s="52" t="str">
        <f>IFERROR(__xludf.DUMMYFUNCTION("""COMPUTED_VALUE"""),"")</f>
        <v/>
      </c>
      <c r="W836" s="52" t="str">
        <f>IFERROR(__xludf.DUMMYFUNCTION("""COMPUTED_VALUE"""),"")</f>
        <v/>
      </c>
      <c r="X836" s="52" t="str">
        <f>IFERROR(__xludf.DUMMYFUNCTION("""COMPUTED_VALUE"""),"")</f>
        <v/>
      </c>
      <c r="Y836" s="52" t="str">
        <f>IFERROR(__xludf.DUMMYFUNCTION("""COMPUTED_VALUE"""),"")</f>
        <v/>
      </c>
      <c r="Z836" s="52" t="str">
        <f>IFERROR(__xludf.DUMMYFUNCTION("""COMPUTED_VALUE"""),"")</f>
        <v/>
      </c>
      <c r="AA836" s="52" t="str">
        <f>IFERROR(__xludf.DUMMYFUNCTION("""COMPUTED_VALUE"""),"")</f>
        <v/>
      </c>
      <c r="AB836" s="52" t="str">
        <f>IFERROR(__xludf.DUMMYFUNCTION("""COMPUTED_VALUE"""),"")</f>
        <v/>
      </c>
      <c r="AC836" s="52" t="str">
        <f>IFERROR(__xludf.DUMMYFUNCTION("""COMPUTED_VALUE"""),"")</f>
        <v/>
      </c>
      <c r="AD836" s="52" t="str">
        <f>IFERROR(__xludf.DUMMYFUNCTION("""COMPUTED_VALUE"""),"")</f>
        <v/>
      </c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</row>
    <row r="837">
      <c r="B837" s="49"/>
      <c r="C837" s="49" t="str">
        <f t="shared" si="2"/>
        <v/>
      </c>
      <c r="D837" s="50" t="str">
        <f t="shared" si="3"/>
        <v/>
      </c>
      <c r="E837" s="51" t="str">
        <f t="shared" ref="E837:T837" si="838">IFERROR(VLOOKUP($A837,INDIRECT("'" &amp; E$1 &amp; "'!$C:$G"), 5, FALSE),"")</f>
        <v/>
      </c>
      <c r="F837" s="51" t="str">
        <f t="shared" si="838"/>
        <v/>
      </c>
      <c r="G837" s="51" t="str">
        <f t="shared" si="838"/>
        <v/>
      </c>
      <c r="H837" s="51" t="str">
        <f t="shared" si="838"/>
        <v/>
      </c>
      <c r="I837" s="51" t="str">
        <f t="shared" si="838"/>
        <v/>
      </c>
      <c r="J837" s="51" t="str">
        <f t="shared" si="838"/>
        <v/>
      </c>
      <c r="K837" s="51" t="str">
        <f t="shared" si="838"/>
        <v/>
      </c>
      <c r="L837" s="51" t="str">
        <f t="shared" si="838"/>
        <v/>
      </c>
      <c r="M837" s="51" t="str">
        <f t="shared" si="838"/>
        <v/>
      </c>
      <c r="N837" s="51" t="str">
        <f t="shared" si="838"/>
        <v/>
      </c>
      <c r="O837" s="51" t="str">
        <f t="shared" si="838"/>
        <v/>
      </c>
      <c r="P837" s="51" t="str">
        <f t="shared" si="838"/>
        <v/>
      </c>
      <c r="Q837" s="51" t="str">
        <f t="shared" si="838"/>
        <v/>
      </c>
      <c r="R837" s="51" t="str">
        <f t="shared" si="838"/>
        <v/>
      </c>
      <c r="S837" s="51" t="str">
        <f t="shared" si="838"/>
        <v/>
      </c>
      <c r="T837" s="51" t="str">
        <f t="shared" si="838"/>
        <v/>
      </c>
      <c r="U837" s="52"/>
      <c r="V837" s="52" t="str">
        <f>IFERROR(__xludf.DUMMYFUNCTION("""COMPUTED_VALUE"""),"")</f>
        <v/>
      </c>
      <c r="W837" s="52" t="str">
        <f>IFERROR(__xludf.DUMMYFUNCTION("""COMPUTED_VALUE"""),"")</f>
        <v/>
      </c>
      <c r="X837" s="52" t="str">
        <f>IFERROR(__xludf.DUMMYFUNCTION("""COMPUTED_VALUE"""),"")</f>
        <v/>
      </c>
      <c r="Y837" s="52" t="str">
        <f>IFERROR(__xludf.DUMMYFUNCTION("""COMPUTED_VALUE"""),"")</f>
        <v/>
      </c>
      <c r="Z837" s="52" t="str">
        <f>IFERROR(__xludf.DUMMYFUNCTION("""COMPUTED_VALUE"""),"")</f>
        <v/>
      </c>
      <c r="AA837" s="52" t="str">
        <f>IFERROR(__xludf.DUMMYFUNCTION("""COMPUTED_VALUE"""),"")</f>
        <v/>
      </c>
      <c r="AB837" s="52" t="str">
        <f>IFERROR(__xludf.DUMMYFUNCTION("""COMPUTED_VALUE"""),"")</f>
        <v/>
      </c>
      <c r="AC837" s="52" t="str">
        <f>IFERROR(__xludf.DUMMYFUNCTION("""COMPUTED_VALUE"""),"")</f>
        <v/>
      </c>
      <c r="AD837" s="52" t="str">
        <f>IFERROR(__xludf.DUMMYFUNCTION("""COMPUTED_VALUE"""),"")</f>
        <v/>
      </c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</row>
    <row r="838">
      <c r="B838" s="49"/>
      <c r="C838" s="49" t="str">
        <f t="shared" si="2"/>
        <v/>
      </c>
      <c r="D838" s="50" t="str">
        <f t="shared" si="3"/>
        <v/>
      </c>
      <c r="E838" s="51" t="str">
        <f t="shared" ref="E838:T838" si="839">IFERROR(VLOOKUP($A838,INDIRECT("'" &amp; E$1 &amp; "'!$C:$G"), 5, FALSE),"")</f>
        <v/>
      </c>
      <c r="F838" s="51" t="str">
        <f t="shared" si="839"/>
        <v/>
      </c>
      <c r="G838" s="51" t="str">
        <f t="shared" si="839"/>
        <v/>
      </c>
      <c r="H838" s="51" t="str">
        <f t="shared" si="839"/>
        <v/>
      </c>
      <c r="I838" s="51" t="str">
        <f t="shared" si="839"/>
        <v/>
      </c>
      <c r="J838" s="51" t="str">
        <f t="shared" si="839"/>
        <v/>
      </c>
      <c r="K838" s="51" t="str">
        <f t="shared" si="839"/>
        <v/>
      </c>
      <c r="L838" s="51" t="str">
        <f t="shared" si="839"/>
        <v/>
      </c>
      <c r="M838" s="51" t="str">
        <f t="shared" si="839"/>
        <v/>
      </c>
      <c r="N838" s="51" t="str">
        <f t="shared" si="839"/>
        <v/>
      </c>
      <c r="O838" s="51" t="str">
        <f t="shared" si="839"/>
        <v/>
      </c>
      <c r="P838" s="51" t="str">
        <f t="shared" si="839"/>
        <v/>
      </c>
      <c r="Q838" s="51" t="str">
        <f t="shared" si="839"/>
        <v/>
      </c>
      <c r="R838" s="51" t="str">
        <f t="shared" si="839"/>
        <v/>
      </c>
      <c r="S838" s="51" t="str">
        <f t="shared" si="839"/>
        <v/>
      </c>
      <c r="T838" s="51" t="str">
        <f t="shared" si="839"/>
        <v/>
      </c>
      <c r="U838" s="52"/>
      <c r="V838" s="52" t="str">
        <f>IFERROR(__xludf.DUMMYFUNCTION("""COMPUTED_VALUE"""),"")</f>
        <v/>
      </c>
      <c r="W838" s="52" t="str">
        <f>IFERROR(__xludf.DUMMYFUNCTION("""COMPUTED_VALUE"""),"")</f>
        <v/>
      </c>
      <c r="X838" s="52" t="str">
        <f>IFERROR(__xludf.DUMMYFUNCTION("""COMPUTED_VALUE"""),"")</f>
        <v/>
      </c>
      <c r="Y838" s="52" t="str">
        <f>IFERROR(__xludf.DUMMYFUNCTION("""COMPUTED_VALUE"""),"")</f>
        <v/>
      </c>
      <c r="Z838" s="52" t="str">
        <f>IFERROR(__xludf.DUMMYFUNCTION("""COMPUTED_VALUE"""),"")</f>
        <v/>
      </c>
      <c r="AA838" s="52" t="str">
        <f>IFERROR(__xludf.DUMMYFUNCTION("""COMPUTED_VALUE"""),"")</f>
        <v/>
      </c>
      <c r="AB838" s="52" t="str">
        <f>IFERROR(__xludf.DUMMYFUNCTION("""COMPUTED_VALUE"""),"")</f>
        <v/>
      </c>
      <c r="AC838" s="52" t="str">
        <f>IFERROR(__xludf.DUMMYFUNCTION("""COMPUTED_VALUE"""),"")</f>
        <v/>
      </c>
      <c r="AD838" s="52" t="str">
        <f>IFERROR(__xludf.DUMMYFUNCTION("""COMPUTED_VALUE"""),"")</f>
        <v/>
      </c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</row>
    <row r="839">
      <c r="B839" s="49"/>
      <c r="C839" s="49" t="str">
        <f t="shared" si="2"/>
        <v/>
      </c>
      <c r="D839" s="50" t="str">
        <f t="shared" si="3"/>
        <v/>
      </c>
      <c r="E839" s="51" t="str">
        <f t="shared" ref="E839:T839" si="840">IFERROR(VLOOKUP($A839,INDIRECT("'" &amp; E$1 &amp; "'!$C:$G"), 5, FALSE),"")</f>
        <v/>
      </c>
      <c r="F839" s="51" t="str">
        <f t="shared" si="840"/>
        <v/>
      </c>
      <c r="G839" s="51" t="str">
        <f t="shared" si="840"/>
        <v/>
      </c>
      <c r="H839" s="51" t="str">
        <f t="shared" si="840"/>
        <v/>
      </c>
      <c r="I839" s="51" t="str">
        <f t="shared" si="840"/>
        <v/>
      </c>
      <c r="J839" s="51" t="str">
        <f t="shared" si="840"/>
        <v/>
      </c>
      <c r="K839" s="51" t="str">
        <f t="shared" si="840"/>
        <v/>
      </c>
      <c r="L839" s="51" t="str">
        <f t="shared" si="840"/>
        <v/>
      </c>
      <c r="M839" s="51" t="str">
        <f t="shared" si="840"/>
        <v/>
      </c>
      <c r="N839" s="51" t="str">
        <f t="shared" si="840"/>
        <v/>
      </c>
      <c r="O839" s="51" t="str">
        <f t="shared" si="840"/>
        <v/>
      </c>
      <c r="P839" s="51" t="str">
        <f t="shared" si="840"/>
        <v/>
      </c>
      <c r="Q839" s="51" t="str">
        <f t="shared" si="840"/>
        <v/>
      </c>
      <c r="R839" s="51" t="str">
        <f t="shared" si="840"/>
        <v/>
      </c>
      <c r="S839" s="51" t="str">
        <f t="shared" si="840"/>
        <v/>
      </c>
      <c r="T839" s="51" t="str">
        <f t="shared" si="840"/>
        <v/>
      </c>
      <c r="U839" s="52"/>
      <c r="V839" s="52" t="str">
        <f>IFERROR(__xludf.DUMMYFUNCTION("""COMPUTED_VALUE"""),"")</f>
        <v/>
      </c>
      <c r="W839" s="52" t="str">
        <f>IFERROR(__xludf.DUMMYFUNCTION("""COMPUTED_VALUE"""),"")</f>
        <v/>
      </c>
      <c r="X839" s="52" t="str">
        <f>IFERROR(__xludf.DUMMYFUNCTION("""COMPUTED_VALUE"""),"")</f>
        <v/>
      </c>
      <c r="Y839" s="52" t="str">
        <f>IFERROR(__xludf.DUMMYFUNCTION("""COMPUTED_VALUE"""),"")</f>
        <v/>
      </c>
      <c r="Z839" s="52" t="str">
        <f>IFERROR(__xludf.DUMMYFUNCTION("""COMPUTED_VALUE"""),"")</f>
        <v/>
      </c>
      <c r="AA839" s="52" t="str">
        <f>IFERROR(__xludf.DUMMYFUNCTION("""COMPUTED_VALUE"""),"")</f>
        <v/>
      </c>
      <c r="AB839" s="52" t="str">
        <f>IFERROR(__xludf.DUMMYFUNCTION("""COMPUTED_VALUE"""),"")</f>
        <v/>
      </c>
      <c r="AC839" s="52" t="str">
        <f>IFERROR(__xludf.DUMMYFUNCTION("""COMPUTED_VALUE"""),"")</f>
        <v/>
      </c>
      <c r="AD839" s="52" t="str">
        <f>IFERROR(__xludf.DUMMYFUNCTION("""COMPUTED_VALUE"""),"")</f>
        <v/>
      </c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</row>
    <row r="840">
      <c r="B840" s="49"/>
      <c r="C840" s="49" t="str">
        <f t="shared" si="2"/>
        <v/>
      </c>
      <c r="D840" s="50" t="str">
        <f t="shared" si="3"/>
        <v/>
      </c>
      <c r="E840" s="51" t="str">
        <f t="shared" ref="E840:T840" si="841">IFERROR(VLOOKUP($A840,INDIRECT("'" &amp; E$1 &amp; "'!$C:$G"), 5, FALSE),"")</f>
        <v/>
      </c>
      <c r="F840" s="51" t="str">
        <f t="shared" si="841"/>
        <v/>
      </c>
      <c r="G840" s="51" t="str">
        <f t="shared" si="841"/>
        <v/>
      </c>
      <c r="H840" s="51" t="str">
        <f t="shared" si="841"/>
        <v/>
      </c>
      <c r="I840" s="51" t="str">
        <f t="shared" si="841"/>
        <v/>
      </c>
      <c r="J840" s="51" t="str">
        <f t="shared" si="841"/>
        <v/>
      </c>
      <c r="K840" s="51" t="str">
        <f t="shared" si="841"/>
        <v/>
      </c>
      <c r="L840" s="51" t="str">
        <f t="shared" si="841"/>
        <v/>
      </c>
      <c r="M840" s="51" t="str">
        <f t="shared" si="841"/>
        <v/>
      </c>
      <c r="N840" s="51" t="str">
        <f t="shared" si="841"/>
        <v/>
      </c>
      <c r="O840" s="51" t="str">
        <f t="shared" si="841"/>
        <v/>
      </c>
      <c r="P840" s="51" t="str">
        <f t="shared" si="841"/>
        <v/>
      </c>
      <c r="Q840" s="51" t="str">
        <f t="shared" si="841"/>
        <v/>
      </c>
      <c r="R840" s="51" t="str">
        <f t="shared" si="841"/>
        <v/>
      </c>
      <c r="S840" s="51" t="str">
        <f t="shared" si="841"/>
        <v/>
      </c>
      <c r="T840" s="51" t="str">
        <f t="shared" si="841"/>
        <v/>
      </c>
      <c r="U840" s="52"/>
      <c r="V840" s="52" t="str">
        <f>IFERROR(__xludf.DUMMYFUNCTION("""COMPUTED_VALUE"""),"")</f>
        <v/>
      </c>
      <c r="W840" s="52" t="str">
        <f>IFERROR(__xludf.DUMMYFUNCTION("""COMPUTED_VALUE"""),"")</f>
        <v/>
      </c>
      <c r="X840" s="52" t="str">
        <f>IFERROR(__xludf.DUMMYFUNCTION("""COMPUTED_VALUE"""),"")</f>
        <v/>
      </c>
      <c r="Y840" s="52" t="str">
        <f>IFERROR(__xludf.DUMMYFUNCTION("""COMPUTED_VALUE"""),"")</f>
        <v/>
      </c>
      <c r="Z840" s="52" t="str">
        <f>IFERROR(__xludf.DUMMYFUNCTION("""COMPUTED_VALUE"""),"")</f>
        <v/>
      </c>
      <c r="AA840" s="52" t="str">
        <f>IFERROR(__xludf.DUMMYFUNCTION("""COMPUTED_VALUE"""),"")</f>
        <v/>
      </c>
      <c r="AB840" s="52" t="str">
        <f>IFERROR(__xludf.DUMMYFUNCTION("""COMPUTED_VALUE"""),"")</f>
        <v/>
      </c>
      <c r="AC840" s="52" t="str">
        <f>IFERROR(__xludf.DUMMYFUNCTION("""COMPUTED_VALUE"""),"")</f>
        <v/>
      </c>
      <c r="AD840" s="52" t="str">
        <f>IFERROR(__xludf.DUMMYFUNCTION("""COMPUTED_VALUE"""),"")</f>
        <v/>
      </c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</row>
    <row r="841">
      <c r="B841" s="49"/>
      <c r="C841" s="49" t="str">
        <f t="shared" si="2"/>
        <v/>
      </c>
      <c r="D841" s="50" t="str">
        <f t="shared" si="3"/>
        <v/>
      </c>
      <c r="E841" s="51" t="str">
        <f t="shared" ref="E841:T841" si="842">IFERROR(VLOOKUP($A841,INDIRECT("'" &amp; E$1 &amp; "'!$C:$G"), 5, FALSE),"")</f>
        <v/>
      </c>
      <c r="F841" s="51" t="str">
        <f t="shared" si="842"/>
        <v/>
      </c>
      <c r="G841" s="51" t="str">
        <f t="shared" si="842"/>
        <v/>
      </c>
      <c r="H841" s="51" t="str">
        <f t="shared" si="842"/>
        <v/>
      </c>
      <c r="I841" s="51" t="str">
        <f t="shared" si="842"/>
        <v/>
      </c>
      <c r="J841" s="51" t="str">
        <f t="shared" si="842"/>
        <v/>
      </c>
      <c r="K841" s="51" t="str">
        <f t="shared" si="842"/>
        <v/>
      </c>
      <c r="L841" s="51" t="str">
        <f t="shared" si="842"/>
        <v/>
      </c>
      <c r="M841" s="51" t="str">
        <f t="shared" si="842"/>
        <v/>
      </c>
      <c r="N841" s="51" t="str">
        <f t="shared" si="842"/>
        <v/>
      </c>
      <c r="O841" s="51" t="str">
        <f t="shared" si="842"/>
        <v/>
      </c>
      <c r="P841" s="51" t="str">
        <f t="shared" si="842"/>
        <v/>
      </c>
      <c r="Q841" s="51" t="str">
        <f t="shared" si="842"/>
        <v/>
      </c>
      <c r="R841" s="51" t="str">
        <f t="shared" si="842"/>
        <v/>
      </c>
      <c r="S841" s="51" t="str">
        <f t="shared" si="842"/>
        <v/>
      </c>
      <c r="T841" s="51" t="str">
        <f t="shared" si="842"/>
        <v/>
      </c>
      <c r="U841" s="52"/>
      <c r="V841" s="52" t="str">
        <f>IFERROR(__xludf.DUMMYFUNCTION("""COMPUTED_VALUE"""),"")</f>
        <v/>
      </c>
      <c r="W841" s="52" t="str">
        <f>IFERROR(__xludf.DUMMYFUNCTION("""COMPUTED_VALUE"""),"")</f>
        <v/>
      </c>
      <c r="X841" s="52" t="str">
        <f>IFERROR(__xludf.DUMMYFUNCTION("""COMPUTED_VALUE"""),"")</f>
        <v/>
      </c>
      <c r="Y841" s="52" t="str">
        <f>IFERROR(__xludf.DUMMYFUNCTION("""COMPUTED_VALUE"""),"")</f>
        <v/>
      </c>
      <c r="Z841" s="52" t="str">
        <f>IFERROR(__xludf.DUMMYFUNCTION("""COMPUTED_VALUE"""),"")</f>
        <v/>
      </c>
      <c r="AA841" s="52" t="str">
        <f>IFERROR(__xludf.DUMMYFUNCTION("""COMPUTED_VALUE"""),"")</f>
        <v/>
      </c>
      <c r="AB841" s="52" t="str">
        <f>IFERROR(__xludf.DUMMYFUNCTION("""COMPUTED_VALUE"""),"")</f>
        <v/>
      </c>
      <c r="AC841" s="52" t="str">
        <f>IFERROR(__xludf.DUMMYFUNCTION("""COMPUTED_VALUE"""),"")</f>
        <v/>
      </c>
      <c r="AD841" s="52" t="str">
        <f>IFERROR(__xludf.DUMMYFUNCTION("""COMPUTED_VALUE"""),"")</f>
        <v/>
      </c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</row>
    <row r="842">
      <c r="B842" s="49"/>
      <c r="C842" s="49" t="str">
        <f t="shared" si="2"/>
        <v/>
      </c>
      <c r="D842" s="50" t="str">
        <f t="shared" si="3"/>
        <v/>
      </c>
      <c r="E842" s="51" t="str">
        <f t="shared" ref="E842:T842" si="843">IFERROR(VLOOKUP($A842,INDIRECT("'" &amp; E$1 &amp; "'!$C:$G"), 5, FALSE),"")</f>
        <v/>
      </c>
      <c r="F842" s="51" t="str">
        <f t="shared" si="843"/>
        <v/>
      </c>
      <c r="G842" s="51" t="str">
        <f t="shared" si="843"/>
        <v/>
      </c>
      <c r="H842" s="51" t="str">
        <f t="shared" si="843"/>
        <v/>
      </c>
      <c r="I842" s="51" t="str">
        <f t="shared" si="843"/>
        <v/>
      </c>
      <c r="J842" s="51" t="str">
        <f t="shared" si="843"/>
        <v/>
      </c>
      <c r="K842" s="51" t="str">
        <f t="shared" si="843"/>
        <v/>
      </c>
      <c r="L842" s="51" t="str">
        <f t="shared" si="843"/>
        <v/>
      </c>
      <c r="M842" s="51" t="str">
        <f t="shared" si="843"/>
        <v/>
      </c>
      <c r="N842" s="51" t="str">
        <f t="shared" si="843"/>
        <v/>
      </c>
      <c r="O842" s="51" t="str">
        <f t="shared" si="843"/>
        <v/>
      </c>
      <c r="P842" s="51" t="str">
        <f t="shared" si="843"/>
        <v/>
      </c>
      <c r="Q842" s="51" t="str">
        <f t="shared" si="843"/>
        <v/>
      </c>
      <c r="R842" s="51" t="str">
        <f t="shared" si="843"/>
        <v/>
      </c>
      <c r="S842" s="51" t="str">
        <f t="shared" si="843"/>
        <v/>
      </c>
      <c r="T842" s="51" t="str">
        <f t="shared" si="843"/>
        <v/>
      </c>
      <c r="U842" s="52"/>
      <c r="V842" s="52" t="str">
        <f>IFERROR(__xludf.DUMMYFUNCTION("""COMPUTED_VALUE"""),"")</f>
        <v/>
      </c>
      <c r="W842" s="52" t="str">
        <f>IFERROR(__xludf.DUMMYFUNCTION("""COMPUTED_VALUE"""),"")</f>
        <v/>
      </c>
      <c r="X842" s="52" t="str">
        <f>IFERROR(__xludf.DUMMYFUNCTION("""COMPUTED_VALUE"""),"")</f>
        <v/>
      </c>
      <c r="Y842" s="52" t="str">
        <f>IFERROR(__xludf.DUMMYFUNCTION("""COMPUTED_VALUE"""),"")</f>
        <v/>
      </c>
      <c r="Z842" s="52" t="str">
        <f>IFERROR(__xludf.DUMMYFUNCTION("""COMPUTED_VALUE"""),"")</f>
        <v/>
      </c>
      <c r="AA842" s="52" t="str">
        <f>IFERROR(__xludf.DUMMYFUNCTION("""COMPUTED_VALUE"""),"")</f>
        <v/>
      </c>
      <c r="AB842" s="52" t="str">
        <f>IFERROR(__xludf.DUMMYFUNCTION("""COMPUTED_VALUE"""),"")</f>
        <v/>
      </c>
      <c r="AC842" s="52" t="str">
        <f>IFERROR(__xludf.DUMMYFUNCTION("""COMPUTED_VALUE"""),"")</f>
        <v/>
      </c>
      <c r="AD842" s="52" t="str">
        <f>IFERROR(__xludf.DUMMYFUNCTION("""COMPUTED_VALUE"""),"")</f>
        <v/>
      </c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</row>
    <row r="843">
      <c r="B843" s="49"/>
      <c r="C843" s="49" t="str">
        <f t="shared" si="2"/>
        <v/>
      </c>
      <c r="D843" s="50" t="str">
        <f t="shared" si="3"/>
        <v/>
      </c>
      <c r="E843" s="51" t="str">
        <f t="shared" ref="E843:T843" si="844">IFERROR(VLOOKUP($A843,INDIRECT("'" &amp; E$1 &amp; "'!$C:$G"), 5, FALSE),"")</f>
        <v/>
      </c>
      <c r="F843" s="51" t="str">
        <f t="shared" si="844"/>
        <v/>
      </c>
      <c r="G843" s="51" t="str">
        <f t="shared" si="844"/>
        <v/>
      </c>
      <c r="H843" s="51" t="str">
        <f t="shared" si="844"/>
        <v/>
      </c>
      <c r="I843" s="51" t="str">
        <f t="shared" si="844"/>
        <v/>
      </c>
      <c r="J843" s="51" t="str">
        <f t="shared" si="844"/>
        <v/>
      </c>
      <c r="K843" s="51" t="str">
        <f t="shared" si="844"/>
        <v/>
      </c>
      <c r="L843" s="51" t="str">
        <f t="shared" si="844"/>
        <v/>
      </c>
      <c r="M843" s="51" t="str">
        <f t="shared" si="844"/>
        <v/>
      </c>
      <c r="N843" s="51" t="str">
        <f t="shared" si="844"/>
        <v/>
      </c>
      <c r="O843" s="51" t="str">
        <f t="shared" si="844"/>
        <v/>
      </c>
      <c r="P843" s="51" t="str">
        <f t="shared" si="844"/>
        <v/>
      </c>
      <c r="Q843" s="51" t="str">
        <f t="shared" si="844"/>
        <v/>
      </c>
      <c r="R843" s="51" t="str">
        <f t="shared" si="844"/>
        <v/>
      </c>
      <c r="S843" s="51" t="str">
        <f t="shared" si="844"/>
        <v/>
      </c>
      <c r="T843" s="51" t="str">
        <f t="shared" si="844"/>
        <v/>
      </c>
      <c r="U843" s="52"/>
      <c r="V843" s="52" t="str">
        <f>IFERROR(__xludf.DUMMYFUNCTION("""COMPUTED_VALUE"""),"")</f>
        <v/>
      </c>
      <c r="W843" s="52" t="str">
        <f>IFERROR(__xludf.DUMMYFUNCTION("""COMPUTED_VALUE"""),"")</f>
        <v/>
      </c>
      <c r="X843" s="52" t="str">
        <f>IFERROR(__xludf.DUMMYFUNCTION("""COMPUTED_VALUE"""),"")</f>
        <v/>
      </c>
      <c r="Y843" s="52" t="str">
        <f>IFERROR(__xludf.DUMMYFUNCTION("""COMPUTED_VALUE"""),"")</f>
        <v/>
      </c>
      <c r="Z843" s="52" t="str">
        <f>IFERROR(__xludf.DUMMYFUNCTION("""COMPUTED_VALUE"""),"")</f>
        <v/>
      </c>
      <c r="AA843" s="52" t="str">
        <f>IFERROR(__xludf.DUMMYFUNCTION("""COMPUTED_VALUE"""),"")</f>
        <v/>
      </c>
      <c r="AB843" s="52" t="str">
        <f>IFERROR(__xludf.DUMMYFUNCTION("""COMPUTED_VALUE"""),"")</f>
        <v/>
      </c>
      <c r="AC843" s="52" t="str">
        <f>IFERROR(__xludf.DUMMYFUNCTION("""COMPUTED_VALUE"""),"")</f>
        <v/>
      </c>
      <c r="AD843" s="52" t="str">
        <f>IFERROR(__xludf.DUMMYFUNCTION("""COMPUTED_VALUE"""),"")</f>
        <v/>
      </c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</row>
    <row r="844">
      <c r="B844" s="49"/>
      <c r="C844" s="49" t="str">
        <f t="shared" si="2"/>
        <v/>
      </c>
      <c r="D844" s="50" t="str">
        <f t="shared" si="3"/>
        <v/>
      </c>
      <c r="E844" s="51" t="str">
        <f t="shared" ref="E844:T844" si="845">IFERROR(VLOOKUP($A844,INDIRECT("'" &amp; E$1 &amp; "'!$C:$G"), 5, FALSE),"")</f>
        <v/>
      </c>
      <c r="F844" s="51" t="str">
        <f t="shared" si="845"/>
        <v/>
      </c>
      <c r="G844" s="51" t="str">
        <f t="shared" si="845"/>
        <v/>
      </c>
      <c r="H844" s="51" t="str">
        <f t="shared" si="845"/>
        <v/>
      </c>
      <c r="I844" s="51" t="str">
        <f t="shared" si="845"/>
        <v/>
      </c>
      <c r="J844" s="51" t="str">
        <f t="shared" si="845"/>
        <v/>
      </c>
      <c r="K844" s="51" t="str">
        <f t="shared" si="845"/>
        <v/>
      </c>
      <c r="L844" s="51" t="str">
        <f t="shared" si="845"/>
        <v/>
      </c>
      <c r="M844" s="51" t="str">
        <f t="shared" si="845"/>
        <v/>
      </c>
      <c r="N844" s="51" t="str">
        <f t="shared" si="845"/>
        <v/>
      </c>
      <c r="O844" s="51" t="str">
        <f t="shared" si="845"/>
        <v/>
      </c>
      <c r="P844" s="51" t="str">
        <f t="shared" si="845"/>
        <v/>
      </c>
      <c r="Q844" s="51" t="str">
        <f t="shared" si="845"/>
        <v/>
      </c>
      <c r="R844" s="51" t="str">
        <f t="shared" si="845"/>
        <v/>
      </c>
      <c r="S844" s="51" t="str">
        <f t="shared" si="845"/>
        <v/>
      </c>
      <c r="T844" s="51" t="str">
        <f t="shared" si="845"/>
        <v/>
      </c>
      <c r="U844" s="52"/>
      <c r="V844" s="52" t="str">
        <f>IFERROR(__xludf.DUMMYFUNCTION("""COMPUTED_VALUE"""),"")</f>
        <v/>
      </c>
      <c r="W844" s="52" t="str">
        <f>IFERROR(__xludf.DUMMYFUNCTION("""COMPUTED_VALUE"""),"")</f>
        <v/>
      </c>
      <c r="X844" s="52" t="str">
        <f>IFERROR(__xludf.DUMMYFUNCTION("""COMPUTED_VALUE"""),"")</f>
        <v/>
      </c>
      <c r="Y844" s="52" t="str">
        <f>IFERROR(__xludf.DUMMYFUNCTION("""COMPUTED_VALUE"""),"")</f>
        <v/>
      </c>
      <c r="Z844" s="52" t="str">
        <f>IFERROR(__xludf.DUMMYFUNCTION("""COMPUTED_VALUE"""),"")</f>
        <v/>
      </c>
      <c r="AA844" s="52" t="str">
        <f>IFERROR(__xludf.DUMMYFUNCTION("""COMPUTED_VALUE"""),"")</f>
        <v/>
      </c>
      <c r="AB844" s="52" t="str">
        <f>IFERROR(__xludf.DUMMYFUNCTION("""COMPUTED_VALUE"""),"")</f>
        <v/>
      </c>
      <c r="AC844" s="52" t="str">
        <f>IFERROR(__xludf.DUMMYFUNCTION("""COMPUTED_VALUE"""),"")</f>
        <v/>
      </c>
      <c r="AD844" s="52" t="str">
        <f>IFERROR(__xludf.DUMMYFUNCTION("""COMPUTED_VALUE"""),"")</f>
        <v/>
      </c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</row>
    <row r="845">
      <c r="B845" s="49"/>
      <c r="C845" s="49" t="str">
        <f t="shared" si="2"/>
        <v/>
      </c>
      <c r="D845" s="50" t="str">
        <f t="shared" si="3"/>
        <v/>
      </c>
      <c r="E845" s="51" t="str">
        <f t="shared" ref="E845:T845" si="846">IFERROR(VLOOKUP($A845,INDIRECT("'" &amp; E$1 &amp; "'!$C:$G"), 5, FALSE),"")</f>
        <v/>
      </c>
      <c r="F845" s="51" t="str">
        <f t="shared" si="846"/>
        <v/>
      </c>
      <c r="G845" s="51" t="str">
        <f t="shared" si="846"/>
        <v/>
      </c>
      <c r="H845" s="51" t="str">
        <f t="shared" si="846"/>
        <v/>
      </c>
      <c r="I845" s="51" t="str">
        <f t="shared" si="846"/>
        <v/>
      </c>
      <c r="J845" s="51" t="str">
        <f t="shared" si="846"/>
        <v/>
      </c>
      <c r="K845" s="51" t="str">
        <f t="shared" si="846"/>
        <v/>
      </c>
      <c r="L845" s="51" t="str">
        <f t="shared" si="846"/>
        <v/>
      </c>
      <c r="M845" s="51" t="str">
        <f t="shared" si="846"/>
        <v/>
      </c>
      <c r="N845" s="51" t="str">
        <f t="shared" si="846"/>
        <v/>
      </c>
      <c r="O845" s="51" t="str">
        <f t="shared" si="846"/>
        <v/>
      </c>
      <c r="P845" s="51" t="str">
        <f t="shared" si="846"/>
        <v/>
      </c>
      <c r="Q845" s="51" t="str">
        <f t="shared" si="846"/>
        <v/>
      </c>
      <c r="R845" s="51" t="str">
        <f t="shared" si="846"/>
        <v/>
      </c>
      <c r="S845" s="51" t="str">
        <f t="shared" si="846"/>
        <v/>
      </c>
      <c r="T845" s="51" t="str">
        <f t="shared" si="846"/>
        <v/>
      </c>
      <c r="U845" s="52"/>
      <c r="V845" s="52" t="str">
        <f>IFERROR(__xludf.DUMMYFUNCTION("""COMPUTED_VALUE"""),"")</f>
        <v/>
      </c>
      <c r="W845" s="52" t="str">
        <f>IFERROR(__xludf.DUMMYFUNCTION("""COMPUTED_VALUE"""),"")</f>
        <v/>
      </c>
      <c r="X845" s="52" t="str">
        <f>IFERROR(__xludf.DUMMYFUNCTION("""COMPUTED_VALUE"""),"")</f>
        <v/>
      </c>
      <c r="Y845" s="52" t="str">
        <f>IFERROR(__xludf.DUMMYFUNCTION("""COMPUTED_VALUE"""),"")</f>
        <v/>
      </c>
      <c r="Z845" s="52" t="str">
        <f>IFERROR(__xludf.DUMMYFUNCTION("""COMPUTED_VALUE"""),"")</f>
        <v/>
      </c>
      <c r="AA845" s="52" t="str">
        <f>IFERROR(__xludf.DUMMYFUNCTION("""COMPUTED_VALUE"""),"")</f>
        <v/>
      </c>
      <c r="AB845" s="52" t="str">
        <f>IFERROR(__xludf.DUMMYFUNCTION("""COMPUTED_VALUE"""),"")</f>
        <v/>
      </c>
      <c r="AC845" s="52" t="str">
        <f>IFERROR(__xludf.DUMMYFUNCTION("""COMPUTED_VALUE"""),"")</f>
        <v/>
      </c>
      <c r="AD845" s="52" t="str">
        <f>IFERROR(__xludf.DUMMYFUNCTION("""COMPUTED_VALUE"""),"")</f>
        <v/>
      </c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</row>
    <row r="846">
      <c r="B846" s="49"/>
      <c r="C846" s="49" t="str">
        <f t="shared" si="2"/>
        <v/>
      </c>
      <c r="D846" s="50" t="str">
        <f t="shared" si="3"/>
        <v/>
      </c>
      <c r="E846" s="51" t="str">
        <f t="shared" ref="E846:T846" si="847">IFERROR(VLOOKUP($A846,INDIRECT("'" &amp; E$1 &amp; "'!$C:$G"), 5, FALSE),"")</f>
        <v/>
      </c>
      <c r="F846" s="51" t="str">
        <f t="shared" si="847"/>
        <v/>
      </c>
      <c r="G846" s="51" t="str">
        <f t="shared" si="847"/>
        <v/>
      </c>
      <c r="H846" s="51" t="str">
        <f t="shared" si="847"/>
        <v/>
      </c>
      <c r="I846" s="51" t="str">
        <f t="shared" si="847"/>
        <v/>
      </c>
      <c r="J846" s="51" t="str">
        <f t="shared" si="847"/>
        <v/>
      </c>
      <c r="K846" s="51" t="str">
        <f t="shared" si="847"/>
        <v/>
      </c>
      <c r="L846" s="51" t="str">
        <f t="shared" si="847"/>
        <v/>
      </c>
      <c r="M846" s="51" t="str">
        <f t="shared" si="847"/>
        <v/>
      </c>
      <c r="N846" s="51" t="str">
        <f t="shared" si="847"/>
        <v/>
      </c>
      <c r="O846" s="51" t="str">
        <f t="shared" si="847"/>
        <v/>
      </c>
      <c r="P846" s="51" t="str">
        <f t="shared" si="847"/>
        <v/>
      </c>
      <c r="Q846" s="51" t="str">
        <f t="shared" si="847"/>
        <v/>
      </c>
      <c r="R846" s="51" t="str">
        <f t="shared" si="847"/>
        <v/>
      </c>
      <c r="S846" s="51" t="str">
        <f t="shared" si="847"/>
        <v/>
      </c>
      <c r="T846" s="51" t="str">
        <f t="shared" si="847"/>
        <v/>
      </c>
      <c r="U846" s="52"/>
      <c r="V846" s="52" t="str">
        <f>IFERROR(__xludf.DUMMYFUNCTION("""COMPUTED_VALUE"""),"")</f>
        <v/>
      </c>
      <c r="W846" s="52" t="str">
        <f>IFERROR(__xludf.DUMMYFUNCTION("""COMPUTED_VALUE"""),"")</f>
        <v/>
      </c>
      <c r="X846" s="52" t="str">
        <f>IFERROR(__xludf.DUMMYFUNCTION("""COMPUTED_VALUE"""),"")</f>
        <v/>
      </c>
      <c r="Y846" s="52" t="str">
        <f>IFERROR(__xludf.DUMMYFUNCTION("""COMPUTED_VALUE"""),"")</f>
        <v/>
      </c>
      <c r="Z846" s="52" t="str">
        <f>IFERROR(__xludf.DUMMYFUNCTION("""COMPUTED_VALUE"""),"")</f>
        <v/>
      </c>
      <c r="AA846" s="52" t="str">
        <f>IFERROR(__xludf.DUMMYFUNCTION("""COMPUTED_VALUE"""),"")</f>
        <v/>
      </c>
      <c r="AB846" s="52" t="str">
        <f>IFERROR(__xludf.DUMMYFUNCTION("""COMPUTED_VALUE"""),"")</f>
        <v/>
      </c>
      <c r="AC846" s="52" t="str">
        <f>IFERROR(__xludf.DUMMYFUNCTION("""COMPUTED_VALUE"""),"")</f>
        <v/>
      </c>
      <c r="AD846" s="52" t="str">
        <f>IFERROR(__xludf.DUMMYFUNCTION("""COMPUTED_VALUE"""),"")</f>
        <v/>
      </c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</row>
    <row r="847">
      <c r="B847" s="49"/>
      <c r="C847" s="49" t="str">
        <f t="shared" si="2"/>
        <v/>
      </c>
      <c r="D847" s="50" t="str">
        <f t="shared" si="3"/>
        <v/>
      </c>
      <c r="E847" s="51" t="str">
        <f t="shared" ref="E847:T847" si="848">IFERROR(VLOOKUP($A847,INDIRECT("'" &amp; E$1 &amp; "'!$C:$G"), 5, FALSE),"")</f>
        <v/>
      </c>
      <c r="F847" s="51" t="str">
        <f t="shared" si="848"/>
        <v/>
      </c>
      <c r="G847" s="51" t="str">
        <f t="shared" si="848"/>
        <v/>
      </c>
      <c r="H847" s="51" t="str">
        <f t="shared" si="848"/>
        <v/>
      </c>
      <c r="I847" s="51" t="str">
        <f t="shared" si="848"/>
        <v/>
      </c>
      <c r="J847" s="51" t="str">
        <f t="shared" si="848"/>
        <v/>
      </c>
      <c r="K847" s="51" t="str">
        <f t="shared" si="848"/>
        <v/>
      </c>
      <c r="L847" s="51" t="str">
        <f t="shared" si="848"/>
        <v/>
      </c>
      <c r="M847" s="51" t="str">
        <f t="shared" si="848"/>
        <v/>
      </c>
      <c r="N847" s="51" t="str">
        <f t="shared" si="848"/>
        <v/>
      </c>
      <c r="O847" s="51" t="str">
        <f t="shared" si="848"/>
        <v/>
      </c>
      <c r="P847" s="51" t="str">
        <f t="shared" si="848"/>
        <v/>
      </c>
      <c r="Q847" s="51" t="str">
        <f t="shared" si="848"/>
        <v/>
      </c>
      <c r="R847" s="51" t="str">
        <f t="shared" si="848"/>
        <v/>
      </c>
      <c r="S847" s="51" t="str">
        <f t="shared" si="848"/>
        <v/>
      </c>
      <c r="T847" s="51" t="str">
        <f t="shared" si="848"/>
        <v/>
      </c>
      <c r="U847" s="52"/>
      <c r="V847" s="52" t="str">
        <f>IFERROR(__xludf.DUMMYFUNCTION("""COMPUTED_VALUE"""),"")</f>
        <v/>
      </c>
      <c r="W847" s="52" t="str">
        <f>IFERROR(__xludf.DUMMYFUNCTION("""COMPUTED_VALUE"""),"")</f>
        <v/>
      </c>
      <c r="X847" s="52" t="str">
        <f>IFERROR(__xludf.DUMMYFUNCTION("""COMPUTED_VALUE"""),"")</f>
        <v/>
      </c>
      <c r="Y847" s="52" t="str">
        <f>IFERROR(__xludf.DUMMYFUNCTION("""COMPUTED_VALUE"""),"")</f>
        <v/>
      </c>
      <c r="Z847" s="52" t="str">
        <f>IFERROR(__xludf.DUMMYFUNCTION("""COMPUTED_VALUE"""),"")</f>
        <v/>
      </c>
      <c r="AA847" s="52" t="str">
        <f>IFERROR(__xludf.DUMMYFUNCTION("""COMPUTED_VALUE"""),"")</f>
        <v/>
      </c>
      <c r="AB847" s="52" t="str">
        <f>IFERROR(__xludf.DUMMYFUNCTION("""COMPUTED_VALUE"""),"")</f>
        <v/>
      </c>
      <c r="AC847" s="52" t="str">
        <f>IFERROR(__xludf.DUMMYFUNCTION("""COMPUTED_VALUE"""),"")</f>
        <v/>
      </c>
      <c r="AD847" s="52" t="str">
        <f>IFERROR(__xludf.DUMMYFUNCTION("""COMPUTED_VALUE"""),"")</f>
        <v/>
      </c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</row>
    <row r="848">
      <c r="B848" s="49"/>
      <c r="C848" s="49" t="str">
        <f t="shared" si="2"/>
        <v/>
      </c>
      <c r="D848" s="50" t="str">
        <f t="shared" si="3"/>
        <v/>
      </c>
      <c r="E848" s="51" t="str">
        <f t="shared" ref="E848:T848" si="849">IFERROR(VLOOKUP($A848,INDIRECT("'" &amp; E$1 &amp; "'!$C:$G"), 5, FALSE),"")</f>
        <v/>
      </c>
      <c r="F848" s="51" t="str">
        <f t="shared" si="849"/>
        <v/>
      </c>
      <c r="G848" s="51" t="str">
        <f t="shared" si="849"/>
        <v/>
      </c>
      <c r="H848" s="51" t="str">
        <f t="shared" si="849"/>
        <v/>
      </c>
      <c r="I848" s="51" t="str">
        <f t="shared" si="849"/>
        <v/>
      </c>
      <c r="J848" s="51" t="str">
        <f t="shared" si="849"/>
        <v/>
      </c>
      <c r="K848" s="51" t="str">
        <f t="shared" si="849"/>
        <v/>
      </c>
      <c r="L848" s="51" t="str">
        <f t="shared" si="849"/>
        <v/>
      </c>
      <c r="M848" s="51" t="str">
        <f t="shared" si="849"/>
        <v/>
      </c>
      <c r="N848" s="51" t="str">
        <f t="shared" si="849"/>
        <v/>
      </c>
      <c r="O848" s="51" t="str">
        <f t="shared" si="849"/>
        <v/>
      </c>
      <c r="P848" s="51" t="str">
        <f t="shared" si="849"/>
        <v/>
      </c>
      <c r="Q848" s="51" t="str">
        <f t="shared" si="849"/>
        <v/>
      </c>
      <c r="R848" s="51" t="str">
        <f t="shared" si="849"/>
        <v/>
      </c>
      <c r="S848" s="51" t="str">
        <f t="shared" si="849"/>
        <v/>
      </c>
      <c r="T848" s="51" t="str">
        <f t="shared" si="849"/>
        <v/>
      </c>
      <c r="U848" s="52"/>
      <c r="V848" s="52" t="str">
        <f>IFERROR(__xludf.DUMMYFUNCTION("""COMPUTED_VALUE"""),"")</f>
        <v/>
      </c>
      <c r="W848" s="52" t="str">
        <f>IFERROR(__xludf.DUMMYFUNCTION("""COMPUTED_VALUE"""),"")</f>
        <v/>
      </c>
      <c r="X848" s="52" t="str">
        <f>IFERROR(__xludf.DUMMYFUNCTION("""COMPUTED_VALUE"""),"")</f>
        <v/>
      </c>
      <c r="Y848" s="52" t="str">
        <f>IFERROR(__xludf.DUMMYFUNCTION("""COMPUTED_VALUE"""),"")</f>
        <v/>
      </c>
      <c r="Z848" s="52" t="str">
        <f>IFERROR(__xludf.DUMMYFUNCTION("""COMPUTED_VALUE"""),"")</f>
        <v/>
      </c>
      <c r="AA848" s="52" t="str">
        <f>IFERROR(__xludf.DUMMYFUNCTION("""COMPUTED_VALUE"""),"")</f>
        <v/>
      </c>
      <c r="AB848" s="52" t="str">
        <f>IFERROR(__xludf.DUMMYFUNCTION("""COMPUTED_VALUE"""),"")</f>
        <v/>
      </c>
      <c r="AC848" s="52" t="str">
        <f>IFERROR(__xludf.DUMMYFUNCTION("""COMPUTED_VALUE"""),"")</f>
        <v/>
      </c>
      <c r="AD848" s="52" t="str">
        <f>IFERROR(__xludf.DUMMYFUNCTION("""COMPUTED_VALUE"""),"")</f>
        <v/>
      </c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</row>
    <row r="849">
      <c r="B849" s="49"/>
      <c r="C849" s="49" t="str">
        <f t="shared" si="2"/>
        <v/>
      </c>
      <c r="D849" s="50" t="str">
        <f t="shared" si="3"/>
        <v/>
      </c>
      <c r="E849" s="51" t="str">
        <f t="shared" ref="E849:T849" si="850">IFERROR(VLOOKUP($A849,INDIRECT("'" &amp; E$1 &amp; "'!$C:$G"), 5, FALSE),"")</f>
        <v/>
      </c>
      <c r="F849" s="51" t="str">
        <f t="shared" si="850"/>
        <v/>
      </c>
      <c r="G849" s="51" t="str">
        <f t="shared" si="850"/>
        <v/>
      </c>
      <c r="H849" s="51" t="str">
        <f t="shared" si="850"/>
        <v/>
      </c>
      <c r="I849" s="51" t="str">
        <f t="shared" si="850"/>
        <v/>
      </c>
      <c r="J849" s="51" t="str">
        <f t="shared" si="850"/>
        <v/>
      </c>
      <c r="K849" s="51" t="str">
        <f t="shared" si="850"/>
        <v/>
      </c>
      <c r="L849" s="51" t="str">
        <f t="shared" si="850"/>
        <v/>
      </c>
      <c r="M849" s="51" t="str">
        <f t="shared" si="850"/>
        <v/>
      </c>
      <c r="N849" s="51" t="str">
        <f t="shared" si="850"/>
        <v/>
      </c>
      <c r="O849" s="51" t="str">
        <f t="shared" si="850"/>
        <v/>
      </c>
      <c r="P849" s="51" t="str">
        <f t="shared" si="850"/>
        <v/>
      </c>
      <c r="Q849" s="51" t="str">
        <f t="shared" si="850"/>
        <v/>
      </c>
      <c r="R849" s="51" t="str">
        <f t="shared" si="850"/>
        <v/>
      </c>
      <c r="S849" s="51" t="str">
        <f t="shared" si="850"/>
        <v/>
      </c>
      <c r="T849" s="51" t="str">
        <f t="shared" si="850"/>
        <v/>
      </c>
      <c r="U849" s="52"/>
      <c r="V849" s="52" t="str">
        <f>IFERROR(__xludf.DUMMYFUNCTION("""COMPUTED_VALUE"""),"")</f>
        <v/>
      </c>
      <c r="W849" s="52" t="str">
        <f>IFERROR(__xludf.DUMMYFUNCTION("""COMPUTED_VALUE"""),"")</f>
        <v/>
      </c>
      <c r="X849" s="52" t="str">
        <f>IFERROR(__xludf.DUMMYFUNCTION("""COMPUTED_VALUE"""),"")</f>
        <v/>
      </c>
      <c r="Y849" s="52" t="str">
        <f>IFERROR(__xludf.DUMMYFUNCTION("""COMPUTED_VALUE"""),"")</f>
        <v/>
      </c>
      <c r="Z849" s="52" t="str">
        <f>IFERROR(__xludf.DUMMYFUNCTION("""COMPUTED_VALUE"""),"")</f>
        <v/>
      </c>
      <c r="AA849" s="52" t="str">
        <f>IFERROR(__xludf.DUMMYFUNCTION("""COMPUTED_VALUE"""),"")</f>
        <v/>
      </c>
      <c r="AB849" s="52" t="str">
        <f>IFERROR(__xludf.DUMMYFUNCTION("""COMPUTED_VALUE"""),"")</f>
        <v/>
      </c>
      <c r="AC849" s="52" t="str">
        <f>IFERROR(__xludf.DUMMYFUNCTION("""COMPUTED_VALUE"""),"")</f>
        <v/>
      </c>
      <c r="AD849" s="52" t="str">
        <f>IFERROR(__xludf.DUMMYFUNCTION("""COMPUTED_VALUE"""),"")</f>
        <v/>
      </c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</row>
    <row r="850">
      <c r="B850" s="49"/>
      <c r="C850" s="49" t="str">
        <f t="shared" si="2"/>
        <v/>
      </c>
      <c r="D850" s="50" t="str">
        <f t="shared" si="3"/>
        <v/>
      </c>
      <c r="E850" s="51" t="str">
        <f t="shared" ref="E850:T850" si="851">IFERROR(VLOOKUP($A850,INDIRECT("'" &amp; E$1 &amp; "'!$C:$G"), 5, FALSE),"")</f>
        <v/>
      </c>
      <c r="F850" s="51" t="str">
        <f t="shared" si="851"/>
        <v/>
      </c>
      <c r="G850" s="51" t="str">
        <f t="shared" si="851"/>
        <v/>
      </c>
      <c r="H850" s="51" t="str">
        <f t="shared" si="851"/>
        <v/>
      </c>
      <c r="I850" s="51" t="str">
        <f t="shared" si="851"/>
        <v/>
      </c>
      <c r="J850" s="51" t="str">
        <f t="shared" si="851"/>
        <v/>
      </c>
      <c r="K850" s="51" t="str">
        <f t="shared" si="851"/>
        <v/>
      </c>
      <c r="L850" s="51" t="str">
        <f t="shared" si="851"/>
        <v/>
      </c>
      <c r="M850" s="51" t="str">
        <f t="shared" si="851"/>
        <v/>
      </c>
      <c r="N850" s="51" t="str">
        <f t="shared" si="851"/>
        <v/>
      </c>
      <c r="O850" s="51" t="str">
        <f t="shared" si="851"/>
        <v/>
      </c>
      <c r="P850" s="51" t="str">
        <f t="shared" si="851"/>
        <v/>
      </c>
      <c r="Q850" s="51" t="str">
        <f t="shared" si="851"/>
        <v/>
      </c>
      <c r="R850" s="51" t="str">
        <f t="shared" si="851"/>
        <v/>
      </c>
      <c r="S850" s="51" t="str">
        <f t="shared" si="851"/>
        <v/>
      </c>
      <c r="T850" s="51" t="str">
        <f t="shared" si="851"/>
        <v/>
      </c>
      <c r="U850" s="52"/>
      <c r="V850" s="52" t="str">
        <f>IFERROR(__xludf.DUMMYFUNCTION("""COMPUTED_VALUE"""),"")</f>
        <v/>
      </c>
      <c r="W850" s="52" t="str">
        <f>IFERROR(__xludf.DUMMYFUNCTION("""COMPUTED_VALUE"""),"")</f>
        <v/>
      </c>
      <c r="X850" s="52" t="str">
        <f>IFERROR(__xludf.DUMMYFUNCTION("""COMPUTED_VALUE"""),"")</f>
        <v/>
      </c>
      <c r="Y850" s="52" t="str">
        <f>IFERROR(__xludf.DUMMYFUNCTION("""COMPUTED_VALUE"""),"")</f>
        <v/>
      </c>
      <c r="Z850" s="52" t="str">
        <f>IFERROR(__xludf.DUMMYFUNCTION("""COMPUTED_VALUE"""),"")</f>
        <v/>
      </c>
      <c r="AA850" s="52" t="str">
        <f>IFERROR(__xludf.DUMMYFUNCTION("""COMPUTED_VALUE"""),"")</f>
        <v/>
      </c>
      <c r="AB850" s="52" t="str">
        <f>IFERROR(__xludf.DUMMYFUNCTION("""COMPUTED_VALUE"""),"")</f>
        <v/>
      </c>
      <c r="AC850" s="52" t="str">
        <f>IFERROR(__xludf.DUMMYFUNCTION("""COMPUTED_VALUE"""),"")</f>
        <v/>
      </c>
      <c r="AD850" s="52" t="str">
        <f>IFERROR(__xludf.DUMMYFUNCTION("""COMPUTED_VALUE"""),"")</f>
        <v/>
      </c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</row>
    <row r="851">
      <c r="B851" s="49"/>
      <c r="C851" s="49" t="str">
        <f t="shared" si="2"/>
        <v/>
      </c>
      <c r="D851" s="50" t="str">
        <f t="shared" si="3"/>
        <v/>
      </c>
      <c r="E851" s="51" t="str">
        <f t="shared" ref="E851:T851" si="852">IFERROR(VLOOKUP($A851,INDIRECT("'" &amp; E$1 &amp; "'!$C:$G"), 5, FALSE),"")</f>
        <v/>
      </c>
      <c r="F851" s="51" t="str">
        <f t="shared" si="852"/>
        <v/>
      </c>
      <c r="G851" s="51" t="str">
        <f t="shared" si="852"/>
        <v/>
      </c>
      <c r="H851" s="51" t="str">
        <f t="shared" si="852"/>
        <v/>
      </c>
      <c r="I851" s="51" t="str">
        <f t="shared" si="852"/>
        <v/>
      </c>
      <c r="J851" s="51" t="str">
        <f t="shared" si="852"/>
        <v/>
      </c>
      <c r="K851" s="51" t="str">
        <f t="shared" si="852"/>
        <v/>
      </c>
      <c r="L851" s="51" t="str">
        <f t="shared" si="852"/>
        <v/>
      </c>
      <c r="M851" s="51" t="str">
        <f t="shared" si="852"/>
        <v/>
      </c>
      <c r="N851" s="51" t="str">
        <f t="shared" si="852"/>
        <v/>
      </c>
      <c r="O851" s="51" t="str">
        <f t="shared" si="852"/>
        <v/>
      </c>
      <c r="P851" s="51" t="str">
        <f t="shared" si="852"/>
        <v/>
      </c>
      <c r="Q851" s="51" t="str">
        <f t="shared" si="852"/>
        <v/>
      </c>
      <c r="R851" s="51" t="str">
        <f t="shared" si="852"/>
        <v/>
      </c>
      <c r="S851" s="51" t="str">
        <f t="shared" si="852"/>
        <v/>
      </c>
      <c r="T851" s="51" t="str">
        <f t="shared" si="852"/>
        <v/>
      </c>
      <c r="U851" s="52"/>
      <c r="V851" s="52" t="str">
        <f>IFERROR(__xludf.DUMMYFUNCTION("""COMPUTED_VALUE"""),"")</f>
        <v/>
      </c>
      <c r="W851" s="52" t="str">
        <f>IFERROR(__xludf.DUMMYFUNCTION("""COMPUTED_VALUE"""),"")</f>
        <v/>
      </c>
      <c r="X851" s="52" t="str">
        <f>IFERROR(__xludf.DUMMYFUNCTION("""COMPUTED_VALUE"""),"")</f>
        <v/>
      </c>
      <c r="Y851" s="52" t="str">
        <f>IFERROR(__xludf.DUMMYFUNCTION("""COMPUTED_VALUE"""),"")</f>
        <v/>
      </c>
      <c r="Z851" s="52" t="str">
        <f>IFERROR(__xludf.DUMMYFUNCTION("""COMPUTED_VALUE"""),"")</f>
        <v/>
      </c>
      <c r="AA851" s="52" t="str">
        <f>IFERROR(__xludf.DUMMYFUNCTION("""COMPUTED_VALUE"""),"")</f>
        <v/>
      </c>
      <c r="AB851" s="52" t="str">
        <f>IFERROR(__xludf.DUMMYFUNCTION("""COMPUTED_VALUE"""),"")</f>
        <v/>
      </c>
      <c r="AC851" s="52" t="str">
        <f>IFERROR(__xludf.DUMMYFUNCTION("""COMPUTED_VALUE"""),"")</f>
        <v/>
      </c>
      <c r="AD851" s="52" t="str">
        <f>IFERROR(__xludf.DUMMYFUNCTION("""COMPUTED_VALUE"""),"")</f>
        <v/>
      </c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</row>
    <row r="852">
      <c r="B852" s="49"/>
      <c r="C852" s="49" t="str">
        <f t="shared" si="2"/>
        <v/>
      </c>
      <c r="D852" s="50" t="str">
        <f t="shared" si="3"/>
        <v/>
      </c>
      <c r="E852" s="51" t="str">
        <f t="shared" ref="E852:T852" si="853">IFERROR(VLOOKUP($A852,INDIRECT("'" &amp; E$1 &amp; "'!$C:$G"), 5, FALSE),"")</f>
        <v/>
      </c>
      <c r="F852" s="51" t="str">
        <f t="shared" si="853"/>
        <v/>
      </c>
      <c r="G852" s="51" t="str">
        <f t="shared" si="853"/>
        <v/>
      </c>
      <c r="H852" s="51" t="str">
        <f t="shared" si="853"/>
        <v/>
      </c>
      <c r="I852" s="51" t="str">
        <f t="shared" si="853"/>
        <v/>
      </c>
      <c r="J852" s="51" t="str">
        <f t="shared" si="853"/>
        <v/>
      </c>
      <c r="K852" s="51" t="str">
        <f t="shared" si="853"/>
        <v/>
      </c>
      <c r="L852" s="51" t="str">
        <f t="shared" si="853"/>
        <v/>
      </c>
      <c r="M852" s="51" t="str">
        <f t="shared" si="853"/>
        <v/>
      </c>
      <c r="N852" s="51" t="str">
        <f t="shared" si="853"/>
        <v/>
      </c>
      <c r="O852" s="51" t="str">
        <f t="shared" si="853"/>
        <v/>
      </c>
      <c r="P852" s="51" t="str">
        <f t="shared" si="853"/>
        <v/>
      </c>
      <c r="Q852" s="51" t="str">
        <f t="shared" si="853"/>
        <v/>
      </c>
      <c r="R852" s="51" t="str">
        <f t="shared" si="853"/>
        <v/>
      </c>
      <c r="S852" s="51" t="str">
        <f t="shared" si="853"/>
        <v/>
      </c>
      <c r="T852" s="51" t="str">
        <f t="shared" si="853"/>
        <v/>
      </c>
      <c r="U852" s="52"/>
      <c r="V852" s="52" t="str">
        <f>IFERROR(__xludf.DUMMYFUNCTION("""COMPUTED_VALUE"""),"")</f>
        <v/>
      </c>
      <c r="W852" s="52" t="str">
        <f>IFERROR(__xludf.DUMMYFUNCTION("""COMPUTED_VALUE"""),"")</f>
        <v/>
      </c>
      <c r="X852" s="52" t="str">
        <f>IFERROR(__xludf.DUMMYFUNCTION("""COMPUTED_VALUE"""),"")</f>
        <v/>
      </c>
      <c r="Y852" s="52" t="str">
        <f>IFERROR(__xludf.DUMMYFUNCTION("""COMPUTED_VALUE"""),"")</f>
        <v/>
      </c>
      <c r="Z852" s="52" t="str">
        <f>IFERROR(__xludf.DUMMYFUNCTION("""COMPUTED_VALUE"""),"")</f>
        <v/>
      </c>
      <c r="AA852" s="52" t="str">
        <f>IFERROR(__xludf.DUMMYFUNCTION("""COMPUTED_VALUE"""),"")</f>
        <v/>
      </c>
      <c r="AB852" s="52" t="str">
        <f>IFERROR(__xludf.DUMMYFUNCTION("""COMPUTED_VALUE"""),"")</f>
        <v/>
      </c>
      <c r="AC852" s="52" t="str">
        <f>IFERROR(__xludf.DUMMYFUNCTION("""COMPUTED_VALUE"""),"")</f>
        <v/>
      </c>
      <c r="AD852" s="52" t="str">
        <f>IFERROR(__xludf.DUMMYFUNCTION("""COMPUTED_VALUE"""),"")</f>
        <v/>
      </c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</row>
    <row r="853">
      <c r="B853" s="49"/>
      <c r="C853" s="49" t="str">
        <f t="shared" si="2"/>
        <v/>
      </c>
      <c r="D853" s="50" t="str">
        <f t="shared" si="3"/>
        <v/>
      </c>
      <c r="E853" s="51" t="str">
        <f t="shared" ref="E853:T853" si="854">IFERROR(VLOOKUP($A853,INDIRECT("'" &amp; E$1 &amp; "'!$C:$G"), 5, FALSE),"")</f>
        <v/>
      </c>
      <c r="F853" s="51" t="str">
        <f t="shared" si="854"/>
        <v/>
      </c>
      <c r="G853" s="51" t="str">
        <f t="shared" si="854"/>
        <v/>
      </c>
      <c r="H853" s="51" t="str">
        <f t="shared" si="854"/>
        <v/>
      </c>
      <c r="I853" s="51" t="str">
        <f t="shared" si="854"/>
        <v/>
      </c>
      <c r="J853" s="51" t="str">
        <f t="shared" si="854"/>
        <v/>
      </c>
      <c r="K853" s="51" t="str">
        <f t="shared" si="854"/>
        <v/>
      </c>
      <c r="L853" s="51" t="str">
        <f t="shared" si="854"/>
        <v/>
      </c>
      <c r="M853" s="51" t="str">
        <f t="shared" si="854"/>
        <v/>
      </c>
      <c r="N853" s="51" t="str">
        <f t="shared" si="854"/>
        <v/>
      </c>
      <c r="O853" s="51" t="str">
        <f t="shared" si="854"/>
        <v/>
      </c>
      <c r="P853" s="51" t="str">
        <f t="shared" si="854"/>
        <v/>
      </c>
      <c r="Q853" s="51" t="str">
        <f t="shared" si="854"/>
        <v/>
      </c>
      <c r="R853" s="51" t="str">
        <f t="shared" si="854"/>
        <v/>
      </c>
      <c r="S853" s="51" t="str">
        <f t="shared" si="854"/>
        <v/>
      </c>
      <c r="T853" s="51" t="str">
        <f t="shared" si="854"/>
        <v/>
      </c>
      <c r="U853" s="52"/>
      <c r="V853" s="52" t="str">
        <f>IFERROR(__xludf.DUMMYFUNCTION("""COMPUTED_VALUE"""),"")</f>
        <v/>
      </c>
      <c r="W853" s="52" t="str">
        <f>IFERROR(__xludf.DUMMYFUNCTION("""COMPUTED_VALUE"""),"")</f>
        <v/>
      </c>
      <c r="X853" s="52" t="str">
        <f>IFERROR(__xludf.DUMMYFUNCTION("""COMPUTED_VALUE"""),"")</f>
        <v/>
      </c>
      <c r="Y853" s="52" t="str">
        <f>IFERROR(__xludf.DUMMYFUNCTION("""COMPUTED_VALUE"""),"")</f>
        <v/>
      </c>
      <c r="Z853" s="52" t="str">
        <f>IFERROR(__xludf.DUMMYFUNCTION("""COMPUTED_VALUE"""),"")</f>
        <v/>
      </c>
      <c r="AA853" s="52" t="str">
        <f>IFERROR(__xludf.DUMMYFUNCTION("""COMPUTED_VALUE"""),"")</f>
        <v/>
      </c>
      <c r="AB853" s="52" t="str">
        <f>IFERROR(__xludf.DUMMYFUNCTION("""COMPUTED_VALUE"""),"")</f>
        <v/>
      </c>
      <c r="AC853" s="52" t="str">
        <f>IFERROR(__xludf.DUMMYFUNCTION("""COMPUTED_VALUE"""),"")</f>
        <v/>
      </c>
      <c r="AD853" s="52" t="str">
        <f>IFERROR(__xludf.DUMMYFUNCTION("""COMPUTED_VALUE"""),"")</f>
        <v/>
      </c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</row>
    <row r="854">
      <c r="B854" s="49"/>
      <c r="C854" s="49" t="str">
        <f t="shared" si="2"/>
        <v/>
      </c>
      <c r="D854" s="50" t="str">
        <f t="shared" si="3"/>
        <v/>
      </c>
      <c r="E854" s="51" t="str">
        <f t="shared" ref="E854:T854" si="855">IFERROR(VLOOKUP($A854,INDIRECT("'" &amp; E$1 &amp; "'!$C:$G"), 5, FALSE),"")</f>
        <v/>
      </c>
      <c r="F854" s="51" t="str">
        <f t="shared" si="855"/>
        <v/>
      </c>
      <c r="G854" s="51" t="str">
        <f t="shared" si="855"/>
        <v/>
      </c>
      <c r="H854" s="51" t="str">
        <f t="shared" si="855"/>
        <v/>
      </c>
      <c r="I854" s="51" t="str">
        <f t="shared" si="855"/>
        <v/>
      </c>
      <c r="J854" s="51" t="str">
        <f t="shared" si="855"/>
        <v/>
      </c>
      <c r="K854" s="51" t="str">
        <f t="shared" si="855"/>
        <v/>
      </c>
      <c r="L854" s="51" t="str">
        <f t="shared" si="855"/>
        <v/>
      </c>
      <c r="M854" s="51" t="str">
        <f t="shared" si="855"/>
        <v/>
      </c>
      <c r="N854" s="51" t="str">
        <f t="shared" si="855"/>
        <v/>
      </c>
      <c r="O854" s="51" t="str">
        <f t="shared" si="855"/>
        <v/>
      </c>
      <c r="P854" s="51" t="str">
        <f t="shared" si="855"/>
        <v/>
      </c>
      <c r="Q854" s="51" t="str">
        <f t="shared" si="855"/>
        <v/>
      </c>
      <c r="R854" s="51" t="str">
        <f t="shared" si="855"/>
        <v/>
      </c>
      <c r="S854" s="51" t="str">
        <f t="shared" si="855"/>
        <v/>
      </c>
      <c r="T854" s="51" t="str">
        <f t="shared" si="855"/>
        <v/>
      </c>
      <c r="U854" s="52"/>
      <c r="V854" s="52" t="str">
        <f>IFERROR(__xludf.DUMMYFUNCTION("""COMPUTED_VALUE"""),"")</f>
        <v/>
      </c>
      <c r="W854" s="52" t="str">
        <f>IFERROR(__xludf.DUMMYFUNCTION("""COMPUTED_VALUE"""),"")</f>
        <v/>
      </c>
      <c r="X854" s="52" t="str">
        <f>IFERROR(__xludf.DUMMYFUNCTION("""COMPUTED_VALUE"""),"")</f>
        <v/>
      </c>
      <c r="Y854" s="52" t="str">
        <f>IFERROR(__xludf.DUMMYFUNCTION("""COMPUTED_VALUE"""),"")</f>
        <v/>
      </c>
      <c r="Z854" s="52" t="str">
        <f>IFERROR(__xludf.DUMMYFUNCTION("""COMPUTED_VALUE"""),"")</f>
        <v/>
      </c>
      <c r="AA854" s="52" t="str">
        <f>IFERROR(__xludf.DUMMYFUNCTION("""COMPUTED_VALUE"""),"")</f>
        <v/>
      </c>
      <c r="AB854" s="52" t="str">
        <f>IFERROR(__xludf.DUMMYFUNCTION("""COMPUTED_VALUE"""),"")</f>
        <v/>
      </c>
      <c r="AC854" s="52" t="str">
        <f>IFERROR(__xludf.DUMMYFUNCTION("""COMPUTED_VALUE"""),"")</f>
        <v/>
      </c>
      <c r="AD854" s="52" t="str">
        <f>IFERROR(__xludf.DUMMYFUNCTION("""COMPUTED_VALUE"""),"")</f>
        <v/>
      </c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</row>
    <row r="855">
      <c r="B855" s="49"/>
      <c r="C855" s="49" t="str">
        <f t="shared" si="2"/>
        <v/>
      </c>
      <c r="D855" s="50" t="str">
        <f t="shared" si="3"/>
        <v/>
      </c>
      <c r="E855" s="51" t="str">
        <f t="shared" ref="E855:T855" si="856">IFERROR(VLOOKUP($A855,INDIRECT("'" &amp; E$1 &amp; "'!$C:$G"), 5, FALSE),"")</f>
        <v/>
      </c>
      <c r="F855" s="51" t="str">
        <f t="shared" si="856"/>
        <v/>
      </c>
      <c r="G855" s="51" t="str">
        <f t="shared" si="856"/>
        <v/>
      </c>
      <c r="H855" s="51" t="str">
        <f t="shared" si="856"/>
        <v/>
      </c>
      <c r="I855" s="51" t="str">
        <f t="shared" si="856"/>
        <v/>
      </c>
      <c r="J855" s="51" t="str">
        <f t="shared" si="856"/>
        <v/>
      </c>
      <c r="K855" s="51" t="str">
        <f t="shared" si="856"/>
        <v/>
      </c>
      <c r="L855" s="51" t="str">
        <f t="shared" si="856"/>
        <v/>
      </c>
      <c r="M855" s="51" t="str">
        <f t="shared" si="856"/>
        <v/>
      </c>
      <c r="N855" s="51" t="str">
        <f t="shared" si="856"/>
        <v/>
      </c>
      <c r="O855" s="51" t="str">
        <f t="shared" si="856"/>
        <v/>
      </c>
      <c r="P855" s="51" t="str">
        <f t="shared" si="856"/>
        <v/>
      </c>
      <c r="Q855" s="51" t="str">
        <f t="shared" si="856"/>
        <v/>
      </c>
      <c r="R855" s="51" t="str">
        <f t="shared" si="856"/>
        <v/>
      </c>
      <c r="S855" s="51" t="str">
        <f t="shared" si="856"/>
        <v/>
      </c>
      <c r="T855" s="51" t="str">
        <f t="shared" si="856"/>
        <v/>
      </c>
      <c r="U855" s="52"/>
      <c r="V855" s="52" t="str">
        <f>IFERROR(__xludf.DUMMYFUNCTION("""COMPUTED_VALUE"""),"")</f>
        <v/>
      </c>
      <c r="W855" s="52" t="str">
        <f>IFERROR(__xludf.DUMMYFUNCTION("""COMPUTED_VALUE"""),"")</f>
        <v/>
      </c>
      <c r="X855" s="52" t="str">
        <f>IFERROR(__xludf.DUMMYFUNCTION("""COMPUTED_VALUE"""),"")</f>
        <v/>
      </c>
      <c r="Y855" s="52" t="str">
        <f>IFERROR(__xludf.DUMMYFUNCTION("""COMPUTED_VALUE"""),"")</f>
        <v/>
      </c>
      <c r="Z855" s="52" t="str">
        <f>IFERROR(__xludf.DUMMYFUNCTION("""COMPUTED_VALUE"""),"")</f>
        <v/>
      </c>
      <c r="AA855" s="52" t="str">
        <f>IFERROR(__xludf.DUMMYFUNCTION("""COMPUTED_VALUE"""),"")</f>
        <v/>
      </c>
      <c r="AB855" s="52" t="str">
        <f>IFERROR(__xludf.DUMMYFUNCTION("""COMPUTED_VALUE"""),"")</f>
        <v/>
      </c>
      <c r="AC855" s="52" t="str">
        <f>IFERROR(__xludf.DUMMYFUNCTION("""COMPUTED_VALUE"""),"")</f>
        <v/>
      </c>
      <c r="AD855" s="52" t="str">
        <f>IFERROR(__xludf.DUMMYFUNCTION("""COMPUTED_VALUE"""),"")</f>
        <v/>
      </c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</row>
    <row r="856">
      <c r="B856" s="49"/>
      <c r="C856" s="49" t="str">
        <f t="shared" si="2"/>
        <v/>
      </c>
      <c r="D856" s="50" t="str">
        <f t="shared" si="3"/>
        <v/>
      </c>
      <c r="E856" s="51" t="str">
        <f t="shared" ref="E856:T856" si="857">IFERROR(VLOOKUP($A856,INDIRECT("'" &amp; E$1 &amp; "'!$C:$G"), 5, FALSE),"")</f>
        <v/>
      </c>
      <c r="F856" s="51" t="str">
        <f t="shared" si="857"/>
        <v/>
      </c>
      <c r="G856" s="51" t="str">
        <f t="shared" si="857"/>
        <v/>
      </c>
      <c r="H856" s="51" t="str">
        <f t="shared" si="857"/>
        <v/>
      </c>
      <c r="I856" s="51" t="str">
        <f t="shared" si="857"/>
        <v/>
      </c>
      <c r="J856" s="51" t="str">
        <f t="shared" si="857"/>
        <v/>
      </c>
      <c r="K856" s="51" t="str">
        <f t="shared" si="857"/>
        <v/>
      </c>
      <c r="L856" s="51" t="str">
        <f t="shared" si="857"/>
        <v/>
      </c>
      <c r="M856" s="51" t="str">
        <f t="shared" si="857"/>
        <v/>
      </c>
      <c r="N856" s="51" t="str">
        <f t="shared" si="857"/>
        <v/>
      </c>
      <c r="O856" s="51" t="str">
        <f t="shared" si="857"/>
        <v/>
      </c>
      <c r="P856" s="51" t="str">
        <f t="shared" si="857"/>
        <v/>
      </c>
      <c r="Q856" s="51" t="str">
        <f t="shared" si="857"/>
        <v/>
      </c>
      <c r="R856" s="51" t="str">
        <f t="shared" si="857"/>
        <v/>
      </c>
      <c r="S856" s="51" t="str">
        <f t="shared" si="857"/>
        <v/>
      </c>
      <c r="T856" s="51" t="str">
        <f t="shared" si="857"/>
        <v/>
      </c>
      <c r="U856" s="52"/>
      <c r="V856" s="52" t="str">
        <f>IFERROR(__xludf.DUMMYFUNCTION("""COMPUTED_VALUE"""),"")</f>
        <v/>
      </c>
      <c r="W856" s="52" t="str">
        <f>IFERROR(__xludf.DUMMYFUNCTION("""COMPUTED_VALUE"""),"")</f>
        <v/>
      </c>
      <c r="X856" s="52" t="str">
        <f>IFERROR(__xludf.DUMMYFUNCTION("""COMPUTED_VALUE"""),"")</f>
        <v/>
      </c>
      <c r="Y856" s="52" t="str">
        <f>IFERROR(__xludf.DUMMYFUNCTION("""COMPUTED_VALUE"""),"")</f>
        <v/>
      </c>
      <c r="Z856" s="52" t="str">
        <f>IFERROR(__xludf.DUMMYFUNCTION("""COMPUTED_VALUE"""),"")</f>
        <v/>
      </c>
      <c r="AA856" s="52" t="str">
        <f>IFERROR(__xludf.DUMMYFUNCTION("""COMPUTED_VALUE"""),"")</f>
        <v/>
      </c>
      <c r="AB856" s="52" t="str">
        <f>IFERROR(__xludf.DUMMYFUNCTION("""COMPUTED_VALUE"""),"")</f>
        <v/>
      </c>
      <c r="AC856" s="52" t="str">
        <f>IFERROR(__xludf.DUMMYFUNCTION("""COMPUTED_VALUE"""),"")</f>
        <v/>
      </c>
      <c r="AD856" s="52" t="str">
        <f>IFERROR(__xludf.DUMMYFUNCTION("""COMPUTED_VALUE"""),"")</f>
        <v/>
      </c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</row>
    <row r="857">
      <c r="B857" s="49"/>
      <c r="C857" s="49" t="str">
        <f t="shared" si="2"/>
        <v/>
      </c>
      <c r="D857" s="50" t="str">
        <f t="shared" si="3"/>
        <v/>
      </c>
      <c r="E857" s="51" t="str">
        <f t="shared" ref="E857:T857" si="858">IFERROR(VLOOKUP($A857,INDIRECT("'" &amp; E$1 &amp; "'!$C:$G"), 5, FALSE),"")</f>
        <v/>
      </c>
      <c r="F857" s="51" t="str">
        <f t="shared" si="858"/>
        <v/>
      </c>
      <c r="G857" s="51" t="str">
        <f t="shared" si="858"/>
        <v/>
      </c>
      <c r="H857" s="51" t="str">
        <f t="shared" si="858"/>
        <v/>
      </c>
      <c r="I857" s="51" t="str">
        <f t="shared" si="858"/>
        <v/>
      </c>
      <c r="J857" s="51" t="str">
        <f t="shared" si="858"/>
        <v/>
      </c>
      <c r="K857" s="51" t="str">
        <f t="shared" si="858"/>
        <v/>
      </c>
      <c r="L857" s="51" t="str">
        <f t="shared" si="858"/>
        <v/>
      </c>
      <c r="M857" s="51" t="str">
        <f t="shared" si="858"/>
        <v/>
      </c>
      <c r="N857" s="51" t="str">
        <f t="shared" si="858"/>
        <v/>
      </c>
      <c r="O857" s="51" t="str">
        <f t="shared" si="858"/>
        <v/>
      </c>
      <c r="P857" s="51" t="str">
        <f t="shared" si="858"/>
        <v/>
      </c>
      <c r="Q857" s="51" t="str">
        <f t="shared" si="858"/>
        <v/>
      </c>
      <c r="R857" s="51" t="str">
        <f t="shared" si="858"/>
        <v/>
      </c>
      <c r="S857" s="51" t="str">
        <f t="shared" si="858"/>
        <v/>
      </c>
      <c r="T857" s="51" t="str">
        <f t="shared" si="858"/>
        <v/>
      </c>
      <c r="U857" s="52"/>
      <c r="V857" s="52" t="str">
        <f>IFERROR(__xludf.DUMMYFUNCTION("""COMPUTED_VALUE"""),"")</f>
        <v/>
      </c>
      <c r="W857" s="52" t="str">
        <f>IFERROR(__xludf.DUMMYFUNCTION("""COMPUTED_VALUE"""),"")</f>
        <v/>
      </c>
      <c r="X857" s="52" t="str">
        <f>IFERROR(__xludf.DUMMYFUNCTION("""COMPUTED_VALUE"""),"")</f>
        <v/>
      </c>
      <c r="Y857" s="52" t="str">
        <f>IFERROR(__xludf.DUMMYFUNCTION("""COMPUTED_VALUE"""),"")</f>
        <v/>
      </c>
      <c r="Z857" s="52" t="str">
        <f>IFERROR(__xludf.DUMMYFUNCTION("""COMPUTED_VALUE"""),"")</f>
        <v/>
      </c>
      <c r="AA857" s="52" t="str">
        <f>IFERROR(__xludf.DUMMYFUNCTION("""COMPUTED_VALUE"""),"")</f>
        <v/>
      </c>
      <c r="AB857" s="52" t="str">
        <f>IFERROR(__xludf.DUMMYFUNCTION("""COMPUTED_VALUE"""),"")</f>
        <v/>
      </c>
      <c r="AC857" s="52" t="str">
        <f>IFERROR(__xludf.DUMMYFUNCTION("""COMPUTED_VALUE"""),"")</f>
        <v/>
      </c>
      <c r="AD857" s="52" t="str">
        <f>IFERROR(__xludf.DUMMYFUNCTION("""COMPUTED_VALUE"""),"")</f>
        <v/>
      </c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</row>
    <row r="858">
      <c r="B858" s="49"/>
      <c r="C858" s="49" t="str">
        <f t="shared" si="2"/>
        <v/>
      </c>
      <c r="D858" s="50" t="str">
        <f t="shared" si="3"/>
        <v/>
      </c>
      <c r="E858" s="51" t="str">
        <f t="shared" ref="E858:T858" si="859">IFERROR(VLOOKUP($A858,INDIRECT("'" &amp; E$1 &amp; "'!$C:$G"), 5, FALSE),"")</f>
        <v/>
      </c>
      <c r="F858" s="51" t="str">
        <f t="shared" si="859"/>
        <v/>
      </c>
      <c r="G858" s="51" t="str">
        <f t="shared" si="859"/>
        <v/>
      </c>
      <c r="H858" s="51" t="str">
        <f t="shared" si="859"/>
        <v/>
      </c>
      <c r="I858" s="51" t="str">
        <f t="shared" si="859"/>
        <v/>
      </c>
      <c r="J858" s="51" t="str">
        <f t="shared" si="859"/>
        <v/>
      </c>
      <c r="K858" s="51" t="str">
        <f t="shared" si="859"/>
        <v/>
      </c>
      <c r="L858" s="51" t="str">
        <f t="shared" si="859"/>
        <v/>
      </c>
      <c r="M858" s="51" t="str">
        <f t="shared" si="859"/>
        <v/>
      </c>
      <c r="N858" s="51" t="str">
        <f t="shared" si="859"/>
        <v/>
      </c>
      <c r="O858" s="51" t="str">
        <f t="shared" si="859"/>
        <v/>
      </c>
      <c r="P858" s="51" t="str">
        <f t="shared" si="859"/>
        <v/>
      </c>
      <c r="Q858" s="51" t="str">
        <f t="shared" si="859"/>
        <v/>
      </c>
      <c r="R858" s="51" t="str">
        <f t="shared" si="859"/>
        <v/>
      </c>
      <c r="S858" s="51" t="str">
        <f t="shared" si="859"/>
        <v/>
      </c>
      <c r="T858" s="51" t="str">
        <f t="shared" si="859"/>
        <v/>
      </c>
      <c r="U858" s="52"/>
      <c r="V858" s="52" t="str">
        <f>IFERROR(__xludf.DUMMYFUNCTION("""COMPUTED_VALUE"""),"")</f>
        <v/>
      </c>
      <c r="W858" s="52" t="str">
        <f>IFERROR(__xludf.DUMMYFUNCTION("""COMPUTED_VALUE"""),"")</f>
        <v/>
      </c>
      <c r="X858" s="52" t="str">
        <f>IFERROR(__xludf.DUMMYFUNCTION("""COMPUTED_VALUE"""),"")</f>
        <v/>
      </c>
      <c r="Y858" s="52" t="str">
        <f>IFERROR(__xludf.DUMMYFUNCTION("""COMPUTED_VALUE"""),"")</f>
        <v/>
      </c>
      <c r="Z858" s="52" t="str">
        <f>IFERROR(__xludf.DUMMYFUNCTION("""COMPUTED_VALUE"""),"")</f>
        <v/>
      </c>
      <c r="AA858" s="52" t="str">
        <f>IFERROR(__xludf.DUMMYFUNCTION("""COMPUTED_VALUE"""),"")</f>
        <v/>
      </c>
      <c r="AB858" s="52" t="str">
        <f>IFERROR(__xludf.DUMMYFUNCTION("""COMPUTED_VALUE"""),"")</f>
        <v/>
      </c>
      <c r="AC858" s="52" t="str">
        <f>IFERROR(__xludf.DUMMYFUNCTION("""COMPUTED_VALUE"""),"")</f>
        <v/>
      </c>
      <c r="AD858" s="52" t="str">
        <f>IFERROR(__xludf.DUMMYFUNCTION("""COMPUTED_VALUE"""),"")</f>
        <v/>
      </c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</row>
    <row r="859">
      <c r="B859" s="49"/>
      <c r="C859" s="49" t="str">
        <f t="shared" si="2"/>
        <v/>
      </c>
      <c r="D859" s="50" t="str">
        <f t="shared" si="3"/>
        <v/>
      </c>
      <c r="E859" s="51" t="str">
        <f t="shared" ref="E859:T859" si="860">IFERROR(VLOOKUP($A859,INDIRECT("'" &amp; E$1 &amp; "'!$C:$G"), 5, FALSE),"")</f>
        <v/>
      </c>
      <c r="F859" s="51" t="str">
        <f t="shared" si="860"/>
        <v/>
      </c>
      <c r="G859" s="51" t="str">
        <f t="shared" si="860"/>
        <v/>
      </c>
      <c r="H859" s="51" t="str">
        <f t="shared" si="860"/>
        <v/>
      </c>
      <c r="I859" s="51" t="str">
        <f t="shared" si="860"/>
        <v/>
      </c>
      <c r="J859" s="51" t="str">
        <f t="shared" si="860"/>
        <v/>
      </c>
      <c r="K859" s="51" t="str">
        <f t="shared" si="860"/>
        <v/>
      </c>
      <c r="L859" s="51" t="str">
        <f t="shared" si="860"/>
        <v/>
      </c>
      <c r="M859" s="51" t="str">
        <f t="shared" si="860"/>
        <v/>
      </c>
      <c r="N859" s="51" t="str">
        <f t="shared" si="860"/>
        <v/>
      </c>
      <c r="O859" s="51" t="str">
        <f t="shared" si="860"/>
        <v/>
      </c>
      <c r="P859" s="51" t="str">
        <f t="shared" si="860"/>
        <v/>
      </c>
      <c r="Q859" s="51" t="str">
        <f t="shared" si="860"/>
        <v/>
      </c>
      <c r="R859" s="51" t="str">
        <f t="shared" si="860"/>
        <v/>
      </c>
      <c r="S859" s="51" t="str">
        <f t="shared" si="860"/>
        <v/>
      </c>
      <c r="T859" s="51" t="str">
        <f t="shared" si="860"/>
        <v/>
      </c>
      <c r="U859" s="52"/>
      <c r="V859" s="52" t="str">
        <f>IFERROR(__xludf.DUMMYFUNCTION("""COMPUTED_VALUE"""),"")</f>
        <v/>
      </c>
      <c r="W859" s="52" t="str">
        <f>IFERROR(__xludf.DUMMYFUNCTION("""COMPUTED_VALUE"""),"")</f>
        <v/>
      </c>
      <c r="X859" s="52" t="str">
        <f>IFERROR(__xludf.DUMMYFUNCTION("""COMPUTED_VALUE"""),"")</f>
        <v/>
      </c>
      <c r="Y859" s="52" t="str">
        <f>IFERROR(__xludf.DUMMYFUNCTION("""COMPUTED_VALUE"""),"")</f>
        <v/>
      </c>
      <c r="Z859" s="52" t="str">
        <f>IFERROR(__xludf.DUMMYFUNCTION("""COMPUTED_VALUE"""),"")</f>
        <v/>
      </c>
      <c r="AA859" s="52" t="str">
        <f>IFERROR(__xludf.DUMMYFUNCTION("""COMPUTED_VALUE"""),"")</f>
        <v/>
      </c>
      <c r="AB859" s="52" t="str">
        <f>IFERROR(__xludf.DUMMYFUNCTION("""COMPUTED_VALUE"""),"")</f>
        <v/>
      </c>
      <c r="AC859" s="52" t="str">
        <f>IFERROR(__xludf.DUMMYFUNCTION("""COMPUTED_VALUE"""),"")</f>
        <v/>
      </c>
      <c r="AD859" s="52" t="str">
        <f>IFERROR(__xludf.DUMMYFUNCTION("""COMPUTED_VALUE"""),"")</f>
        <v/>
      </c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</row>
    <row r="860">
      <c r="B860" s="49"/>
      <c r="C860" s="49" t="str">
        <f t="shared" si="2"/>
        <v/>
      </c>
      <c r="D860" s="50" t="str">
        <f t="shared" si="3"/>
        <v/>
      </c>
      <c r="E860" s="51" t="str">
        <f t="shared" ref="E860:T860" si="861">IFERROR(VLOOKUP($A860,INDIRECT("'" &amp; E$1 &amp; "'!$C:$G"), 5, FALSE),"")</f>
        <v/>
      </c>
      <c r="F860" s="51" t="str">
        <f t="shared" si="861"/>
        <v/>
      </c>
      <c r="G860" s="51" t="str">
        <f t="shared" si="861"/>
        <v/>
      </c>
      <c r="H860" s="51" t="str">
        <f t="shared" si="861"/>
        <v/>
      </c>
      <c r="I860" s="51" t="str">
        <f t="shared" si="861"/>
        <v/>
      </c>
      <c r="J860" s="51" t="str">
        <f t="shared" si="861"/>
        <v/>
      </c>
      <c r="K860" s="51" t="str">
        <f t="shared" si="861"/>
        <v/>
      </c>
      <c r="L860" s="51" t="str">
        <f t="shared" si="861"/>
        <v/>
      </c>
      <c r="M860" s="51" t="str">
        <f t="shared" si="861"/>
        <v/>
      </c>
      <c r="N860" s="51" t="str">
        <f t="shared" si="861"/>
        <v/>
      </c>
      <c r="O860" s="51" t="str">
        <f t="shared" si="861"/>
        <v/>
      </c>
      <c r="P860" s="51" t="str">
        <f t="shared" si="861"/>
        <v/>
      </c>
      <c r="Q860" s="51" t="str">
        <f t="shared" si="861"/>
        <v/>
      </c>
      <c r="R860" s="51" t="str">
        <f t="shared" si="861"/>
        <v/>
      </c>
      <c r="S860" s="51" t="str">
        <f t="shared" si="861"/>
        <v/>
      </c>
      <c r="T860" s="51" t="str">
        <f t="shared" si="861"/>
        <v/>
      </c>
      <c r="U860" s="52"/>
      <c r="V860" s="52" t="str">
        <f>IFERROR(__xludf.DUMMYFUNCTION("""COMPUTED_VALUE"""),"")</f>
        <v/>
      </c>
      <c r="W860" s="52" t="str">
        <f>IFERROR(__xludf.DUMMYFUNCTION("""COMPUTED_VALUE"""),"")</f>
        <v/>
      </c>
      <c r="X860" s="52" t="str">
        <f>IFERROR(__xludf.DUMMYFUNCTION("""COMPUTED_VALUE"""),"")</f>
        <v/>
      </c>
      <c r="Y860" s="52" t="str">
        <f>IFERROR(__xludf.DUMMYFUNCTION("""COMPUTED_VALUE"""),"")</f>
        <v/>
      </c>
      <c r="Z860" s="52" t="str">
        <f>IFERROR(__xludf.DUMMYFUNCTION("""COMPUTED_VALUE"""),"")</f>
        <v/>
      </c>
      <c r="AA860" s="52" t="str">
        <f>IFERROR(__xludf.DUMMYFUNCTION("""COMPUTED_VALUE"""),"")</f>
        <v/>
      </c>
      <c r="AB860" s="52" t="str">
        <f>IFERROR(__xludf.DUMMYFUNCTION("""COMPUTED_VALUE"""),"")</f>
        <v/>
      </c>
      <c r="AC860" s="52" t="str">
        <f>IFERROR(__xludf.DUMMYFUNCTION("""COMPUTED_VALUE"""),"")</f>
        <v/>
      </c>
      <c r="AD860" s="52" t="str">
        <f>IFERROR(__xludf.DUMMYFUNCTION("""COMPUTED_VALUE"""),"")</f>
        <v/>
      </c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</row>
    <row r="861">
      <c r="B861" s="49"/>
      <c r="C861" s="49" t="str">
        <f t="shared" si="2"/>
        <v/>
      </c>
      <c r="D861" s="50" t="str">
        <f t="shared" si="3"/>
        <v/>
      </c>
      <c r="E861" s="51" t="str">
        <f t="shared" ref="E861:T861" si="862">IFERROR(VLOOKUP($A861,INDIRECT("'" &amp; E$1 &amp; "'!$C:$G"), 5, FALSE),"")</f>
        <v/>
      </c>
      <c r="F861" s="51" t="str">
        <f t="shared" si="862"/>
        <v/>
      </c>
      <c r="G861" s="51" t="str">
        <f t="shared" si="862"/>
        <v/>
      </c>
      <c r="H861" s="51" t="str">
        <f t="shared" si="862"/>
        <v/>
      </c>
      <c r="I861" s="51" t="str">
        <f t="shared" si="862"/>
        <v/>
      </c>
      <c r="J861" s="51" t="str">
        <f t="shared" si="862"/>
        <v/>
      </c>
      <c r="K861" s="51" t="str">
        <f t="shared" si="862"/>
        <v/>
      </c>
      <c r="L861" s="51" t="str">
        <f t="shared" si="862"/>
        <v/>
      </c>
      <c r="M861" s="51" t="str">
        <f t="shared" si="862"/>
        <v/>
      </c>
      <c r="N861" s="51" t="str">
        <f t="shared" si="862"/>
        <v/>
      </c>
      <c r="O861" s="51" t="str">
        <f t="shared" si="862"/>
        <v/>
      </c>
      <c r="P861" s="51" t="str">
        <f t="shared" si="862"/>
        <v/>
      </c>
      <c r="Q861" s="51" t="str">
        <f t="shared" si="862"/>
        <v/>
      </c>
      <c r="R861" s="51" t="str">
        <f t="shared" si="862"/>
        <v/>
      </c>
      <c r="S861" s="51" t="str">
        <f t="shared" si="862"/>
        <v/>
      </c>
      <c r="T861" s="51" t="str">
        <f t="shared" si="862"/>
        <v/>
      </c>
      <c r="U861" s="52"/>
      <c r="V861" s="52" t="str">
        <f>IFERROR(__xludf.DUMMYFUNCTION("""COMPUTED_VALUE"""),"")</f>
        <v/>
      </c>
      <c r="W861" s="52" t="str">
        <f>IFERROR(__xludf.DUMMYFUNCTION("""COMPUTED_VALUE"""),"")</f>
        <v/>
      </c>
      <c r="X861" s="52" t="str">
        <f>IFERROR(__xludf.DUMMYFUNCTION("""COMPUTED_VALUE"""),"")</f>
        <v/>
      </c>
      <c r="Y861" s="52" t="str">
        <f>IFERROR(__xludf.DUMMYFUNCTION("""COMPUTED_VALUE"""),"")</f>
        <v/>
      </c>
      <c r="Z861" s="52" t="str">
        <f>IFERROR(__xludf.DUMMYFUNCTION("""COMPUTED_VALUE"""),"")</f>
        <v/>
      </c>
      <c r="AA861" s="52" t="str">
        <f>IFERROR(__xludf.DUMMYFUNCTION("""COMPUTED_VALUE"""),"")</f>
        <v/>
      </c>
      <c r="AB861" s="52" t="str">
        <f>IFERROR(__xludf.DUMMYFUNCTION("""COMPUTED_VALUE"""),"")</f>
        <v/>
      </c>
      <c r="AC861" s="52" t="str">
        <f>IFERROR(__xludf.DUMMYFUNCTION("""COMPUTED_VALUE"""),"")</f>
        <v/>
      </c>
      <c r="AD861" s="52" t="str">
        <f>IFERROR(__xludf.DUMMYFUNCTION("""COMPUTED_VALUE"""),"")</f>
        <v/>
      </c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</row>
    <row r="862">
      <c r="B862" s="49"/>
      <c r="C862" s="49" t="str">
        <f t="shared" si="2"/>
        <v/>
      </c>
      <c r="D862" s="50" t="str">
        <f t="shared" si="3"/>
        <v/>
      </c>
      <c r="E862" s="51" t="str">
        <f t="shared" ref="E862:T862" si="863">IFERROR(VLOOKUP($A862,INDIRECT("'" &amp; E$1 &amp; "'!$C:$G"), 5, FALSE),"")</f>
        <v/>
      </c>
      <c r="F862" s="51" t="str">
        <f t="shared" si="863"/>
        <v/>
      </c>
      <c r="G862" s="51" t="str">
        <f t="shared" si="863"/>
        <v/>
      </c>
      <c r="H862" s="51" t="str">
        <f t="shared" si="863"/>
        <v/>
      </c>
      <c r="I862" s="51" t="str">
        <f t="shared" si="863"/>
        <v/>
      </c>
      <c r="J862" s="51" t="str">
        <f t="shared" si="863"/>
        <v/>
      </c>
      <c r="K862" s="51" t="str">
        <f t="shared" si="863"/>
        <v/>
      </c>
      <c r="L862" s="51" t="str">
        <f t="shared" si="863"/>
        <v/>
      </c>
      <c r="M862" s="51" t="str">
        <f t="shared" si="863"/>
        <v/>
      </c>
      <c r="N862" s="51" t="str">
        <f t="shared" si="863"/>
        <v/>
      </c>
      <c r="O862" s="51" t="str">
        <f t="shared" si="863"/>
        <v/>
      </c>
      <c r="P862" s="51" t="str">
        <f t="shared" si="863"/>
        <v/>
      </c>
      <c r="Q862" s="51" t="str">
        <f t="shared" si="863"/>
        <v/>
      </c>
      <c r="R862" s="51" t="str">
        <f t="shared" si="863"/>
        <v/>
      </c>
      <c r="S862" s="51" t="str">
        <f t="shared" si="863"/>
        <v/>
      </c>
      <c r="T862" s="51" t="str">
        <f t="shared" si="863"/>
        <v/>
      </c>
      <c r="U862" s="52"/>
      <c r="V862" s="52" t="str">
        <f>IFERROR(__xludf.DUMMYFUNCTION("""COMPUTED_VALUE"""),"")</f>
        <v/>
      </c>
      <c r="W862" s="52" t="str">
        <f>IFERROR(__xludf.DUMMYFUNCTION("""COMPUTED_VALUE"""),"")</f>
        <v/>
      </c>
      <c r="X862" s="52" t="str">
        <f>IFERROR(__xludf.DUMMYFUNCTION("""COMPUTED_VALUE"""),"")</f>
        <v/>
      </c>
      <c r="Y862" s="52" t="str">
        <f>IFERROR(__xludf.DUMMYFUNCTION("""COMPUTED_VALUE"""),"")</f>
        <v/>
      </c>
      <c r="Z862" s="52" t="str">
        <f>IFERROR(__xludf.DUMMYFUNCTION("""COMPUTED_VALUE"""),"")</f>
        <v/>
      </c>
      <c r="AA862" s="52" t="str">
        <f>IFERROR(__xludf.DUMMYFUNCTION("""COMPUTED_VALUE"""),"")</f>
        <v/>
      </c>
      <c r="AB862" s="52" t="str">
        <f>IFERROR(__xludf.DUMMYFUNCTION("""COMPUTED_VALUE"""),"")</f>
        <v/>
      </c>
      <c r="AC862" s="52" t="str">
        <f>IFERROR(__xludf.DUMMYFUNCTION("""COMPUTED_VALUE"""),"")</f>
        <v/>
      </c>
      <c r="AD862" s="52" t="str">
        <f>IFERROR(__xludf.DUMMYFUNCTION("""COMPUTED_VALUE"""),"")</f>
        <v/>
      </c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</row>
    <row r="863">
      <c r="B863" s="49"/>
      <c r="C863" s="49" t="str">
        <f t="shared" si="2"/>
        <v/>
      </c>
      <c r="D863" s="50" t="str">
        <f t="shared" si="3"/>
        <v/>
      </c>
      <c r="E863" s="51" t="str">
        <f t="shared" ref="E863:T863" si="864">IFERROR(VLOOKUP($A863,INDIRECT("'" &amp; E$1 &amp; "'!$C:$G"), 5, FALSE),"")</f>
        <v/>
      </c>
      <c r="F863" s="51" t="str">
        <f t="shared" si="864"/>
        <v/>
      </c>
      <c r="G863" s="51" t="str">
        <f t="shared" si="864"/>
        <v/>
      </c>
      <c r="H863" s="51" t="str">
        <f t="shared" si="864"/>
        <v/>
      </c>
      <c r="I863" s="51" t="str">
        <f t="shared" si="864"/>
        <v/>
      </c>
      <c r="J863" s="51" t="str">
        <f t="shared" si="864"/>
        <v/>
      </c>
      <c r="K863" s="51" t="str">
        <f t="shared" si="864"/>
        <v/>
      </c>
      <c r="L863" s="51" t="str">
        <f t="shared" si="864"/>
        <v/>
      </c>
      <c r="M863" s="51" t="str">
        <f t="shared" si="864"/>
        <v/>
      </c>
      <c r="N863" s="51" t="str">
        <f t="shared" si="864"/>
        <v/>
      </c>
      <c r="O863" s="51" t="str">
        <f t="shared" si="864"/>
        <v/>
      </c>
      <c r="P863" s="51" t="str">
        <f t="shared" si="864"/>
        <v/>
      </c>
      <c r="Q863" s="51" t="str">
        <f t="shared" si="864"/>
        <v/>
      </c>
      <c r="R863" s="51" t="str">
        <f t="shared" si="864"/>
        <v/>
      </c>
      <c r="S863" s="51" t="str">
        <f t="shared" si="864"/>
        <v/>
      </c>
      <c r="T863" s="51" t="str">
        <f t="shared" si="864"/>
        <v/>
      </c>
      <c r="U863" s="52"/>
      <c r="V863" s="52" t="str">
        <f>IFERROR(__xludf.DUMMYFUNCTION("""COMPUTED_VALUE"""),"")</f>
        <v/>
      </c>
      <c r="W863" s="52" t="str">
        <f>IFERROR(__xludf.DUMMYFUNCTION("""COMPUTED_VALUE"""),"")</f>
        <v/>
      </c>
      <c r="X863" s="52" t="str">
        <f>IFERROR(__xludf.DUMMYFUNCTION("""COMPUTED_VALUE"""),"")</f>
        <v/>
      </c>
      <c r="Y863" s="52" t="str">
        <f>IFERROR(__xludf.DUMMYFUNCTION("""COMPUTED_VALUE"""),"")</f>
        <v/>
      </c>
      <c r="Z863" s="52" t="str">
        <f>IFERROR(__xludf.DUMMYFUNCTION("""COMPUTED_VALUE"""),"")</f>
        <v/>
      </c>
      <c r="AA863" s="52" t="str">
        <f>IFERROR(__xludf.DUMMYFUNCTION("""COMPUTED_VALUE"""),"")</f>
        <v/>
      </c>
      <c r="AB863" s="52" t="str">
        <f>IFERROR(__xludf.DUMMYFUNCTION("""COMPUTED_VALUE"""),"")</f>
        <v/>
      </c>
      <c r="AC863" s="52" t="str">
        <f>IFERROR(__xludf.DUMMYFUNCTION("""COMPUTED_VALUE"""),"")</f>
        <v/>
      </c>
      <c r="AD863" s="52" t="str">
        <f>IFERROR(__xludf.DUMMYFUNCTION("""COMPUTED_VALUE"""),"")</f>
        <v/>
      </c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</row>
    <row r="864">
      <c r="B864" s="49"/>
      <c r="C864" s="49" t="str">
        <f t="shared" si="2"/>
        <v/>
      </c>
      <c r="D864" s="50" t="str">
        <f t="shared" si="3"/>
        <v/>
      </c>
      <c r="E864" s="51" t="str">
        <f t="shared" ref="E864:T864" si="865">IFERROR(VLOOKUP($A864,INDIRECT("'" &amp; E$1 &amp; "'!$C:$G"), 5, FALSE),"")</f>
        <v/>
      </c>
      <c r="F864" s="51" t="str">
        <f t="shared" si="865"/>
        <v/>
      </c>
      <c r="G864" s="51" t="str">
        <f t="shared" si="865"/>
        <v/>
      </c>
      <c r="H864" s="51" t="str">
        <f t="shared" si="865"/>
        <v/>
      </c>
      <c r="I864" s="51" t="str">
        <f t="shared" si="865"/>
        <v/>
      </c>
      <c r="J864" s="51" t="str">
        <f t="shared" si="865"/>
        <v/>
      </c>
      <c r="K864" s="51" t="str">
        <f t="shared" si="865"/>
        <v/>
      </c>
      <c r="L864" s="51" t="str">
        <f t="shared" si="865"/>
        <v/>
      </c>
      <c r="M864" s="51" t="str">
        <f t="shared" si="865"/>
        <v/>
      </c>
      <c r="N864" s="51" t="str">
        <f t="shared" si="865"/>
        <v/>
      </c>
      <c r="O864" s="51" t="str">
        <f t="shared" si="865"/>
        <v/>
      </c>
      <c r="P864" s="51" t="str">
        <f t="shared" si="865"/>
        <v/>
      </c>
      <c r="Q864" s="51" t="str">
        <f t="shared" si="865"/>
        <v/>
      </c>
      <c r="R864" s="51" t="str">
        <f t="shared" si="865"/>
        <v/>
      </c>
      <c r="S864" s="51" t="str">
        <f t="shared" si="865"/>
        <v/>
      </c>
      <c r="T864" s="51" t="str">
        <f t="shared" si="865"/>
        <v/>
      </c>
      <c r="U864" s="52"/>
      <c r="V864" s="52" t="str">
        <f>IFERROR(__xludf.DUMMYFUNCTION("""COMPUTED_VALUE"""),"")</f>
        <v/>
      </c>
      <c r="W864" s="52" t="str">
        <f>IFERROR(__xludf.DUMMYFUNCTION("""COMPUTED_VALUE"""),"")</f>
        <v/>
      </c>
      <c r="X864" s="52" t="str">
        <f>IFERROR(__xludf.DUMMYFUNCTION("""COMPUTED_VALUE"""),"")</f>
        <v/>
      </c>
      <c r="Y864" s="52" t="str">
        <f>IFERROR(__xludf.DUMMYFUNCTION("""COMPUTED_VALUE"""),"")</f>
        <v/>
      </c>
      <c r="Z864" s="52" t="str">
        <f>IFERROR(__xludf.DUMMYFUNCTION("""COMPUTED_VALUE"""),"")</f>
        <v/>
      </c>
      <c r="AA864" s="52" t="str">
        <f>IFERROR(__xludf.DUMMYFUNCTION("""COMPUTED_VALUE"""),"")</f>
        <v/>
      </c>
      <c r="AB864" s="52" t="str">
        <f>IFERROR(__xludf.DUMMYFUNCTION("""COMPUTED_VALUE"""),"")</f>
        <v/>
      </c>
      <c r="AC864" s="52" t="str">
        <f>IFERROR(__xludf.DUMMYFUNCTION("""COMPUTED_VALUE"""),"")</f>
        <v/>
      </c>
      <c r="AD864" s="52" t="str">
        <f>IFERROR(__xludf.DUMMYFUNCTION("""COMPUTED_VALUE"""),"")</f>
        <v/>
      </c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</row>
    <row r="865">
      <c r="B865" s="49"/>
      <c r="C865" s="49" t="str">
        <f t="shared" si="2"/>
        <v/>
      </c>
      <c r="D865" s="50" t="str">
        <f t="shared" si="3"/>
        <v/>
      </c>
      <c r="E865" s="51" t="str">
        <f t="shared" ref="E865:T865" si="866">IFERROR(VLOOKUP($A865,INDIRECT("'" &amp; E$1 &amp; "'!$C:$G"), 5, FALSE),"")</f>
        <v/>
      </c>
      <c r="F865" s="51" t="str">
        <f t="shared" si="866"/>
        <v/>
      </c>
      <c r="G865" s="51" t="str">
        <f t="shared" si="866"/>
        <v/>
      </c>
      <c r="H865" s="51" t="str">
        <f t="shared" si="866"/>
        <v/>
      </c>
      <c r="I865" s="51" t="str">
        <f t="shared" si="866"/>
        <v/>
      </c>
      <c r="J865" s="51" t="str">
        <f t="shared" si="866"/>
        <v/>
      </c>
      <c r="K865" s="51" t="str">
        <f t="shared" si="866"/>
        <v/>
      </c>
      <c r="L865" s="51" t="str">
        <f t="shared" si="866"/>
        <v/>
      </c>
      <c r="M865" s="51" t="str">
        <f t="shared" si="866"/>
        <v/>
      </c>
      <c r="N865" s="51" t="str">
        <f t="shared" si="866"/>
        <v/>
      </c>
      <c r="O865" s="51" t="str">
        <f t="shared" si="866"/>
        <v/>
      </c>
      <c r="P865" s="51" t="str">
        <f t="shared" si="866"/>
        <v/>
      </c>
      <c r="Q865" s="51" t="str">
        <f t="shared" si="866"/>
        <v/>
      </c>
      <c r="R865" s="51" t="str">
        <f t="shared" si="866"/>
        <v/>
      </c>
      <c r="S865" s="51" t="str">
        <f t="shared" si="866"/>
        <v/>
      </c>
      <c r="T865" s="51" t="str">
        <f t="shared" si="866"/>
        <v/>
      </c>
      <c r="U865" s="52"/>
      <c r="V865" s="52" t="str">
        <f>IFERROR(__xludf.DUMMYFUNCTION("""COMPUTED_VALUE"""),"")</f>
        <v/>
      </c>
      <c r="W865" s="52" t="str">
        <f>IFERROR(__xludf.DUMMYFUNCTION("""COMPUTED_VALUE"""),"")</f>
        <v/>
      </c>
      <c r="X865" s="52" t="str">
        <f>IFERROR(__xludf.DUMMYFUNCTION("""COMPUTED_VALUE"""),"")</f>
        <v/>
      </c>
      <c r="Y865" s="52" t="str">
        <f>IFERROR(__xludf.DUMMYFUNCTION("""COMPUTED_VALUE"""),"")</f>
        <v/>
      </c>
      <c r="Z865" s="52" t="str">
        <f>IFERROR(__xludf.DUMMYFUNCTION("""COMPUTED_VALUE"""),"")</f>
        <v/>
      </c>
      <c r="AA865" s="52" t="str">
        <f>IFERROR(__xludf.DUMMYFUNCTION("""COMPUTED_VALUE"""),"")</f>
        <v/>
      </c>
      <c r="AB865" s="52" t="str">
        <f>IFERROR(__xludf.DUMMYFUNCTION("""COMPUTED_VALUE"""),"")</f>
        <v/>
      </c>
      <c r="AC865" s="52" t="str">
        <f>IFERROR(__xludf.DUMMYFUNCTION("""COMPUTED_VALUE"""),"")</f>
        <v/>
      </c>
      <c r="AD865" s="52" t="str">
        <f>IFERROR(__xludf.DUMMYFUNCTION("""COMPUTED_VALUE"""),"")</f>
        <v/>
      </c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</row>
    <row r="866">
      <c r="B866" s="49"/>
      <c r="C866" s="49" t="str">
        <f t="shared" si="2"/>
        <v/>
      </c>
      <c r="D866" s="50" t="str">
        <f t="shared" si="3"/>
        <v/>
      </c>
      <c r="E866" s="51" t="str">
        <f t="shared" ref="E866:T866" si="867">IFERROR(VLOOKUP($A866,INDIRECT("'" &amp; E$1 &amp; "'!$C:$G"), 5, FALSE),"")</f>
        <v/>
      </c>
      <c r="F866" s="51" t="str">
        <f t="shared" si="867"/>
        <v/>
      </c>
      <c r="G866" s="51" t="str">
        <f t="shared" si="867"/>
        <v/>
      </c>
      <c r="H866" s="51" t="str">
        <f t="shared" si="867"/>
        <v/>
      </c>
      <c r="I866" s="51" t="str">
        <f t="shared" si="867"/>
        <v/>
      </c>
      <c r="J866" s="51" t="str">
        <f t="shared" si="867"/>
        <v/>
      </c>
      <c r="K866" s="51" t="str">
        <f t="shared" si="867"/>
        <v/>
      </c>
      <c r="L866" s="51" t="str">
        <f t="shared" si="867"/>
        <v/>
      </c>
      <c r="M866" s="51" t="str">
        <f t="shared" si="867"/>
        <v/>
      </c>
      <c r="N866" s="51" t="str">
        <f t="shared" si="867"/>
        <v/>
      </c>
      <c r="O866" s="51" t="str">
        <f t="shared" si="867"/>
        <v/>
      </c>
      <c r="P866" s="51" t="str">
        <f t="shared" si="867"/>
        <v/>
      </c>
      <c r="Q866" s="51" t="str">
        <f t="shared" si="867"/>
        <v/>
      </c>
      <c r="R866" s="51" t="str">
        <f t="shared" si="867"/>
        <v/>
      </c>
      <c r="S866" s="51" t="str">
        <f t="shared" si="867"/>
        <v/>
      </c>
      <c r="T866" s="51" t="str">
        <f t="shared" si="867"/>
        <v/>
      </c>
      <c r="U866" s="52"/>
      <c r="V866" s="52" t="str">
        <f>IFERROR(__xludf.DUMMYFUNCTION("""COMPUTED_VALUE"""),"")</f>
        <v/>
      </c>
      <c r="W866" s="52" t="str">
        <f>IFERROR(__xludf.DUMMYFUNCTION("""COMPUTED_VALUE"""),"")</f>
        <v/>
      </c>
      <c r="X866" s="52" t="str">
        <f>IFERROR(__xludf.DUMMYFUNCTION("""COMPUTED_VALUE"""),"")</f>
        <v/>
      </c>
      <c r="Y866" s="52" t="str">
        <f>IFERROR(__xludf.DUMMYFUNCTION("""COMPUTED_VALUE"""),"")</f>
        <v/>
      </c>
      <c r="Z866" s="52" t="str">
        <f>IFERROR(__xludf.DUMMYFUNCTION("""COMPUTED_VALUE"""),"")</f>
        <v/>
      </c>
      <c r="AA866" s="52" t="str">
        <f>IFERROR(__xludf.DUMMYFUNCTION("""COMPUTED_VALUE"""),"")</f>
        <v/>
      </c>
      <c r="AB866" s="52" t="str">
        <f>IFERROR(__xludf.DUMMYFUNCTION("""COMPUTED_VALUE"""),"")</f>
        <v/>
      </c>
      <c r="AC866" s="52" t="str">
        <f>IFERROR(__xludf.DUMMYFUNCTION("""COMPUTED_VALUE"""),"")</f>
        <v/>
      </c>
      <c r="AD866" s="52" t="str">
        <f>IFERROR(__xludf.DUMMYFUNCTION("""COMPUTED_VALUE"""),"")</f>
        <v/>
      </c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</row>
    <row r="867">
      <c r="B867" s="49"/>
      <c r="C867" s="49" t="str">
        <f t="shared" si="2"/>
        <v/>
      </c>
      <c r="D867" s="50" t="str">
        <f t="shared" si="3"/>
        <v/>
      </c>
      <c r="E867" s="51" t="str">
        <f t="shared" ref="E867:T867" si="868">IFERROR(VLOOKUP($A867,INDIRECT("'" &amp; E$1 &amp; "'!$C:$G"), 5, FALSE),"")</f>
        <v/>
      </c>
      <c r="F867" s="51" t="str">
        <f t="shared" si="868"/>
        <v/>
      </c>
      <c r="G867" s="51" t="str">
        <f t="shared" si="868"/>
        <v/>
      </c>
      <c r="H867" s="51" t="str">
        <f t="shared" si="868"/>
        <v/>
      </c>
      <c r="I867" s="51" t="str">
        <f t="shared" si="868"/>
        <v/>
      </c>
      <c r="J867" s="51" t="str">
        <f t="shared" si="868"/>
        <v/>
      </c>
      <c r="K867" s="51" t="str">
        <f t="shared" si="868"/>
        <v/>
      </c>
      <c r="L867" s="51" t="str">
        <f t="shared" si="868"/>
        <v/>
      </c>
      <c r="M867" s="51" t="str">
        <f t="shared" si="868"/>
        <v/>
      </c>
      <c r="N867" s="51" t="str">
        <f t="shared" si="868"/>
        <v/>
      </c>
      <c r="O867" s="51" t="str">
        <f t="shared" si="868"/>
        <v/>
      </c>
      <c r="P867" s="51" t="str">
        <f t="shared" si="868"/>
        <v/>
      </c>
      <c r="Q867" s="51" t="str">
        <f t="shared" si="868"/>
        <v/>
      </c>
      <c r="R867" s="51" t="str">
        <f t="shared" si="868"/>
        <v/>
      </c>
      <c r="S867" s="51" t="str">
        <f t="shared" si="868"/>
        <v/>
      </c>
      <c r="T867" s="51" t="str">
        <f t="shared" si="868"/>
        <v/>
      </c>
      <c r="U867" s="52"/>
      <c r="V867" s="52" t="str">
        <f>IFERROR(__xludf.DUMMYFUNCTION("""COMPUTED_VALUE"""),"")</f>
        <v/>
      </c>
      <c r="W867" s="52" t="str">
        <f>IFERROR(__xludf.DUMMYFUNCTION("""COMPUTED_VALUE"""),"")</f>
        <v/>
      </c>
      <c r="X867" s="52" t="str">
        <f>IFERROR(__xludf.DUMMYFUNCTION("""COMPUTED_VALUE"""),"")</f>
        <v/>
      </c>
      <c r="Y867" s="52" t="str">
        <f>IFERROR(__xludf.DUMMYFUNCTION("""COMPUTED_VALUE"""),"")</f>
        <v/>
      </c>
      <c r="Z867" s="52" t="str">
        <f>IFERROR(__xludf.DUMMYFUNCTION("""COMPUTED_VALUE"""),"")</f>
        <v/>
      </c>
      <c r="AA867" s="52" t="str">
        <f>IFERROR(__xludf.DUMMYFUNCTION("""COMPUTED_VALUE"""),"")</f>
        <v/>
      </c>
      <c r="AB867" s="52" t="str">
        <f>IFERROR(__xludf.DUMMYFUNCTION("""COMPUTED_VALUE"""),"")</f>
        <v/>
      </c>
      <c r="AC867" s="52" t="str">
        <f>IFERROR(__xludf.DUMMYFUNCTION("""COMPUTED_VALUE"""),"")</f>
        <v/>
      </c>
      <c r="AD867" s="52" t="str">
        <f>IFERROR(__xludf.DUMMYFUNCTION("""COMPUTED_VALUE"""),"")</f>
        <v/>
      </c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</row>
    <row r="868">
      <c r="B868" s="49"/>
      <c r="C868" s="49" t="str">
        <f t="shared" si="2"/>
        <v/>
      </c>
      <c r="D868" s="50" t="str">
        <f t="shared" si="3"/>
        <v/>
      </c>
      <c r="E868" s="51" t="str">
        <f t="shared" ref="E868:T868" si="869">IFERROR(VLOOKUP($A868,INDIRECT("'" &amp; E$1 &amp; "'!$C:$G"), 5, FALSE),"")</f>
        <v/>
      </c>
      <c r="F868" s="51" t="str">
        <f t="shared" si="869"/>
        <v/>
      </c>
      <c r="G868" s="51" t="str">
        <f t="shared" si="869"/>
        <v/>
      </c>
      <c r="H868" s="51" t="str">
        <f t="shared" si="869"/>
        <v/>
      </c>
      <c r="I868" s="51" t="str">
        <f t="shared" si="869"/>
        <v/>
      </c>
      <c r="J868" s="51" t="str">
        <f t="shared" si="869"/>
        <v/>
      </c>
      <c r="K868" s="51" t="str">
        <f t="shared" si="869"/>
        <v/>
      </c>
      <c r="L868" s="51" t="str">
        <f t="shared" si="869"/>
        <v/>
      </c>
      <c r="M868" s="51" t="str">
        <f t="shared" si="869"/>
        <v/>
      </c>
      <c r="N868" s="51" t="str">
        <f t="shared" si="869"/>
        <v/>
      </c>
      <c r="O868" s="51" t="str">
        <f t="shared" si="869"/>
        <v/>
      </c>
      <c r="P868" s="51" t="str">
        <f t="shared" si="869"/>
        <v/>
      </c>
      <c r="Q868" s="51" t="str">
        <f t="shared" si="869"/>
        <v/>
      </c>
      <c r="R868" s="51" t="str">
        <f t="shared" si="869"/>
        <v/>
      </c>
      <c r="S868" s="51" t="str">
        <f t="shared" si="869"/>
        <v/>
      </c>
      <c r="T868" s="51" t="str">
        <f t="shared" si="869"/>
        <v/>
      </c>
      <c r="U868" s="52"/>
      <c r="V868" s="52" t="str">
        <f>IFERROR(__xludf.DUMMYFUNCTION("""COMPUTED_VALUE"""),"")</f>
        <v/>
      </c>
      <c r="W868" s="52" t="str">
        <f>IFERROR(__xludf.DUMMYFUNCTION("""COMPUTED_VALUE"""),"")</f>
        <v/>
      </c>
      <c r="X868" s="52" t="str">
        <f>IFERROR(__xludf.DUMMYFUNCTION("""COMPUTED_VALUE"""),"")</f>
        <v/>
      </c>
      <c r="Y868" s="52" t="str">
        <f>IFERROR(__xludf.DUMMYFUNCTION("""COMPUTED_VALUE"""),"")</f>
        <v/>
      </c>
      <c r="Z868" s="52" t="str">
        <f>IFERROR(__xludf.DUMMYFUNCTION("""COMPUTED_VALUE"""),"")</f>
        <v/>
      </c>
      <c r="AA868" s="52" t="str">
        <f>IFERROR(__xludf.DUMMYFUNCTION("""COMPUTED_VALUE"""),"")</f>
        <v/>
      </c>
      <c r="AB868" s="52" t="str">
        <f>IFERROR(__xludf.DUMMYFUNCTION("""COMPUTED_VALUE"""),"")</f>
        <v/>
      </c>
      <c r="AC868" s="52" t="str">
        <f>IFERROR(__xludf.DUMMYFUNCTION("""COMPUTED_VALUE"""),"")</f>
        <v/>
      </c>
      <c r="AD868" s="52" t="str">
        <f>IFERROR(__xludf.DUMMYFUNCTION("""COMPUTED_VALUE"""),"")</f>
        <v/>
      </c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</row>
    <row r="869">
      <c r="B869" s="49"/>
      <c r="C869" s="49" t="str">
        <f t="shared" si="2"/>
        <v/>
      </c>
      <c r="D869" s="50" t="str">
        <f t="shared" si="3"/>
        <v/>
      </c>
      <c r="E869" s="51" t="str">
        <f t="shared" ref="E869:T869" si="870">IFERROR(VLOOKUP($A869,INDIRECT("'" &amp; E$1 &amp; "'!$C:$G"), 5, FALSE),"")</f>
        <v/>
      </c>
      <c r="F869" s="51" t="str">
        <f t="shared" si="870"/>
        <v/>
      </c>
      <c r="G869" s="51" t="str">
        <f t="shared" si="870"/>
        <v/>
      </c>
      <c r="H869" s="51" t="str">
        <f t="shared" si="870"/>
        <v/>
      </c>
      <c r="I869" s="51" t="str">
        <f t="shared" si="870"/>
        <v/>
      </c>
      <c r="J869" s="51" t="str">
        <f t="shared" si="870"/>
        <v/>
      </c>
      <c r="K869" s="51" t="str">
        <f t="shared" si="870"/>
        <v/>
      </c>
      <c r="L869" s="51" t="str">
        <f t="shared" si="870"/>
        <v/>
      </c>
      <c r="M869" s="51" t="str">
        <f t="shared" si="870"/>
        <v/>
      </c>
      <c r="N869" s="51" t="str">
        <f t="shared" si="870"/>
        <v/>
      </c>
      <c r="O869" s="51" t="str">
        <f t="shared" si="870"/>
        <v/>
      </c>
      <c r="P869" s="51" t="str">
        <f t="shared" si="870"/>
        <v/>
      </c>
      <c r="Q869" s="51" t="str">
        <f t="shared" si="870"/>
        <v/>
      </c>
      <c r="R869" s="51" t="str">
        <f t="shared" si="870"/>
        <v/>
      </c>
      <c r="S869" s="51" t="str">
        <f t="shared" si="870"/>
        <v/>
      </c>
      <c r="T869" s="51" t="str">
        <f t="shared" si="870"/>
        <v/>
      </c>
      <c r="U869" s="52"/>
      <c r="V869" s="52" t="str">
        <f>IFERROR(__xludf.DUMMYFUNCTION("""COMPUTED_VALUE"""),"")</f>
        <v/>
      </c>
      <c r="W869" s="52" t="str">
        <f>IFERROR(__xludf.DUMMYFUNCTION("""COMPUTED_VALUE"""),"")</f>
        <v/>
      </c>
      <c r="X869" s="52" t="str">
        <f>IFERROR(__xludf.DUMMYFUNCTION("""COMPUTED_VALUE"""),"")</f>
        <v/>
      </c>
      <c r="Y869" s="52" t="str">
        <f>IFERROR(__xludf.DUMMYFUNCTION("""COMPUTED_VALUE"""),"")</f>
        <v/>
      </c>
      <c r="Z869" s="52" t="str">
        <f>IFERROR(__xludf.DUMMYFUNCTION("""COMPUTED_VALUE"""),"")</f>
        <v/>
      </c>
      <c r="AA869" s="52" t="str">
        <f>IFERROR(__xludf.DUMMYFUNCTION("""COMPUTED_VALUE"""),"")</f>
        <v/>
      </c>
      <c r="AB869" s="52" t="str">
        <f>IFERROR(__xludf.DUMMYFUNCTION("""COMPUTED_VALUE"""),"")</f>
        <v/>
      </c>
      <c r="AC869" s="52" t="str">
        <f>IFERROR(__xludf.DUMMYFUNCTION("""COMPUTED_VALUE"""),"")</f>
        <v/>
      </c>
      <c r="AD869" s="52" t="str">
        <f>IFERROR(__xludf.DUMMYFUNCTION("""COMPUTED_VALUE"""),"")</f>
        <v/>
      </c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</row>
    <row r="870">
      <c r="B870" s="49"/>
      <c r="C870" s="49" t="str">
        <f t="shared" si="2"/>
        <v/>
      </c>
      <c r="D870" s="50" t="str">
        <f t="shared" si="3"/>
        <v/>
      </c>
      <c r="E870" s="51" t="str">
        <f t="shared" ref="E870:T870" si="871">IFERROR(VLOOKUP($A870,INDIRECT("'" &amp; E$1 &amp; "'!$C:$G"), 5, FALSE),"")</f>
        <v/>
      </c>
      <c r="F870" s="51" t="str">
        <f t="shared" si="871"/>
        <v/>
      </c>
      <c r="G870" s="51" t="str">
        <f t="shared" si="871"/>
        <v/>
      </c>
      <c r="H870" s="51" t="str">
        <f t="shared" si="871"/>
        <v/>
      </c>
      <c r="I870" s="51" t="str">
        <f t="shared" si="871"/>
        <v/>
      </c>
      <c r="J870" s="51" t="str">
        <f t="shared" si="871"/>
        <v/>
      </c>
      <c r="K870" s="51" t="str">
        <f t="shared" si="871"/>
        <v/>
      </c>
      <c r="L870" s="51" t="str">
        <f t="shared" si="871"/>
        <v/>
      </c>
      <c r="M870" s="51" t="str">
        <f t="shared" si="871"/>
        <v/>
      </c>
      <c r="N870" s="51" t="str">
        <f t="shared" si="871"/>
        <v/>
      </c>
      <c r="O870" s="51" t="str">
        <f t="shared" si="871"/>
        <v/>
      </c>
      <c r="P870" s="51" t="str">
        <f t="shared" si="871"/>
        <v/>
      </c>
      <c r="Q870" s="51" t="str">
        <f t="shared" si="871"/>
        <v/>
      </c>
      <c r="R870" s="51" t="str">
        <f t="shared" si="871"/>
        <v/>
      </c>
      <c r="S870" s="51" t="str">
        <f t="shared" si="871"/>
        <v/>
      </c>
      <c r="T870" s="51" t="str">
        <f t="shared" si="871"/>
        <v/>
      </c>
      <c r="U870" s="52"/>
      <c r="V870" s="52" t="str">
        <f>IFERROR(__xludf.DUMMYFUNCTION("""COMPUTED_VALUE"""),"")</f>
        <v/>
      </c>
      <c r="W870" s="52" t="str">
        <f>IFERROR(__xludf.DUMMYFUNCTION("""COMPUTED_VALUE"""),"")</f>
        <v/>
      </c>
      <c r="X870" s="52" t="str">
        <f>IFERROR(__xludf.DUMMYFUNCTION("""COMPUTED_VALUE"""),"")</f>
        <v/>
      </c>
      <c r="Y870" s="52" t="str">
        <f>IFERROR(__xludf.DUMMYFUNCTION("""COMPUTED_VALUE"""),"")</f>
        <v/>
      </c>
      <c r="Z870" s="52" t="str">
        <f>IFERROR(__xludf.DUMMYFUNCTION("""COMPUTED_VALUE"""),"")</f>
        <v/>
      </c>
      <c r="AA870" s="52" t="str">
        <f>IFERROR(__xludf.DUMMYFUNCTION("""COMPUTED_VALUE"""),"")</f>
        <v/>
      </c>
      <c r="AB870" s="52" t="str">
        <f>IFERROR(__xludf.DUMMYFUNCTION("""COMPUTED_VALUE"""),"")</f>
        <v/>
      </c>
      <c r="AC870" s="52" t="str">
        <f>IFERROR(__xludf.DUMMYFUNCTION("""COMPUTED_VALUE"""),"")</f>
        <v/>
      </c>
      <c r="AD870" s="52" t="str">
        <f>IFERROR(__xludf.DUMMYFUNCTION("""COMPUTED_VALUE"""),"")</f>
        <v/>
      </c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</row>
    <row r="871">
      <c r="B871" s="49"/>
      <c r="C871" s="49" t="str">
        <f t="shared" si="2"/>
        <v/>
      </c>
      <c r="D871" s="50" t="str">
        <f t="shared" si="3"/>
        <v/>
      </c>
      <c r="E871" s="51" t="str">
        <f t="shared" ref="E871:T871" si="872">IFERROR(VLOOKUP($A871,INDIRECT("'" &amp; E$1 &amp; "'!$C:$G"), 5, FALSE),"")</f>
        <v/>
      </c>
      <c r="F871" s="51" t="str">
        <f t="shared" si="872"/>
        <v/>
      </c>
      <c r="G871" s="51" t="str">
        <f t="shared" si="872"/>
        <v/>
      </c>
      <c r="H871" s="51" t="str">
        <f t="shared" si="872"/>
        <v/>
      </c>
      <c r="I871" s="51" t="str">
        <f t="shared" si="872"/>
        <v/>
      </c>
      <c r="J871" s="51" t="str">
        <f t="shared" si="872"/>
        <v/>
      </c>
      <c r="K871" s="51" t="str">
        <f t="shared" si="872"/>
        <v/>
      </c>
      <c r="L871" s="51" t="str">
        <f t="shared" si="872"/>
        <v/>
      </c>
      <c r="M871" s="51" t="str">
        <f t="shared" si="872"/>
        <v/>
      </c>
      <c r="N871" s="51" t="str">
        <f t="shared" si="872"/>
        <v/>
      </c>
      <c r="O871" s="51" t="str">
        <f t="shared" si="872"/>
        <v/>
      </c>
      <c r="P871" s="51" t="str">
        <f t="shared" si="872"/>
        <v/>
      </c>
      <c r="Q871" s="51" t="str">
        <f t="shared" si="872"/>
        <v/>
      </c>
      <c r="R871" s="51" t="str">
        <f t="shared" si="872"/>
        <v/>
      </c>
      <c r="S871" s="51" t="str">
        <f t="shared" si="872"/>
        <v/>
      </c>
      <c r="T871" s="51" t="str">
        <f t="shared" si="872"/>
        <v/>
      </c>
      <c r="U871" s="52"/>
      <c r="V871" s="52" t="str">
        <f>IFERROR(__xludf.DUMMYFUNCTION("""COMPUTED_VALUE"""),"")</f>
        <v/>
      </c>
      <c r="W871" s="52" t="str">
        <f>IFERROR(__xludf.DUMMYFUNCTION("""COMPUTED_VALUE"""),"")</f>
        <v/>
      </c>
      <c r="X871" s="52" t="str">
        <f>IFERROR(__xludf.DUMMYFUNCTION("""COMPUTED_VALUE"""),"")</f>
        <v/>
      </c>
      <c r="Y871" s="52" t="str">
        <f>IFERROR(__xludf.DUMMYFUNCTION("""COMPUTED_VALUE"""),"")</f>
        <v/>
      </c>
      <c r="Z871" s="52" t="str">
        <f>IFERROR(__xludf.DUMMYFUNCTION("""COMPUTED_VALUE"""),"")</f>
        <v/>
      </c>
      <c r="AA871" s="52" t="str">
        <f>IFERROR(__xludf.DUMMYFUNCTION("""COMPUTED_VALUE"""),"")</f>
        <v/>
      </c>
      <c r="AB871" s="52" t="str">
        <f>IFERROR(__xludf.DUMMYFUNCTION("""COMPUTED_VALUE"""),"")</f>
        <v/>
      </c>
      <c r="AC871" s="52" t="str">
        <f>IFERROR(__xludf.DUMMYFUNCTION("""COMPUTED_VALUE"""),"")</f>
        <v/>
      </c>
      <c r="AD871" s="52" t="str">
        <f>IFERROR(__xludf.DUMMYFUNCTION("""COMPUTED_VALUE"""),"")</f>
        <v/>
      </c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</row>
    <row r="872">
      <c r="B872" s="49"/>
      <c r="C872" s="49" t="str">
        <f t="shared" si="2"/>
        <v/>
      </c>
      <c r="D872" s="50" t="str">
        <f t="shared" si="3"/>
        <v/>
      </c>
      <c r="E872" s="51" t="str">
        <f t="shared" ref="E872:T872" si="873">IFERROR(VLOOKUP($A872,INDIRECT("'" &amp; E$1 &amp; "'!$C:$G"), 5, FALSE),"")</f>
        <v/>
      </c>
      <c r="F872" s="51" t="str">
        <f t="shared" si="873"/>
        <v/>
      </c>
      <c r="G872" s="51" t="str">
        <f t="shared" si="873"/>
        <v/>
      </c>
      <c r="H872" s="51" t="str">
        <f t="shared" si="873"/>
        <v/>
      </c>
      <c r="I872" s="51" t="str">
        <f t="shared" si="873"/>
        <v/>
      </c>
      <c r="J872" s="51" t="str">
        <f t="shared" si="873"/>
        <v/>
      </c>
      <c r="K872" s="51" t="str">
        <f t="shared" si="873"/>
        <v/>
      </c>
      <c r="L872" s="51" t="str">
        <f t="shared" si="873"/>
        <v/>
      </c>
      <c r="M872" s="51" t="str">
        <f t="shared" si="873"/>
        <v/>
      </c>
      <c r="N872" s="51" t="str">
        <f t="shared" si="873"/>
        <v/>
      </c>
      <c r="O872" s="51" t="str">
        <f t="shared" si="873"/>
        <v/>
      </c>
      <c r="P872" s="51" t="str">
        <f t="shared" si="873"/>
        <v/>
      </c>
      <c r="Q872" s="51" t="str">
        <f t="shared" si="873"/>
        <v/>
      </c>
      <c r="R872" s="51" t="str">
        <f t="shared" si="873"/>
        <v/>
      </c>
      <c r="S872" s="51" t="str">
        <f t="shared" si="873"/>
        <v/>
      </c>
      <c r="T872" s="51" t="str">
        <f t="shared" si="873"/>
        <v/>
      </c>
      <c r="U872" s="52"/>
      <c r="V872" s="52" t="str">
        <f>IFERROR(__xludf.DUMMYFUNCTION("""COMPUTED_VALUE"""),"")</f>
        <v/>
      </c>
      <c r="W872" s="52" t="str">
        <f>IFERROR(__xludf.DUMMYFUNCTION("""COMPUTED_VALUE"""),"")</f>
        <v/>
      </c>
      <c r="X872" s="52" t="str">
        <f>IFERROR(__xludf.DUMMYFUNCTION("""COMPUTED_VALUE"""),"")</f>
        <v/>
      </c>
      <c r="Y872" s="52" t="str">
        <f>IFERROR(__xludf.DUMMYFUNCTION("""COMPUTED_VALUE"""),"")</f>
        <v/>
      </c>
      <c r="Z872" s="52" t="str">
        <f>IFERROR(__xludf.DUMMYFUNCTION("""COMPUTED_VALUE"""),"")</f>
        <v/>
      </c>
      <c r="AA872" s="52" t="str">
        <f>IFERROR(__xludf.DUMMYFUNCTION("""COMPUTED_VALUE"""),"")</f>
        <v/>
      </c>
      <c r="AB872" s="52" t="str">
        <f>IFERROR(__xludf.DUMMYFUNCTION("""COMPUTED_VALUE"""),"")</f>
        <v/>
      </c>
      <c r="AC872" s="52" t="str">
        <f>IFERROR(__xludf.DUMMYFUNCTION("""COMPUTED_VALUE"""),"")</f>
        <v/>
      </c>
      <c r="AD872" s="52" t="str">
        <f>IFERROR(__xludf.DUMMYFUNCTION("""COMPUTED_VALUE"""),"")</f>
        <v/>
      </c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</row>
    <row r="873">
      <c r="B873" s="49"/>
      <c r="C873" s="49" t="str">
        <f t="shared" si="2"/>
        <v/>
      </c>
      <c r="D873" s="50" t="str">
        <f t="shared" si="3"/>
        <v/>
      </c>
      <c r="E873" s="51" t="str">
        <f t="shared" ref="E873:T873" si="874">IFERROR(VLOOKUP($A873,INDIRECT("'" &amp; E$1 &amp; "'!$C:$G"), 5, FALSE),"")</f>
        <v/>
      </c>
      <c r="F873" s="51" t="str">
        <f t="shared" si="874"/>
        <v/>
      </c>
      <c r="G873" s="51" t="str">
        <f t="shared" si="874"/>
        <v/>
      </c>
      <c r="H873" s="51" t="str">
        <f t="shared" si="874"/>
        <v/>
      </c>
      <c r="I873" s="51" t="str">
        <f t="shared" si="874"/>
        <v/>
      </c>
      <c r="J873" s="51" t="str">
        <f t="shared" si="874"/>
        <v/>
      </c>
      <c r="K873" s="51" t="str">
        <f t="shared" si="874"/>
        <v/>
      </c>
      <c r="L873" s="51" t="str">
        <f t="shared" si="874"/>
        <v/>
      </c>
      <c r="M873" s="51" t="str">
        <f t="shared" si="874"/>
        <v/>
      </c>
      <c r="N873" s="51" t="str">
        <f t="shared" si="874"/>
        <v/>
      </c>
      <c r="O873" s="51" t="str">
        <f t="shared" si="874"/>
        <v/>
      </c>
      <c r="P873" s="51" t="str">
        <f t="shared" si="874"/>
        <v/>
      </c>
      <c r="Q873" s="51" t="str">
        <f t="shared" si="874"/>
        <v/>
      </c>
      <c r="R873" s="51" t="str">
        <f t="shared" si="874"/>
        <v/>
      </c>
      <c r="S873" s="51" t="str">
        <f t="shared" si="874"/>
        <v/>
      </c>
      <c r="T873" s="51" t="str">
        <f t="shared" si="874"/>
        <v/>
      </c>
      <c r="U873" s="52"/>
      <c r="V873" s="52" t="str">
        <f>IFERROR(__xludf.DUMMYFUNCTION("""COMPUTED_VALUE"""),"")</f>
        <v/>
      </c>
      <c r="W873" s="52" t="str">
        <f>IFERROR(__xludf.DUMMYFUNCTION("""COMPUTED_VALUE"""),"")</f>
        <v/>
      </c>
      <c r="X873" s="52" t="str">
        <f>IFERROR(__xludf.DUMMYFUNCTION("""COMPUTED_VALUE"""),"")</f>
        <v/>
      </c>
      <c r="Y873" s="52" t="str">
        <f>IFERROR(__xludf.DUMMYFUNCTION("""COMPUTED_VALUE"""),"")</f>
        <v/>
      </c>
      <c r="Z873" s="52" t="str">
        <f>IFERROR(__xludf.DUMMYFUNCTION("""COMPUTED_VALUE"""),"")</f>
        <v/>
      </c>
      <c r="AA873" s="52" t="str">
        <f>IFERROR(__xludf.DUMMYFUNCTION("""COMPUTED_VALUE"""),"")</f>
        <v/>
      </c>
      <c r="AB873" s="52" t="str">
        <f>IFERROR(__xludf.DUMMYFUNCTION("""COMPUTED_VALUE"""),"")</f>
        <v/>
      </c>
      <c r="AC873" s="52" t="str">
        <f>IFERROR(__xludf.DUMMYFUNCTION("""COMPUTED_VALUE"""),"")</f>
        <v/>
      </c>
      <c r="AD873" s="52" t="str">
        <f>IFERROR(__xludf.DUMMYFUNCTION("""COMPUTED_VALUE"""),"")</f>
        <v/>
      </c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</row>
    <row r="874">
      <c r="B874" s="49"/>
      <c r="C874" s="49" t="str">
        <f t="shared" si="2"/>
        <v/>
      </c>
      <c r="D874" s="50" t="str">
        <f t="shared" si="3"/>
        <v/>
      </c>
      <c r="E874" s="51" t="str">
        <f t="shared" ref="E874:T874" si="875">IFERROR(VLOOKUP($A874,INDIRECT("'" &amp; E$1 &amp; "'!$C:$G"), 5, FALSE),"")</f>
        <v/>
      </c>
      <c r="F874" s="51" t="str">
        <f t="shared" si="875"/>
        <v/>
      </c>
      <c r="G874" s="51" t="str">
        <f t="shared" si="875"/>
        <v/>
      </c>
      <c r="H874" s="51" t="str">
        <f t="shared" si="875"/>
        <v/>
      </c>
      <c r="I874" s="51" t="str">
        <f t="shared" si="875"/>
        <v/>
      </c>
      <c r="J874" s="51" t="str">
        <f t="shared" si="875"/>
        <v/>
      </c>
      <c r="K874" s="51" t="str">
        <f t="shared" si="875"/>
        <v/>
      </c>
      <c r="L874" s="51" t="str">
        <f t="shared" si="875"/>
        <v/>
      </c>
      <c r="M874" s="51" t="str">
        <f t="shared" si="875"/>
        <v/>
      </c>
      <c r="N874" s="51" t="str">
        <f t="shared" si="875"/>
        <v/>
      </c>
      <c r="O874" s="51" t="str">
        <f t="shared" si="875"/>
        <v/>
      </c>
      <c r="P874" s="51" t="str">
        <f t="shared" si="875"/>
        <v/>
      </c>
      <c r="Q874" s="51" t="str">
        <f t="shared" si="875"/>
        <v/>
      </c>
      <c r="R874" s="51" t="str">
        <f t="shared" si="875"/>
        <v/>
      </c>
      <c r="S874" s="51" t="str">
        <f t="shared" si="875"/>
        <v/>
      </c>
      <c r="T874" s="51" t="str">
        <f t="shared" si="875"/>
        <v/>
      </c>
      <c r="U874" s="52"/>
      <c r="V874" s="52" t="str">
        <f>IFERROR(__xludf.DUMMYFUNCTION("""COMPUTED_VALUE"""),"")</f>
        <v/>
      </c>
      <c r="W874" s="52" t="str">
        <f>IFERROR(__xludf.DUMMYFUNCTION("""COMPUTED_VALUE"""),"")</f>
        <v/>
      </c>
      <c r="X874" s="52" t="str">
        <f>IFERROR(__xludf.DUMMYFUNCTION("""COMPUTED_VALUE"""),"")</f>
        <v/>
      </c>
      <c r="Y874" s="52" t="str">
        <f>IFERROR(__xludf.DUMMYFUNCTION("""COMPUTED_VALUE"""),"")</f>
        <v/>
      </c>
      <c r="Z874" s="52" t="str">
        <f>IFERROR(__xludf.DUMMYFUNCTION("""COMPUTED_VALUE"""),"")</f>
        <v/>
      </c>
      <c r="AA874" s="52" t="str">
        <f>IFERROR(__xludf.DUMMYFUNCTION("""COMPUTED_VALUE"""),"")</f>
        <v/>
      </c>
      <c r="AB874" s="52" t="str">
        <f>IFERROR(__xludf.DUMMYFUNCTION("""COMPUTED_VALUE"""),"")</f>
        <v/>
      </c>
      <c r="AC874" s="52" t="str">
        <f>IFERROR(__xludf.DUMMYFUNCTION("""COMPUTED_VALUE"""),"")</f>
        <v/>
      </c>
      <c r="AD874" s="52" t="str">
        <f>IFERROR(__xludf.DUMMYFUNCTION("""COMPUTED_VALUE"""),"")</f>
        <v/>
      </c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</row>
    <row r="875">
      <c r="B875" s="49"/>
      <c r="C875" s="49" t="str">
        <f t="shared" si="2"/>
        <v/>
      </c>
      <c r="D875" s="50" t="str">
        <f t="shared" si="3"/>
        <v/>
      </c>
      <c r="E875" s="51" t="str">
        <f t="shared" ref="E875:T875" si="876">IFERROR(VLOOKUP($A875,INDIRECT("'" &amp; E$1 &amp; "'!$C:$G"), 5, FALSE),"")</f>
        <v/>
      </c>
      <c r="F875" s="51" t="str">
        <f t="shared" si="876"/>
        <v/>
      </c>
      <c r="G875" s="51" t="str">
        <f t="shared" si="876"/>
        <v/>
      </c>
      <c r="H875" s="51" t="str">
        <f t="shared" si="876"/>
        <v/>
      </c>
      <c r="I875" s="51" t="str">
        <f t="shared" si="876"/>
        <v/>
      </c>
      <c r="J875" s="51" t="str">
        <f t="shared" si="876"/>
        <v/>
      </c>
      <c r="K875" s="51" t="str">
        <f t="shared" si="876"/>
        <v/>
      </c>
      <c r="L875" s="51" t="str">
        <f t="shared" si="876"/>
        <v/>
      </c>
      <c r="M875" s="51" t="str">
        <f t="shared" si="876"/>
        <v/>
      </c>
      <c r="N875" s="51" t="str">
        <f t="shared" si="876"/>
        <v/>
      </c>
      <c r="O875" s="51" t="str">
        <f t="shared" si="876"/>
        <v/>
      </c>
      <c r="P875" s="51" t="str">
        <f t="shared" si="876"/>
        <v/>
      </c>
      <c r="Q875" s="51" t="str">
        <f t="shared" si="876"/>
        <v/>
      </c>
      <c r="R875" s="51" t="str">
        <f t="shared" si="876"/>
        <v/>
      </c>
      <c r="S875" s="51" t="str">
        <f t="shared" si="876"/>
        <v/>
      </c>
      <c r="T875" s="51" t="str">
        <f t="shared" si="876"/>
        <v/>
      </c>
      <c r="U875" s="52"/>
      <c r="V875" s="52" t="str">
        <f>IFERROR(__xludf.DUMMYFUNCTION("""COMPUTED_VALUE"""),"")</f>
        <v/>
      </c>
      <c r="W875" s="52" t="str">
        <f>IFERROR(__xludf.DUMMYFUNCTION("""COMPUTED_VALUE"""),"")</f>
        <v/>
      </c>
      <c r="X875" s="52" t="str">
        <f>IFERROR(__xludf.DUMMYFUNCTION("""COMPUTED_VALUE"""),"")</f>
        <v/>
      </c>
      <c r="Y875" s="52" t="str">
        <f>IFERROR(__xludf.DUMMYFUNCTION("""COMPUTED_VALUE"""),"")</f>
        <v/>
      </c>
      <c r="Z875" s="52" t="str">
        <f>IFERROR(__xludf.DUMMYFUNCTION("""COMPUTED_VALUE"""),"")</f>
        <v/>
      </c>
      <c r="AA875" s="52" t="str">
        <f>IFERROR(__xludf.DUMMYFUNCTION("""COMPUTED_VALUE"""),"")</f>
        <v/>
      </c>
      <c r="AB875" s="52" t="str">
        <f>IFERROR(__xludf.DUMMYFUNCTION("""COMPUTED_VALUE"""),"")</f>
        <v/>
      </c>
      <c r="AC875" s="52" t="str">
        <f>IFERROR(__xludf.DUMMYFUNCTION("""COMPUTED_VALUE"""),"")</f>
        <v/>
      </c>
      <c r="AD875" s="52" t="str">
        <f>IFERROR(__xludf.DUMMYFUNCTION("""COMPUTED_VALUE"""),"")</f>
        <v/>
      </c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</row>
    <row r="876">
      <c r="B876" s="49"/>
      <c r="C876" s="49" t="str">
        <f t="shared" si="2"/>
        <v/>
      </c>
      <c r="D876" s="50" t="str">
        <f t="shared" si="3"/>
        <v/>
      </c>
      <c r="E876" s="51" t="str">
        <f t="shared" ref="E876:T876" si="877">IFERROR(VLOOKUP($A876,INDIRECT("'" &amp; E$1 &amp; "'!$C:$G"), 5, FALSE),"")</f>
        <v/>
      </c>
      <c r="F876" s="51" t="str">
        <f t="shared" si="877"/>
        <v/>
      </c>
      <c r="G876" s="51" t="str">
        <f t="shared" si="877"/>
        <v/>
      </c>
      <c r="H876" s="51" t="str">
        <f t="shared" si="877"/>
        <v/>
      </c>
      <c r="I876" s="51" t="str">
        <f t="shared" si="877"/>
        <v/>
      </c>
      <c r="J876" s="51" t="str">
        <f t="shared" si="877"/>
        <v/>
      </c>
      <c r="K876" s="51" t="str">
        <f t="shared" si="877"/>
        <v/>
      </c>
      <c r="L876" s="51" t="str">
        <f t="shared" si="877"/>
        <v/>
      </c>
      <c r="M876" s="51" t="str">
        <f t="shared" si="877"/>
        <v/>
      </c>
      <c r="N876" s="51" t="str">
        <f t="shared" si="877"/>
        <v/>
      </c>
      <c r="O876" s="51" t="str">
        <f t="shared" si="877"/>
        <v/>
      </c>
      <c r="P876" s="51" t="str">
        <f t="shared" si="877"/>
        <v/>
      </c>
      <c r="Q876" s="51" t="str">
        <f t="shared" si="877"/>
        <v/>
      </c>
      <c r="R876" s="51" t="str">
        <f t="shared" si="877"/>
        <v/>
      </c>
      <c r="S876" s="51" t="str">
        <f t="shared" si="877"/>
        <v/>
      </c>
      <c r="T876" s="51" t="str">
        <f t="shared" si="877"/>
        <v/>
      </c>
      <c r="U876" s="52"/>
      <c r="V876" s="52" t="str">
        <f>IFERROR(__xludf.DUMMYFUNCTION("""COMPUTED_VALUE"""),"")</f>
        <v/>
      </c>
      <c r="W876" s="52" t="str">
        <f>IFERROR(__xludf.DUMMYFUNCTION("""COMPUTED_VALUE"""),"")</f>
        <v/>
      </c>
      <c r="X876" s="52" t="str">
        <f>IFERROR(__xludf.DUMMYFUNCTION("""COMPUTED_VALUE"""),"")</f>
        <v/>
      </c>
      <c r="Y876" s="52" t="str">
        <f>IFERROR(__xludf.DUMMYFUNCTION("""COMPUTED_VALUE"""),"")</f>
        <v/>
      </c>
      <c r="Z876" s="52" t="str">
        <f>IFERROR(__xludf.DUMMYFUNCTION("""COMPUTED_VALUE"""),"")</f>
        <v/>
      </c>
      <c r="AA876" s="52" t="str">
        <f>IFERROR(__xludf.DUMMYFUNCTION("""COMPUTED_VALUE"""),"")</f>
        <v/>
      </c>
      <c r="AB876" s="52" t="str">
        <f>IFERROR(__xludf.DUMMYFUNCTION("""COMPUTED_VALUE"""),"")</f>
        <v/>
      </c>
      <c r="AC876" s="52" t="str">
        <f>IFERROR(__xludf.DUMMYFUNCTION("""COMPUTED_VALUE"""),"")</f>
        <v/>
      </c>
      <c r="AD876" s="52" t="str">
        <f>IFERROR(__xludf.DUMMYFUNCTION("""COMPUTED_VALUE"""),"")</f>
        <v/>
      </c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</row>
    <row r="877">
      <c r="B877" s="49"/>
      <c r="C877" s="49" t="str">
        <f t="shared" si="2"/>
        <v/>
      </c>
      <c r="D877" s="50" t="str">
        <f t="shared" si="3"/>
        <v/>
      </c>
      <c r="E877" s="51" t="str">
        <f t="shared" ref="E877:T877" si="878">IFERROR(VLOOKUP($A877,INDIRECT("'" &amp; E$1 &amp; "'!$C:$G"), 5, FALSE),"")</f>
        <v/>
      </c>
      <c r="F877" s="51" t="str">
        <f t="shared" si="878"/>
        <v/>
      </c>
      <c r="G877" s="51" t="str">
        <f t="shared" si="878"/>
        <v/>
      </c>
      <c r="H877" s="51" t="str">
        <f t="shared" si="878"/>
        <v/>
      </c>
      <c r="I877" s="51" t="str">
        <f t="shared" si="878"/>
        <v/>
      </c>
      <c r="J877" s="51" t="str">
        <f t="shared" si="878"/>
        <v/>
      </c>
      <c r="K877" s="51" t="str">
        <f t="shared" si="878"/>
        <v/>
      </c>
      <c r="L877" s="51" t="str">
        <f t="shared" si="878"/>
        <v/>
      </c>
      <c r="M877" s="51" t="str">
        <f t="shared" si="878"/>
        <v/>
      </c>
      <c r="N877" s="51" t="str">
        <f t="shared" si="878"/>
        <v/>
      </c>
      <c r="O877" s="51" t="str">
        <f t="shared" si="878"/>
        <v/>
      </c>
      <c r="P877" s="51" t="str">
        <f t="shared" si="878"/>
        <v/>
      </c>
      <c r="Q877" s="51" t="str">
        <f t="shared" si="878"/>
        <v/>
      </c>
      <c r="R877" s="51" t="str">
        <f t="shared" si="878"/>
        <v/>
      </c>
      <c r="S877" s="51" t="str">
        <f t="shared" si="878"/>
        <v/>
      </c>
      <c r="T877" s="51" t="str">
        <f t="shared" si="878"/>
        <v/>
      </c>
      <c r="U877" s="52"/>
      <c r="V877" s="52" t="str">
        <f>IFERROR(__xludf.DUMMYFUNCTION("""COMPUTED_VALUE"""),"")</f>
        <v/>
      </c>
      <c r="W877" s="52" t="str">
        <f>IFERROR(__xludf.DUMMYFUNCTION("""COMPUTED_VALUE"""),"")</f>
        <v/>
      </c>
      <c r="X877" s="52" t="str">
        <f>IFERROR(__xludf.DUMMYFUNCTION("""COMPUTED_VALUE"""),"")</f>
        <v/>
      </c>
      <c r="Y877" s="52" t="str">
        <f>IFERROR(__xludf.DUMMYFUNCTION("""COMPUTED_VALUE"""),"")</f>
        <v/>
      </c>
      <c r="Z877" s="52" t="str">
        <f>IFERROR(__xludf.DUMMYFUNCTION("""COMPUTED_VALUE"""),"")</f>
        <v/>
      </c>
      <c r="AA877" s="52" t="str">
        <f>IFERROR(__xludf.DUMMYFUNCTION("""COMPUTED_VALUE"""),"")</f>
        <v/>
      </c>
      <c r="AB877" s="52" t="str">
        <f>IFERROR(__xludf.DUMMYFUNCTION("""COMPUTED_VALUE"""),"")</f>
        <v/>
      </c>
      <c r="AC877" s="52" t="str">
        <f>IFERROR(__xludf.DUMMYFUNCTION("""COMPUTED_VALUE"""),"")</f>
        <v/>
      </c>
      <c r="AD877" s="52" t="str">
        <f>IFERROR(__xludf.DUMMYFUNCTION("""COMPUTED_VALUE"""),"")</f>
        <v/>
      </c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</row>
    <row r="878">
      <c r="B878" s="49"/>
      <c r="C878" s="49" t="str">
        <f t="shared" si="2"/>
        <v/>
      </c>
      <c r="D878" s="50" t="str">
        <f t="shared" si="3"/>
        <v/>
      </c>
      <c r="E878" s="51" t="str">
        <f t="shared" ref="E878:T878" si="879">IFERROR(VLOOKUP($A878,INDIRECT("'" &amp; E$1 &amp; "'!$C:$G"), 5, FALSE),"")</f>
        <v/>
      </c>
      <c r="F878" s="51" t="str">
        <f t="shared" si="879"/>
        <v/>
      </c>
      <c r="G878" s="51" t="str">
        <f t="shared" si="879"/>
        <v/>
      </c>
      <c r="H878" s="51" t="str">
        <f t="shared" si="879"/>
        <v/>
      </c>
      <c r="I878" s="51" t="str">
        <f t="shared" si="879"/>
        <v/>
      </c>
      <c r="J878" s="51" t="str">
        <f t="shared" si="879"/>
        <v/>
      </c>
      <c r="K878" s="51" t="str">
        <f t="shared" si="879"/>
        <v/>
      </c>
      <c r="L878" s="51" t="str">
        <f t="shared" si="879"/>
        <v/>
      </c>
      <c r="M878" s="51" t="str">
        <f t="shared" si="879"/>
        <v/>
      </c>
      <c r="N878" s="51" t="str">
        <f t="shared" si="879"/>
        <v/>
      </c>
      <c r="O878" s="51" t="str">
        <f t="shared" si="879"/>
        <v/>
      </c>
      <c r="P878" s="51" t="str">
        <f t="shared" si="879"/>
        <v/>
      </c>
      <c r="Q878" s="51" t="str">
        <f t="shared" si="879"/>
        <v/>
      </c>
      <c r="R878" s="51" t="str">
        <f t="shared" si="879"/>
        <v/>
      </c>
      <c r="S878" s="51" t="str">
        <f t="shared" si="879"/>
        <v/>
      </c>
      <c r="T878" s="51" t="str">
        <f t="shared" si="879"/>
        <v/>
      </c>
      <c r="U878" s="52"/>
      <c r="V878" s="52" t="str">
        <f>IFERROR(__xludf.DUMMYFUNCTION("""COMPUTED_VALUE"""),"")</f>
        <v/>
      </c>
      <c r="W878" s="52" t="str">
        <f>IFERROR(__xludf.DUMMYFUNCTION("""COMPUTED_VALUE"""),"")</f>
        <v/>
      </c>
      <c r="X878" s="52" t="str">
        <f>IFERROR(__xludf.DUMMYFUNCTION("""COMPUTED_VALUE"""),"")</f>
        <v/>
      </c>
      <c r="Y878" s="52" t="str">
        <f>IFERROR(__xludf.DUMMYFUNCTION("""COMPUTED_VALUE"""),"")</f>
        <v/>
      </c>
      <c r="Z878" s="52" t="str">
        <f>IFERROR(__xludf.DUMMYFUNCTION("""COMPUTED_VALUE"""),"")</f>
        <v/>
      </c>
      <c r="AA878" s="52" t="str">
        <f>IFERROR(__xludf.DUMMYFUNCTION("""COMPUTED_VALUE"""),"")</f>
        <v/>
      </c>
      <c r="AB878" s="52" t="str">
        <f>IFERROR(__xludf.DUMMYFUNCTION("""COMPUTED_VALUE"""),"")</f>
        <v/>
      </c>
      <c r="AC878" s="52" t="str">
        <f>IFERROR(__xludf.DUMMYFUNCTION("""COMPUTED_VALUE"""),"")</f>
        <v/>
      </c>
      <c r="AD878" s="52" t="str">
        <f>IFERROR(__xludf.DUMMYFUNCTION("""COMPUTED_VALUE"""),"")</f>
        <v/>
      </c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</row>
    <row r="879">
      <c r="B879" s="49"/>
      <c r="C879" s="49" t="str">
        <f t="shared" si="2"/>
        <v/>
      </c>
      <c r="D879" s="50" t="str">
        <f t="shared" si="3"/>
        <v/>
      </c>
      <c r="E879" s="51" t="str">
        <f t="shared" ref="E879:T879" si="880">IFERROR(VLOOKUP($A879,INDIRECT("'" &amp; E$1 &amp; "'!$C:$G"), 5, FALSE),"")</f>
        <v/>
      </c>
      <c r="F879" s="51" t="str">
        <f t="shared" si="880"/>
        <v/>
      </c>
      <c r="G879" s="51" t="str">
        <f t="shared" si="880"/>
        <v/>
      </c>
      <c r="H879" s="51" t="str">
        <f t="shared" si="880"/>
        <v/>
      </c>
      <c r="I879" s="51" t="str">
        <f t="shared" si="880"/>
        <v/>
      </c>
      <c r="J879" s="51" t="str">
        <f t="shared" si="880"/>
        <v/>
      </c>
      <c r="K879" s="51" t="str">
        <f t="shared" si="880"/>
        <v/>
      </c>
      <c r="L879" s="51" t="str">
        <f t="shared" si="880"/>
        <v/>
      </c>
      <c r="M879" s="51" t="str">
        <f t="shared" si="880"/>
        <v/>
      </c>
      <c r="N879" s="51" t="str">
        <f t="shared" si="880"/>
        <v/>
      </c>
      <c r="O879" s="51" t="str">
        <f t="shared" si="880"/>
        <v/>
      </c>
      <c r="P879" s="51" t="str">
        <f t="shared" si="880"/>
        <v/>
      </c>
      <c r="Q879" s="51" t="str">
        <f t="shared" si="880"/>
        <v/>
      </c>
      <c r="R879" s="51" t="str">
        <f t="shared" si="880"/>
        <v/>
      </c>
      <c r="S879" s="51" t="str">
        <f t="shared" si="880"/>
        <v/>
      </c>
      <c r="T879" s="51" t="str">
        <f t="shared" si="880"/>
        <v/>
      </c>
      <c r="U879" s="52"/>
      <c r="V879" s="52" t="str">
        <f>IFERROR(__xludf.DUMMYFUNCTION("""COMPUTED_VALUE"""),"")</f>
        <v/>
      </c>
      <c r="W879" s="52" t="str">
        <f>IFERROR(__xludf.DUMMYFUNCTION("""COMPUTED_VALUE"""),"")</f>
        <v/>
      </c>
      <c r="X879" s="52" t="str">
        <f>IFERROR(__xludf.DUMMYFUNCTION("""COMPUTED_VALUE"""),"")</f>
        <v/>
      </c>
      <c r="Y879" s="52" t="str">
        <f>IFERROR(__xludf.DUMMYFUNCTION("""COMPUTED_VALUE"""),"")</f>
        <v/>
      </c>
      <c r="Z879" s="52" t="str">
        <f>IFERROR(__xludf.DUMMYFUNCTION("""COMPUTED_VALUE"""),"")</f>
        <v/>
      </c>
      <c r="AA879" s="52" t="str">
        <f>IFERROR(__xludf.DUMMYFUNCTION("""COMPUTED_VALUE"""),"")</f>
        <v/>
      </c>
      <c r="AB879" s="52" t="str">
        <f>IFERROR(__xludf.DUMMYFUNCTION("""COMPUTED_VALUE"""),"")</f>
        <v/>
      </c>
      <c r="AC879" s="52" t="str">
        <f>IFERROR(__xludf.DUMMYFUNCTION("""COMPUTED_VALUE"""),"")</f>
        <v/>
      </c>
      <c r="AD879" s="52" t="str">
        <f>IFERROR(__xludf.DUMMYFUNCTION("""COMPUTED_VALUE"""),"")</f>
        <v/>
      </c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</row>
    <row r="880">
      <c r="B880" s="49"/>
      <c r="C880" s="49" t="str">
        <f t="shared" si="2"/>
        <v/>
      </c>
      <c r="D880" s="50" t="str">
        <f t="shared" si="3"/>
        <v/>
      </c>
      <c r="E880" s="51" t="str">
        <f t="shared" ref="E880:T880" si="881">IFERROR(VLOOKUP($A880,INDIRECT("'" &amp; E$1 &amp; "'!$C:$G"), 5, FALSE),"")</f>
        <v/>
      </c>
      <c r="F880" s="51" t="str">
        <f t="shared" si="881"/>
        <v/>
      </c>
      <c r="G880" s="51" t="str">
        <f t="shared" si="881"/>
        <v/>
      </c>
      <c r="H880" s="51" t="str">
        <f t="shared" si="881"/>
        <v/>
      </c>
      <c r="I880" s="51" t="str">
        <f t="shared" si="881"/>
        <v/>
      </c>
      <c r="J880" s="51" t="str">
        <f t="shared" si="881"/>
        <v/>
      </c>
      <c r="K880" s="51" t="str">
        <f t="shared" si="881"/>
        <v/>
      </c>
      <c r="L880" s="51" t="str">
        <f t="shared" si="881"/>
        <v/>
      </c>
      <c r="M880" s="51" t="str">
        <f t="shared" si="881"/>
        <v/>
      </c>
      <c r="N880" s="51" t="str">
        <f t="shared" si="881"/>
        <v/>
      </c>
      <c r="O880" s="51" t="str">
        <f t="shared" si="881"/>
        <v/>
      </c>
      <c r="P880" s="51" t="str">
        <f t="shared" si="881"/>
        <v/>
      </c>
      <c r="Q880" s="51" t="str">
        <f t="shared" si="881"/>
        <v/>
      </c>
      <c r="R880" s="51" t="str">
        <f t="shared" si="881"/>
        <v/>
      </c>
      <c r="S880" s="51" t="str">
        <f t="shared" si="881"/>
        <v/>
      </c>
      <c r="T880" s="51" t="str">
        <f t="shared" si="881"/>
        <v/>
      </c>
      <c r="U880" s="52"/>
      <c r="V880" s="52" t="str">
        <f>IFERROR(__xludf.DUMMYFUNCTION("""COMPUTED_VALUE"""),"")</f>
        <v/>
      </c>
      <c r="W880" s="52" t="str">
        <f>IFERROR(__xludf.DUMMYFUNCTION("""COMPUTED_VALUE"""),"")</f>
        <v/>
      </c>
      <c r="X880" s="52" t="str">
        <f>IFERROR(__xludf.DUMMYFUNCTION("""COMPUTED_VALUE"""),"")</f>
        <v/>
      </c>
      <c r="Y880" s="52" t="str">
        <f>IFERROR(__xludf.DUMMYFUNCTION("""COMPUTED_VALUE"""),"")</f>
        <v/>
      </c>
      <c r="Z880" s="52" t="str">
        <f>IFERROR(__xludf.DUMMYFUNCTION("""COMPUTED_VALUE"""),"")</f>
        <v/>
      </c>
      <c r="AA880" s="52" t="str">
        <f>IFERROR(__xludf.DUMMYFUNCTION("""COMPUTED_VALUE"""),"")</f>
        <v/>
      </c>
      <c r="AB880" s="52" t="str">
        <f>IFERROR(__xludf.DUMMYFUNCTION("""COMPUTED_VALUE"""),"")</f>
        <v/>
      </c>
      <c r="AC880" s="52" t="str">
        <f>IFERROR(__xludf.DUMMYFUNCTION("""COMPUTED_VALUE"""),"")</f>
        <v/>
      </c>
      <c r="AD880" s="52" t="str">
        <f>IFERROR(__xludf.DUMMYFUNCTION("""COMPUTED_VALUE"""),"")</f>
        <v/>
      </c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</row>
    <row r="881">
      <c r="B881" s="49"/>
      <c r="C881" s="49" t="str">
        <f t="shared" si="2"/>
        <v/>
      </c>
      <c r="D881" s="50" t="str">
        <f t="shared" si="3"/>
        <v/>
      </c>
      <c r="E881" s="51" t="str">
        <f t="shared" ref="E881:T881" si="882">IFERROR(VLOOKUP($A881,INDIRECT("'" &amp; E$1 &amp; "'!$C:$G"), 5, FALSE),"")</f>
        <v/>
      </c>
      <c r="F881" s="51" t="str">
        <f t="shared" si="882"/>
        <v/>
      </c>
      <c r="G881" s="51" t="str">
        <f t="shared" si="882"/>
        <v/>
      </c>
      <c r="H881" s="51" t="str">
        <f t="shared" si="882"/>
        <v/>
      </c>
      <c r="I881" s="51" t="str">
        <f t="shared" si="882"/>
        <v/>
      </c>
      <c r="J881" s="51" t="str">
        <f t="shared" si="882"/>
        <v/>
      </c>
      <c r="K881" s="51" t="str">
        <f t="shared" si="882"/>
        <v/>
      </c>
      <c r="L881" s="51" t="str">
        <f t="shared" si="882"/>
        <v/>
      </c>
      <c r="M881" s="51" t="str">
        <f t="shared" si="882"/>
        <v/>
      </c>
      <c r="N881" s="51" t="str">
        <f t="shared" si="882"/>
        <v/>
      </c>
      <c r="O881" s="51" t="str">
        <f t="shared" si="882"/>
        <v/>
      </c>
      <c r="P881" s="51" t="str">
        <f t="shared" si="882"/>
        <v/>
      </c>
      <c r="Q881" s="51" t="str">
        <f t="shared" si="882"/>
        <v/>
      </c>
      <c r="R881" s="51" t="str">
        <f t="shared" si="882"/>
        <v/>
      </c>
      <c r="S881" s="51" t="str">
        <f t="shared" si="882"/>
        <v/>
      </c>
      <c r="T881" s="51" t="str">
        <f t="shared" si="882"/>
        <v/>
      </c>
      <c r="U881" s="52"/>
      <c r="V881" s="52" t="str">
        <f>IFERROR(__xludf.DUMMYFUNCTION("""COMPUTED_VALUE"""),"")</f>
        <v/>
      </c>
      <c r="W881" s="52" t="str">
        <f>IFERROR(__xludf.DUMMYFUNCTION("""COMPUTED_VALUE"""),"")</f>
        <v/>
      </c>
      <c r="X881" s="52" t="str">
        <f>IFERROR(__xludf.DUMMYFUNCTION("""COMPUTED_VALUE"""),"")</f>
        <v/>
      </c>
      <c r="Y881" s="52" t="str">
        <f>IFERROR(__xludf.DUMMYFUNCTION("""COMPUTED_VALUE"""),"")</f>
        <v/>
      </c>
      <c r="Z881" s="52" t="str">
        <f>IFERROR(__xludf.DUMMYFUNCTION("""COMPUTED_VALUE"""),"")</f>
        <v/>
      </c>
      <c r="AA881" s="52" t="str">
        <f>IFERROR(__xludf.DUMMYFUNCTION("""COMPUTED_VALUE"""),"")</f>
        <v/>
      </c>
      <c r="AB881" s="52" t="str">
        <f>IFERROR(__xludf.DUMMYFUNCTION("""COMPUTED_VALUE"""),"")</f>
        <v/>
      </c>
      <c r="AC881" s="52" t="str">
        <f>IFERROR(__xludf.DUMMYFUNCTION("""COMPUTED_VALUE"""),"")</f>
        <v/>
      </c>
      <c r="AD881" s="52" t="str">
        <f>IFERROR(__xludf.DUMMYFUNCTION("""COMPUTED_VALUE"""),"")</f>
        <v/>
      </c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</row>
    <row r="882">
      <c r="B882" s="49"/>
      <c r="C882" s="49" t="str">
        <f t="shared" si="2"/>
        <v/>
      </c>
      <c r="D882" s="50" t="str">
        <f t="shared" si="3"/>
        <v/>
      </c>
      <c r="E882" s="51" t="str">
        <f t="shared" ref="E882:T882" si="883">IFERROR(VLOOKUP($A882,INDIRECT("'" &amp; E$1 &amp; "'!$C:$G"), 5, FALSE),"")</f>
        <v/>
      </c>
      <c r="F882" s="51" t="str">
        <f t="shared" si="883"/>
        <v/>
      </c>
      <c r="G882" s="51" t="str">
        <f t="shared" si="883"/>
        <v/>
      </c>
      <c r="H882" s="51" t="str">
        <f t="shared" si="883"/>
        <v/>
      </c>
      <c r="I882" s="51" t="str">
        <f t="shared" si="883"/>
        <v/>
      </c>
      <c r="J882" s="51" t="str">
        <f t="shared" si="883"/>
        <v/>
      </c>
      <c r="K882" s="51" t="str">
        <f t="shared" si="883"/>
        <v/>
      </c>
      <c r="L882" s="51" t="str">
        <f t="shared" si="883"/>
        <v/>
      </c>
      <c r="M882" s="51" t="str">
        <f t="shared" si="883"/>
        <v/>
      </c>
      <c r="N882" s="51" t="str">
        <f t="shared" si="883"/>
        <v/>
      </c>
      <c r="O882" s="51" t="str">
        <f t="shared" si="883"/>
        <v/>
      </c>
      <c r="P882" s="51" t="str">
        <f t="shared" si="883"/>
        <v/>
      </c>
      <c r="Q882" s="51" t="str">
        <f t="shared" si="883"/>
        <v/>
      </c>
      <c r="R882" s="51" t="str">
        <f t="shared" si="883"/>
        <v/>
      </c>
      <c r="S882" s="51" t="str">
        <f t="shared" si="883"/>
        <v/>
      </c>
      <c r="T882" s="51" t="str">
        <f t="shared" si="883"/>
        <v/>
      </c>
      <c r="U882" s="52"/>
      <c r="V882" s="52" t="str">
        <f>IFERROR(__xludf.DUMMYFUNCTION("""COMPUTED_VALUE"""),"")</f>
        <v/>
      </c>
      <c r="W882" s="52" t="str">
        <f>IFERROR(__xludf.DUMMYFUNCTION("""COMPUTED_VALUE"""),"")</f>
        <v/>
      </c>
      <c r="X882" s="52" t="str">
        <f>IFERROR(__xludf.DUMMYFUNCTION("""COMPUTED_VALUE"""),"")</f>
        <v/>
      </c>
      <c r="Y882" s="52" t="str">
        <f>IFERROR(__xludf.DUMMYFUNCTION("""COMPUTED_VALUE"""),"")</f>
        <v/>
      </c>
      <c r="Z882" s="52" t="str">
        <f>IFERROR(__xludf.DUMMYFUNCTION("""COMPUTED_VALUE"""),"")</f>
        <v/>
      </c>
      <c r="AA882" s="52" t="str">
        <f>IFERROR(__xludf.DUMMYFUNCTION("""COMPUTED_VALUE"""),"")</f>
        <v/>
      </c>
      <c r="AB882" s="52" t="str">
        <f>IFERROR(__xludf.DUMMYFUNCTION("""COMPUTED_VALUE"""),"")</f>
        <v/>
      </c>
      <c r="AC882" s="52" t="str">
        <f>IFERROR(__xludf.DUMMYFUNCTION("""COMPUTED_VALUE"""),"")</f>
        <v/>
      </c>
      <c r="AD882" s="52" t="str">
        <f>IFERROR(__xludf.DUMMYFUNCTION("""COMPUTED_VALUE"""),"")</f>
        <v/>
      </c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</row>
    <row r="883">
      <c r="B883" s="49"/>
      <c r="C883" s="49" t="str">
        <f t="shared" si="2"/>
        <v/>
      </c>
      <c r="D883" s="50" t="str">
        <f t="shared" si="3"/>
        <v/>
      </c>
      <c r="E883" s="51" t="str">
        <f t="shared" ref="E883:T883" si="884">IFERROR(VLOOKUP($A883,INDIRECT("'" &amp; E$1 &amp; "'!$C:$G"), 5, FALSE),"")</f>
        <v/>
      </c>
      <c r="F883" s="51" t="str">
        <f t="shared" si="884"/>
        <v/>
      </c>
      <c r="G883" s="51" t="str">
        <f t="shared" si="884"/>
        <v/>
      </c>
      <c r="H883" s="51" t="str">
        <f t="shared" si="884"/>
        <v/>
      </c>
      <c r="I883" s="51" t="str">
        <f t="shared" si="884"/>
        <v/>
      </c>
      <c r="J883" s="51" t="str">
        <f t="shared" si="884"/>
        <v/>
      </c>
      <c r="K883" s="51" t="str">
        <f t="shared" si="884"/>
        <v/>
      </c>
      <c r="L883" s="51" t="str">
        <f t="shared" si="884"/>
        <v/>
      </c>
      <c r="M883" s="51" t="str">
        <f t="shared" si="884"/>
        <v/>
      </c>
      <c r="N883" s="51" t="str">
        <f t="shared" si="884"/>
        <v/>
      </c>
      <c r="O883" s="51" t="str">
        <f t="shared" si="884"/>
        <v/>
      </c>
      <c r="P883" s="51" t="str">
        <f t="shared" si="884"/>
        <v/>
      </c>
      <c r="Q883" s="51" t="str">
        <f t="shared" si="884"/>
        <v/>
      </c>
      <c r="R883" s="51" t="str">
        <f t="shared" si="884"/>
        <v/>
      </c>
      <c r="S883" s="51" t="str">
        <f t="shared" si="884"/>
        <v/>
      </c>
      <c r="T883" s="51" t="str">
        <f t="shared" si="884"/>
        <v/>
      </c>
      <c r="U883" s="52"/>
      <c r="V883" s="52" t="str">
        <f>IFERROR(__xludf.DUMMYFUNCTION("""COMPUTED_VALUE"""),"")</f>
        <v/>
      </c>
      <c r="W883" s="52" t="str">
        <f>IFERROR(__xludf.DUMMYFUNCTION("""COMPUTED_VALUE"""),"")</f>
        <v/>
      </c>
      <c r="X883" s="52" t="str">
        <f>IFERROR(__xludf.DUMMYFUNCTION("""COMPUTED_VALUE"""),"")</f>
        <v/>
      </c>
      <c r="Y883" s="52" t="str">
        <f>IFERROR(__xludf.DUMMYFUNCTION("""COMPUTED_VALUE"""),"")</f>
        <v/>
      </c>
      <c r="Z883" s="52" t="str">
        <f>IFERROR(__xludf.DUMMYFUNCTION("""COMPUTED_VALUE"""),"")</f>
        <v/>
      </c>
      <c r="AA883" s="52" t="str">
        <f>IFERROR(__xludf.DUMMYFUNCTION("""COMPUTED_VALUE"""),"")</f>
        <v/>
      </c>
      <c r="AB883" s="52" t="str">
        <f>IFERROR(__xludf.DUMMYFUNCTION("""COMPUTED_VALUE"""),"")</f>
        <v/>
      </c>
      <c r="AC883" s="52" t="str">
        <f>IFERROR(__xludf.DUMMYFUNCTION("""COMPUTED_VALUE"""),"")</f>
        <v/>
      </c>
      <c r="AD883" s="52" t="str">
        <f>IFERROR(__xludf.DUMMYFUNCTION("""COMPUTED_VALUE"""),"")</f>
        <v/>
      </c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</row>
    <row r="884">
      <c r="B884" s="49"/>
      <c r="C884" s="49" t="str">
        <f t="shared" si="2"/>
        <v/>
      </c>
      <c r="D884" s="50" t="str">
        <f t="shared" si="3"/>
        <v/>
      </c>
      <c r="E884" s="51" t="str">
        <f t="shared" ref="E884:T884" si="885">IFERROR(VLOOKUP($A884,INDIRECT("'" &amp; E$1 &amp; "'!$C:$G"), 5, FALSE),"")</f>
        <v/>
      </c>
      <c r="F884" s="51" t="str">
        <f t="shared" si="885"/>
        <v/>
      </c>
      <c r="G884" s="51" t="str">
        <f t="shared" si="885"/>
        <v/>
      </c>
      <c r="H884" s="51" t="str">
        <f t="shared" si="885"/>
        <v/>
      </c>
      <c r="I884" s="51" t="str">
        <f t="shared" si="885"/>
        <v/>
      </c>
      <c r="J884" s="51" t="str">
        <f t="shared" si="885"/>
        <v/>
      </c>
      <c r="K884" s="51" t="str">
        <f t="shared" si="885"/>
        <v/>
      </c>
      <c r="L884" s="51" t="str">
        <f t="shared" si="885"/>
        <v/>
      </c>
      <c r="M884" s="51" t="str">
        <f t="shared" si="885"/>
        <v/>
      </c>
      <c r="N884" s="51" t="str">
        <f t="shared" si="885"/>
        <v/>
      </c>
      <c r="O884" s="51" t="str">
        <f t="shared" si="885"/>
        <v/>
      </c>
      <c r="P884" s="51" t="str">
        <f t="shared" si="885"/>
        <v/>
      </c>
      <c r="Q884" s="51" t="str">
        <f t="shared" si="885"/>
        <v/>
      </c>
      <c r="R884" s="51" t="str">
        <f t="shared" si="885"/>
        <v/>
      </c>
      <c r="S884" s="51" t="str">
        <f t="shared" si="885"/>
        <v/>
      </c>
      <c r="T884" s="51" t="str">
        <f t="shared" si="885"/>
        <v/>
      </c>
      <c r="U884" s="52"/>
      <c r="V884" s="52" t="str">
        <f>IFERROR(__xludf.DUMMYFUNCTION("""COMPUTED_VALUE"""),"")</f>
        <v/>
      </c>
      <c r="W884" s="52" t="str">
        <f>IFERROR(__xludf.DUMMYFUNCTION("""COMPUTED_VALUE"""),"")</f>
        <v/>
      </c>
      <c r="X884" s="52" t="str">
        <f>IFERROR(__xludf.DUMMYFUNCTION("""COMPUTED_VALUE"""),"")</f>
        <v/>
      </c>
      <c r="Y884" s="52" t="str">
        <f>IFERROR(__xludf.DUMMYFUNCTION("""COMPUTED_VALUE"""),"")</f>
        <v/>
      </c>
      <c r="Z884" s="52" t="str">
        <f>IFERROR(__xludf.DUMMYFUNCTION("""COMPUTED_VALUE"""),"")</f>
        <v/>
      </c>
      <c r="AA884" s="52" t="str">
        <f>IFERROR(__xludf.DUMMYFUNCTION("""COMPUTED_VALUE"""),"")</f>
        <v/>
      </c>
      <c r="AB884" s="52" t="str">
        <f>IFERROR(__xludf.DUMMYFUNCTION("""COMPUTED_VALUE"""),"")</f>
        <v/>
      </c>
      <c r="AC884" s="52" t="str">
        <f>IFERROR(__xludf.DUMMYFUNCTION("""COMPUTED_VALUE"""),"")</f>
        <v/>
      </c>
      <c r="AD884" s="52" t="str">
        <f>IFERROR(__xludf.DUMMYFUNCTION("""COMPUTED_VALUE"""),"")</f>
        <v/>
      </c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</row>
    <row r="885">
      <c r="B885" s="49"/>
      <c r="C885" s="49" t="str">
        <f t="shared" si="2"/>
        <v/>
      </c>
      <c r="D885" s="50" t="str">
        <f t="shared" si="3"/>
        <v/>
      </c>
      <c r="E885" s="51" t="str">
        <f t="shared" ref="E885:T885" si="886">IFERROR(VLOOKUP($A885,INDIRECT("'" &amp; E$1 &amp; "'!$C:$G"), 5, FALSE),"")</f>
        <v/>
      </c>
      <c r="F885" s="51" t="str">
        <f t="shared" si="886"/>
        <v/>
      </c>
      <c r="G885" s="51" t="str">
        <f t="shared" si="886"/>
        <v/>
      </c>
      <c r="H885" s="51" t="str">
        <f t="shared" si="886"/>
        <v/>
      </c>
      <c r="I885" s="51" t="str">
        <f t="shared" si="886"/>
        <v/>
      </c>
      <c r="J885" s="51" t="str">
        <f t="shared" si="886"/>
        <v/>
      </c>
      <c r="K885" s="51" t="str">
        <f t="shared" si="886"/>
        <v/>
      </c>
      <c r="L885" s="51" t="str">
        <f t="shared" si="886"/>
        <v/>
      </c>
      <c r="M885" s="51" t="str">
        <f t="shared" si="886"/>
        <v/>
      </c>
      <c r="N885" s="51" t="str">
        <f t="shared" si="886"/>
        <v/>
      </c>
      <c r="O885" s="51" t="str">
        <f t="shared" si="886"/>
        <v/>
      </c>
      <c r="P885" s="51" t="str">
        <f t="shared" si="886"/>
        <v/>
      </c>
      <c r="Q885" s="51" t="str">
        <f t="shared" si="886"/>
        <v/>
      </c>
      <c r="R885" s="51" t="str">
        <f t="shared" si="886"/>
        <v/>
      </c>
      <c r="S885" s="51" t="str">
        <f t="shared" si="886"/>
        <v/>
      </c>
      <c r="T885" s="51" t="str">
        <f t="shared" si="886"/>
        <v/>
      </c>
      <c r="U885" s="52"/>
      <c r="V885" s="52" t="str">
        <f>IFERROR(__xludf.DUMMYFUNCTION("""COMPUTED_VALUE"""),"")</f>
        <v/>
      </c>
      <c r="W885" s="52" t="str">
        <f>IFERROR(__xludf.DUMMYFUNCTION("""COMPUTED_VALUE"""),"")</f>
        <v/>
      </c>
      <c r="X885" s="52" t="str">
        <f>IFERROR(__xludf.DUMMYFUNCTION("""COMPUTED_VALUE"""),"")</f>
        <v/>
      </c>
      <c r="Y885" s="52" t="str">
        <f>IFERROR(__xludf.DUMMYFUNCTION("""COMPUTED_VALUE"""),"")</f>
        <v/>
      </c>
      <c r="Z885" s="52" t="str">
        <f>IFERROR(__xludf.DUMMYFUNCTION("""COMPUTED_VALUE"""),"")</f>
        <v/>
      </c>
      <c r="AA885" s="52" t="str">
        <f>IFERROR(__xludf.DUMMYFUNCTION("""COMPUTED_VALUE"""),"")</f>
        <v/>
      </c>
      <c r="AB885" s="52" t="str">
        <f>IFERROR(__xludf.DUMMYFUNCTION("""COMPUTED_VALUE"""),"")</f>
        <v/>
      </c>
      <c r="AC885" s="52" t="str">
        <f>IFERROR(__xludf.DUMMYFUNCTION("""COMPUTED_VALUE"""),"")</f>
        <v/>
      </c>
      <c r="AD885" s="52" t="str">
        <f>IFERROR(__xludf.DUMMYFUNCTION("""COMPUTED_VALUE"""),"")</f>
        <v/>
      </c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</row>
    <row r="886">
      <c r="B886" s="49"/>
      <c r="C886" s="49" t="str">
        <f t="shared" si="2"/>
        <v/>
      </c>
      <c r="D886" s="50" t="str">
        <f t="shared" si="3"/>
        <v/>
      </c>
      <c r="E886" s="51" t="str">
        <f t="shared" ref="E886:T886" si="887">IFERROR(VLOOKUP($A886,INDIRECT("'" &amp; E$1 &amp; "'!$C:$G"), 5, FALSE),"")</f>
        <v/>
      </c>
      <c r="F886" s="51" t="str">
        <f t="shared" si="887"/>
        <v/>
      </c>
      <c r="G886" s="51" t="str">
        <f t="shared" si="887"/>
        <v/>
      </c>
      <c r="H886" s="51" t="str">
        <f t="shared" si="887"/>
        <v/>
      </c>
      <c r="I886" s="51" t="str">
        <f t="shared" si="887"/>
        <v/>
      </c>
      <c r="J886" s="51" t="str">
        <f t="shared" si="887"/>
        <v/>
      </c>
      <c r="K886" s="51" t="str">
        <f t="shared" si="887"/>
        <v/>
      </c>
      <c r="L886" s="51" t="str">
        <f t="shared" si="887"/>
        <v/>
      </c>
      <c r="M886" s="51" t="str">
        <f t="shared" si="887"/>
        <v/>
      </c>
      <c r="N886" s="51" t="str">
        <f t="shared" si="887"/>
        <v/>
      </c>
      <c r="O886" s="51" t="str">
        <f t="shared" si="887"/>
        <v/>
      </c>
      <c r="P886" s="51" t="str">
        <f t="shared" si="887"/>
        <v/>
      </c>
      <c r="Q886" s="51" t="str">
        <f t="shared" si="887"/>
        <v/>
      </c>
      <c r="R886" s="51" t="str">
        <f t="shared" si="887"/>
        <v/>
      </c>
      <c r="S886" s="51" t="str">
        <f t="shared" si="887"/>
        <v/>
      </c>
      <c r="T886" s="51" t="str">
        <f t="shared" si="887"/>
        <v/>
      </c>
      <c r="U886" s="52"/>
      <c r="V886" s="52" t="str">
        <f>IFERROR(__xludf.DUMMYFUNCTION("""COMPUTED_VALUE"""),"")</f>
        <v/>
      </c>
      <c r="W886" s="52" t="str">
        <f>IFERROR(__xludf.DUMMYFUNCTION("""COMPUTED_VALUE"""),"")</f>
        <v/>
      </c>
      <c r="X886" s="52" t="str">
        <f>IFERROR(__xludf.DUMMYFUNCTION("""COMPUTED_VALUE"""),"")</f>
        <v/>
      </c>
      <c r="Y886" s="52" t="str">
        <f>IFERROR(__xludf.DUMMYFUNCTION("""COMPUTED_VALUE"""),"")</f>
        <v/>
      </c>
      <c r="Z886" s="52" t="str">
        <f>IFERROR(__xludf.DUMMYFUNCTION("""COMPUTED_VALUE"""),"")</f>
        <v/>
      </c>
      <c r="AA886" s="52" t="str">
        <f>IFERROR(__xludf.DUMMYFUNCTION("""COMPUTED_VALUE"""),"")</f>
        <v/>
      </c>
      <c r="AB886" s="52" t="str">
        <f>IFERROR(__xludf.DUMMYFUNCTION("""COMPUTED_VALUE"""),"")</f>
        <v/>
      </c>
      <c r="AC886" s="52" t="str">
        <f>IFERROR(__xludf.DUMMYFUNCTION("""COMPUTED_VALUE"""),"")</f>
        <v/>
      </c>
      <c r="AD886" s="52" t="str">
        <f>IFERROR(__xludf.DUMMYFUNCTION("""COMPUTED_VALUE"""),"")</f>
        <v/>
      </c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</row>
    <row r="887">
      <c r="B887" s="49"/>
      <c r="C887" s="49" t="str">
        <f t="shared" si="2"/>
        <v/>
      </c>
      <c r="D887" s="50" t="str">
        <f t="shared" si="3"/>
        <v/>
      </c>
      <c r="E887" s="51" t="str">
        <f t="shared" ref="E887:T887" si="888">IFERROR(VLOOKUP($A887,INDIRECT("'" &amp; E$1 &amp; "'!$C:$G"), 5, FALSE),"")</f>
        <v/>
      </c>
      <c r="F887" s="51" t="str">
        <f t="shared" si="888"/>
        <v/>
      </c>
      <c r="G887" s="51" t="str">
        <f t="shared" si="888"/>
        <v/>
      </c>
      <c r="H887" s="51" t="str">
        <f t="shared" si="888"/>
        <v/>
      </c>
      <c r="I887" s="51" t="str">
        <f t="shared" si="888"/>
        <v/>
      </c>
      <c r="J887" s="51" t="str">
        <f t="shared" si="888"/>
        <v/>
      </c>
      <c r="K887" s="51" t="str">
        <f t="shared" si="888"/>
        <v/>
      </c>
      <c r="L887" s="51" t="str">
        <f t="shared" si="888"/>
        <v/>
      </c>
      <c r="M887" s="51" t="str">
        <f t="shared" si="888"/>
        <v/>
      </c>
      <c r="N887" s="51" t="str">
        <f t="shared" si="888"/>
        <v/>
      </c>
      <c r="O887" s="51" t="str">
        <f t="shared" si="888"/>
        <v/>
      </c>
      <c r="P887" s="51" t="str">
        <f t="shared" si="888"/>
        <v/>
      </c>
      <c r="Q887" s="51" t="str">
        <f t="shared" si="888"/>
        <v/>
      </c>
      <c r="R887" s="51" t="str">
        <f t="shared" si="888"/>
        <v/>
      </c>
      <c r="S887" s="51" t="str">
        <f t="shared" si="888"/>
        <v/>
      </c>
      <c r="T887" s="51" t="str">
        <f t="shared" si="888"/>
        <v/>
      </c>
      <c r="U887" s="52"/>
      <c r="V887" s="52" t="str">
        <f>IFERROR(__xludf.DUMMYFUNCTION("""COMPUTED_VALUE"""),"")</f>
        <v/>
      </c>
      <c r="W887" s="52" t="str">
        <f>IFERROR(__xludf.DUMMYFUNCTION("""COMPUTED_VALUE"""),"")</f>
        <v/>
      </c>
      <c r="X887" s="52" t="str">
        <f>IFERROR(__xludf.DUMMYFUNCTION("""COMPUTED_VALUE"""),"")</f>
        <v/>
      </c>
      <c r="Y887" s="52" t="str">
        <f>IFERROR(__xludf.DUMMYFUNCTION("""COMPUTED_VALUE"""),"")</f>
        <v/>
      </c>
      <c r="Z887" s="52" t="str">
        <f>IFERROR(__xludf.DUMMYFUNCTION("""COMPUTED_VALUE"""),"")</f>
        <v/>
      </c>
      <c r="AA887" s="52" t="str">
        <f>IFERROR(__xludf.DUMMYFUNCTION("""COMPUTED_VALUE"""),"")</f>
        <v/>
      </c>
      <c r="AB887" s="52" t="str">
        <f>IFERROR(__xludf.DUMMYFUNCTION("""COMPUTED_VALUE"""),"")</f>
        <v/>
      </c>
      <c r="AC887" s="52" t="str">
        <f>IFERROR(__xludf.DUMMYFUNCTION("""COMPUTED_VALUE"""),"")</f>
        <v/>
      </c>
      <c r="AD887" s="52" t="str">
        <f>IFERROR(__xludf.DUMMYFUNCTION("""COMPUTED_VALUE"""),"")</f>
        <v/>
      </c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</row>
    <row r="888">
      <c r="B888" s="49"/>
      <c r="C888" s="49" t="str">
        <f t="shared" si="2"/>
        <v/>
      </c>
      <c r="D888" s="50" t="str">
        <f t="shared" si="3"/>
        <v/>
      </c>
      <c r="E888" s="51" t="str">
        <f t="shared" ref="E888:T888" si="889">IFERROR(VLOOKUP($A888,INDIRECT("'" &amp; E$1 &amp; "'!$C:$G"), 5, FALSE),"")</f>
        <v/>
      </c>
      <c r="F888" s="51" t="str">
        <f t="shared" si="889"/>
        <v/>
      </c>
      <c r="G888" s="51" t="str">
        <f t="shared" si="889"/>
        <v/>
      </c>
      <c r="H888" s="51" t="str">
        <f t="shared" si="889"/>
        <v/>
      </c>
      <c r="I888" s="51" t="str">
        <f t="shared" si="889"/>
        <v/>
      </c>
      <c r="J888" s="51" t="str">
        <f t="shared" si="889"/>
        <v/>
      </c>
      <c r="K888" s="51" t="str">
        <f t="shared" si="889"/>
        <v/>
      </c>
      <c r="L888" s="51" t="str">
        <f t="shared" si="889"/>
        <v/>
      </c>
      <c r="M888" s="51" t="str">
        <f t="shared" si="889"/>
        <v/>
      </c>
      <c r="N888" s="51" t="str">
        <f t="shared" si="889"/>
        <v/>
      </c>
      <c r="O888" s="51" t="str">
        <f t="shared" si="889"/>
        <v/>
      </c>
      <c r="P888" s="51" t="str">
        <f t="shared" si="889"/>
        <v/>
      </c>
      <c r="Q888" s="51" t="str">
        <f t="shared" si="889"/>
        <v/>
      </c>
      <c r="R888" s="51" t="str">
        <f t="shared" si="889"/>
        <v/>
      </c>
      <c r="S888" s="51" t="str">
        <f t="shared" si="889"/>
        <v/>
      </c>
      <c r="T888" s="51" t="str">
        <f t="shared" si="889"/>
        <v/>
      </c>
      <c r="U888" s="52"/>
      <c r="V888" s="52" t="str">
        <f>IFERROR(__xludf.DUMMYFUNCTION("""COMPUTED_VALUE"""),"")</f>
        <v/>
      </c>
      <c r="W888" s="52" t="str">
        <f>IFERROR(__xludf.DUMMYFUNCTION("""COMPUTED_VALUE"""),"")</f>
        <v/>
      </c>
      <c r="X888" s="52" t="str">
        <f>IFERROR(__xludf.DUMMYFUNCTION("""COMPUTED_VALUE"""),"")</f>
        <v/>
      </c>
      <c r="Y888" s="52" t="str">
        <f>IFERROR(__xludf.DUMMYFUNCTION("""COMPUTED_VALUE"""),"")</f>
        <v/>
      </c>
      <c r="Z888" s="52" t="str">
        <f>IFERROR(__xludf.DUMMYFUNCTION("""COMPUTED_VALUE"""),"")</f>
        <v/>
      </c>
      <c r="AA888" s="52" t="str">
        <f>IFERROR(__xludf.DUMMYFUNCTION("""COMPUTED_VALUE"""),"")</f>
        <v/>
      </c>
      <c r="AB888" s="52" t="str">
        <f>IFERROR(__xludf.DUMMYFUNCTION("""COMPUTED_VALUE"""),"")</f>
        <v/>
      </c>
      <c r="AC888" s="52" t="str">
        <f>IFERROR(__xludf.DUMMYFUNCTION("""COMPUTED_VALUE"""),"")</f>
        <v/>
      </c>
      <c r="AD888" s="52" t="str">
        <f>IFERROR(__xludf.DUMMYFUNCTION("""COMPUTED_VALUE"""),"")</f>
        <v/>
      </c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</row>
    <row r="889">
      <c r="B889" s="49"/>
      <c r="C889" s="49" t="str">
        <f t="shared" si="2"/>
        <v/>
      </c>
      <c r="D889" s="50" t="str">
        <f t="shared" si="3"/>
        <v/>
      </c>
      <c r="E889" s="51" t="str">
        <f t="shared" ref="E889:T889" si="890">IFERROR(VLOOKUP($A889,INDIRECT("'" &amp; E$1 &amp; "'!$C:$G"), 5, FALSE),"")</f>
        <v/>
      </c>
      <c r="F889" s="51" t="str">
        <f t="shared" si="890"/>
        <v/>
      </c>
      <c r="G889" s="51" t="str">
        <f t="shared" si="890"/>
        <v/>
      </c>
      <c r="H889" s="51" t="str">
        <f t="shared" si="890"/>
        <v/>
      </c>
      <c r="I889" s="51" t="str">
        <f t="shared" si="890"/>
        <v/>
      </c>
      <c r="J889" s="51" t="str">
        <f t="shared" si="890"/>
        <v/>
      </c>
      <c r="K889" s="51" t="str">
        <f t="shared" si="890"/>
        <v/>
      </c>
      <c r="L889" s="51" t="str">
        <f t="shared" si="890"/>
        <v/>
      </c>
      <c r="M889" s="51" t="str">
        <f t="shared" si="890"/>
        <v/>
      </c>
      <c r="N889" s="51" t="str">
        <f t="shared" si="890"/>
        <v/>
      </c>
      <c r="O889" s="51" t="str">
        <f t="shared" si="890"/>
        <v/>
      </c>
      <c r="P889" s="51" t="str">
        <f t="shared" si="890"/>
        <v/>
      </c>
      <c r="Q889" s="51" t="str">
        <f t="shared" si="890"/>
        <v/>
      </c>
      <c r="R889" s="51" t="str">
        <f t="shared" si="890"/>
        <v/>
      </c>
      <c r="S889" s="51" t="str">
        <f t="shared" si="890"/>
        <v/>
      </c>
      <c r="T889" s="51" t="str">
        <f t="shared" si="890"/>
        <v/>
      </c>
      <c r="U889" s="52"/>
      <c r="V889" s="52" t="str">
        <f>IFERROR(__xludf.DUMMYFUNCTION("""COMPUTED_VALUE"""),"")</f>
        <v/>
      </c>
      <c r="W889" s="52" t="str">
        <f>IFERROR(__xludf.DUMMYFUNCTION("""COMPUTED_VALUE"""),"")</f>
        <v/>
      </c>
      <c r="X889" s="52" t="str">
        <f>IFERROR(__xludf.DUMMYFUNCTION("""COMPUTED_VALUE"""),"")</f>
        <v/>
      </c>
      <c r="Y889" s="52" t="str">
        <f>IFERROR(__xludf.DUMMYFUNCTION("""COMPUTED_VALUE"""),"")</f>
        <v/>
      </c>
      <c r="Z889" s="52" t="str">
        <f>IFERROR(__xludf.DUMMYFUNCTION("""COMPUTED_VALUE"""),"")</f>
        <v/>
      </c>
      <c r="AA889" s="52" t="str">
        <f>IFERROR(__xludf.DUMMYFUNCTION("""COMPUTED_VALUE"""),"")</f>
        <v/>
      </c>
      <c r="AB889" s="52" t="str">
        <f>IFERROR(__xludf.DUMMYFUNCTION("""COMPUTED_VALUE"""),"")</f>
        <v/>
      </c>
      <c r="AC889" s="52" t="str">
        <f>IFERROR(__xludf.DUMMYFUNCTION("""COMPUTED_VALUE"""),"")</f>
        <v/>
      </c>
      <c r="AD889" s="52" t="str">
        <f>IFERROR(__xludf.DUMMYFUNCTION("""COMPUTED_VALUE"""),"")</f>
        <v/>
      </c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</row>
    <row r="890">
      <c r="B890" s="49"/>
      <c r="C890" s="49" t="str">
        <f t="shared" si="2"/>
        <v/>
      </c>
      <c r="D890" s="50" t="str">
        <f t="shared" si="3"/>
        <v/>
      </c>
      <c r="E890" s="51" t="str">
        <f t="shared" ref="E890:T890" si="891">IFERROR(VLOOKUP($A890,INDIRECT("'" &amp; E$1 &amp; "'!$C:$G"), 5, FALSE),"")</f>
        <v/>
      </c>
      <c r="F890" s="51" t="str">
        <f t="shared" si="891"/>
        <v/>
      </c>
      <c r="G890" s="51" t="str">
        <f t="shared" si="891"/>
        <v/>
      </c>
      <c r="H890" s="51" t="str">
        <f t="shared" si="891"/>
        <v/>
      </c>
      <c r="I890" s="51" t="str">
        <f t="shared" si="891"/>
        <v/>
      </c>
      <c r="J890" s="51" t="str">
        <f t="shared" si="891"/>
        <v/>
      </c>
      <c r="K890" s="51" t="str">
        <f t="shared" si="891"/>
        <v/>
      </c>
      <c r="L890" s="51" t="str">
        <f t="shared" si="891"/>
        <v/>
      </c>
      <c r="M890" s="51" t="str">
        <f t="shared" si="891"/>
        <v/>
      </c>
      <c r="N890" s="51" t="str">
        <f t="shared" si="891"/>
        <v/>
      </c>
      <c r="O890" s="51" t="str">
        <f t="shared" si="891"/>
        <v/>
      </c>
      <c r="P890" s="51" t="str">
        <f t="shared" si="891"/>
        <v/>
      </c>
      <c r="Q890" s="51" t="str">
        <f t="shared" si="891"/>
        <v/>
      </c>
      <c r="R890" s="51" t="str">
        <f t="shared" si="891"/>
        <v/>
      </c>
      <c r="S890" s="51" t="str">
        <f t="shared" si="891"/>
        <v/>
      </c>
      <c r="T890" s="51" t="str">
        <f t="shared" si="891"/>
        <v/>
      </c>
      <c r="U890" s="52"/>
      <c r="V890" s="52" t="str">
        <f>IFERROR(__xludf.DUMMYFUNCTION("""COMPUTED_VALUE"""),"")</f>
        <v/>
      </c>
      <c r="W890" s="52" t="str">
        <f>IFERROR(__xludf.DUMMYFUNCTION("""COMPUTED_VALUE"""),"")</f>
        <v/>
      </c>
      <c r="X890" s="52" t="str">
        <f>IFERROR(__xludf.DUMMYFUNCTION("""COMPUTED_VALUE"""),"")</f>
        <v/>
      </c>
      <c r="Y890" s="52" t="str">
        <f>IFERROR(__xludf.DUMMYFUNCTION("""COMPUTED_VALUE"""),"")</f>
        <v/>
      </c>
      <c r="Z890" s="52" t="str">
        <f>IFERROR(__xludf.DUMMYFUNCTION("""COMPUTED_VALUE"""),"")</f>
        <v/>
      </c>
      <c r="AA890" s="52" t="str">
        <f>IFERROR(__xludf.DUMMYFUNCTION("""COMPUTED_VALUE"""),"")</f>
        <v/>
      </c>
      <c r="AB890" s="52" t="str">
        <f>IFERROR(__xludf.DUMMYFUNCTION("""COMPUTED_VALUE"""),"")</f>
        <v/>
      </c>
      <c r="AC890" s="52" t="str">
        <f>IFERROR(__xludf.DUMMYFUNCTION("""COMPUTED_VALUE"""),"")</f>
        <v/>
      </c>
      <c r="AD890" s="52" t="str">
        <f>IFERROR(__xludf.DUMMYFUNCTION("""COMPUTED_VALUE"""),"")</f>
        <v/>
      </c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</row>
    <row r="891">
      <c r="B891" s="49"/>
      <c r="C891" s="49" t="str">
        <f t="shared" si="2"/>
        <v/>
      </c>
      <c r="D891" s="50" t="str">
        <f t="shared" si="3"/>
        <v/>
      </c>
      <c r="E891" s="51" t="str">
        <f t="shared" ref="E891:T891" si="892">IFERROR(VLOOKUP($A891,INDIRECT("'" &amp; E$1 &amp; "'!$C:$G"), 5, FALSE),"")</f>
        <v/>
      </c>
      <c r="F891" s="51" t="str">
        <f t="shared" si="892"/>
        <v/>
      </c>
      <c r="G891" s="51" t="str">
        <f t="shared" si="892"/>
        <v/>
      </c>
      <c r="H891" s="51" t="str">
        <f t="shared" si="892"/>
        <v/>
      </c>
      <c r="I891" s="51" t="str">
        <f t="shared" si="892"/>
        <v/>
      </c>
      <c r="J891" s="51" t="str">
        <f t="shared" si="892"/>
        <v/>
      </c>
      <c r="K891" s="51" t="str">
        <f t="shared" si="892"/>
        <v/>
      </c>
      <c r="L891" s="51" t="str">
        <f t="shared" si="892"/>
        <v/>
      </c>
      <c r="M891" s="51" t="str">
        <f t="shared" si="892"/>
        <v/>
      </c>
      <c r="N891" s="51" t="str">
        <f t="shared" si="892"/>
        <v/>
      </c>
      <c r="O891" s="51" t="str">
        <f t="shared" si="892"/>
        <v/>
      </c>
      <c r="P891" s="51" t="str">
        <f t="shared" si="892"/>
        <v/>
      </c>
      <c r="Q891" s="51" t="str">
        <f t="shared" si="892"/>
        <v/>
      </c>
      <c r="R891" s="51" t="str">
        <f t="shared" si="892"/>
        <v/>
      </c>
      <c r="S891" s="51" t="str">
        <f t="shared" si="892"/>
        <v/>
      </c>
      <c r="T891" s="51" t="str">
        <f t="shared" si="892"/>
        <v/>
      </c>
      <c r="U891" s="52"/>
      <c r="V891" s="52" t="str">
        <f>IFERROR(__xludf.DUMMYFUNCTION("""COMPUTED_VALUE"""),"")</f>
        <v/>
      </c>
      <c r="W891" s="52" t="str">
        <f>IFERROR(__xludf.DUMMYFUNCTION("""COMPUTED_VALUE"""),"")</f>
        <v/>
      </c>
      <c r="X891" s="52" t="str">
        <f>IFERROR(__xludf.DUMMYFUNCTION("""COMPUTED_VALUE"""),"")</f>
        <v/>
      </c>
      <c r="Y891" s="52" t="str">
        <f>IFERROR(__xludf.DUMMYFUNCTION("""COMPUTED_VALUE"""),"")</f>
        <v/>
      </c>
      <c r="Z891" s="52" t="str">
        <f>IFERROR(__xludf.DUMMYFUNCTION("""COMPUTED_VALUE"""),"")</f>
        <v/>
      </c>
      <c r="AA891" s="52" t="str">
        <f>IFERROR(__xludf.DUMMYFUNCTION("""COMPUTED_VALUE"""),"")</f>
        <v/>
      </c>
      <c r="AB891" s="52" t="str">
        <f>IFERROR(__xludf.DUMMYFUNCTION("""COMPUTED_VALUE"""),"")</f>
        <v/>
      </c>
      <c r="AC891" s="52" t="str">
        <f>IFERROR(__xludf.DUMMYFUNCTION("""COMPUTED_VALUE"""),"")</f>
        <v/>
      </c>
      <c r="AD891" s="52" t="str">
        <f>IFERROR(__xludf.DUMMYFUNCTION("""COMPUTED_VALUE"""),"")</f>
        <v/>
      </c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</row>
    <row r="892">
      <c r="B892" s="49"/>
      <c r="C892" s="49" t="str">
        <f t="shared" si="2"/>
        <v/>
      </c>
      <c r="D892" s="50" t="str">
        <f t="shared" si="3"/>
        <v/>
      </c>
      <c r="E892" s="51" t="str">
        <f t="shared" ref="E892:T892" si="893">IFERROR(VLOOKUP($A892,INDIRECT("'" &amp; E$1 &amp; "'!$C:$G"), 5, FALSE),"")</f>
        <v/>
      </c>
      <c r="F892" s="51" t="str">
        <f t="shared" si="893"/>
        <v/>
      </c>
      <c r="G892" s="51" t="str">
        <f t="shared" si="893"/>
        <v/>
      </c>
      <c r="H892" s="51" t="str">
        <f t="shared" si="893"/>
        <v/>
      </c>
      <c r="I892" s="51" t="str">
        <f t="shared" si="893"/>
        <v/>
      </c>
      <c r="J892" s="51" t="str">
        <f t="shared" si="893"/>
        <v/>
      </c>
      <c r="K892" s="51" t="str">
        <f t="shared" si="893"/>
        <v/>
      </c>
      <c r="L892" s="51" t="str">
        <f t="shared" si="893"/>
        <v/>
      </c>
      <c r="M892" s="51" t="str">
        <f t="shared" si="893"/>
        <v/>
      </c>
      <c r="N892" s="51" t="str">
        <f t="shared" si="893"/>
        <v/>
      </c>
      <c r="O892" s="51" t="str">
        <f t="shared" si="893"/>
        <v/>
      </c>
      <c r="P892" s="51" t="str">
        <f t="shared" si="893"/>
        <v/>
      </c>
      <c r="Q892" s="51" t="str">
        <f t="shared" si="893"/>
        <v/>
      </c>
      <c r="R892" s="51" t="str">
        <f t="shared" si="893"/>
        <v/>
      </c>
      <c r="S892" s="51" t="str">
        <f t="shared" si="893"/>
        <v/>
      </c>
      <c r="T892" s="51" t="str">
        <f t="shared" si="893"/>
        <v/>
      </c>
      <c r="U892" s="52"/>
      <c r="V892" s="52" t="str">
        <f>IFERROR(__xludf.DUMMYFUNCTION("""COMPUTED_VALUE"""),"")</f>
        <v/>
      </c>
      <c r="W892" s="52" t="str">
        <f>IFERROR(__xludf.DUMMYFUNCTION("""COMPUTED_VALUE"""),"")</f>
        <v/>
      </c>
      <c r="X892" s="52" t="str">
        <f>IFERROR(__xludf.DUMMYFUNCTION("""COMPUTED_VALUE"""),"")</f>
        <v/>
      </c>
      <c r="Y892" s="52" t="str">
        <f>IFERROR(__xludf.DUMMYFUNCTION("""COMPUTED_VALUE"""),"")</f>
        <v/>
      </c>
      <c r="Z892" s="52" t="str">
        <f>IFERROR(__xludf.DUMMYFUNCTION("""COMPUTED_VALUE"""),"")</f>
        <v/>
      </c>
      <c r="AA892" s="52" t="str">
        <f>IFERROR(__xludf.DUMMYFUNCTION("""COMPUTED_VALUE"""),"")</f>
        <v/>
      </c>
      <c r="AB892" s="52" t="str">
        <f>IFERROR(__xludf.DUMMYFUNCTION("""COMPUTED_VALUE"""),"")</f>
        <v/>
      </c>
      <c r="AC892" s="52" t="str">
        <f>IFERROR(__xludf.DUMMYFUNCTION("""COMPUTED_VALUE"""),"")</f>
        <v/>
      </c>
      <c r="AD892" s="52" t="str">
        <f>IFERROR(__xludf.DUMMYFUNCTION("""COMPUTED_VALUE"""),"")</f>
        <v/>
      </c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</row>
    <row r="893">
      <c r="B893" s="49"/>
      <c r="C893" s="49" t="str">
        <f t="shared" si="2"/>
        <v/>
      </c>
      <c r="D893" s="50" t="str">
        <f t="shared" si="3"/>
        <v/>
      </c>
      <c r="E893" s="51" t="str">
        <f t="shared" ref="E893:T893" si="894">IFERROR(VLOOKUP($A893,INDIRECT("'" &amp; E$1 &amp; "'!$C:$G"), 5, FALSE),"")</f>
        <v/>
      </c>
      <c r="F893" s="51" t="str">
        <f t="shared" si="894"/>
        <v/>
      </c>
      <c r="G893" s="51" t="str">
        <f t="shared" si="894"/>
        <v/>
      </c>
      <c r="H893" s="51" t="str">
        <f t="shared" si="894"/>
        <v/>
      </c>
      <c r="I893" s="51" t="str">
        <f t="shared" si="894"/>
        <v/>
      </c>
      <c r="J893" s="51" t="str">
        <f t="shared" si="894"/>
        <v/>
      </c>
      <c r="K893" s="51" t="str">
        <f t="shared" si="894"/>
        <v/>
      </c>
      <c r="L893" s="51" t="str">
        <f t="shared" si="894"/>
        <v/>
      </c>
      <c r="M893" s="51" t="str">
        <f t="shared" si="894"/>
        <v/>
      </c>
      <c r="N893" s="51" t="str">
        <f t="shared" si="894"/>
        <v/>
      </c>
      <c r="O893" s="51" t="str">
        <f t="shared" si="894"/>
        <v/>
      </c>
      <c r="P893" s="51" t="str">
        <f t="shared" si="894"/>
        <v/>
      </c>
      <c r="Q893" s="51" t="str">
        <f t="shared" si="894"/>
        <v/>
      </c>
      <c r="R893" s="51" t="str">
        <f t="shared" si="894"/>
        <v/>
      </c>
      <c r="S893" s="51" t="str">
        <f t="shared" si="894"/>
        <v/>
      </c>
      <c r="T893" s="51" t="str">
        <f t="shared" si="894"/>
        <v/>
      </c>
      <c r="U893" s="52"/>
      <c r="V893" s="52" t="str">
        <f>IFERROR(__xludf.DUMMYFUNCTION("""COMPUTED_VALUE"""),"")</f>
        <v/>
      </c>
      <c r="W893" s="52" t="str">
        <f>IFERROR(__xludf.DUMMYFUNCTION("""COMPUTED_VALUE"""),"")</f>
        <v/>
      </c>
      <c r="X893" s="52" t="str">
        <f>IFERROR(__xludf.DUMMYFUNCTION("""COMPUTED_VALUE"""),"")</f>
        <v/>
      </c>
      <c r="Y893" s="52" t="str">
        <f>IFERROR(__xludf.DUMMYFUNCTION("""COMPUTED_VALUE"""),"")</f>
        <v/>
      </c>
      <c r="Z893" s="52" t="str">
        <f>IFERROR(__xludf.DUMMYFUNCTION("""COMPUTED_VALUE"""),"")</f>
        <v/>
      </c>
      <c r="AA893" s="52" t="str">
        <f>IFERROR(__xludf.DUMMYFUNCTION("""COMPUTED_VALUE"""),"")</f>
        <v/>
      </c>
      <c r="AB893" s="52" t="str">
        <f>IFERROR(__xludf.DUMMYFUNCTION("""COMPUTED_VALUE"""),"")</f>
        <v/>
      </c>
      <c r="AC893" s="52" t="str">
        <f>IFERROR(__xludf.DUMMYFUNCTION("""COMPUTED_VALUE"""),"")</f>
        <v/>
      </c>
      <c r="AD893" s="52" t="str">
        <f>IFERROR(__xludf.DUMMYFUNCTION("""COMPUTED_VALUE"""),"")</f>
        <v/>
      </c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</row>
    <row r="894">
      <c r="B894" s="49"/>
      <c r="C894" s="49" t="str">
        <f t="shared" si="2"/>
        <v/>
      </c>
      <c r="D894" s="50" t="str">
        <f t="shared" si="3"/>
        <v/>
      </c>
      <c r="E894" s="51" t="str">
        <f t="shared" ref="E894:T894" si="895">IFERROR(VLOOKUP($A894,INDIRECT("'" &amp; E$1 &amp; "'!$C:$G"), 5, FALSE),"")</f>
        <v/>
      </c>
      <c r="F894" s="51" t="str">
        <f t="shared" si="895"/>
        <v/>
      </c>
      <c r="G894" s="51" t="str">
        <f t="shared" si="895"/>
        <v/>
      </c>
      <c r="H894" s="51" t="str">
        <f t="shared" si="895"/>
        <v/>
      </c>
      <c r="I894" s="51" t="str">
        <f t="shared" si="895"/>
        <v/>
      </c>
      <c r="J894" s="51" t="str">
        <f t="shared" si="895"/>
        <v/>
      </c>
      <c r="K894" s="51" t="str">
        <f t="shared" si="895"/>
        <v/>
      </c>
      <c r="L894" s="51" t="str">
        <f t="shared" si="895"/>
        <v/>
      </c>
      <c r="M894" s="51" t="str">
        <f t="shared" si="895"/>
        <v/>
      </c>
      <c r="N894" s="51" t="str">
        <f t="shared" si="895"/>
        <v/>
      </c>
      <c r="O894" s="51" t="str">
        <f t="shared" si="895"/>
        <v/>
      </c>
      <c r="P894" s="51" t="str">
        <f t="shared" si="895"/>
        <v/>
      </c>
      <c r="Q894" s="51" t="str">
        <f t="shared" si="895"/>
        <v/>
      </c>
      <c r="R894" s="51" t="str">
        <f t="shared" si="895"/>
        <v/>
      </c>
      <c r="S894" s="51" t="str">
        <f t="shared" si="895"/>
        <v/>
      </c>
      <c r="T894" s="51" t="str">
        <f t="shared" si="895"/>
        <v/>
      </c>
      <c r="U894" s="52"/>
      <c r="V894" s="52" t="str">
        <f>IFERROR(__xludf.DUMMYFUNCTION("""COMPUTED_VALUE"""),"")</f>
        <v/>
      </c>
      <c r="W894" s="52" t="str">
        <f>IFERROR(__xludf.DUMMYFUNCTION("""COMPUTED_VALUE"""),"")</f>
        <v/>
      </c>
      <c r="X894" s="52" t="str">
        <f>IFERROR(__xludf.DUMMYFUNCTION("""COMPUTED_VALUE"""),"")</f>
        <v/>
      </c>
      <c r="Y894" s="52" t="str">
        <f>IFERROR(__xludf.DUMMYFUNCTION("""COMPUTED_VALUE"""),"")</f>
        <v/>
      </c>
      <c r="Z894" s="52" t="str">
        <f>IFERROR(__xludf.DUMMYFUNCTION("""COMPUTED_VALUE"""),"")</f>
        <v/>
      </c>
      <c r="AA894" s="52" t="str">
        <f>IFERROR(__xludf.DUMMYFUNCTION("""COMPUTED_VALUE"""),"")</f>
        <v/>
      </c>
      <c r="AB894" s="52" t="str">
        <f>IFERROR(__xludf.DUMMYFUNCTION("""COMPUTED_VALUE"""),"")</f>
        <v/>
      </c>
      <c r="AC894" s="52" t="str">
        <f>IFERROR(__xludf.DUMMYFUNCTION("""COMPUTED_VALUE"""),"")</f>
        <v/>
      </c>
      <c r="AD894" s="52" t="str">
        <f>IFERROR(__xludf.DUMMYFUNCTION("""COMPUTED_VALUE"""),"")</f>
        <v/>
      </c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</row>
    <row r="895">
      <c r="B895" s="49"/>
      <c r="C895" s="49" t="str">
        <f t="shared" si="2"/>
        <v/>
      </c>
      <c r="D895" s="50" t="str">
        <f t="shared" si="3"/>
        <v/>
      </c>
      <c r="E895" s="51" t="str">
        <f t="shared" ref="E895:T895" si="896">IFERROR(VLOOKUP($A895,INDIRECT("'" &amp; E$1 &amp; "'!$C:$G"), 5, FALSE),"")</f>
        <v/>
      </c>
      <c r="F895" s="51" t="str">
        <f t="shared" si="896"/>
        <v/>
      </c>
      <c r="G895" s="51" t="str">
        <f t="shared" si="896"/>
        <v/>
      </c>
      <c r="H895" s="51" t="str">
        <f t="shared" si="896"/>
        <v/>
      </c>
      <c r="I895" s="51" t="str">
        <f t="shared" si="896"/>
        <v/>
      </c>
      <c r="J895" s="51" t="str">
        <f t="shared" si="896"/>
        <v/>
      </c>
      <c r="K895" s="51" t="str">
        <f t="shared" si="896"/>
        <v/>
      </c>
      <c r="L895" s="51" t="str">
        <f t="shared" si="896"/>
        <v/>
      </c>
      <c r="M895" s="51" t="str">
        <f t="shared" si="896"/>
        <v/>
      </c>
      <c r="N895" s="51" t="str">
        <f t="shared" si="896"/>
        <v/>
      </c>
      <c r="O895" s="51" t="str">
        <f t="shared" si="896"/>
        <v/>
      </c>
      <c r="P895" s="51" t="str">
        <f t="shared" si="896"/>
        <v/>
      </c>
      <c r="Q895" s="51" t="str">
        <f t="shared" si="896"/>
        <v/>
      </c>
      <c r="R895" s="51" t="str">
        <f t="shared" si="896"/>
        <v/>
      </c>
      <c r="S895" s="51" t="str">
        <f t="shared" si="896"/>
        <v/>
      </c>
      <c r="T895" s="51" t="str">
        <f t="shared" si="896"/>
        <v/>
      </c>
      <c r="U895" s="52"/>
      <c r="V895" s="52" t="str">
        <f>IFERROR(__xludf.DUMMYFUNCTION("""COMPUTED_VALUE"""),"")</f>
        <v/>
      </c>
      <c r="W895" s="52" t="str">
        <f>IFERROR(__xludf.DUMMYFUNCTION("""COMPUTED_VALUE"""),"")</f>
        <v/>
      </c>
      <c r="X895" s="52" t="str">
        <f>IFERROR(__xludf.DUMMYFUNCTION("""COMPUTED_VALUE"""),"")</f>
        <v/>
      </c>
      <c r="Y895" s="52" t="str">
        <f>IFERROR(__xludf.DUMMYFUNCTION("""COMPUTED_VALUE"""),"")</f>
        <v/>
      </c>
      <c r="Z895" s="52" t="str">
        <f>IFERROR(__xludf.DUMMYFUNCTION("""COMPUTED_VALUE"""),"")</f>
        <v/>
      </c>
      <c r="AA895" s="52" t="str">
        <f>IFERROR(__xludf.DUMMYFUNCTION("""COMPUTED_VALUE"""),"")</f>
        <v/>
      </c>
      <c r="AB895" s="52" t="str">
        <f>IFERROR(__xludf.DUMMYFUNCTION("""COMPUTED_VALUE"""),"")</f>
        <v/>
      </c>
      <c r="AC895" s="52" t="str">
        <f>IFERROR(__xludf.DUMMYFUNCTION("""COMPUTED_VALUE"""),"")</f>
        <v/>
      </c>
      <c r="AD895" s="52" t="str">
        <f>IFERROR(__xludf.DUMMYFUNCTION("""COMPUTED_VALUE"""),"")</f>
        <v/>
      </c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</row>
    <row r="896">
      <c r="B896" s="49"/>
      <c r="C896" s="49" t="str">
        <f t="shared" si="2"/>
        <v/>
      </c>
      <c r="D896" s="50" t="str">
        <f t="shared" si="3"/>
        <v/>
      </c>
      <c r="E896" s="51" t="str">
        <f t="shared" ref="E896:T896" si="897">IFERROR(VLOOKUP($A896,INDIRECT("'" &amp; E$1 &amp; "'!$C:$G"), 5, FALSE),"")</f>
        <v/>
      </c>
      <c r="F896" s="51" t="str">
        <f t="shared" si="897"/>
        <v/>
      </c>
      <c r="G896" s="51" t="str">
        <f t="shared" si="897"/>
        <v/>
      </c>
      <c r="H896" s="51" t="str">
        <f t="shared" si="897"/>
        <v/>
      </c>
      <c r="I896" s="51" t="str">
        <f t="shared" si="897"/>
        <v/>
      </c>
      <c r="J896" s="51" t="str">
        <f t="shared" si="897"/>
        <v/>
      </c>
      <c r="K896" s="51" t="str">
        <f t="shared" si="897"/>
        <v/>
      </c>
      <c r="L896" s="51" t="str">
        <f t="shared" si="897"/>
        <v/>
      </c>
      <c r="M896" s="51" t="str">
        <f t="shared" si="897"/>
        <v/>
      </c>
      <c r="N896" s="51" t="str">
        <f t="shared" si="897"/>
        <v/>
      </c>
      <c r="O896" s="51" t="str">
        <f t="shared" si="897"/>
        <v/>
      </c>
      <c r="P896" s="51" t="str">
        <f t="shared" si="897"/>
        <v/>
      </c>
      <c r="Q896" s="51" t="str">
        <f t="shared" si="897"/>
        <v/>
      </c>
      <c r="R896" s="51" t="str">
        <f t="shared" si="897"/>
        <v/>
      </c>
      <c r="S896" s="51" t="str">
        <f t="shared" si="897"/>
        <v/>
      </c>
      <c r="T896" s="51" t="str">
        <f t="shared" si="897"/>
        <v/>
      </c>
      <c r="U896" s="52"/>
      <c r="V896" s="52" t="str">
        <f>IFERROR(__xludf.DUMMYFUNCTION("""COMPUTED_VALUE"""),"")</f>
        <v/>
      </c>
      <c r="W896" s="52" t="str">
        <f>IFERROR(__xludf.DUMMYFUNCTION("""COMPUTED_VALUE"""),"")</f>
        <v/>
      </c>
      <c r="X896" s="52" t="str">
        <f>IFERROR(__xludf.DUMMYFUNCTION("""COMPUTED_VALUE"""),"")</f>
        <v/>
      </c>
      <c r="Y896" s="52" t="str">
        <f>IFERROR(__xludf.DUMMYFUNCTION("""COMPUTED_VALUE"""),"")</f>
        <v/>
      </c>
      <c r="Z896" s="52" t="str">
        <f>IFERROR(__xludf.DUMMYFUNCTION("""COMPUTED_VALUE"""),"")</f>
        <v/>
      </c>
      <c r="AA896" s="52" t="str">
        <f>IFERROR(__xludf.DUMMYFUNCTION("""COMPUTED_VALUE"""),"")</f>
        <v/>
      </c>
      <c r="AB896" s="52" t="str">
        <f>IFERROR(__xludf.DUMMYFUNCTION("""COMPUTED_VALUE"""),"")</f>
        <v/>
      </c>
      <c r="AC896" s="52" t="str">
        <f>IFERROR(__xludf.DUMMYFUNCTION("""COMPUTED_VALUE"""),"")</f>
        <v/>
      </c>
      <c r="AD896" s="52" t="str">
        <f>IFERROR(__xludf.DUMMYFUNCTION("""COMPUTED_VALUE"""),"")</f>
        <v/>
      </c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</row>
    <row r="897">
      <c r="B897" s="49"/>
      <c r="C897" s="49" t="str">
        <f t="shared" si="2"/>
        <v/>
      </c>
      <c r="D897" s="50" t="str">
        <f t="shared" si="3"/>
        <v/>
      </c>
      <c r="E897" s="51" t="str">
        <f t="shared" ref="E897:T897" si="898">IFERROR(VLOOKUP($A897,INDIRECT("'" &amp; E$1 &amp; "'!$C:$G"), 5, FALSE),"")</f>
        <v/>
      </c>
      <c r="F897" s="51" t="str">
        <f t="shared" si="898"/>
        <v/>
      </c>
      <c r="G897" s="51" t="str">
        <f t="shared" si="898"/>
        <v/>
      </c>
      <c r="H897" s="51" t="str">
        <f t="shared" si="898"/>
        <v/>
      </c>
      <c r="I897" s="51" t="str">
        <f t="shared" si="898"/>
        <v/>
      </c>
      <c r="J897" s="51" t="str">
        <f t="shared" si="898"/>
        <v/>
      </c>
      <c r="K897" s="51" t="str">
        <f t="shared" si="898"/>
        <v/>
      </c>
      <c r="L897" s="51" t="str">
        <f t="shared" si="898"/>
        <v/>
      </c>
      <c r="M897" s="51" t="str">
        <f t="shared" si="898"/>
        <v/>
      </c>
      <c r="N897" s="51" t="str">
        <f t="shared" si="898"/>
        <v/>
      </c>
      <c r="O897" s="51" t="str">
        <f t="shared" si="898"/>
        <v/>
      </c>
      <c r="P897" s="51" t="str">
        <f t="shared" si="898"/>
        <v/>
      </c>
      <c r="Q897" s="51" t="str">
        <f t="shared" si="898"/>
        <v/>
      </c>
      <c r="R897" s="51" t="str">
        <f t="shared" si="898"/>
        <v/>
      </c>
      <c r="S897" s="51" t="str">
        <f t="shared" si="898"/>
        <v/>
      </c>
      <c r="T897" s="51" t="str">
        <f t="shared" si="898"/>
        <v/>
      </c>
      <c r="U897" s="52"/>
      <c r="V897" s="52" t="str">
        <f>IFERROR(__xludf.DUMMYFUNCTION("""COMPUTED_VALUE"""),"")</f>
        <v/>
      </c>
      <c r="W897" s="52" t="str">
        <f>IFERROR(__xludf.DUMMYFUNCTION("""COMPUTED_VALUE"""),"")</f>
        <v/>
      </c>
      <c r="X897" s="52" t="str">
        <f>IFERROR(__xludf.DUMMYFUNCTION("""COMPUTED_VALUE"""),"")</f>
        <v/>
      </c>
      <c r="Y897" s="52" t="str">
        <f>IFERROR(__xludf.DUMMYFUNCTION("""COMPUTED_VALUE"""),"")</f>
        <v/>
      </c>
      <c r="Z897" s="52" t="str">
        <f>IFERROR(__xludf.DUMMYFUNCTION("""COMPUTED_VALUE"""),"")</f>
        <v/>
      </c>
      <c r="AA897" s="52" t="str">
        <f>IFERROR(__xludf.DUMMYFUNCTION("""COMPUTED_VALUE"""),"")</f>
        <v/>
      </c>
      <c r="AB897" s="52" t="str">
        <f>IFERROR(__xludf.DUMMYFUNCTION("""COMPUTED_VALUE"""),"")</f>
        <v/>
      </c>
      <c r="AC897" s="52" t="str">
        <f>IFERROR(__xludf.DUMMYFUNCTION("""COMPUTED_VALUE"""),"")</f>
        <v/>
      </c>
      <c r="AD897" s="52" t="str">
        <f>IFERROR(__xludf.DUMMYFUNCTION("""COMPUTED_VALUE"""),"")</f>
        <v/>
      </c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</row>
    <row r="898">
      <c r="B898" s="49"/>
      <c r="C898" s="49" t="str">
        <f t="shared" si="2"/>
        <v/>
      </c>
      <c r="D898" s="50" t="str">
        <f t="shared" si="3"/>
        <v/>
      </c>
      <c r="E898" s="51" t="str">
        <f t="shared" ref="E898:T898" si="899">IFERROR(VLOOKUP($A898,INDIRECT("'" &amp; E$1 &amp; "'!$C:$G"), 5, FALSE),"")</f>
        <v/>
      </c>
      <c r="F898" s="51" t="str">
        <f t="shared" si="899"/>
        <v/>
      </c>
      <c r="G898" s="51" t="str">
        <f t="shared" si="899"/>
        <v/>
      </c>
      <c r="H898" s="51" t="str">
        <f t="shared" si="899"/>
        <v/>
      </c>
      <c r="I898" s="51" t="str">
        <f t="shared" si="899"/>
        <v/>
      </c>
      <c r="J898" s="51" t="str">
        <f t="shared" si="899"/>
        <v/>
      </c>
      <c r="K898" s="51" t="str">
        <f t="shared" si="899"/>
        <v/>
      </c>
      <c r="L898" s="51" t="str">
        <f t="shared" si="899"/>
        <v/>
      </c>
      <c r="M898" s="51" t="str">
        <f t="shared" si="899"/>
        <v/>
      </c>
      <c r="N898" s="51" t="str">
        <f t="shared" si="899"/>
        <v/>
      </c>
      <c r="O898" s="51" t="str">
        <f t="shared" si="899"/>
        <v/>
      </c>
      <c r="P898" s="51" t="str">
        <f t="shared" si="899"/>
        <v/>
      </c>
      <c r="Q898" s="51" t="str">
        <f t="shared" si="899"/>
        <v/>
      </c>
      <c r="R898" s="51" t="str">
        <f t="shared" si="899"/>
        <v/>
      </c>
      <c r="S898" s="51" t="str">
        <f t="shared" si="899"/>
        <v/>
      </c>
      <c r="T898" s="51" t="str">
        <f t="shared" si="899"/>
        <v/>
      </c>
      <c r="U898" s="52"/>
      <c r="V898" s="52" t="str">
        <f>IFERROR(__xludf.DUMMYFUNCTION("""COMPUTED_VALUE"""),"")</f>
        <v/>
      </c>
      <c r="W898" s="52" t="str">
        <f>IFERROR(__xludf.DUMMYFUNCTION("""COMPUTED_VALUE"""),"")</f>
        <v/>
      </c>
      <c r="X898" s="52" t="str">
        <f>IFERROR(__xludf.DUMMYFUNCTION("""COMPUTED_VALUE"""),"")</f>
        <v/>
      </c>
      <c r="Y898" s="52" t="str">
        <f>IFERROR(__xludf.DUMMYFUNCTION("""COMPUTED_VALUE"""),"")</f>
        <v/>
      </c>
      <c r="Z898" s="52" t="str">
        <f>IFERROR(__xludf.DUMMYFUNCTION("""COMPUTED_VALUE"""),"")</f>
        <v/>
      </c>
      <c r="AA898" s="52" t="str">
        <f>IFERROR(__xludf.DUMMYFUNCTION("""COMPUTED_VALUE"""),"")</f>
        <v/>
      </c>
      <c r="AB898" s="52" t="str">
        <f>IFERROR(__xludf.DUMMYFUNCTION("""COMPUTED_VALUE"""),"")</f>
        <v/>
      </c>
      <c r="AC898" s="52" t="str">
        <f>IFERROR(__xludf.DUMMYFUNCTION("""COMPUTED_VALUE"""),"")</f>
        <v/>
      </c>
      <c r="AD898" s="52" t="str">
        <f>IFERROR(__xludf.DUMMYFUNCTION("""COMPUTED_VALUE"""),"")</f>
        <v/>
      </c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</row>
    <row r="899">
      <c r="B899" s="49"/>
      <c r="C899" s="49" t="str">
        <f t="shared" si="2"/>
        <v/>
      </c>
      <c r="D899" s="50" t="str">
        <f t="shared" si="3"/>
        <v/>
      </c>
      <c r="E899" s="51" t="str">
        <f t="shared" ref="E899:T899" si="900">IFERROR(VLOOKUP($A899,INDIRECT("'" &amp; E$1 &amp; "'!$C:$G"), 5, FALSE),"")</f>
        <v/>
      </c>
      <c r="F899" s="51" t="str">
        <f t="shared" si="900"/>
        <v/>
      </c>
      <c r="G899" s="51" t="str">
        <f t="shared" si="900"/>
        <v/>
      </c>
      <c r="H899" s="51" t="str">
        <f t="shared" si="900"/>
        <v/>
      </c>
      <c r="I899" s="51" t="str">
        <f t="shared" si="900"/>
        <v/>
      </c>
      <c r="J899" s="51" t="str">
        <f t="shared" si="900"/>
        <v/>
      </c>
      <c r="K899" s="51" t="str">
        <f t="shared" si="900"/>
        <v/>
      </c>
      <c r="L899" s="51" t="str">
        <f t="shared" si="900"/>
        <v/>
      </c>
      <c r="M899" s="51" t="str">
        <f t="shared" si="900"/>
        <v/>
      </c>
      <c r="N899" s="51" t="str">
        <f t="shared" si="900"/>
        <v/>
      </c>
      <c r="O899" s="51" t="str">
        <f t="shared" si="900"/>
        <v/>
      </c>
      <c r="P899" s="51" t="str">
        <f t="shared" si="900"/>
        <v/>
      </c>
      <c r="Q899" s="51" t="str">
        <f t="shared" si="900"/>
        <v/>
      </c>
      <c r="R899" s="51" t="str">
        <f t="shared" si="900"/>
        <v/>
      </c>
      <c r="S899" s="51" t="str">
        <f t="shared" si="900"/>
        <v/>
      </c>
      <c r="T899" s="51" t="str">
        <f t="shared" si="900"/>
        <v/>
      </c>
      <c r="U899" s="52"/>
      <c r="V899" s="52" t="str">
        <f>IFERROR(__xludf.DUMMYFUNCTION("""COMPUTED_VALUE"""),"")</f>
        <v/>
      </c>
      <c r="W899" s="52" t="str">
        <f>IFERROR(__xludf.DUMMYFUNCTION("""COMPUTED_VALUE"""),"")</f>
        <v/>
      </c>
      <c r="X899" s="52" t="str">
        <f>IFERROR(__xludf.DUMMYFUNCTION("""COMPUTED_VALUE"""),"")</f>
        <v/>
      </c>
      <c r="Y899" s="52" t="str">
        <f>IFERROR(__xludf.DUMMYFUNCTION("""COMPUTED_VALUE"""),"")</f>
        <v/>
      </c>
      <c r="Z899" s="52" t="str">
        <f>IFERROR(__xludf.DUMMYFUNCTION("""COMPUTED_VALUE"""),"")</f>
        <v/>
      </c>
      <c r="AA899" s="52" t="str">
        <f>IFERROR(__xludf.DUMMYFUNCTION("""COMPUTED_VALUE"""),"")</f>
        <v/>
      </c>
      <c r="AB899" s="52" t="str">
        <f>IFERROR(__xludf.DUMMYFUNCTION("""COMPUTED_VALUE"""),"")</f>
        <v/>
      </c>
      <c r="AC899" s="52" t="str">
        <f>IFERROR(__xludf.DUMMYFUNCTION("""COMPUTED_VALUE"""),"")</f>
        <v/>
      </c>
      <c r="AD899" s="52" t="str">
        <f>IFERROR(__xludf.DUMMYFUNCTION("""COMPUTED_VALUE"""),"")</f>
        <v/>
      </c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</row>
    <row r="900">
      <c r="B900" s="49"/>
      <c r="C900" s="49" t="str">
        <f t="shared" si="2"/>
        <v/>
      </c>
      <c r="D900" s="50" t="str">
        <f t="shared" si="3"/>
        <v/>
      </c>
      <c r="E900" s="51" t="str">
        <f t="shared" ref="E900:T900" si="901">IFERROR(VLOOKUP($A900,INDIRECT("'" &amp; E$1 &amp; "'!$C:$G"), 5, FALSE),"")</f>
        <v/>
      </c>
      <c r="F900" s="51" t="str">
        <f t="shared" si="901"/>
        <v/>
      </c>
      <c r="G900" s="51" t="str">
        <f t="shared" si="901"/>
        <v/>
      </c>
      <c r="H900" s="51" t="str">
        <f t="shared" si="901"/>
        <v/>
      </c>
      <c r="I900" s="51" t="str">
        <f t="shared" si="901"/>
        <v/>
      </c>
      <c r="J900" s="51" t="str">
        <f t="shared" si="901"/>
        <v/>
      </c>
      <c r="K900" s="51" t="str">
        <f t="shared" si="901"/>
        <v/>
      </c>
      <c r="L900" s="51" t="str">
        <f t="shared" si="901"/>
        <v/>
      </c>
      <c r="M900" s="51" t="str">
        <f t="shared" si="901"/>
        <v/>
      </c>
      <c r="N900" s="51" t="str">
        <f t="shared" si="901"/>
        <v/>
      </c>
      <c r="O900" s="51" t="str">
        <f t="shared" si="901"/>
        <v/>
      </c>
      <c r="P900" s="51" t="str">
        <f t="shared" si="901"/>
        <v/>
      </c>
      <c r="Q900" s="51" t="str">
        <f t="shared" si="901"/>
        <v/>
      </c>
      <c r="R900" s="51" t="str">
        <f t="shared" si="901"/>
        <v/>
      </c>
      <c r="S900" s="51" t="str">
        <f t="shared" si="901"/>
        <v/>
      </c>
      <c r="T900" s="51" t="str">
        <f t="shared" si="901"/>
        <v/>
      </c>
      <c r="U900" s="52"/>
      <c r="V900" s="52" t="str">
        <f>IFERROR(__xludf.DUMMYFUNCTION("""COMPUTED_VALUE"""),"")</f>
        <v/>
      </c>
      <c r="W900" s="52" t="str">
        <f>IFERROR(__xludf.DUMMYFUNCTION("""COMPUTED_VALUE"""),"")</f>
        <v/>
      </c>
      <c r="X900" s="52" t="str">
        <f>IFERROR(__xludf.DUMMYFUNCTION("""COMPUTED_VALUE"""),"")</f>
        <v/>
      </c>
      <c r="Y900" s="52" t="str">
        <f>IFERROR(__xludf.DUMMYFUNCTION("""COMPUTED_VALUE"""),"")</f>
        <v/>
      </c>
      <c r="Z900" s="52" t="str">
        <f>IFERROR(__xludf.DUMMYFUNCTION("""COMPUTED_VALUE"""),"")</f>
        <v/>
      </c>
      <c r="AA900" s="52" t="str">
        <f>IFERROR(__xludf.DUMMYFUNCTION("""COMPUTED_VALUE"""),"")</f>
        <v/>
      </c>
      <c r="AB900" s="52" t="str">
        <f>IFERROR(__xludf.DUMMYFUNCTION("""COMPUTED_VALUE"""),"")</f>
        <v/>
      </c>
      <c r="AC900" s="52" t="str">
        <f>IFERROR(__xludf.DUMMYFUNCTION("""COMPUTED_VALUE"""),"")</f>
        <v/>
      </c>
      <c r="AD900" s="52" t="str">
        <f>IFERROR(__xludf.DUMMYFUNCTION("""COMPUTED_VALUE"""),"")</f>
        <v/>
      </c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</row>
    <row r="901">
      <c r="B901" s="49"/>
      <c r="C901" s="49" t="str">
        <f t="shared" si="2"/>
        <v/>
      </c>
      <c r="D901" s="50" t="str">
        <f t="shared" si="3"/>
        <v/>
      </c>
      <c r="E901" s="51" t="str">
        <f t="shared" ref="E901:T901" si="902">IFERROR(VLOOKUP($A901,INDIRECT("'" &amp; E$1 &amp; "'!$C:$G"), 5, FALSE),"")</f>
        <v/>
      </c>
      <c r="F901" s="51" t="str">
        <f t="shared" si="902"/>
        <v/>
      </c>
      <c r="G901" s="51" t="str">
        <f t="shared" si="902"/>
        <v/>
      </c>
      <c r="H901" s="51" t="str">
        <f t="shared" si="902"/>
        <v/>
      </c>
      <c r="I901" s="51" t="str">
        <f t="shared" si="902"/>
        <v/>
      </c>
      <c r="J901" s="51" t="str">
        <f t="shared" si="902"/>
        <v/>
      </c>
      <c r="K901" s="51" t="str">
        <f t="shared" si="902"/>
        <v/>
      </c>
      <c r="L901" s="51" t="str">
        <f t="shared" si="902"/>
        <v/>
      </c>
      <c r="M901" s="51" t="str">
        <f t="shared" si="902"/>
        <v/>
      </c>
      <c r="N901" s="51" t="str">
        <f t="shared" si="902"/>
        <v/>
      </c>
      <c r="O901" s="51" t="str">
        <f t="shared" si="902"/>
        <v/>
      </c>
      <c r="P901" s="51" t="str">
        <f t="shared" si="902"/>
        <v/>
      </c>
      <c r="Q901" s="51" t="str">
        <f t="shared" si="902"/>
        <v/>
      </c>
      <c r="R901" s="51" t="str">
        <f t="shared" si="902"/>
        <v/>
      </c>
      <c r="S901" s="51" t="str">
        <f t="shared" si="902"/>
        <v/>
      </c>
      <c r="T901" s="51" t="str">
        <f t="shared" si="902"/>
        <v/>
      </c>
      <c r="U901" s="52"/>
      <c r="V901" s="52" t="str">
        <f>IFERROR(__xludf.DUMMYFUNCTION("""COMPUTED_VALUE"""),"")</f>
        <v/>
      </c>
      <c r="W901" s="52" t="str">
        <f>IFERROR(__xludf.DUMMYFUNCTION("""COMPUTED_VALUE"""),"")</f>
        <v/>
      </c>
      <c r="X901" s="52" t="str">
        <f>IFERROR(__xludf.DUMMYFUNCTION("""COMPUTED_VALUE"""),"")</f>
        <v/>
      </c>
      <c r="Y901" s="52" t="str">
        <f>IFERROR(__xludf.DUMMYFUNCTION("""COMPUTED_VALUE"""),"")</f>
        <v/>
      </c>
      <c r="Z901" s="52" t="str">
        <f>IFERROR(__xludf.DUMMYFUNCTION("""COMPUTED_VALUE"""),"")</f>
        <v/>
      </c>
      <c r="AA901" s="52" t="str">
        <f>IFERROR(__xludf.DUMMYFUNCTION("""COMPUTED_VALUE"""),"")</f>
        <v/>
      </c>
      <c r="AB901" s="52" t="str">
        <f>IFERROR(__xludf.DUMMYFUNCTION("""COMPUTED_VALUE"""),"")</f>
        <v/>
      </c>
      <c r="AC901" s="52" t="str">
        <f>IFERROR(__xludf.DUMMYFUNCTION("""COMPUTED_VALUE"""),"")</f>
        <v/>
      </c>
      <c r="AD901" s="52" t="str">
        <f>IFERROR(__xludf.DUMMYFUNCTION("""COMPUTED_VALUE"""),"")</f>
        <v/>
      </c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</row>
    <row r="902">
      <c r="B902" s="49"/>
      <c r="C902" s="49" t="str">
        <f t="shared" si="2"/>
        <v/>
      </c>
      <c r="D902" s="50" t="str">
        <f t="shared" si="3"/>
        <v/>
      </c>
      <c r="E902" s="51" t="str">
        <f t="shared" ref="E902:T902" si="903">IFERROR(VLOOKUP($A902,INDIRECT("'" &amp; E$1 &amp; "'!$C:$G"), 5, FALSE),"")</f>
        <v/>
      </c>
      <c r="F902" s="51" t="str">
        <f t="shared" si="903"/>
        <v/>
      </c>
      <c r="G902" s="51" t="str">
        <f t="shared" si="903"/>
        <v/>
      </c>
      <c r="H902" s="51" t="str">
        <f t="shared" si="903"/>
        <v/>
      </c>
      <c r="I902" s="51" t="str">
        <f t="shared" si="903"/>
        <v/>
      </c>
      <c r="J902" s="51" t="str">
        <f t="shared" si="903"/>
        <v/>
      </c>
      <c r="K902" s="51" t="str">
        <f t="shared" si="903"/>
        <v/>
      </c>
      <c r="L902" s="51" t="str">
        <f t="shared" si="903"/>
        <v/>
      </c>
      <c r="M902" s="51" t="str">
        <f t="shared" si="903"/>
        <v/>
      </c>
      <c r="N902" s="51" t="str">
        <f t="shared" si="903"/>
        <v/>
      </c>
      <c r="O902" s="51" t="str">
        <f t="shared" si="903"/>
        <v/>
      </c>
      <c r="P902" s="51" t="str">
        <f t="shared" si="903"/>
        <v/>
      </c>
      <c r="Q902" s="51" t="str">
        <f t="shared" si="903"/>
        <v/>
      </c>
      <c r="R902" s="51" t="str">
        <f t="shared" si="903"/>
        <v/>
      </c>
      <c r="S902" s="51" t="str">
        <f t="shared" si="903"/>
        <v/>
      </c>
      <c r="T902" s="51" t="str">
        <f t="shared" si="903"/>
        <v/>
      </c>
      <c r="U902" s="52"/>
      <c r="V902" s="52" t="str">
        <f>IFERROR(__xludf.DUMMYFUNCTION("""COMPUTED_VALUE"""),"")</f>
        <v/>
      </c>
      <c r="W902" s="52" t="str">
        <f>IFERROR(__xludf.DUMMYFUNCTION("""COMPUTED_VALUE"""),"")</f>
        <v/>
      </c>
      <c r="X902" s="52" t="str">
        <f>IFERROR(__xludf.DUMMYFUNCTION("""COMPUTED_VALUE"""),"")</f>
        <v/>
      </c>
      <c r="Y902" s="52" t="str">
        <f>IFERROR(__xludf.DUMMYFUNCTION("""COMPUTED_VALUE"""),"")</f>
        <v/>
      </c>
      <c r="Z902" s="52" t="str">
        <f>IFERROR(__xludf.DUMMYFUNCTION("""COMPUTED_VALUE"""),"")</f>
        <v/>
      </c>
      <c r="AA902" s="52" t="str">
        <f>IFERROR(__xludf.DUMMYFUNCTION("""COMPUTED_VALUE"""),"")</f>
        <v/>
      </c>
      <c r="AB902" s="52" t="str">
        <f>IFERROR(__xludf.DUMMYFUNCTION("""COMPUTED_VALUE"""),"")</f>
        <v/>
      </c>
      <c r="AC902" s="52" t="str">
        <f>IFERROR(__xludf.DUMMYFUNCTION("""COMPUTED_VALUE"""),"")</f>
        <v/>
      </c>
      <c r="AD902" s="52" t="str">
        <f>IFERROR(__xludf.DUMMYFUNCTION("""COMPUTED_VALUE"""),"")</f>
        <v/>
      </c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</row>
    <row r="903">
      <c r="B903" s="49"/>
      <c r="C903" s="49" t="str">
        <f t="shared" si="2"/>
        <v/>
      </c>
      <c r="D903" s="50" t="str">
        <f t="shared" si="3"/>
        <v/>
      </c>
      <c r="E903" s="51" t="str">
        <f t="shared" ref="E903:T903" si="904">IFERROR(VLOOKUP($A903,INDIRECT("'" &amp; E$1 &amp; "'!$C:$G"), 5, FALSE),"")</f>
        <v/>
      </c>
      <c r="F903" s="51" t="str">
        <f t="shared" si="904"/>
        <v/>
      </c>
      <c r="G903" s="51" t="str">
        <f t="shared" si="904"/>
        <v/>
      </c>
      <c r="H903" s="51" t="str">
        <f t="shared" si="904"/>
        <v/>
      </c>
      <c r="I903" s="51" t="str">
        <f t="shared" si="904"/>
        <v/>
      </c>
      <c r="J903" s="51" t="str">
        <f t="shared" si="904"/>
        <v/>
      </c>
      <c r="K903" s="51" t="str">
        <f t="shared" si="904"/>
        <v/>
      </c>
      <c r="L903" s="51" t="str">
        <f t="shared" si="904"/>
        <v/>
      </c>
      <c r="M903" s="51" t="str">
        <f t="shared" si="904"/>
        <v/>
      </c>
      <c r="N903" s="51" t="str">
        <f t="shared" si="904"/>
        <v/>
      </c>
      <c r="O903" s="51" t="str">
        <f t="shared" si="904"/>
        <v/>
      </c>
      <c r="P903" s="51" t="str">
        <f t="shared" si="904"/>
        <v/>
      </c>
      <c r="Q903" s="51" t="str">
        <f t="shared" si="904"/>
        <v/>
      </c>
      <c r="R903" s="51" t="str">
        <f t="shared" si="904"/>
        <v/>
      </c>
      <c r="S903" s="51" t="str">
        <f t="shared" si="904"/>
        <v/>
      </c>
      <c r="T903" s="51" t="str">
        <f t="shared" si="904"/>
        <v/>
      </c>
      <c r="U903" s="52"/>
      <c r="V903" s="52" t="str">
        <f>IFERROR(__xludf.DUMMYFUNCTION("""COMPUTED_VALUE"""),"")</f>
        <v/>
      </c>
      <c r="W903" s="52" t="str">
        <f>IFERROR(__xludf.DUMMYFUNCTION("""COMPUTED_VALUE"""),"")</f>
        <v/>
      </c>
      <c r="X903" s="52" t="str">
        <f>IFERROR(__xludf.DUMMYFUNCTION("""COMPUTED_VALUE"""),"")</f>
        <v/>
      </c>
      <c r="Y903" s="52" t="str">
        <f>IFERROR(__xludf.DUMMYFUNCTION("""COMPUTED_VALUE"""),"")</f>
        <v/>
      </c>
      <c r="Z903" s="52" t="str">
        <f>IFERROR(__xludf.DUMMYFUNCTION("""COMPUTED_VALUE"""),"")</f>
        <v/>
      </c>
      <c r="AA903" s="52" t="str">
        <f>IFERROR(__xludf.DUMMYFUNCTION("""COMPUTED_VALUE"""),"")</f>
        <v/>
      </c>
      <c r="AB903" s="52" t="str">
        <f>IFERROR(__xludf.DUMMYFUNCTION("""COMPUTED_VALUE"""),"")</f>
        <v/>
      </c>
      <c r="AC903" s="52" t="str">
        <f>IFERROR(__xludf.DUMMYFUNCTION("""COMPUTED_VALUE"""),"")</f>
        <v/>
      </c>
      <c r="AD903" s="52" t="str">
        <f>IFERROR(__xludf.DUMMYFUNCTION("""COMPUTED_VALUE"""),"")</f>
        <v/>
      </c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</row>
    <row r="904">
      <c r="B904" s="49"/>
      <c r="C904" s="49" t="str">
        <f t="shared" si="2"/>
        <v/>
      </c>
      <c r="D904" s="50" t="str">
        <f t="shared" si="3"/>
        <v/>
      </c>
      <c r="E904" s="51" t="str">
        <f t="shared" ref="E904:T904" si="905">IFERROR(VLOOKUP($A904,INDIRECT("'" &amp; E$1 &amp; "'!$C:$G"), 5, FALSE),"")</f>
        <v/>
      </c>
      <c r="F904" s="51" t="str">
        <f t="shared" si="905"/>
        <v/>
      </c>
      <c r="G904" s="51" t="str">
        <f t="shared" si="905"/>
        <v/>
      </c>
      <c r="H904" s="51" t="str">
        <f t="shared" si="905"/>
        <v/>
      </c>
      <c r="I904" s="51" t="str">
        <f t="shared" si="905"/>
        <v/>
      </c>
      <c r="J904" s="51" t="str">
        <f t="shared" si="905"/>
        <v/>
      </c>
      <c r="K904" s="51" t="str">
        <f t="shared" si="905"/>
        <v/>
      </c>
      <c r="L904" s="51" t="str">
        <f t="shared" si="905"/>
        <v/>
      </c>
      <c r="M904" s="51" t="str">
        <f t="shared" si="905"/>
        <v/>
      </c>
      <c r="N904" s="51" t="str">
        <f t="shared" si="905"/>
        <v/>
      </c>
      <c r="O904" s="51" t="str">
        <f t="shared" si="905"/>
        <v/>
      </c>
      <c r="P904" s="51" t="str">
        <f t="shared" si="905"/>
        <v/>
      </c>
      <c r="Q904" s="51" t="str">
        <f t="shared" si="905"/>
        <v/>
      </c>
      <c r="R904" s="51" t="str">
        <f t="shared" si="905"/>
        <v/>
      </c>
      <c r="S904" s="51" t="str">
        <f t="shared" si="905"/>
        <v/>
      </c>
      <c r="T904" s="51" t="str">
        <f t="shared" si="905"/>
        <v/>
      </c>
      <c r="U904" s="52"/>
      <c r="V904" s="52" t="str">
        <f>IFERROR(__xludf.DUMMYFUNCTION("""COMPUTED_VALUE"""),"")</f>
        <v/>
      </c>
      <c r="W904" s="52" t="str">
        <f>IFERROR(__xludf.DUMMYFUNCTION("""COMPUTED_VALUE"""),"")</f>
        <v/>
      </c>
      <c r="X904" s="52" t="str">
        <f>IFERROR(__xludf.DUMMYFUNCTION("""COMPUTED_VALUE"""),"")</f>
        <v/>
      </c>
      <c r="Y904" s="52" t="str">
        <f>IFERROR(__xludf.DUMMYFUNCTION("""COMPUTED_VALUE"""),"")</f>
        <v/>
      </c>
      <c r="Z904" s="52" t="str">
        <f>IFERROR(__xludf.DUMMYFUNCTION("""COMPUTED_VALUE"""),"")</f>
        <v/>
      </c>
      <c r="AA904" s="52" t="str">
        <f>IFERROR(__xludf.DUMMYFUNCTION("""COMPUTED_VALUE"""),"")</f>
        <v/>
      </c>
      <c r="AB904" s="52" t="str">
        <f>IFERROR(__xludf.DUMMYFUNCTION("""COMPUTED_VALUE"""),"")</f>
        <v/>
      </c>
      <c r="AC904" s="52" t="str">
        <f>IFERROR(__xludf.DUMMYFUNCTION("""COMPUTED_VALUE"""),"")</f>
        <v/>
      </c>
      <c r="AD904" s="52" t="str">
        <f>IFERROR(__xludf.DUMMYFUNCTION("""COMPUTED_VALUE"""),"")</f>
        <v/>
      </c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</row>
    <row r="905">
      <c r="B905" s="49"/>
      <c r="C905" s="49" t="str">
        <f t="shared" si="2"/>
        <v/>
      </c>
      <c r="D905" s="50" t="str">
        <f t="shared" si="3"/>
        <v/>
      </c>
      <c r="E905" s="51" t="str">
        <f t="shared" ref="E905:T905" si="906">IFERROR(VLOOKUP($A905,INDIRECT("'" &amp; E$1 &amp; "'!$C:$G"), 5, FALSE),"")</f>
        <v/>
      </c>
      <c r="F905" s="51" t="str">
        <f t="shared" si="906"/>
        <v/>
      </c>
      <c r="G905" s="51" t="str">
        <f t="shared" si="906"/>
        <v/>
      </c>
      <c r="H905" s="51" t="str">
        <f t="shared" si="906"/>
        <v/>
      </c>
      <c r="I905" s="51" t="str">
        <f t="shared" si="906"/>
        <v/>
      </c>
      <c r="J905" s="51" t="str">
        <f t="shared" si="906"/>
        <v/>
      </c>
      <c r="K905" s="51" t="str">
        <f t="shared" si="906"/>
        <v/>
      </c>
      <c r="L905" s="51" t="str">
        <f t="shared" si="906"/>
        <v/>
      </c>
      <c r="M905" s="51" t="str">
        <f t="shared" si="906"/>
        <v/>
      </c>
      <c r="N905" s="51" t="str">
        <f t="shared" si="906"/>
        <v/>
      </c>
      <c r="O905" s="51" t="str">
        <f t="shared" si="906"/>
        <v/>
      </c>
      <c r="P905" s="51" t="str">
        <f t="shared" si="906"/>
        <v/>
      </c>
      <c r="Q905" s="51" t="str">
        <f t="shared" si="906"/>
        <v/>
      </c>
      <c r="R905" s="51" t="str">
        <f t="shared" si="906"/>
        <v/>
      </c>
      <c r="S905" s="51" t="str">
        <f t="shared" si="906"/>
        <v/>
      </c>
      <c r="T905" s="51" t="str">
        <f t="shared" si="906"/>
        <v/>
      </c>
      <c r="U905" s="52"/>
      <c r="V905" s="52" t="str">
        <f>IFERROR(__xludf.DUMMYFUNCTION("""COMPUTED_VALUE"""),"")</f>
        <v/>
      </c>
      <c r="W905" s="52" t="str">
        <f>IFERROR(__xludf.DUMMYFUNCTION("""COMPUTED_VALUE"""),"")</f>
        <v/>
      </c>
      <c r="X905" s="52" t="str">
        <f>IFERROR(__xludf.DUMMYFUNCTION("""COMPUTED_VALUE"""),"")</f>
        <v/>
      </c>
      <c r="Y905" s="52" t="str">
        <f>IFERROR(__xludf.DUMMYFUNCTION("""COMPUTED_VALUE"""),"")</f>
        <v/>
      </c>
      <c r="Z905" s="52" t="str">
        <f>IFERROR(__xludf.DUMMYFUNCTION("""COMPUTED_VALUE"""),"")</f>
        <v/>
      </c>
      <c r="AA905" s="52" t="str">
        <f>IFERROR(__xludf.DUMMYFUNCTION("""COMPUTED_VALUE"""),"")</f>
        <v/>
      </c>
      <c r="AB905" s="52" t="str">
        <f>IFERROR(__xludf.DUMMYFUNCTION("""COMPUTED_VALUE"""),"")</f>
        <v/>
      </c>
      <c r="AC905" s="52" t="str">
        <f>IFERROR(__xludf.DUMMYFUNCTION("""COMPUTED_VALUE"""),"")</f>
        <v/>
      </c>
      <c r="AD905" s="52" t="str">
        <f>IFERROR(__xludf.DUMMYFUNCTION("""COMPUTED_VALUE"""),"")</f>
        <v/>
      </c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</row>
    <row r="906">
      <c r="B906" s="49"/>
      <c r="C906" s="49" t="str">
        <f t="shared" si="2"/>
        <v/>
      </c>
      <c r="D906" s="50" t="str">
        <f t="shared" si="3"/>
        <v/>
      </c>
      <c r="E906" s="51" t="str">
        <f t="shared" ref="E906:T906" si="907">IFERROR(VLOOKUP($A906,INDIRECT("'" &amp; E$1 &amp; "'!$C:$G"), 5, FALSE),"")</f>
        <v/>
      </c>
      <c r="F906" s="51" t="str">
        <f t="shared" si="907"/>
        <v/>
      </c>
      <c r="G906" s="51" t="str">
        <f t="shared" si="907"/>
        <v/>
      </c>
      <c r="H906" s="51" t="str">
        <f t="shared" si="907"/>
        <v/>
      </c>
      <c r="I906" s="51" t="str">
        <f t="shared" si="907"/>
        <v/>
      </c>
      <c r="J906" s="51" t="str">
        <f t="shared" si="907"/>
        <v/>
      </c>
      <c r="K906" s="51" t="str">
        <f t="shared" si="907"/>
        <v/>
      </c>
      <c r="L906" s="51" t="str">
        <f t="shared" si="907"/>
        <v/>
      </c>
      <c r="M906" s="51" t="str">
        <f t="shared" si="907"/>
        <v/>
      </c>
      <c r="N906" s="51" t="str">
        <f t="shared" si="907"/>
        <v/>
      </c>
      <c r="O906" s="51" t="str">
        <f t="shared" si="907"/>
        <v/>
      </c>
      <c r="P906" s="51" t="str">
        <f t="shared" si="907"/>
        <v/>
      </c>
      <c r="Q906" s="51" t="str">
        <f t="shared" si="907"/>
        <v/>
      </c>
      <c r="R906" s="51" t="str">
        <f t="shared" si="907"/>
        <v/>
      </c>
      <c r="S906" s="51" t="str">
        <f t="shared" si="907"/>
        <v/>
      </c>
      <c r="T906" s="51" t="str">
        <f t="shared" si="907"/>
        <v/>
      </c>
      <c r="U906" s="52"/>
      <c r="V906" s="52" t="str">
        <f>IFERROR(__xludf.DUMMYFUNCTION("""COMPUTED_VALUE"""),"")</f>
        <v/>
      </c>
      <c r="W906" s="52" t="str">
        <f>IFERROR(__xludf.DUMMYFUNCTION("""COMPUTED_VALUE"""),"")</f>
        <v/>
      </c>
      <c r="X906" s="52" t="str">
        <f>IFERROR(__xludf.DUMMYFUNCTION("""COMPUTED_VALUE"""),"")</f>
        <v/>
      </c>
      <c r="Y906" s="52" t="str">
        <f>IFERROR(__xludf.DUMMYFUNCTION("""COMPUTED_VALUE"""),"")</f>
        <v/>
      </c>
      <c r="Z906" s="52" t="str">
        <f>IFERROR(__xludf.DUMMYFUNCTION("""COMPUTED_VALUE"""),"")</f>
        <v/>
      </c>
      <c r="AA906" s="52" t="str">
        <f>IFERROR(__xludf.DUMMYFUNCTION("""COMPUTED_VALUE"""),"")</f>
        <v/>
      </c>
      <c r="AB906" s="52" t="str">
        <f>IFERROR(__xludf.DUMMYFUNCTION("""COMPUTED_VALUE"""),"")</f>
        <v/>
      </c>
      <c r="AC906" s="52" t="str">
        <f>IFERROR(__xludf.DUMMYFUNCTION("""COMPUTED_VALUE"""),"")</f>
        <v/>
      </c>
      <c r="AD906" s="52" t="str">
        <f>IFERROR(__xludf.DUMMYFUNCTION("""COMPUTED_VALUE"""),"")</f>
        <v/>
      </c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</row>
    <row r="907">
      <c r="B907" s="49"/>
      <c r="C907" s="49" t="str">
        <f t="shared" si="2"/>
        <v/>
      </c>
      <c r="D907" s="50" t="str">
        <f t="shared" si="3"/>
        <v/>
      </c>
      <c r="E907" s="51" t="str">
        <f t="shared" ref="E907:T907" si="908">IFERROR(VLOOKUP($A907,INDIRECT("'" &amp; E$1 &amp; "'!$C:$G"), 5, FALSE),"")</f>
        <v/>
      </c>
      <c r="F907" s="51" t="str">
        <f t="shared" si="908"/>
        <v/>
      </c>
      <c r="G907" s="51" t="str">
        <f t="shared" si="908"/>
        <v/>
      </c>
      <c r="H907" s="51" t="str">
        <f t="shared" si="908"/>
        <v/>
      </c>
      <c r="I907" s="51" t="str">
        <f t="shared" si="908"/>
        <v/>
      </c>
      <c r="J907" s="51" t="str">
        <f t="shared" si="908"/>
        <v/>
      </c>
      <c r="K907" s="51" t="str">
        <f t="shared" si="908"/>
        <v/>
      </c>
      <c r="L907" s="51" t="str">
        <f t="shared" si="908"/>
        <v/>
      </c>
      <c r="M907" s="51" t="str">
        <f t="shared" si="908"/>
        <v/>
      </c>
      <c r="N907" s="51" t="str">
        <f t="shared" si="908"/>
        <v/>
      </c>
      <c r="O907" s="51" t="str">
        <f t="shared" si="908"/>
        <v/>
      </c>
      <c r="P907" s="51" t="str">
        <f t="shared" si="908"/>
        <v/>
      </c>
      <c r="Q907" s="51" t="str">
        <f t="shared" si="908"/>
        <v/>
      </c>
      <c r="R907" s="51" t="str">
        <f t="shared" si="908"/>
        <v/>
      </c>
      <c r="S907" s="51" t="str">
        <f t="shared" si="908"/>
        <v/>
      </c>
      <c r="T907" s="51" t="str">
        <f t="shared" si="908"/>
        <v/>
      </c>
      <c r="U907" s="52"/>
      <c r="V907" s="52" t="str">
        <f>IFERROR(__xludf.DUMMYFUNCTION("""COMPUTED_VALUE"""),"")</f>
        <v/>
      </c>
      <c r="W907" s="52" t="str">
        <f>IFERROR(__xludf.DUMMYFUNCTION("""COMPUTED_VALUE"""),"")</f>
        <v/>
      </c>
      <c r="X907" s="52" t="str">
        <f>IFERROR(__xludf.DUMMYFUNCTION("""COMPUTED_VALUE"""),"")</f>
        <v/>
      </c>
      <c r="Y907" s="52" t="str">
        <f>IFERROR(__xludf.DUMMYFUNCTION("""COMPUTED_VALUE"""),"")</f>
        <v/>
      </c>
      <c r="Z907" s="52" t="str">
        <f>IFERROR(__xludf.DUMMYFUNCTION("""COMPUTED_VALUE"""),"")</f>
        <v/>
      </c>
      <c r="AA907" s="52" t="str">
        <f>IFERROR(__xludf.DUMMYFUNCTION("""COMPUTED_VALUE"""),"")</f>
        <v/>
      </c>
      <c r="AB907" s="52" t="str">
        <f>IFERROR(__xludf.DUMMYFUNCTION("""COMPUTED_VALUE"""),"")</f>
        <v/>
      </c>
      <c r="AC907" s="52" t="str">
        <f>IFERROR(__xludf.DUMMYFUNCTION("""COMPUTED_VALUE"""),"")</f>
        <v/>
      </c>
      <c r="AD907" s="52" t="str">
        <f>IFERROR(__xludf.DUMMYFUNCTION("""COMPUTED_VALUE"""),"")</f>
        <v/>
      </c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</row>
    <row r="908">
      <c r="B908" s="49"/>
      <c r="C908" s="49" t="str">
        <f t="shared" si="2"/>
        <v/>
      </c>
      <c r="D908" s="50" t="str">
        <f t="shared" si="3"/>
        <v/>
      </c>
      <c r="E908" s="51" t="str">
        <f t="shared" ref="E908:T908" si="909">IFERROR(VLOOKUP($A908,INDIRECT("'" &amp; E$1 &amp; "'!$C:$G"), 5, FALSE),"")</f>
        <v/>
      </c>
      <c r="F908" s="51" t="str">
        <f t="shared" si="909"/>
        <v/>
      </c>
      <c r="G908" s="51" t="str">
        <f t="shared" si="909"/>
        <v/>
      </c>
      <c r="H908" s="51" t="str">
        <f t="shared" si="909"/>
        <v/>
      </c>
      <c r="I908" s="51" t="str">
        <f t="shared" si="909"/>
        <v/>
      </c>
      <c r="J908" s="51" t="str">
        <f t="shared" si="909"/>
        <v/>
      </c>
      <c r="K908" s="51" t="str">
        <f t="shared" si="909"/>
        <v/>
      </c>
      <c r="L908" s="51" t="str">
        <f t="shared" si="909"/>
        <v/>
      </c>
      <c r="M908" s="51" t="str">
        <f t="shared" si="909"/>
        <v/>
      </c>
      <c r="N908" s="51" t="str">
        <f t="shared" si="909"/>
        <v/>
      </c>
      <c r="O908" s="51" t="str">
        <f t="shared" si="909"/>
        <v/>
      </c>
      <c r="P908" s="51" t="str">
        <f t="shared" si="909"/>
        <v/>
      </c>
      <c r="Q908" s="51" t="str">
        <f t="shared" si="909"/>
        <v/>
      </c>
      <c r="R908" s="51" t="str">
        <f t="shared" si="909"/>
        <v/>
      </c>
      <c r="S908" s="51" t="str">
        <f t="shared" si="909"/>
        <v/>
      </c>
      <c r="T908" s="51" t="str">
        <f t="shared" si="909"/>
        <v/>
      </c>
      <c r="U908" s="52"/>
      <c r="V908" s="52" t="str">
        <f>IFERROR(__xludf.DUMMYFUNCTION("""COMPUTED_VALUE"""),"")</f>
        <v/>
      </c>
      <c r="W908" s="52" t="str">
        <f>IFERROR(__xludf.DUMMYFUNCTION("""COMPUTED_VALUE"""),"")</f>
        <v/>
      </c>
      <c r="X908" s="52" t="str">
        <f>IFERROR(__xludf.DUMMYFUNCTION("""COMPUTED_VALUE"""),"")</f>
        <v/>
      </c>
      <c r="Y908" s="52" t="str">
        <f>IFERROR(__xludf.DUMMYFUNCTION("""COMPUTED_VALUE"""),"")</f>
        <v/>
      </c>
      <c r="Z908" s="52" t="str">
        <f>IFERROR(__xludf.DUMMYFUNCTION("""COMPUTED_VALUE"""),"")</f>
        <v/>
      </c>
      <c r="AA908" s="52" t="str">
        <f>IFERROR(__xludf.DUMMYFUNCTION("""COMPUTED_VALUE"""),"")</f>
        <v/>
      </c>
      <c r="AB908" s="52" t="str">
        <f>IFERROR(__xludf.DUMMYFUNCTION("""COMPUTED_VALUE"""),"")</f>
        <v/>
      </c>
      <c r="AC908" s="52" t="str">
        <f>IFERROR(__xludf.DUMMYFUNCTION("""COMPUTED_VALUE"""),"")</f>
        <v/>
      </c>
      <c r="AD908" s="52" t="str">
        <f>IFERROR(__xludf.DUMMYFUNCTION("""COMPUTED_VALUE"""),"")</f>
        <v/>
      </c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</row>
    <row r="909">
      <c r="B909" s="49"/>
      <c r="C909" s="49" t="str">
        <f t="shared" si="2"/>
        <v/>
      </c>
      <c r="D909" s="50" t="str">
        <f t="shared" si="3"/>
        <v/>
      </c>
      <c r="E909" s="51" t="str">
        <f t="shared" ref="E909:T909" si="910">IFERROR(VLOOKUP($A909,INDIRECT("'" &amp; E$1 &amp; "'!$C:$G"), 5, FALSE),"")</f>
        <v/>
      </c>
      <c r="F909" s="51" t="str">
        <f t="shared" si="910"/>
        <v/>
      </c>
      <c r="G909" s="51" t="str">
        <f t="shared" si="910"/>
        <v/>
      </c>
      <c r="H909" s="51" t="str">
        <f t="shared" si="910"/>
        <v/>
      </c>
      <c r="I909" s="51" t="str">
        <f t="shared" si="910"/>
        <v/>
      </c>
      <c r="J909" s="51" t="str">
        <f t="shared" si="910"/>
        <v/>
      </c>
      <c r="K909" s="51" t="str">
        <f t="shared" si="910"/>
        <v/>
      </c>
      <c r="L909" s="51" t="str">
        <f t="shared" si="910"/>
        <v/>
      </c>
      <c r="M909" s="51" t="str">
        <f t="shared" si="910"/>
        <v/>
      </c>
      <c r="N909" s="51" t="str">
        <f t="shared" si="910"/>
        <v/>
      </c>
      <c r="O909" s="51" t="str">
        <f t="shared" si="910"/>
        <v/>
      </c>
      <c r="P909" s="51" t="str">
        <f t="shared" si="910"/>
        <v/>
      </c>
      <c r="Q909" s="51" t="str">
        <f t="shared" si="910"/>
        <v/>
      </c>
      <c r="R909" s="51" t="str">
        <f t="shared" si="910"/>
        <v/>
      </c>
      <c r="S909" s="51" t="str">
        <f t="shared" si="910"/>
        <v/>
      </c>
      <c r="T909" s="51" t="str">
        <f t="shared" si="910"/>
        <v/>
      </c>
      <c r="U909" s="52"/>
      <c r="V909" s="52" t="str">
        <f>IFERROR(__xludf.DUMMYFUNCTION("""COMPUTED_VALUE"""),"")</f>
        <v/>
      </c>
      <c r="W909" s="52" t="str">
        <f>IFERROR(__xludf.DUMMYFUNCTION("""COMPUTED_VALUE"""),"")</f>
        <v/>
      </c>
      <c r="X909" s="52" t="str">
        <f>IFERROR(__xludf.DUMMYFUNCTION("""COMPUTED_VALUE"""),"")</f>
        <v/>
      </c>
      <c r="Y909" s="52" t="str">
        <f>IFERROR(__xludf.DUMMYFUNCTION("""COMPUTED_VALUE"""),"")</f>
        <v/>
      </c>
      <c r="Z909" s="52" t="str">
        <f>IFERROR(__xludf.DUMMYFUNCTION("""COMPUTED_VALUE"""),"")</f>
        <v/>
      </c>
      <c r="AA909" s="52" t="str">
        <f>IFERROR(__xludf.DUMMYFUNCTION("""COMPUTED_VALUE"""),"")</f>
        <v/>
      </c>
      <c r="AB909" s="52" t="str">
        <f>IFERROR(__xludf.DUMMYFUNCTION("""COMPUTED_VALUE"""),"")</f>
        <v/>
      </c>
      <c r="AC909" s="52" t="str">
        <f>IFERROR(__xludf.DUMMYFUNCTION("""COMPUTED_VALUE"""),"")</f>
        <v/>
      </c>
      <c r="AD909" s="52" t="str">
        <f>IFERROR(__xludf.DUMMYFUNCTION("""COMPUTED_VALUE"""),"")</f>
        <v/>
      </c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</row>
    <row r="910">
      <c r="B910" s="49"/>
      <c r="C910" s="49" t="str">
        <f t="shared" si="2"/>
        <v/>
      </c>
      <c r="D910" s="50" t="str">
        <f t="shared" si="3"/>
        <v/>
      </c>
      <c r="E910" s="51" t="str">
        <f t="shared" ref="E910:T910" si="911">IFERROR(VLOOKUP($A910,INDIRECT("'" &amp; E$1 &amp; "'!$C:$G"), 5, FALSE),"")</f>
        <v/>
      </c>
      <c r="F910" s="51" t="str">
        <f t="shared" si="911"/>
        <v/>
      </c>
      <c r="G910" s="51" t="str">
        <f t="shared" si="911"/>
        <v/>
      </c>
      <c r="H910" s="51" t="str">
        <f t="shared" si="911"/>
        <v/>
      </c>
      <c r="I910" s="51" t="str">
        <f t="shared" si="911"/>
        <v/>
      </c>
      <c r="J910" s="51" t="str">
        <f t="shared" si="911"/>
        <v/>
      </c>
      <c r="K910" s="51" t="str">
        <f t="shared" si="911"/>
        <v/>
      </c>
      <c r="L910" s="51" t="str">
        <f t="shared" si="911"/>
        <v/>
      </c>
      <c r="M910" s="51" t="str">
        <f t="shared" si="911"/>
        <v/>
      </c>
      <c r="N910" s="51" t="str">
        <f t="shared" si="911"/>
        <v/>
      </c>
      <c r="O910" s="51" t="str">
        <f t="shared" si="911"/>
        <v/>
      </c>
      <c r="P910" s="51" t="str">
        <f t="shared" si="911"/>
        <v/>
      </c>
      <c r="Q910" s="51" t="str">
        <f t="shared" si="911"/>
        <v/>
      </c>
      <c r="R910" s="51" t="str">
        <f t="shared" si="911"/>
        <v/>
      </c>
      <c r="S910" s="51" t="str">
        <f t="shared" si="911"/>
        <v/>
      </c>
      <c r="T910" s="51" t="str">
        <f t="shared" si="911"/>
        <v/>
      </c>
      <c r="U910" s="52"/>
      <c r="V910" s="52" t="str">
        <f>IFERROR(__xludf.DUMMYFUNCTION("""COMPUTED_VALUE"""),"")</f>
        <v/>
      </c>
      <c r="W910" s="52" t="str">
        <f>IFERROR(__xludf.DUMMYFUNCTION("""COMPUTED_VALUE"""),"")</f>
        <v/>
      </c>
      <c r="X910" s="52" t="str">
        <f>IFERROR(__xludf.DUMMYFUNCTION("""COMPUTED_VALUE"""),"")</f>
        <v/>
      </c>
      <c r="Y910" s="52" t="str">
        <f>IFERROR(__xludf.DUMMYFUNCTION("""COMPUTED_VALUE"""),"")</f>
        <v/>
      </c>
      <c r="Z910" s="52" t="str">
        <f>IFERROR(__xludf.DUMMYFUNCTION("""COMPUTED_VALUE"""),"")</f>
        <v/>
      </c>
      <c r="AA910" s="52" t="str">
        <f>IFERROR(__xludf.DUMMYFUNCTION("""COMPUTED_VALUE"""),"")</f>
        <v/>
      </c>
      <c r="AB910" s="52" t="str">
        <f>IFERROR(__xludf.DUMMYFUNCTION("""COMPUTED_VALUE"""),"")</f>
        <v/>
      </c>
      <c r="AC910" s="52" t="str">
        <f>IFERROR(__xludf.DUMMYFUNCTION("""COMPUTED_VALUE"""),"")</f>
        <v/>
      </c>
      <c r="AD910" s="52" t="str">
        <f>IFERROR(__xludf.DUMMYFUNCTION("""COMPUTED_VALUE"""),"")</f>
        <v/>
      </c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</row>
    <row r="911">
      <c r="B911" s="49"/>
      <c r="C911" s="49" t="str">
        <f t="shared" si="2"/>
        <v/>
      </c>
      <c r="D911" s="50" t="str">
        <f t="shared" si="3"/>
        <v/>
      </c>
      <c r="E911" s="51" t="str">
        <f t="shared" ref="E911:T911" si="912">IFERROR(VLOOKUP($A911,INDIRECT("'" &amp; E$1 &amp; "'!$C:$G"), 5, FALSE),"")</f>
        <v/>
      </c>
      <c r="F911" s="51" t="str">
        <f t="shared" si="912"/>
        <v/>
      </c>
      <c r="G911" s="51" t="str">
        <f t="shared" si="912"/>
        <v/>
      </c>
      <c r="H911" s="51" t="str">
        <f t="shared" si="912"/>
        <v/>
      </c>
      <c r="I911" s="51" t="str">
        <f t="shared" si="912"/>
        <v/>
      </c>
      <c r="J911" s="51" t="str">
        <f t="shared" si="912"/>
        <v/>
      </c>
      <c r="K911" s="51" t="str">
        <f t="shared" si="912"/>
        <v/>
      </c>
      <c r="L911" s="51" t="str">
        <f t="shared" si="912"/>
        <v/>
      </c>
      <c r="M911" s="51" t="str">
        <f t="shared" si="912"/>
        <v/>
      </c>
      <c r="N911" s="51" t="str">
        <f t="shared" si="912"/>
        <v/>
      </c>
      <c r="O911" s="51" t="str">
        <f t="shared" si="912"/>
        <v/>
      </c>
      <c r="P911" s="51" t="str">
        <f t="shared" si="912"/>
        <v/>
      </c>
      <c r="Q911" s="51" t="str">
        <f t="shared" si="912"/>
        <v/>
      </c>
      <c r="R911" s="51" t="str">
        <f t="shared" si="912"/>
        <v/>
      </c>
      <c r="S911" s="51" t="str">
        <f t="shared" si="912"/>
        <v/>
      </c>
      <c r="T911" s="51" t="str">
        <f t="shared" si="912"/>
        <v/>
      </c>
      <c r="U911" s="52"/>
      <c r="V911" s="52" t="str">
        <f>IFERROR(__xludf.DUMMYFUNCTION("""COMPUTED_VALUE"""),"")</f>
        <v/>
      </c>
      <c r="W911" s="52" t="str">
        <f>IFERROR(__xludf.DUMMYFUNCTION("""COMPUTED_VALUE"""),"")</f>
        <v/>
      </c>
      <c r="X911" s="52" t="str">
        <f>IFERROR(__xludf.DUMMYFUNCTION("""COMPUTED_VALUE"""),"")</f>
        <v/>
      </c>
      <c r="Y911" s="52" t="str">
        <f>IFERROR(__xludf.DUMMYFUNCTION("""COMPUTED_VALUE"""),"")</f>
        <v/>
      </c>
      <c r="Z911" s="52" t="str">
        <f>IFERROR(__xludf.DUMMYFUNCTION("""COMPUTED_VALUE"""),"")</f>
        <v/>
      </c>
      <c r="AA911" s="52" t="str">
        <f>IFERROR(__xludf.DUMMYFUNCTION("""COMPUTED_VALUE"""),"")</f>
        <v/>
      </c>
      <c r="AB911" s="52" t="str">
        <f>IFERROR(__xludf.DUMMYFUNCTION("""COMPUTED_VALUE"""),"")</f>
        <v/>
      </c>
      <c r="AC911" s="52" t="str">
        <f>IFERROR(__xludf.DUMMYFUNCTION("""COMPUTED_VALUE"""),"")</f>
        <v/>
      </c>
      <c r="AD911" s="52" t="str">
        <f>IFERROR(__xludf.DUMMYFUNCTION("""COMPUTED_VALUE"""),"")</f>
        <v/>
      </c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</row>
    <row r="912">
      <c r="B912" s="49"/>
      <c r="C912" s="49" t="str">
        <f t="shared" si="2"/>
        <v/>
      </c>
      <c r="D912" s="50" t="str">
        <f t="shared" si="3"/>
        <v/>
      </c>
      <c r="E912" s="51" t="str">
        <f t="shared" ref="E912:T912" si="913">IFERROR(VLOOKUP($A912,INDIRECT("'" &amp; E$1 &amp; "'!$C:$G"), 5, FALSE),"")</f>
        <v/>
      </c>
      <c r="F912" s="51" t="str">
        <f t="shared" si="913"/>
        <v/>
      </c>
      <c r="G912" s="51" t="str">
        <f t="shared" si="913"/>
        <v/>
      </c>
      <c r="H912" s="51" t="str">
        <f t="shared" si="913"/>
        <v/>
      </c>
      <c r="I912" s="51" t="str">
        <f t="shared" si="913"/>
        <v/>
      </c>
      <c r="J912" s="51" t="str">
        <f t="shared" si="913"/>
        <v/>
      </c>
      <c r="K912" s="51" t="str">
        <f t="shared" si="913"/>
        <v/>
      </c>
      <c r="L912" s="51" t="str">
        <f t="shared" si="913"/>
        <v/>
      </c>
      <c r="M912" s="51" t="str">
        <f t="shared" si="913"/>
        <v/>
      </c>
      <c r="N912" s="51" t="str">
        <f t="shared" si="913"/>
        <v/>
      </c>
      <c r="O912" s="51" t="str">
        <f t="shared" si="913"/>
        <v/>
      </c>
      <c r="P912" s="51" t="str">
        <f t="shared" si="913"/>
        <v/>
      </c>
      <c r="Q912" s="51" t="str">
        <f t="shared" si="913"/>
        <v/>
      </c>
      <c r="R912" s="51" t="str">
        <f t="shared" si="913"/>
        <v/>
      </c>
      <c r="S912" s="51" t="str">
        <f t="shared" si="913"/>
        <v/>
      </c>
      <c r="T912" s="51" t="str">
        <f t="shared" si="913"/>
        <v/>
      </c>
      <c r="U912" s="52"/>
      <c r="V912" s="52" t="str">
        <f>IFERROR(__xludf.DUMMYFUNCTION("""COMPUTED_VALUE"""),"")</f>
        <v/>
      </c>
      <c r="W912" s="52" t="str">
        <f>IFERROR(__xludf.DUMMYFUNCTION("""COMPUTED_VALUE"""),"")</f>
        <v/>
      </c>
      <c r="X912" s="52" t="str">
        <f>IFERROR(__xludf.DUMMYFUNCTION("""COMPUTED_VALUE"""),"")</f>
        <v/>
      </c>
      <c r="Y912" s="52" t="str">
        <f>IFERROR(__xludf.DUMMYFUNCTION("""COMPUTED_VALUE"""),"")</f>
        <v/>
      </c>
      <c r="Z912" s="52" t="str">
        <f>IFERROR(__xludf.DUMMYFUNCTION("""COMPUTED_VALUE"""),"")</f>
        <v/>
      </c>
      <c r="AA912" s="52" t="str">
        <f>IFERROR(__xludf.DUMMYFUNCTION("""COMPUTED_VALUE"""),"")</f>
        <v/>
      </c>
      <c r="AB912" s="52" t="str">
        <f>IFERROR(__xludf.DUMMYFUNCTION("""COMPUTED_VALUE"""),"")</f>
        <v/>
      </c>
      <c r="AC912" s="52" t="str">
        <f>IFERROR(__xludf.DUMMYFUNCTION("""COMPUTED_VALUE"""),"")</f>
        <v/>
      </c>
      <c r="AD912" s="52" t="str">
        <f>IFERROR(__xludf.DUMMYFUNCTION("""COMPUTED_VALUE"""),"")</f>
        <v/>
      </c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</row>
    <row r="913">
      <c r="B913" s="49"/>
      <c r="C913" s="49" t="str">
        <f t="shared" si="2"/>
        <v/>
      </c>
      <c r="D913" s="50" t="str">
        <f t="shared" si="3"/>
        <v/>
      </c>
      <c r="E913" s="51" t="str">
        <f t="shared" ref="E913:T913" si="914">IFERROR(VLOOKUP($A913,INDIRECT("'" &amp; E$1 &amp; "'!$C:$G"), 5, FALSE),"")</f>
        <v/>
      </c>
      <c r="F913" s="51" t="str">
        <f t="shared" si="914"/>
        <v/>
      </c>
      <c r="G913" s="51" t="str">
        <f t="shared" si="914"/>
        <v/>
      </c>
      <c r="H913" s="51" t="str">
        <f t="shared" si="914"/>
        <v/>
      </c>
      <c r="I913" s="51" t="str">
        <f t="shared" si="914"/>
        <v/>
      </c>
      <c r="J913" s="51" t="str">
        <f t="shared" si="914"/>
        <v/>
      </c>
      <c r="K913" s="51" t="str">
        <f t="shared" si="914"/>
        <v/>
      </c>
      <c r="L913" s="51" t="str">
        <f t="shared" si="914"/>
        <v/>
      </c>
      <c r="M913" s="51" t="str">
        <f t="shared" si="914"/>
        <v/>
      </c>
      <c r="N913" s="51" t="str">
        <f t="shared" si="914"/>
        <v/>
      </c>
      <c r="O913" s="51" t="str">
        <f t="shared" si="914"/>
        <v/>
      </c>
      <c r="P913" s="51" t="str">
        <f t="shared" si="914"/>
        <v/>
      </c>
      <c r="Q913" s="51" t="str">
        <f t="shared" si="914"/>
        <v/>
      </c>
      <c r="R913" s="51" t="str">
        <f t="shared" si="914"/>
        <v/>
      </c>
      <c r="S913" s="51" t="str">
        <f t="shared" si="914"/>
        <v/>
      </c>
      <c r="T913" s="51" t="str">
        <f t="shared" si="914"/>
        <v/>
      </c>
      <c r="U913" s="52"/>
      <c r="V913" s="52" t="str">
        <f>IFERROR(__xludf.DUMMYFUNCTION("""COMPUTED_VALUE"""),"")</f>
        <v/>
      </c>
      <c r="W913" s="52" t="str">
        <f>IFERROR(__xludf.DUMMYFUNCTION("""COMPUTED_VALUE"""),"")</f>
        <v/>
      </c>
      <c r="X913" s="52" t="str">
        <f>IFERROR(__xludf.DUMMYFUNCTION("""COMPUTED_VALUE"""),"")</f>
        <v/>
      </c>
      <c r="Y913" s="52" t="str">
        <f>IFERROR(__xludf.DUMMYFUNCTION("""COMPUTED_VALUE"""),"")</f>
        <v/>
      </c>
      <c r="Z913" s="52" t="str">
        <f>IFERROR(__xludf.DUMMYFUNCTION("""COMPUTED_VALUE"""),"")</f>
        <v/>
      </c>
      <c r="AA913" s="52" t="str">
        <f>IFERROR(__xludf.DUMMYFUNCTION("""COMPUTED_VALUE"""),"")</f>
        <v/>
      </c>
      <c r="AB913" s="52" t="str">
        <f>IFERROR(__xludf.DUMMYFUNCTION("""COMPUTED_VALUE"""),"")</f>
        <v/>
      </c>
      <c r="AC913" s="52" t="str">
        <f>IFERROR(__xludf.DUMMYFUNCTION("""COMPUTED_VALUE"""),"")</f>
        <v/>
      </c>
      <c r="AD913" s="52" t="str">
        <f>IFERROR(__xludf.DUMMYFUNCTION("""COMPUTED_VALUE"""),"")</f>
        <v/>
      </c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</row>
    <row r="914">
      <c r="B914" s="49"/>
      <c r="C914" s="49" t="str">
        <f t="shared" si="2"/>
        <v/>
      </c>
      <c r="D914" s="50" t="str">
        <f t="shared" si="3"/>
        <v/>
      </c>
      <c r="E914" s="51" t="str">
        <f t="shared" ref="E914:T914" si="915">IFERROR(VLOOKUP($A914,INDIRECT("'" &amp; E$1 &amp; "'!$C:$G"), 5, FALSE),"")</f>
        <v/>
      </c>
      <c r="F914" s="51" t="str">
        <f t="shared" si="915"/>
        <v/>
      </c>
      <c r="G914" s="51" t="str">
        <f t="shared" si="915"/>
        <v/>
      </c>
      <c r="H914" s="51" t="str">
        <f t="shared" si="915"/>
        <v/>
      </c>
      <c r="I914" s="51" t="str">
        <f t="shared" si="915"/>
        <v/>
      </c>
      <c r="J914" s="51" t="str">
        <f t="shared" si="915"/>
        <v/>
      </c>
      <c r="K914" s="51" t="str">
        <f t="shared" si="915"/>
        <v/>
      </c>
      <c r="L914" s="51" t="str">
        <f t="shared" si="915"/>
        <v/>
      </c>
      <c r="M914" s="51" t="str">
        <f t="shared" si="915"/>
        <v/>
      </c>
      <c r="N914" s="51" t="str">
        <f t="shared" si="915"/>
        <v/>
      </c>
      <c r="O914" s="51" t="str">
        <f t="shared" si="915"/>
        <v/>
      </c>
      <c r="P914" s="51" t="str">
        <f t="shared" si="915"/>
        <v/>
      </c>
      <c r="Q914" s="51" t="str">
        <f t="shared" si="915"/>
        <v/>
      </c>
      <c r="R914" s="51" t="str">
        <f t="shared" si="915"/>
        <v/>
      </c>
      <c r="S914" s="51" t="str">
        <f t="shared" si="915"/>
        <v/>
      </c>
      <c r="T914" s="51" t="str">
        <f t="shared" si="915"/>
        <v/>
      </c>
      <c r="U914" s="52"/>
      <c r="V914" s="52" t="str">
        <f>IFERROR(__xludf.DUMMYFUNCTION("""COMPUTED_VALUE"""),"")</f>
        <v/>
      </c>
      <c r="W914" s="52" t="str">
        <f>IFERROR(__xludf.DUMMYFUNCTION("""COMPUTED_VALUE"""),"")</f>
        <v/>
      </c>
      <c r="X914" s="52" t="str">
        <f>IFERROR(__xludf.DUMMYFUNCTION("""COMPUTED_VALUE"""),"")</f>
        <v/>
      </c>
      <c r="Y914" s="52" t="str">
        <f>IFERROR(__xludf.DUMMYFUNCTION("""COMPUTED_VALUE"""),"")</f>
        <v/>
      </c>
      <c r="Z914" s="52" t="str">
        <f>IFERROR(__xludf.DUMMYFUNCTION("""COMPUTED_VALUE"""),"")</f>
        <v/>
      </c>
      <c r="AA914" s="52" t="str">
        <f>IFERROR(__xludf.DUMMYFUNCTION("""COMPUTED_VALUE"""),"")</f>
        <v/>
      </c>
      <c r="AB914" s="52" t="str">
        <f>IFERROR(__xludf.DUMMYFUNCTION("""COMPUTED_VALUE"""),"")</f>
        <v/>
      </c>
      <c r="AC914" s="52" t="str">
        <f>IFERROR(__xludf.DUMMYFUNCTION("""COMPUTED_VALUE"""),"")</f>
        <v/>
      </c>
      <c r="AD914" s="52" t="str">
        <f>IFERROR(__xludf.DUMMYFUNCTION("""COMPUTED_VALUE"""),"")</f>
        <v/>
      </c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</row>
    <row r="915">
      <c r="B915" s="49"/>
      <c r="C915" s="49" t="str">
        <f t="shared" si="2"/>
        <v/>
      </c>
      <c r="D915" s="50" t="str">
        <f t="shared" si="3"/>
        <v/>
      </c>
      <c r="E915" s="51" t="str">
        <f t="shared" ref="E915:T915" si="916">IFERROR(VLOOKUP($A915,INDIRECT("'" &amp; E$1 &amp; "'!$C:$G"), 5, FALSE),"")</f>
        <v/>
      </c>
      <c r="F915" s="51" t="str">
        <f t="shared" si="916"/>
        <v/>
      </c>
      <c r="G915" s="51" t="str">
        <f t="shared" si="916"/>
        <v/>
      </c>
      <c r="H915" s="51" t="str">
        <f t="shared" si="916"/>
        <v/>
      </c>
      <c r="I915" s="51" t="str">
        <f t="shared" si="916"/>
        <v/>
      </c>
      <c r="J915" s="51" t="str">
        <f t="shared" si="916"/>
        <v/>
      </c>
      <c r="K915" s="51" t="str">
        <f t="shared" si="916"/>
        <v/>
      </c>
      <c r="L915" s="51" t="str">
        <f t="shared" si="916"/>
        <v/>
      </c>
      <c r="M915" s="51" t="str">
        <f t="shared" si="916"/>
        <v/>
      </c>
      <c r="N915" s="51" t="str">
        <f t="shared" si="916"/>
        <v/>
      </c>
      <c r="O915" s="51" t="str">
        <f t="shared" si="916"/>
        <v/>
      </c>
      <c r="P915" s="51" t="str">
        <f t="shared" si="916"/>
        <v/>
      </c>
      <c r="Q915" s="51" t="str">
        <f t="shared" si="916"/>
        <v/>
      </c>
      <c r="R915" s="51" t="str">
        <f t="shared" si="916"/>
        <v/>
      </c>
      <c r="S915" s="51" t="str">
        <f t="shared" si="916"/>
        <v/>
      </c>
      <c r="T915" s="51" t="str">
        <f t="shared" si="916"/>
        <v/>
      </c>
      <c r="U915" s="52"/>
      <c r="V915" s="52" t="str">
        <f>IFERROR(__xludf.DUMMYFUNCTION("""COMPUTED_VALUE"""),"")</f>
        <v/>
      </c>
      <c r="W915" s="52" t="str">
        <f>IFERROR(__xludf.DUMMYFUNCTION("""COMPUTED_VALUE"""),"")</f>
        <v/>
      </c>
      <c r="X915" s="52" t="str">
        <f>IFERROR(__xludf.DUMMYFUNCTION("""COMPUTED_VALUE"""),"")</f>
        <v/>
      </c>
      <c r="Y915" s="52" t="str">
        <f>IFERROR(__xludf.DUMMYFUNCTION("""COMPUTED_VALUE"""),"")</f>
        <v/>
      </c>
      <c r="Z915" s="52" t="str">
        <f>IFERROR(__xludf.DUMMYFUNCTION("""COMPUTED_VALUE"""),"")</f>
        <v/>
      </c>
      <c r="AA915" s="52" t="str">
        <f>IFERROR(__xludf.DUMMYFUNCTION("""COMPUTED_VALUE"""),"")</f>
        <v/>
      </c>
      <c r="AB915" s="52" t="str">
        <f>IFERROR(__xludf.DUMMYFUNCTION("""COMPUTED_VALUE"""),"")</f>
        <v/>
      </c>
      <c r="AC915" s="52" t="str">
        <f>IFERROR(__xludf.DUMMYFUNCTION("""COMPUTED_VALUE"""),"")</f>
        <v/>
      </c>
      <c r="AD915" s="52" t="str">
        <f>IFERROR(__xludf.DUMMYFUNCTION("""COMPUTED_VALUE"""),"")</f>
        <v/>
      </c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</row>
    <row r="916">
      <c r="B916" s="49"/>
      <c r="C916" s="49" t="str">
        <f t="shared" si="2"/>
        <v/>
      </c>
      <c r="D916" s="50" t="str">
        <f t="shared" si="3"/>
        <v/>
      </c>
      <c r="E916" s="51" t="str">
        <f t="shared" ref="E916:T916" si="917">IFERROR(VLOOKUP($A916,INDIRECT("'" &amp; E$1 &amp; "'!$C:$G"), 5, FALSE),"")</f>
        <v/>
      </c>
      <c r="F916" s="51" t="str">
        <f t="shared" si="917"/>
        <v/>
      </c>
      <c r="G916" s="51" t="str">
        <f t="shared" si="917"/>
        <v/>
      </c>
      <c r="H916" s="51" t="str">
        <f t="shared" si="917"/>
        <v/>
      </c>
      <c r="I916" s="51" t="str">
        <f t="shared" si="917"/>
        <v/>
      </c>
      <c r="J916" s="51" t="str">
        <f t="shared" si="917"/>
        <v/>
      </c>
      <c r="K916" s="51" t="str">
        <f t="shared" si="917"/>
        <v/>
      </c>
      <c r="L916" s="51" t="str">
        <f t="shared" si="917"/>
        <v/>
      </c>
      <c r="M916" s="51" t="str">
        <f t="shared" si="917"/>
        <v/>
      </c>
      <c r="N916" s="51" t="str">
        <f t="shared" si="917"/>
        <v/>
      </c>
      <c r="O916" s="51" t="str">
        <f t="shared" si="917"/>
        <v/>
      </c>
      <c r="P916" s="51" t="str">
        <f t="shared" si="917"/>
        <v/>
      </c>
      <c r="Q916" s="51" t="str">
        <f t="shared" si="917"/>
        <v/>
      </c>
      <c r="R916" s="51" t="str">
        <f t="shared" si="917"/>
        <v/>
      </c>
      <c r="S916" s="51" t="str">
        <f t="shared" si="917"/>
        <v/>
      </c>
      <c r="T916" s="51" t="str">
        <f t="shared" si="917"/>
        <v/>
      </c>
      <c r="U916" s="52"/>
      <c r="V916" s="52" t="str">
        <f>IFERROR(__xludf.DUMMYFUNCTION("""COMPUTED_VALUE"""),"")</f>
        <v/>
      </c>
      <c r="W916" s="52" t="str">
        <f>IFERROR(__xludf.DUMMYFUNCTION("""COMPUTED_VALUE"""),"")</f>
        <v/>
      </c>
      <c r="X916" s="52" t="str">
        <f>IFERROR(__xludf.DUMMYFUNCTION("""COMPUTED_VALUE"""),"")</f>
        <v/>
      </c>
      <c r="Y916" s="52" t="str">
        <f>IFERROR(__xludf.DUMMYFUNCTION("""COMPUTED_VALUE"""),"")</f>
        <v/>
      </c>
      <c r="Z916" s="52" t="str">
        <f>IFERROR(__xludf.DUMMYFUNCTION("""COMPUTED_VALUE"""),"")</f>
        <v/>
      </c>
      <c r="AA916" s="52" t="str">
        <f>IFERROR(__xludf.DUMMYFUNCTION("""COMPUTED_VALUE"""),"")</f>
        <v/>
      </c>
      <c r="AB916" s="52" t="str">
        <f>IFERROR(__xludf.DUMMYFUNCTION("""COMPUTED_VALUE"""),"")</f>
        <v/>
      </c>
      <c r="AC916" s="52" t="str">
        <f>IFERROR(__xludf.DUMMYFUNCTION("""COMPUTED_VALUE"""),"")</f>
        <v/>
      </c>
      <c r="AD916" s="52" t="str">
        <f>IFERROR(__xludf.DUMMYFUNCTION("""COMPUTED_VALUE"""),"")</f>
        <v/>
      </c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</row>
    <row r="917">
      <c r="B917" s="49"/>
      <c r="C917" s="49" t="str">
        <f t="shared" si="2"/>
        <v/>
      </c>
      <c r="D917" s="50" t="str">
        <f t="shared" si="3"/>
        <v/>
      </c>
      <c r="E917" s="51" t="str">
        <f t="shared" ref="E917:T917" si="918">IFERROR(VLOOKUP($A917,INDIRECT("'" &amp; E$1 &amp; "'!$C:$G"), 5, FALSE),"")</f>
        <v/>
      </c>
      <c r="F917" s="51" t="str">
        <f t="shared" si="918"/>
        <v/>
      </c>
      <c r="G917" s="51" t="str">
        <f t="shared" si="918"/>
        <v/>
      </c>
      <c r="H917" s="51" t="str">
        <f t="shared" si="918"/>
        <v/>
      </c>
      <c r="I917" s="51" t="str">
        <f t="shared" si="918"/>
        <v/>
      </c>
      <c r="J917" s="51" t="str">
        <f t="shared" si="918"/>
        <v/>
      </c>
      <c r="K917" s="51" t="str">
        <f t="shared" si="918"/>
        <v/>
      </c>
      <c r="L917" s="51" t="str">
        <f t="shared" si="918"/>
        <v/>
      </c>
      <c r="M917" s="51" t="str">
        <f t="shared" si="918"/>
        <v/>
      </c>
      <c r="N917" s="51" t="str">
        <f t="shared" si="918"/>
        <v/>
      </c>
      <c r="O917" s="51" t="str">
        <f t="shared" si="918"/>
        <v/>
      </c>
      <c r="P917" s="51" t="str">
        <f t="shared" si="918"/>
        <v/>
      </c>
      <c r="Q917" s="51" t="str">
        <f t="shared" si="918"/>
        <v/>
      </c>
      <c r="R917" s="51" t="str">
        <f t="shared" si="918"/>
        <v/>
      </c>
      <c r="S917" s="51" t="str">
        <f t="shared" si="918"/>
        <v/>
      </c>
      <c r="T917" s="51" t="str">
        <f t="shared" si="918"/>
        <v/>
      </c>
      <c r="U917" s="52"/>
      <c r="V917" s="52" t="str">
        <f>IFERROR(__xludf.DUMMYFUNCTION("""COMPUTED_VALUE"""),"")</f>
        <v/>
      </c>
      <c r="W917" s="52" t="str">
        <f>IFERROR(__xludf.DUMMYFUNCTION("""COMPUTED_VALUE"""),"")</f>
        <v/>
      </c>
      <c r="X917" s="52" t="str">
        <f>IFERROR(__xludf.DUMMYFUNCTION("""COMPUTED_VALUE"""),"")</f>
        <v/>
      </c>
      <c r="Y917" s="52" t="str">
        <f>IFERROR(__xludf.DUMMYFUNCTION("""COMPUTED_VALUE"""),"")</f>
        <v/>
      </c>
      <c r="Z917" s="52" t="str">
        <f>IFERROR(__xludf.DUMMYFUNCTION("""COMPUTED_VALUE"""),"")</f>
        <v/>
      </c>
      <c r="AA917" s="52" t="str">
        <f>IFERROR(__xludf.DUMMYFUNCTION("""COMPUTED_VALUE"""),"")</f>
        <v/>
      </c>
      <c r="AB917" s="52" t="str">
        <f>IFERROR(__xludf.DUMMYFUNCTION("""COMPUTED_VALUE"""),"")</f>
        <v/>
      </c>
      <c r="AC917" s="52" t="str">
        <f>IFERROR(__xludf.DUMMYFUNCTION("""COMPUTED_VALUE"""),"")</f>
        <v/>
      </c>
      <c r="AD917" s="52" t="str">
        <f>IFERROR(__xludf.DUMMYFUNCTION("""COMPUTED_VALUE"""),"")</f>
        <v/>
      </c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</row>
    <row r="918">
      <c r="B918" s="49"/>
      <c r="C918" s="49" t="str">
        <f t="shared" si="2"/>
        <v/>
      </c>
      <c r="D918" s="50" t="str">
        <f t="shared" si="3"/>
        <v/>
      </c>
      <c r="E918" s="51" t="str">
        <f t="shared" ref="E918:T918" si="919">IFERROR(VLOOKUP($A918,INDIRECT("'" &amp; E$1 &amp; "'!$C:$G"), 5, FALSE),"")</f>
        <v/>
      </c>
      <c r="F918" s="51" t="str">
        <f t="shared" si="919"/>
        <v/>
      </c>
      <c r="G918" s="51" t="str">
        <f t="shared" si="919"/>
        <v/>
      </c>
      <c r="H918" s="51" t="str">
        <f t="shared" si="919"/>
        <v/>
      </c>
      <c r="I918" s="51" t="str">
        <f t="shared" si="919"/>
        <v/>
      </c>
      <c r="J918" s="51" t="str">
        <f t="shared" si="919"/>
        <v/>
      </c>
      <c r="K918" s="51" t="str">
        <f t="shared" si="919"/>
        <v/>
      </c>
      <c r="L918" s="51" t="str">
        <f t="shared" si="919"/>
        <v/>
      </c>
      <c r="M918" s="51" t="str">
        <f t="shared" si="919"/>
        <v/>
      </c>
      <c r="N918" s="51" t="str">
        <f t="shared" si="919"/>
        <v/>
      </c>
      <c r="O918" s="51" t="str">
        <f t="shared" si="919"/>
        <v/>
      </c>
      <c r="P918" s="51" t="str">
        <f t="shared" si="919"/>
        <v/>
      </c>
      <c r="Q918" s="51" t="str">
        <f t="shared" si="919"/>
        <v/>
      </c>
      <c r="R918" s="51" t="str">
        <f t="shared" si="919"/>
        <v/>
      </c>
      <c r="S918" s="51" t="str">
        <f t="shared" si="919"/>
        <v/>
      </c>
      <c r="T918" s="51" t="str">
        <f t="shared" si="919"/>
        <v/>
      </c>
      <c r="U918" s="52"/>
      <c r="V918" s="52" t="str">
        <f>IFERROR(__xludf.DUMMYFUNCTION("""COMPUTED_VALUE"""),"")</f>
        <v/>
      </c>
      <c r="W918" s="52" t="str">
        <f>IFERROR(__xludf.DUMMYFUNCTION("""COMPUTED_VALUE"""),"")</f>
        <v/>
      </c>
      <c r="X918" s="52" t="str">
        <f>IFERROR(__xludf.DUMMYFUNCTION("""COMPUTED_VALUE"""),"")</f>
        <v/>
      </c>
      <c r="Y918" s="52" t="str">
        <f>IFERROR(__xludf.DUMMYFUNCTION("""COMPUTED_VALUE"""),"")</f>
        <v/>
      </c>
      <c r="Z918" s="52" t="str">
        <f>IFERROR(__xludf.DUMMYFUNCTION("""COMPUTED_VALUE"""),"")</f>
        <v/>
      </c>
      <c r="AA918" s="52" t="str">
        <f>IFERROR(__xludf.DUMMYFUNCTION("""COMPUTED_VALUE"""),"")</f>
        <v/>
      </c>
      <c r="AB918" s="52" t="str">
        <f>IFERROR(__xludf.DUMMYFUNCTION("""COMPUTED_VALUE"""),"")</f>
        <v/>
      </c>
      <c r="AC918" s="52" t="str">
        <f>IFERROR(__xludf.DUMMYFUNCTION("""COMPUTED_VALUE"""),"")</f>
        <v/>
      </c>
      <c r="AD918" s="52" t="str">
        <f>IFERROR(__xludf.DUMMYFUNCTION("""COMPUTED_VALUE"""),"")</f>
        <v/>
      </c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</row>
    <row r="919">
      <c r="B919" s="49"/>
      <c r="C919" s="49" t="str">
        <f t="shared" si="2"/>
        <v/>
      </c>
      <c r="D919" s="50" t="str">
        <f t="shared" si="3"/>
        <v/>
      </c>
      <c r="E919" s="51" t="str">
        <f t="shared" ref="E919:T919" si="920">IFERROR(VLOOKUP($A919,INDIRECT("'" &amp; E$1 &amp; "'!$C:$G"), 5, FALSE),"")</f>
        <v/>
      </c>
      <c r="F919" s="51" t="str">
        <f t="shared" si="920"/>
        <v/>
      </c>
      <c r="G919" s="51" t="str">
        <f t="shared" si="920"/>
        <v/>
      </c>
      <c r="H919" s="51" t="str">
        <f t="shared" si="920"/>
        <v/>
      </c>
      <c r="I919" s="51" t="str">
        <f t="shared" si="920"/>
        <v/>
      </c>
      <c r="J919" s="51" t="str">
        <f t="shared" si="920"/>
        <v/>
      </c>
      <c r="K919" s="51" t="str">
        <f t="shared" si="920"/>
        <v/>
      </c>
      <c r="L919" s="51" t="str">
        <f t="shared" si="920"/>
        <v/>
      </c>
      <c r="M919" s="51" t="str">
        <f t="shared" si="920"/>
        <v/>
      </c>
      <c r="N919" s="51" t="str">
        <f t="shared" si="920"/>
        <v/>
      </c>
      <c r="O919" s="51" t="str">
        <f t="shared" si="920"/>
        <v/>
      </c>
      <c r="P919" s="51" t="str">
        <f t="shared" si="920"/>
        <v/>
      </c>
      <c r="Q919" s="51" t="str">
        <f t="shared" si="920"/>
        <v/>
      </c>
      <c r="R919" s="51" t="str">
        <f t="shared" si="920"/>
        <v/>
      </c>
      <c r="S919" s="51" t="str">
        <f t="shared" si="920"/>
        <v/>
      </c>
      <c r="T919" s="51" t="str">
        <f t="shared" si="920"/>
        <v/>
      </c>
      <c r="U919" s="52"/>
      <c r="V919" s="52" t="str">
        <f>IFERROR(__xludf.DUMMYFUNCTION("""COMPUTED_VALUE"""),"")</f>
        <v/>
      </c>
      <c r="W919" s="52" t="str">
        <f>IFERROR(__xludf.DUMMYFUNCTION("""COMPUTED_VALUE"""),"")</f>
        <v/>
      </c>
      <c r="X919" s="52" t="str">
        <f>IFERROR(__xludf.DUMMYFUNCTION("""COMPUTED_VALUE"""),"")</f>
        <v/>
      </c>
      <c r="Y919" s="52" t="str">
        <f>IFERROR(__xludf.DUMMYFUNCTION("""COMPUTED_VALUE"""),"")</f>
        <v/>
      </c>
      <c r="Z919" s="52" t="str">
        <f>IFERROR(__xludf.DUMMYFUNCTION("""COMPUTED_VALUE"""),"")</f>
        <v/>
      </c>
      <c r="AA919" s="52" t="str">
        <f>IFERROR(__xludf.DUMMYFUNCTION("""COMPUTED_VALUE"""),"")</f>
        <v/>
      </c>
      <c r="AB919" s="52" t="str">
        <f>IFERROR(__xludf.DUMMYFUNCTION("""COMPUTED_VALUE"""),"")</f>
        <v/>
      </c>
      <c r="AC919" s="52" t="str">
        <f>IFERROR(__xludf.DUMMYFUNCTION("""COMPUTED_VALUE"""),"")</f>
        <v/>
      </c>
      <c r="AD919" s="52" t="str">
        <f>IFERROR(__xludf.DUMMYFUNCTION("""COMPUTED_VALUE"""),"")</f>
        <v/>
      </c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</row>
    <row r="920">
      <c r="B920" s="49"/>
      <c r="C920" s="49" t="str">
        <f t="shared" si="2"/>
        <v/>
      </c>
      <c r="D920" s="50" t="str">
        <f t="shared" si="3"/>
        <v/>
      </c>
      <c r="E920" s="51" t="str">
        <f t="shared" ref="E920:T920" si="921">IFERROR(VLOOKUP($A920,INDIRECT("'" &amp; E$1 &amp; "'!$C:$G"), 5, FALSE),"")</f>
        <v/>
      </c>
      <c r="F920" s="51" t="str">
        <f t="shared" si="921"/>
        <v/>
      </c>
      <c r="G920" s="51" t="str">
        <f t="shared" si="921"/>
        <v/>
      </c>
      <c r="H920" s="51" t="str">
        <f t="shared" si="921"/>
        <v/>
      </c>
      <c r="I920" s="51" t="str">
        <f t="shared" si="921"/>
        <v/>
      </c>
      <c r="J920" s="51" t="str">
        <f t="shared" si="921"/>
        <v/>
      </c>
      <c r="K920" s="51" t="str">
        <f t="shared" si="921"/>
        <v/>
      </c>
      <c r="L920" s="51" t="str">
        <f t="shared" si="921"/>
        <v/>
      </c>
      <c r="M920" s="51" t="str">
        <f t="shared" si="921"/>
        <v/>
      </c>
      <c r="N920" s="51" t="str">
        <f t="shared" si="921"/>
        <v/>
      </c>
      <c r="O920" s="51" t="str">
        <f t="shared" si="921"/>
        <v/>
      </c>
      <c r="P920" s="51" t="str">
        <f t="shared" si="921"/>
        <v/>
      </c>
      <c r="Q920" s="51" t="str">
        <f t="shared" si="921"/>
        <v/>
      </c>
      <c r="R920" s="51" t="str">
        <f t="shared" si="921"/>
        <v/>
      </c>
      <c r="S920" s="51" t="str">
        <f t="shared" si="921"/>
        <v/>
      </c>
      <c r="T920" s="51" t="str">
        <f t="shared" si="921"/>
        <v/>
      </c>
      <c r="U920" s="52"/>
      <c r="V920" s="52" t="str">
        <f>IFERROR(__xludf.DUMMYFUNCTION("""COMPUTED_VALUE"""),"")</f>
        <v/>
      </c>
      <c r="W920" s="52" t="str">
        <f>IFERROR(__xludf.DUMMYFUNCTION("""COMPUTED_VALUE"""),"")</f>
        <v/>
      </c>
      <c r="X920" s="52" t="str">
        <f>IFERROR(__xludf.DUMMYFUNCTION("""COMPUTED_VALUE"""),"")</f>
        <v/>
      </c>
      <c r="Y920" s="52" t="str">
        <f>IFERROR(__xludf.DUMMYFUNCTION("""COMPUTED_VALUE"""),"")</f>
        <v/>
      </c>
      <c r="Z920" s="52" t="str">
        <f>IFERROR(__xludf.DUMMYFUNCTION("""COMPUTED_VALUE"""),"")</f>
        <v/>
      </c>
      <c r="AA920" s="52" t="str">
        <f>IFERROR(__xludf.DUMMYFUNCTION("""COMPUTED_VALUE"""),"")</f>
        <v/>
      </c>
      <c r="AB920" s="52" t="str">
        <f>IFERROR(__xludf.DUMMYFUNCTION("""COMPUTED_VALUE"""),"")</f>
        <v/>
      </c>
      <c r="AC920" s="52" t="str">
        <f>IFERROR(__xludf.DUMMYFUNCTION("""COMPUTED_VALUE"""),"")</f>
        <v/>
      </c>
      <c r="AD920" s="52" t="str">
        <f>IFERROR(__xludf.DUMMYFUNCTION("""COMPUTED_VALUE"""),"")</f>
        <v/>
      </c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</row>
    <row r="921">
      <c r="B921" s="49"/>
      <c r="C921" s="49" t="str">
        <f t="shared" si="2"/>
        <v/>
      </c>
      <c r="D921" s="50" t="str">
        <f t="shared" si="3"/>
        <v/>
      </c>
      <c r="E921" s="51" t="str">
        <f t="shared" ref="E921:T921" si="922">IFERROR(VLOOKUP($A921,INDIRECT("'" &amp; E$1 &amp; "'!$C:$G"), 5, FALSE),"")</f>
        <v/>
      </c>
      <c r="F921" s="51" t="str">
        <f t="shared" si="922"/>
        <v/>
      </c>
      <c r="G921" s="51" t="str">
        <f t="shared" si="922"/>
        <v/>
      </c>
      <c r="H921" s="51" t="str">
        <f t="shared" si="922"/>
        <v/>
      </c>
      <c r="I921" s="51" t="str">
        <f t="shared" si="922"/>
        <v/>
      </c>
      <c r="J921" s="51" t="str">
        <f t="shared" si="922"/>
        <v/>
      </c>
      <c r="K921" s="51" t="str">
        <f t="shared" si="922"/>
        <v/>
      </c>
      <c r="L921" s="51" t="str">
        <f t="shared" si="922"/>
        <v/>
      </c>
      <c r="M921" s="51" t="str">
        <f t="shared" si="922"/>
        <v/>
      </c>
      <c r="N921" s="51" t="str">
        <f t="shared" si="922"/>
        <v/>
      </c>
      <c r="O921" s="51" t="str">
        <f t="shared" si="922"/>
        <v/>
      </c>
      <c r="P921" s="51" t="str">
        <f t="shared" si="922"/>
        <v/>
      </c>
      <c r="Q921" s="51" t="str">
        <f t="shared" si="922"/>
        <v/>
      </c>
      <c r="R921" s="51" t="str">
        <f t="shared" si="922"/>
        <v/>
      </c>
      <c r="S921" s="51" t="str">
        <f t="shared" si="922"/>
        <v/>
      </c>
      <c r="T921" s="51" t="str">
        <f t="shared" si="922"/>
        <v/>
      </c>
      <c r="U921" s="52"/>
      <c r="V921" s="52" t="str">
        <f>IFERROR(__xludf.DUMMYFUNCTION("""COMPUTED_VALUE"""),"")</f>
        <v/>
      </c>
      <c r="W921" s="52" t="str">
        <f>IFERROR(__xludf.DUMMYFUNCTION("""COMPUTED_VALUE"""),"")</f>
        <v/>
      </c>
      <c r="X921" s="52" t="str">
        <f>IFERROR(__xludf.DUMMYFUNCTION("""COMPUTED_VALUE"""),"")</f>
        <v/>
      </c>
      <c r="Y921" s="52" t="str">
        <f>IFERROR(__xludf.DUMMYFUNCTION("""COMPUTED_VALUE"""),"")</f>
        <v/>
      </c>
      <c r="Z921" s="52" t="str">
        <f>IFERROR(__xludf.DUMMYFUNCTION("""COMPUTED_VALUE"""),"")</f>
        <v/>
      </c>
      <c r="AA921" s="52" t="str">
        <f>IFERROR(__xludf.DUMMYFUNCTION("""COMPUTED_VALUE"""),"")</f>
        <v/>
      </c>
      <c r="AB921" s="52" t="str">
        <f>IFERROR(__xludf.DUMMYFUNCTION("""COMPUTED_VALUE"""),"")</f>
        <v/>
      </c>
      <c r="AC921" s="52" t="str">
        <f>IFERROR(__xludf.DUMMYFUNCTION("""COMPUTED_VALUE"""),"")</f>
        <v/>
      </c>
      <c r="AD921" s="52" t="str">
        <f>IFERROR(__xludf.DUMMYFUNCTION("""COMPUTED_VALUE"""),"")</f>
        <v/>
      </c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</row>
    <row r="922">
      <c r="B922" s="49"/>
      <c r="C922" s="49" t="str">
        <f t="shared" si="2"/>
        <v/>
      </c>
      <c r="D922" s="50" t="str">
        <f t="shared" si="3"/>
        <v/>
      </c>
      <c r="E922" s="51" t="str">
        <f t="shared" ref="E922:T922" si="923">IFERROR(VLOOKUP($A922,INDIRECT("'" &amp; E$1 &amp; "'!$C:$G"), 5, FALSE),"")</f>
        <v/>
      </c>
      <c r="F922" s="51" t="str">
        <f t="shared" si="923"/>
        <v/>
      </c>
      <c r="G922" s="51" t="str">
        <f t="shared" si="923"/>
        <v/>
      </c>
      <c r="H922" s="51" t="str">
        <f t="shared" si="923"/>
        <v/>
      </c>
      <c r="I922" s="51" t="str">
        <f t="shared" si="923"/>
        <v/>
      </c>
      <c r="J922" s="51" t="str">
        <f t="shared" si="923"/>
        <v/>
      </c>
      <c r="K922" s="51" t="str">
        <f t="shared" si="923"/>
        <v/>
      </c>
      <c r="L922" s="51" t="str">
        <f t="shared" si="923"/>
        <v/>
      </c>
      <c r="M922" s="51" t="str">
        <f t="shared" si="923"/>
        <v/>
      </c>
      <c r="N922" s="51" t="str">
        <f t="shared" si="923"/>
        <v/>
      </c>
      <c r="O922" s="51" t="str">
        <f t="shared" si="923"/>
        <v/>
      </c>
      <c r="P922" s="51" t="str">
        <f t="shared" si="923"/>
        <v/>
      </c>
      <c r="Q922" s="51" t="str">
        <f t="shared" si="923"/>
        <v/>
      </c>
      <c r="R922" s="51" t="str">
        <f t="shared" si="923"/>
        <v/>
      </c>
      <c r="S922" s="51" t="str">
        <f t="shared" si="923"/>
        <v/>
      </c>
      <c r="T922" s="51" t="str">
        <f t="shared" si="923"/>
        <v/>
      </c>
      <c r="U922" s="52"/>
      <c r="V922" s="52" t="str">
        <f>IFERROR(__xludf.DUMMYFUNCTION("""COMPUTED_VALUE"""),"")</f>
        <v/>
      </c>
      <c r="W922" s="52" t="str">
        <f>IFERROR(__xludf.DUMMYFUNCTION("""COMPUTED_VALUE"""),"")</f>
        <v/>
      </c>
      <c r="X922" s="52" t="str">
        <f>IFERROR(__xludf.DUMMYFUNCTION("""COMPUTED_VALUE"""),"")</f>
        <v/>
      </c>
      <c r="Y922" s="52" t="str">
        <f>IFERROR(__xludf.DUMMYFUNCTION("""COMPUTED_VALUE"""),"")</f>
        <v/>
      </c>
      <c r="Z922" s="52" t="str">
        <f>IFERROR(__xludf.DUMMYFUNCTION("""COMPUTED_VALUE"""),"")</f>
        <v/>
      </c>
      <c r="AA922" s="52" t="str">
        <f>IFERROR(__xludf.DUMMYFUNCTION("""COMPUTED_VALUE"""),"")</f>
        <v/>
      </c>
      <c r="AB922" s="52" t="str">
        <f>IFERROR(__xludf.DUMMYFUNCTION("""COMPUTED_VALUE"""),"")</f>
        <v/>
      </c>
      <c r="AC922" s="52" t="str">
        <f>IFERROR(__xludf.DUMMYFUNCTION("""COMPUTED_VALUE"""),"")</f>
        <v/>
      </c>
      <c r="AD922" s="52" t="str">
        <f>IFERROR(__xludf.DUMMYFUNCTION("""COMPUTED_VALUE"""),"")</f>
        <v/>
      </c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</row>
    <row r="923">
      <c r="B923" s="49"/>
      <c r="C923" s="49" t="str">
        <f t="shared" si="2"/>
        <v/>
      </c>
      <c r="D923" s="50" t="str">
        <f t="shared" si="3"/>
        <v/>
      </c>
      <c r="E923" s="51" t="str">
        <f t="shared" ref="E923:T923" si="924">IFERROR(VLOOKUP($A923,INDIRECT("'" &amp; E$1 &amp; "'!$C:$G"), 5, FALSE),"")</f>
        <v/>
      </c>
      <c r="F923" s="51" t="str">
        <f t="shared" si="924"/>
        <v/>
      </c>
      <c r="G923" s="51" t="str">
        <f t="shared" si="924"/>
        <v/>
      </c>
      <c r="H923" s="51" t="str">
        <f t="shared" si="924"/>
        <v/>
      </c>
      <c r="I923" s="51" t="str">
        <f t="shared" si="924"/>
        <v/>
      </c>
      <c r="J923" s="51" t="str">
        <f t="shared" si="924"/>
        <v/>
      </c>
      <c r="K923" s="51" t="str">
        <f t="shared" si="924"/>
        <v/>
      </c>
      <c r="L923" s="51" t="str">
        <f t="shared" si="924"/>
        <v/>
      </c>
      <c r="M923" s="51" t="str">
        <f t="shared" si="924"/>
        <v/>
      </c>
      <c r="N923" s="51" t="str">
        <f t="shared" si="924"/>
        <v/>
      </c>
      <c r="O923" s="51" t="str">
        <f t="shared" si="924"/>
        <v/>
      </c>
      <c r="P923" s="51" t="str">
        <f t="shared" si="924"/>
        <v/>
      </c>
      <c r="Q923" s="51" t="str">
        <f t="shared" si="924"/>
        <v/>
      </c>
      <c r="R923" s="51" t="str">
        <f t="shared" si="924"/>
        <v/>
      </c>
      <c r="S923" s="51" t="str">
        <f t="shared" si="924"/>
        <v/>
      </c>
      <c r="T923" s="51" t="str">
        <f t="shared" si="924"/>
        <v/>
      </c>
      <c r="U923" s="52"/>
      <c r="V923" s="52" t="str">
        <f>IFERROR(__xludf.DUMMYFUNCTION("""COMPUTED_VALUE"""),"")</f>
        <v/>
      </c>
      <c r="W923" s="52" t="str">
        <f>IFERROR(__xludf.DUMMYFUNCTION("""COMPUTED_VALUE"""),"")</f>
        <v/>
      </c>
      <c r="X923" s="52" t="str">
        <f>IFERROR(__xludf.DUMMYFUNCTION("""COMPUTED_VALUE"""),"")</f>
        <v/>
      </c>
      <c r="Y923" s="52" t="str">
        <f>IFERROR(__xludf.DUMMYFUNCTION("""COMPUTED_VALUE"""),"")</f>
        <v/>
      </c>
      <c r="Z923" s="52" t="str">
        <f>IFERROR(__xludf.DUMMYFUNCTION("""COMPUTED_VALUE"""),"")</f>
        <v/>
      </c>
      <c r="AA923" s="52" t="str">
        <f>IFERROR(__xludf.DUMMYFUNCTION("""COMPUTED_VALUE"""),"")</f>
        <v/>
      </c>
      <c r="AB923" s="52" t="str">
        <f>IFERROR(__xludf.DUMMYFUNCTION("""COMPUTED_VALUE"""),"")</f>
        <v/>
      </c>
      <c r="AC923" s="52" t="str">
        <f>IFERROR(__xludf.DUMMYFUNCTION("""COMPUTED_VALUE"""),"")</f>
        <v/>
      </c>
      <c r="AD923" s="52" t="str">
        <f>IFERROR(__xludf.DUMMYFUNCTION("""COMPUTED_VALUE"""),"")</f>
        <v/>
      </c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</row>
    <row r="924">
      <c r="B924" s="49"/>
      <c r="C924" s="49" t="str">
        <f t="shared" si="2"/>
        <v/>
      </c>
      <c r="D924" s="50" t="str">
        <f t="shared" si="3"/>
        <v/>
      </c>
      <c r="E924" s="51" t="str">
        <f t="shared" ref="E924:T924" si="925">IFERROR(VLOOKUP($A924,INDIRECT("'" &amp; E$1 &amp; "'!$C:$G"), 5, FALSE),"")</f>
        <v/>
      </c>
      <c r="F924" s="51" t="str">
        <f t="shared" si="925"/>
        <v/>
      </c>
      <c r="G924" s="51" t="str">
        <f t="shared" si="925"/>
        <v/>
      </c>
      <c r="H924" s="51" t="str">
        <f t="shared" si="925"/>
        <v/>
      </c>
      <c r="I924" s="51" t="str">
        <f t="shared" si="925"/>
        <v/>
      </c>
      <c r="J924" s="51" t="str">
        <f t="shared" si="925"/>
        <v/>
      </c>
      <c r="K924" s="51" t="str">
        <f t="shared" si="925"/>
        <v/>
      </c>
      <c r="L924" s="51" t="str">
        <f t="shared" si="925"/>
        <v/>
      </c>
      <c r="M924" s="51" t="str">
        <f t="shared" si="925"/>
        <v/>
      </c>
      <c r="N924" s="51" t="str">
        <f t="shared" si="925"/>
        <v/>
      </c>
      <c r="O924" s="51" t="str">
        <f t="shared" si="925"/>
        <v/>
      </c>
      <c r="P924" s="51" t="str">
        <f t="shared" si="925"/>
        <v/>
      </c>
      <c r="Q924" s="51" t="str">
        <f t="shared" si="925"/>
        <v/>
      </c>
      <c r="R924" s="51" t="str">
        <f t="shared" si="925"/>
        <v/>
      </c>
      <c r="S924" s="51" t="str">
        <f t="shared" si="925"/>
        <v/>
      </c>
      <c r="T924" s="51" t="str">
        <f t="shared" si="925"/>
        <v/>
      </c>
      <c r="U924" s="52"/>
      <c r="V924" s="52" t="str">
        <f>IFERROR(__xludf.DUMMYFUNCTION("""COMPUTED_VALUE"""),"")</f>
        <v/>
      </c>
      <c r="W924" s="52" t="str">
        <f>IFERROR(__xludf.DUMMYFUNCTION("""COMPUTED_VALUE"""),"")</f>
        <v/>
      </c>
      <c r="X924" s="52" t="str">
        <f>IFERROR(__xludf.DUMMYFUNCTION("""COMPUTED_VALUE"""),"")</f>
        <v/>
      </c>
      <c r="Y924" s="52" t="str">
        <f>IFERROR(__xludf.DUMMYFUNCTION("""COMPUTED_VALUE"""),"")</f>
        <v/>
      </c>
      <c r="Z924" s="52" t="str">
        <f>IFERROR(__xludf.DUMMYFUNCTION("""COMPUTED_VALUE"""),"")</f>
        <v/>
      </c>
      <c r="AA924" s="52" t="str">
        <f>IFERROR(__xludf.DUMMYFUNCTION("""COMPUTED_VALUE"""),"")</f>
        <v/>
      </c>
      <c r="AB924" s="52" t="str">
        <f>IFERROR(__xludf.DUMMYFUNCTION("""COMPUTED_VALUE"""),"")</f>
        <v/>
      </c>
      <c r="AC924" s="52" t="str">
        <f>IFERROR(__xludf.DUMMYFUNCTION("""COMPUTED_VALUE"""),"")</f>
        <v/>
      </c>
      <c r="AD924" s="52" t="str">
        <f>IFERROR(__xludf.DUMMYFUNCTION("""COMPUTED_VALUE"""),"")</f>
        <v/>
      </c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</row>
    <row r="925">
      <c r="B925" s="49"/>
      <c r="C925" s="49" t="str">
        <f t="shared" si="2"/>
        <v/>
      </c>
      <c r="D925" s="50" t="str">
        <f t="shared" si="3"/>
        <v/>
      </c>
      <c r="E925" s="51" t="str">
        <f t="shared" ref="E925:T925" si="926">IFERROR(VLOOKUP($A925,INDIRECT("'" &amp; E$1 &amp; "'!$C:$G"), 5, FALSE),"")</f>
        <v/>
      </c>
      <c r="F925" s="51" t="str">
        <f t="shared" si="926"/>
        <v/>
      </c>
      <c r="G925" s="51" t="str">
        <f t="shared" si="926"/>
        <v/>
      </c>
      <c r="H925" s="51" t="str">
        <f t="shared" si="926"/>
        <v/>
      </c>
      <c r="I925" s="51" t="str">
        <f t="shared" si="926"/>
        <v/>
      </c>
      <c r="J925" s="51" t="str">
        <f t="shared" si="926"/>
        <v/>
      </c>
      <c r="K925" s="51" t="str">
        <f t="shared" si="926"/>
        <v/>
      </c>
      <c r="L925" s="51" t="str">
        <f t="shared" si="926"/>
        <v/>
      </c>
      <c r="M925" s="51" t="str">
        <f t="shared" si="926"/>
        <v/>
      </c>
      <c r="N925" s="51" t="str">
        <f t="shared" si="926"/>
        <v/>
      </c>
      <c r="O925" s="51" t="str">
        <f t="shared" si="926"/>
        <v/>
      </c>
      <c r="P925" s="51" t="str">
        <f t="shared" si="926"/>
        <v/>
      </c>
      <c r="Q925" s="51" t="str">
        <f t="shared" si="926"/>
        <v/>
      </c>
      <c r="R925" s="51" t="str">
        <f t="shared" si="926"/>
        <v/>
      </c>
      <c r="S925" s="51" t="str">
        <f t="shared" si="926"/>
        <v/>
      </c>
      <c r="T925" s="51" t="str">
        <f t="shared" si="926"/>
        <v/>
      </c>
      <c r="U925" s="52"/>
      <c r="V925" s="52" t="str">
        <f>IFERROR(__xludf.DUMMYFUNCTION("""COMPUTED_VALUE"""),"")</f>
        <v/>
      </c>
      <c r="W925" s="52" t="str">
        <f>IFERROR(__xludf.DUMMYFUNCTION("""COMPUTED_VALUE"""),"")</f>
        <v/>
      </c>
      <c r="X925" s="52" t="str">
        <f>IFERROR(__xludf.DUMMYFUNCTION("""COMPUTED_VALUE"""),"")</f>
        <v/>
      </c>
      <c r="Y925" s="52" t="str">
        <f>IFERROR(__xludf.DUMMYFUNCTION("""COMPUTED_VALUE"""),"")</f>
        <v/>
      </c>
      <c r="Z925" s="52" t="str">
        <f>IFERROR(__xludf.DUMMYFUNCTION("""COMPUTED_VALUE"""),"")</f>
        <v/>
      </c>
      <c r="AA925" s="52" t="str">
        <f>IFERROR(__xludf.DUMMYFUNCTION("""COMPUTED_VALUE"""),"")</f>
        <v/>
      </c>
      <c r="AB925" s="52" t="str">
        <f>IFERROR(__xludf.DUMMYFUNCTION("""COMPUTED_VALUE"""),"")</f>
        <v/>
      </c>
      <c r="AC925" s="52" t="str">
        <f>IFERROR(__xludf.DUMMYFUNCTION("""COMPUTED_VALUE"""),"")</f>
        <v/>
      </c>
      <c r="AD925" s="52" t="str">
        <f>IFERROR(__xludf.DUMMYFUNCTION("""COMPUTED_VALUE"""),"")</f>
        <v/>
      </c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</row>
    <row r="926">
      <c r="B926" s="49"/>
      <c r="C926" s="49" t="str">
        <f t="shared" si="2"/>
        <v/>
      </c>
      <c r="D926" s="50" t="str">
        <f t="shared" si="3"/>
        <v/>
      </c>
      <c r="E926" s="51" t="str">
        <f t="shared" ref="E926:T926" si="927">IFERROR(VLOOKUP($A926,INDIRECT("'" &amp; E$1 &amp; "'!$C:$G"), 5, FALSE),"")</f>
        <v/>
      </c>
      <c r="F926" s="51" t="str">
        <f t="shared" si="927"/>
        <v/>
      </c>
      <c r="G926" s="51" t="str">
        <f t="shared" si="927"/>
        <v/>
      </c>
      <c r="H926" s="51" t="str">
        <f t="shared" si="927"/>
        <v/>
      </c>
      <c r="I926" s="51" t="str">
        <f t="shared" si="927"/>
        <v/>
      </c>
      <c r="J926" s="51" t="str">
        <f t="shared" si="927"/>
        <v/>
      </c>
      <c r="K926" s="51" t="str">
        <f t="shared" si="927"/>
        <v/>
      </c>
      <c r="L926" s="51" t="str">
        <f t="shared" si="927"/>
        <v/>
      </c>
      <c r="M926" s="51" t="str">
        <f t="shared" si="927"/>
        <v/>
      </c>
      <c r="N926" s="51" t="str">
        <f t="shared" si="927"/>
        <v/>
      </c>
      <c r="O926" s="51" t="str">
        <f t="shared" si="927"/>
        <v/>
      </c>
      <c r="P926" s="51" t="str">
        <f t="shared" si="927"/>
        <v/>
      </c>
      <c r="Q926" s="51" t="str">
        <f t="shared" si="927"/>
        <v/>
      </c>
      <c r="R926" s="51" t="str">
        <f t="shared" si="927"/>
        <v/>
      </c>
      <c r="S926" s="51" t="str">
        <f t="shared" si="927"/>
        <v/>
      </c>
      <c r="T926" s="51" t="str">
        <f t="shared" si="927"/>
        <v/>
      </c>
      <c r="U926" s="52"/>
      <c r="V926" s="52" t="str">
        <f>IFERROR(__xludf.DUMMYFUNCTION("""COMPUTED_VALUE"""),"")</f>
        <v/>
      </c>
      <c r="W926" s="52" t="str">
        <f>IFERROR(__xludf.DUMMYFUNCTION("""COMPUTED_VALUE"""),"")</f>
        <v/>
      </c>
      <c r="X926" s="52" t="str">
        <f>IFERROR(__xludf.DUMMYFUNCTION("""COMPUTED_VALUE"""),"")</f>
        <v/>
      </c>
      <c r="Y926" s="52" t="str">
        <f>IFERROR(__xludf.DUMMYFUNCTION("""COMPUTED_VALUE"""),"")</f>
        <v/>
      </c>
      <c r="Z926" s="52" t="str">
        <f>IFERROR(__xludf.DUMMYFUNCTION("""COMPUTED_VALUE"""),"")</f>
        <v/>
      </c>
      <c r="AA926" s="52" t="str">
        <f>IFERROR(__xludf.DUMMYFUNCTION("""COMPUTED_VALUE"""),"")</f>
        <v/>
      </c>
      <c r="AB926" s="52" t="str">
        <f>IFERROR(__xludf.DUMMYFUNCTION("""COMPUTED_VALUE"""),"")</f>
        <v/>
      </c>
      <c r="AC926" s="52" t="str">
        <f>IFERROR(__xludf.DUMMYFUNCTION("""COMPUTED_VALUE"""),"")</f>
        <v/>
      </c>
      <c r="AD926" s="52" t="str">
        <f>IFERROR(__xludf.DUMMYFUNCTION("""COMPUTED_VALUE"""),"")</f>
        <v/>
      </c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</row>
    <row r="927">
      <c r="B927" s="49"/>
      <c r="C927" s="49" t="str">
        <f t="shared" si="2"/>
        <v/>
      </c>
      <c r="D927" s="50" t="str">
        <f t="shared" si="3"/>
        <v/>
      </c>
      <c r="E927" s="51" t="str">
        <f t="shared" ref="E927:T927" si="928">IFERROR(VLOOKUP($A927,INDIRECT("'" &amp; E$1 &amp; "'!$C:$G"), 5, FALSE),"")</f>
        <v/>
      </c>
      <c r="F927" s="51" t="str">
        <f t="shared" si="928"/>
        <v/>
      </c>
      <c r="G927" s="51" t="str">
        <f t="shared" si="928"/>
        <v/>
      </c>
      <c r="H927" s="51" t="str">
        <f t="shared" si="928"/>
        <v/>
      </c>
      <c r="I927" s="51" t="str">
        <f t="shared" si="928"/>
        <v/>
      </c>
      <c r="J927" s="51" t="str">
        <f t="shared" si="928"/>
        <v/>
      </c>
      <c r="K927" s="51" t="str">
        <f t="shared" si="928"/>
        <v/>
      </c>
      <c r="L927" s="51" t="str">
        <f t="shared" si="928"/>
        <v/>
      </c>
      <c r="M927" s="51" t="str">
        <f t="shared" si="928"/>
        <v/>
      </c>
      <c r="N927" s="51" t="str">
        <f t="shared" si="928"/>
        <v/>
      </c>
      <c r="O927" s="51" t="str">
        <f t="shared" si="928"/>
        <v/>
      </c>
      <c r="P927" s="51" t="str">
        <f t="shared" si="928"/>
        <v/>
      </c>
      <c r="Q927" s="51" t="str">
        <f t="shared" si="928"/>
        <v/>
      </c>
      <c r="R927" s="51" t="str">
        <f t="shared" si="928"/>
        <v/>
      </c>
      <c r="S927" s="51" t="str">
        <f t="shared" si="928"/>
        <v/>
      </c>
      <c r="T927" s="51" t="str">
        <f t="shared" si="928"/>
        <v/>
      </c>
      <c r="U927" s="52"/>
      <c r="V927" s="52" t="str">
        <f>IFERROR(__xludf.DUMMYFUNCTION("""COMPUTED_VALUE"""),"")</f>
        <v/>
      </c>
      <c r="W927" s="52" t="str">
        <f>IFERROR(__xludf.DUMMYFUNCTION("""COMPUTED_VALUE"""),"")</f>
        <v/>
      </c>
      <c r="X927" s="52" t="str">
        <f>IFERROR(__xludf.DUMMYFUNCTION("""COMPUTED_VALUE"""),"")</f>
        <v/>
      </c>
      <c r="Y927" s="52" t="str">
        <f>IFERROR(__xludf.DUMMYFUNCTION("""COMPUTED_VALUE"""),"")</f>
        <v/>
      </c>
      <c r="Z927" s="52" t="str">
        <f>IFERROR(__xludf.DUMMYFUNCTION("""COMPUTED_VALUE"""),"")</f>
        <v/>
      </c>
      <c r="AA927" s="52" t="str">
        <f>IFERROR(__xludf.DUMMYFUNCTION("""COMPUTED_VALUE"""),"")</f>
        <v/>
      </c>
      <c r="AB927" s="52" t="str">
        <f>IFERROR(__xludf.DUMMYFUNCTION("""COMPUTED_VALUE"""),"")</f>
        <v/>
      </c>
      <c r="AC927" s="52" t="str">
        <f>IFERROR(__xludf.DUMMYFUNCTION("""COMPUTED_VALUE"""),"")</f>
        <v/>
      </c>
      <c r="AD927" s="52" t="str">
        <f>IFERROR(__xludf.DUMMYFUNCTION("""COMPUTED_VALUE"""),"")</f>
        <v/>
      </c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</row>
    <row r="928">
      <c r="B928" s="49"/>
      <c r="C928" s="49" t="str">
        <f t="shared" si="2"/>
        <v/>
      </c>
      <c r="D928" s="50" t="str">
        <f t="shared" si="3"/>
        <v/>
      </c>
      <c r="E928" s="51" t="str">
        <f t="shared" ref="E928:T928" si="929">IFERROR(VLOOKUP($A928,INDIRECT("'" &amp; E$1 &amp; "'!$C:$G"), 5, FALSE),"")</f>
        <v/>
      </c>
      <c r="F928" s="51" t="str">
        <f t="shared" si="929"/>
        <v/>
      </c>
      <c r="G928" s="51" t="str">
        <f t="shared" si="929"/>
        <v/>
      </c>
      <c r="H928" s="51" t="str">
        <f t="shared" si="929"/>
        <v/>
      </c>
      <c r="I928" s="51" t="str">
        <f t="shared" si="929"/>
        <v/>
      </c>
      <c r="J928" s="51" t="str">
        <f t="shared" si="929"/>
        <v/>
      </c>
      <c r="K928" s="51" t="str">
        <f t="shared" si="929"/>
        <v/>
      </c>
      <c r="L928" s="51" t="str">
        <f t="shared" si="929"/>
        <v/>
      </c>
      <c r="M928" s="51" t="str">
        <f t="shared" si="929"/>
        <v/>
      </c>
      <c r="N928" s="51" t="str">
        <f t="shared" si="929"/>
        <v/>
      </c>
      <c r="O928" s="51" t="str">
        <f t="shared" si="929"/>
        <v/>
      </c>
      <c r="P928" s="51" t="str">
        <f t="shared" si="929"/>
        <v/>
      </c>
      <c r="Q928" s="51" t="str">
        <f t="shared" si="929"/>
        <v/>
      </c>
      <c r="R928" s="51" t="str">
        <f t="shared" si="929"/>
        <v/>
      </c>
      <c r="S928" s="51" t="str">
        <f t="shared" si="929"/>
        <v/>
      </c>
      <c r="T928" s="51" t="str">
        <f t="shared" si="929"/>
        <v/>
      </c>
      <c r="U928" s="52"/>
      <c r="V928" s="52" t="str">
        <f>IFERROR(__xludf.DUMMYFUNCTION("""COMPUTED_VALUE"""),"")</f>
        <v/>
      </c>
      <c r="W928" s="52" t="str">
        <f>IFERROR(__xludf.DUMMYFUNCTION("""COMPUTED_VALUE"""),"")</f>
        <v/>
      </c>
      <c r="X928" s="52" t="str">
        <f>IFERROR(__xludf.DUMMYFUNCTION("""COMPUTED_VALUE"""),"")</f>
        <v/>
      </c>
      <c r="Y928" s="52" t="str">
        <f>IFERROR(__xludf.DUMMYFUNCTION("""COMPUTED_VALUE"""),"")</f>
        <v/>
      </c>
      <c r="Z928" s="52" t="str">
        <f>IFERROR(__xludf.DUMMYFUNCTION("""COMPUTED_VALUE"""),"")</f>
        <v/>
      </c>
      <c r="AA928" s="52" t="str">
        <f>IFERROR(__xludf.DUMMYFUNCTION("""COMPUTED_VALUE"""),"")</f>
        <v/>
      </c>
      <c r="AB928" s="52" t="str">
        <f>IFERROR(__xludf.DUMMYFUNCTION("""COMPUTED_VALUE"""),"")</f>
        <v/>
      </c>
      <c r="AC928" s="52" t="str">
        <f>IFERROR(__xludf.DUMMYFUNCTION("""COMPUTED_VALUE"""),"")</f>
        <v/>
      </c>
      <c r="AD928" s="52" t="str">
        <f>IFERROR(__xludf.DUMMYFUNCTION("""COMPUTED_VALUE"""),"")</f>
        <v/>
      </c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</row>
    <row r="929">
      <c r="B929" s="49"/>
      <c r="C929" s="49" t="str">
        <f t="shared" si="2"/>
        <v/>
      </c>
      <c r="D929" s="50" t="str">
        <f t="shared" si="3"/>
        <v/>
      </c>
      <c r="E929" s="51" t="str">
        <f t="shared" ref="E929:T929" si="930">IFERROR(VLOOKUP($A929,INDIRECT("'" &amp; E$1 &amp; "'!$C:$G"), 5, FALSE),"")</f>
        <v/>
      </c>
      <c r="F929" s="51" t="str">
        <f t="shared" si="930"/>
        <v/>
      </c>
      <c r="G929" s="51" t="str">
        <f t="shared" si="930"/>
        <v/>
      </c>
      <c r="H929" s="51" t="str">
        <f t="shared" si="930"/>
        <v/>
      </c>
      <c r="I929" s="51" t="str">
        <f t="shared" si="930"/>
        <v/>
      </c>
      <c r="J929" s="51" t="str">
        <f t="shared" si="930"/>
        <v/>
      </c>
      <c r="K929" s="51" t="str">
        <f t="shared" si="930"/>
        <v/>
      </c>
      <c r="L929" s="51" t="str">
        <f t="shared" si="930"/>
        <v/>
      </c>
      <c r="M929" s="51" t="str">
        <f t="shared" si="930"/>
        <v/>
      </c>
      <c r="N929" s="51" t="str">
        <f t="shared" si="930"/>
        <v/>
      </c>
      <c r="O929" s="51" t="str">
        <f t="shared" si="930"/>
        <v/>
      </c>
      <c r="P929" s="51" t="str">
        <f t="shared" si="930"/>
        <v/>
      </c>
      <c r="Q929" s="51" t="str">
        <f t="shared" si="930"/>
        <v/>
      </c>
      <c r="R929" s="51" t="str">
        <f t="shared" si="930"/>
        <v/>
      </c>
      <c r="S929" s="51" t="str">
        <f t="shared" si="930"/>
        <v/>
      </c>
      <c r="T929" s="51" t="str">
        <f t="shared" si="930"/>
        <v/>
      </c>
      <c r="U929" s="52"/>
      <c r="V929" s="52" t="str">
        <f>IFERROR(__xludf.DUMMYFUNCTION("""COMPUTED_VALUE"""),"")</f>
        <v/>
      </c>
      <c r="W929" s="52" t="str">
        <f>IFERROR(__xludf.DUMMYFUNCTION("""COMPUTED_VALUE"""),"")</f>
        <v/>
      </c>
      <c r="X929" s="52" t="str">
        <f>IFERROR(__xludf.DUMMYFUNCTION("""COMPUTED_VALUE"""),"")</f>
        <v/>
      </c>
      <c r="Y929" s="52" t="str">
        <f>IFERROR(__xludf.DUMMYFUNCTION("""COMPUTED_VALUE"""),"")</f>
        <v/>
      </c>
      <c r="Z929" s="52" t="str">
        <f>IFERROR(__xludf.DUMMYFUNCTION("""COMPUTED_VALUE"""),"")</f>
        <v/>
      </c>
      <c r="AA929" s="52" t="str">
        <f>IFERROR(__xludf.DUMMYFUNCTION("""COMPUTED_VALUE"""),"")</f>
        <v/>
      </c>
      <c r="AB929" s="52" t="str">
        <f>IFERROR(__xludf.DUMMYFUNCTION("""COMPUTED_VALUE"""),"")</f>
        <v/>
      </c>
      <c r="AC929" s="52" t="str">
        <f>IFERROR(__xludf.DUMMYFUNCTION("""COMPUTED_VALUE"""),"")</f>
        <v/>
      </c>
      <c r="AD929" s="52" t="str">
        <f>IFERROR(__xludf.DUMMYFUNCTION("""COMPUTED_VALUE"""),"")</f>
        <v/>
      </c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</row>
    <row r="930">
      <c r="B930" s="49"/>
      <c r="C930" s="49" t="str">
        <f t="shared" si="2"/>
        <v/>
      </c>
      <c r="D930" s="50" t="str">
        <f t="shared" si="3"/>
        <v/>
      </c>
      <c r="E930" s="51" t="str">
        <f t="shared" ref="E930:T930" si="931">IFERROR(VLOOKUP($A930,INDIRECT("'" &amp; E$1 &amp; "'!$C:$G"), 5, FALSE),"")</f>
        <v/>
      </c>
      <c r="F930" s="51" t="str">
        <f t="shared" si="931"/>
        <v/>
      </c>
      <c r="G930" s="51" t="str">
        <f t="shared" si="931"/>
        <v/>
      </c>
      <c r="H930" s="51" t="str">
        <f t="shared" si="931"/>
        <v/>
      </c>
      <c r="I930" s="51" t="str">
        <f t="shared" si="931"/>
        <v/>
      </c>
      <c r="J930" s="51" t="str">
        <f t="shared" si="931"/>
        <v/>
      </c>
      <c r="K930" s="51" t="str">
        <f t="shared" si="931"/>
        <v/>
      </c>
      <c r="L930" s="51" t="str">
        <f t="shared" si="931"/>
        <v/>
      </c>
      <c r="M930" s="51" t="str">
        <f t="shared" si="931"/>
        <v/>
      </c>
      <c r="N930" s="51" t="str">
        <f t="shared" si="931"/>
        <v/>
      </c>
      <c r="O930" s="51" t="str">
        <f t="shared" si="931"/>
        <v/>
      </c>
      <c r="P930" s="51" t="str">
        <f t="shared" si="931"/>
        <v/>
      </c>
      <c r="Q930" s="51" t="str">
        <f t="shared" si="931"/>
        <v/>
      </c>
      <c r="R930" s="51" t="str">
        <f t="shared" si="931"/>
        <v/>
      </c>
      <c r="S930" s="51" t="str">
        <f t="shared" si="931"/>
        <v/>
      </c>
      <c r="T930" s="51" t="str">
        <f t="shared" si="931"/>
        <v/>
      </c>
      <c r="U930" s="52"/>
      <c r="V930" s="52" t="str">
        <f>IFERROR(__xludf.DUMMYFUNCTION("""COMPUTED_VALUE"""),"")</f>
        <v/>
      </c>
      <c r="W930" s="52" t="str">
        <f>IFERROR(__xludf.DUMMYFUNCTION("""COMPUTED_VALUE"""),"")</f>
        <v/>
      </c>
      <c r="X930" s="52" t="str">
        <f>IFERROR(__xludf.DUMMYFUNCTION("""COMPUTED_VALUE"""),"")</f>
        <v/>
      </c>
      <c r="Y930" s="52" t="str">
        <f>IFERROR(__xludf.DUMMYFUNCTION("""COMPUTED_VALUE"""),"")</f>
        <v/>
      </c>
      <c r="Z930" s="52" t="str">
        <f>IFERROR(__xludf.DUMMYFUNCTION("""COMPUTED_VALUE"""),"")</f>
        <v/>
      </c>
      <c r="AA930" s="52" t="str">
        <f>IFERROR(__xludf.DUMMYFUNCTION("""COMPUTED_VALUE"""),"")</f>
        <v/>
      </c>
      <c r="AB930" s="52" t="str">
        <f>IFERROR(__xludf.DUMMYFUNCTION("""COMPUTED_VALUE"""),"")</f>
        <v/>
      </c>
      <c r="AC930" s="52" t="str">
        <f>IFERROR(__xludf.DUMMYFUNCTION("""COMPUTED_VALUE"""),"")</f>
        <v/>
      </c>
      <c r="AD930" s="52" t="str">
        <f>IFERROR(__xludf.DUMMYFUNCTION("""COMPUTED_VALUE"""),"")</f>
        <v/>
      </c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</row>
    <row r="931">
      <c r="B931" s="49"/>
      <c r="C931" s="49" t="str">
        <f t="shared" si="2"/>
        <v/>
      </c>
      <c r="D931" s="50" t="str">
        <f t="shared" si="3"/>
        <v/>
      </c>
      <c r="E931" s="51" t="str">
        <f t="shared" ref="E931:T931" si="932">IFERROR(VLOOKUP($A931,INDIRECT("'" &amp; E$1 &amp; "'!$C:$G"), 5, FALSE),"")</f>
        <v/>
      </c>
      <c r="F931" s="51" t="str">
        <f t="shared" si="932"/>
        <v/>
      </c>
      <c r="G931" s="51" t="str">
        <f t="shared" si="932"/>
        <v/>
      </c>
      <c r="H931" s="51" t="str">
        <f t="shared" si="932"/>
        <v/>
      </c>
      <c r="I931" s="51" t="str">
        <f t="shared" si="932"/>
        <v/>
      </c>
      <c r="J931" s="51" t="str">
        <f t="shared" si="932"/>
        <v/>
      </c>
      <c r="K931" s="51" t="str">
        <f t="shared" si="932"/>
        <v/>
      </c>
      <c r="L931" s="51" t="str">
        <f t="shared" si="932"/>
        <v/>
      </c>
      <c r="M931" s="51" t="str">
        <f t="shared" si="932"/>
        <v/>
      </c>
      <c r="N931" s="51" t="str">
        <f t="shared" si="932"/>
        <v/>
      </c>
      <c r="O931" s="51" t="str">
        <f t="shared" si="932"/>
        <v/>
      </c>
      <c r="P931" s="51" t="str">
        <f t="shared" si="932"/>
        <v/>
      </c>
      <c r="Q931" s="51" t="str">
        <f t="shared" si="932"/>
        <v/>
      </c>
      <c r="R931" s="51" t="str">
        <f t="shared" si="932"/>
        <v/>
      </c>
      <c r="S931" s="51" t="str">
        <f t="shared" si="932"/>
        <v/>
      </c>
      <c r="T931" s="51" t="str">
        <f t="shared" si="932"/>
        <v/>
      </c>
      <c r="U931" s="52"/>
      <c r="V931" s="52" t="str">
        <f>IFERROR(__xludf.DUMMYFUNCTION("""COMPUTED_VALUE"""),"")</f>
        <v/>
      </c>
      <c r="W931" s="52" t="str">
        <f>IFERROR(__xludf.DUMMYFUNCTION("""COMPUTED_VALUE"""),"")</f>
        <v/>
      </c>
      <c r="X931" s="52" t="str">
        <f>IFERROR(__xludf.DUMMYFUNCTION("""COMPUTED_VALUE"""),"")</f>
        <v/>
      </c>
      <c r="Y931" s="52" t="str">
        <f>IFERROR(__xludf.DUMMYFUNCTION("""COMPUTED_VALUE"""),"")</f>
        <v/>
      </c>
      <c r="Z931" s="52" t="str">
        <f>IFERROR(__xludf.DUMMYFUNCTION("""COMPUTED_VALUE"""),"")</f>
        <v/>
      </c>
      <c r="AA931" s="52" t="str">
        <f>IFERROR(__xludf.DUMMYFUNCTION("""COMPUTED_VALUE"""),"")</f>
        <v/>
      </c>
      <c r="AB931" s="52" t="str">
        <f>IFERROR(__xludf.DUMMYFUNCTION("""COMPUTED_VALUE"""),"")</f>
        <v/>
      </c>
      <c r="AC931" s="52" t="str">
        <f>IFERROR(__xludf.DUMMYFUNCTION("""COMPUTED_VALUE"""),"")</f>
        <v/>
      </c>
      <c r="AD931" s="52" t="str">
        <f>IFERROR(__xludf.DUMMYFUNCTION("""COMPUTED_VALUE"""),"")</f>
        <v/>
      </c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</row>
    <row r="932">
      <c r="B932" s="49"/>
      <c r="C932" s="49" t="str">
        <f t="shared" si="2"/>
        <v/>
      </c>
      <c r="D932" s="50" t="str">
        <f t="shared" si="3"/>
        <v/>
      </c>
      <c r="E932" s="51" t="str">
        <f t="shared" ref="E932:T932" si="933">IFERROR(VLOOKUP($A932,INDIRECT("'" &amp; E$1 &amp; "'!$C:$G"), 5, FALSE),"")</f>
        <v/>
      </c>
      <c r="F932" s="51" t="str">
        <f t="shared" si="933"/>
        <v/>
      </c>
      <c r="G932" s="51" t="str">
        <f t="shared" si="933"/>
        <v/>
      </c>
      <c r="H932" s="51" t="str">
        <f t="shared" si="933"/>
        <v/>
      </c>
      <c r="I932" s="51" t="str">
        <f t="shared" si="933"/>
        <v/>
      </c>
      <c r="J932" s="51" t="str">
        <f t="shared" si="933"/>
        <v/>
      </c>
      <c r="K932" s="51" t="str">
        <f t="shared" si="933"/>
        <v/>
      </c>
      <c r="L932" s="51" t="str">
        <f t="shared" si="933"/>
        <v/>
      </c>
      <c r="M932" s="51" t="str">
        <f t="shared" si="933"/>
        <v/>
      </c>
      <c r="N932" s="51" t="str">
        <f t="shared" si="933"/>
        <v/>
      </c>
      <c r="O932" s="51" t="str">
        <f t="shared" si="933"/>
        <v/>
      </c>
      <c r="P932" s="51" t="str">
        <f t="shared" si="933"/>
        <v/>
      </c>
      <c r="Q932" s="51" t="str">
        <f t="shared" si="933"/>
        <v/>
      </c>
      <c r="R932" s="51" t="str">
        <f t="shared" si="933"/>
        <v/>
      </c>
      <c r="S932" s="51" t="str">
        <f t="shared" si="933"/>
        <v/>
      </c>
      <c r="T932" s="51" t="str">
        <f t="shared" si="933"/>
        <v/>
      </c>
      <c r="U932" s="52"/>
      <c r="V932" s="52" t="str">
        <f>IFERROR(__xludf.DUMMYFUNCTION("""COMPUTED_VALUE"""),"")</f>
        <v/>
      </c>
      <c r="W932" s="52" t="str">
        <f>IFERROR(__xludf.DUMMYFUNCTION("""COMPUTED_VALUE"""),"")</f>
        <v/>
      </c>
      <c r="X932" s="52" t="str">
        <f>IFERROR(__xludf.DUMMYFUNCTION("""COMPUTED_VALUE"""),"")</f>
        <v/>
      </c>
      <c r="Y932" s="52" t="str">
        <f>IFERROR(__xludf.DUMMYFUNCTION("""COMPUTED_VALUE"""),"")</f>
        <v/>
      </c>
      <c r="Z932" s="52" t="str">
        <f>IFERROR(__xludf.DUMMYFUNCTION("""COMPUTED_VALUE"""),"")</f>
        <v/>
      </c>
      <c r="AA932" s="52" t="str">
        <f>IFERROR(__xludf.DUMMYFUNCTION("""COMPUTED_VALUE"""),"")</f>
        <v/>
      </c>
      <c r="AB932" s="52" t="str">
        <f>IFERROR(__xludf.DUMMYFUNCTION("""COMPUTED_VALUE"""),"")</f>
        <v/>
      </c>
      <c r="AC932" s="52" t="str">
        <f>IFERROR(__xludf.DUMMYFUNCTION("""COMPUTED_VALUE"""),"")</f>
        <v/>
      </c>
      <c r="AD932" s="52" t="str">
        <f>IFERROR(__xludf.DUMMYFUNCTION("""COMPUTED_VALUE"""),"")</f>
        <v/>
      </c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</row>
    <row r="933">
      <c r="B933" s="49"/>
      <c r="C933" s="49" t="str">
        <f t="shared" si="2"/>
        <v/>
      </c>
      <c r="D933" s="50" t="str">
        <f t="shared" si="3"/>
        <v/>
      </c>
      <c r="E933" s="51" t="str">
        <f t="shared" ref="E933:T933" si="934">IFERROR(VLOOKUP($A933,INDIRECT("'" &amp; E$1 &amp; "'!$C:$G"), 5, FALSE),"")</f>
        <v/>
      </c>
      <c r="F933" s="51" t="str">
        <f t="shared" si="934"/>
        <v/>
      </c>
      <c r="G933" s="51" t="str">
        <f t="shared" si="934"/>
        <v/>
      </c>
      <c r="H933" s="51" t="str">
        <f t="shared" si="934"/>
        <v/>
      </c>
      <c r="I933" s="51" t="str">
        <f t="shared" si="934"/>
        <v/>
      </c>
      <c r="J933" s="51" t="str">
        <f t="shared" si="934"/>
        <v/>
      </c>
      <c r="K933" s="51" t="str">
        <f t="shared" si="934"/>
        <v/>
      </c>
      <c r="L933" s="51" t="str">
        <f t="shared" si="934"/>
        <v/>
      </c>
      <c r="M933" s="51" t="str">
        <f t="shared" si="934"/>
        <v/>
      </c>
      <c r="N933" s="51" t="str">
        <f t="shared" si="934"/>
        <v/>
      </c>
      <c r="O933" s="51" t="str">
        <f t="shared" si="934"/>
        <v/>
      </c>
      <c r="P933" s="51" t="str">
        <f t="shared" si="934"/>
        <v/>
      </c>
      <c r="Q933" s="51" t="str">
        <f t="shared" si="934"/>
        <v/>
      </c>
      <c r="R933" s="51" t="str">
        <f t="shared" si="934"/>
        <v/>
      </c>
      <c r="S933" s="51" t="str">
        <f t="shared" si="934"/>
        <v/>
      </c>
      <c r="T933" s="51" t="str">
        <f t="shared" si="934"/>
        <v/>
      </c>
      <c r="U933" s="52"/>
      <c r="V933" s="52" t="str">
        <f>IFERROR(__xludf.DUMMYFUNCTION("""COMPUTED_VALUE"""),"")</f>
        <v/>
      </c>
      <c r="W933" s="52" t="str">
        <f>IFERROR(__xludf.DUMMYFUNCTION("""COMPUTED_VALUE"""),"")</f>
        <v/>
      </c>
      <c r="X933" s="52" t="str">
        <f>IFERROR(__xludf.DUMMYFUNCTION("""COMPUTED_VALUE"""),"")</f>
        <v/>
      </c>
      <c r="Y933" s="52" t="str">
        <f>IFERROR(__xludf.DUMMYFUNCTION("""COMPUTED_VALUE"""),"")</f>
        <v/>
      </c>
      <c r="Z933" s="52" t="str">
        <f>IFERROR(__xludf.DUMMYFUNCTION("""COMPUTED_VALUE"""),"")</f>
        <v/>
      </c>
      <c r="AA933" s="52" t="str">
        <f>IFERROR(__xludf.DUMMYFUNCTION("""COMPUTED_VALUE"""),"")</f>
        <v/>
      </c>
      <c r="AB933" s="52" t="str">
        <f>IFERROR(__xludf.DUMMYFUNCTION("""COMPUTED_VALUE"""),"")</f>
        <v/>
      </c>
      <c r="AC933" s="52" t="str">
        <f>IFERROR(__xludf.DUMMYFUNCTION("""COMPUTED_VALUE"""),"")</f>
        <v/>
      </c>
      <c r="AD933" s="52" t="str">
        <f>IFERROR(__xludf.DUMMYFUNCTION("""COMPUTED_VALUE"""),"")</f>
        <v/>
      </c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</row>
    <row r="934">
      <c r="B934" s="49"/>
      <c r="C934" s="49" t="str">
        <f t="shared" si="2"/>
        <v/>
      </c>
      <c r="D934" s="50" t="str">
        <f t="shared" si="3"/>
        <v/>
      </c>
      <c r="E934" s="51" t="str">
        <f t="shared" ref="E934:T934" si="935">IFERROR(VLOOKUP($A934,INDIRECT("'" &amp; E$1 &amp; "'!$C:$G"), 5, FALSE),"")</f>
        <v/>
      </c>
      <c r="F934" s="51" t="str">
        <f t="shared" si="935"/>
        <v/>
      </c>
      <c r="G934" s="51" t="str">
        <f t="shared" si="935"/>
        <v/>
      </c>
      <c r="H934" s="51" t="str">
        <f t="shared" si="935"/>
        <v/>
      </c>
      <c r="I934" s="51" t="str">
        <f t="shared" si="935"/>
        <v/>
      </c>
      <c r="J934" s="51" t="str">
        <f t="shared" si="935"/>
        <v/>
      </c>
      <c r="K934" s="51" t="str">
        <f t="shared" si="935"/>
        <v/>
      </c>
      <c r="L934" s="51" t="str">
        <f t="shared" si="935"/>
        <v/>
      </c>
      <c r="M934" s="51" t="str">
        <f t="shared" si="935"/>
        <v/>
      </c>
      <c r="N934" s="51" t="str">
        <f t="shared" si="935"/>
        <v/>
      </c>
      <c r="O934" s="51" t="str">
        <f t="shared" si="935"/>
        <v/>
      </c>
      <c r="P934" s="51" t="str">
        <f t="shared" si="935"/>
        <v/>
      </c>
      <c r="Q934" s="51" t="str">
        <f t="shared" si="935"/>
        <v/>
      </c>
      <c r="R934" s="51" t="str">
        <f t="shared" si="935"/>
        <v/>
      </c>
      <c r="S934" s="51" t="str">
        <f t="shared" si="935"/>
        <v/>
      </c>
      <c r="T934" s="51" t="str">
        <f t="shared" si="935"/>
        <v/>
      </c>
      <c r="U934" s="52"/>
      <c r="V934" s="52" t="str">
        <f>IFERROR(__xludf.DUMMYFUNCTION("""COMPUTED_VALUE"""),"")</f>
        <v/>
      </c>
      <c r="W934" s="52" t="str">
        <f>IFERROR(__xludf.DUMMYFUNCTION("""COMPUTED_VALUE"""),"")</f>
        <v/>
      </c>
      <c r="X934" s="52" t="str">
        <f>IFERROR(__xludf.DUMMYFUNCTION("""COMPUTED_VALUE"""),"")</f>
        <v/>
      </c>
      <c r="Y934" s="52" t="str">
        <f>IFERROR(__xludf.DUMMYFUNCTION("""COMPUTED_VALUE"""),"")</f>
        <v/>
      </c>
      <c r="Z934" s="52" t="str">
        <f>IFERROR(__xludf.DUMMYFUNCTION("""COMPUTED_VALUE"""),"")</f>
        <v/>
      </c>
      <c r="AA934" s="52" t="str">
        <f>IFERROR(__xludf.DUMMYFUNCTION("""COMPUTED_VALUE"""),"")</f>
        <v/>
      </c>
      <c r="AB934" s="52" t="str">
        <f>IFERROR(__xludf.DUMMYFUNCTION("""COMPUTED_VALUE"""),"")</f>
        <v/>
      </c>
      <c r="AC934" s="52" t="str">
        <f>IFERROR(__xludf.DUMMYFUNCTION("""COMPUTED_VALUE"""),"")</f>
        <v/>
      </c>
      <c r="AD934" s="52" t="str">
        <f>IFERROR(__xludf.DUMMYFUNCTION("""COMPUTED_VALUE"""),"")</f>
        <v/>
      </c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</row>
    <row r="935">
      <c r="B935" s="49"/>
      <c r="C935" s="49" t="str">
        <f t="shared" si="2"/>
        <v/>
      </c>
      <c r="D935" s="50" t="str">
        <f t="shared" si="3"/>
        <v/>
      </c>
      <c r="E935" s="51" t="str">
        <f t="shared" ref="E935:T935" si="936">IFERROR(VLOOKUP($A935,INDIRECT("'" &amp; E$1 &amp; "'!$C:$G"), 5, FALSE),"")</f>
        <v/>
      </c>
      <c r="F935" s="51" t="str">
        <f t="shared" si="936"/>
        <v/>
      </c>
      <c r="G935" s="51" t="str">
        <f t="shared" si="936"/>
        <v/>
      </c>
      <c r="H935" s="51" t="str">
        <f t="shared" si="936"/>
        <v/>
      </c>
      <c r="I935" s="51" t="str">
        <f t="shared" si="936"/>
        <v/>
      </c>
      <c r="J935" s="51" t="str">
        <f t="shared" si="936"/>
        <v/>
      </c>
      <c r="K935" s="51" t="str">
        <f t="shared" si="936"/>
        <v/>
      </c>
      <c r="L935" s="51" t="str">
        <f t="shared" si="936"/>
        <v/>
      </c>
      <c r="M935" s="51" t="str">
        <f t="shared" si="936"/>
        <v/>
      </c>
      <c r="N935" s="51" t="str">
        <f t="shared" si="936"/>
        <v/>
      </c>
      <c r="O935" s="51" t="str">
        <f t="shared" si="936"/>
        <v/>
      </c>
      <c r="P935" s="51" t="str">
        <f t="shared" si="936"/>
        <v/>
      </c>
      <c r="Q935" s="51" t="str">
        <f t="shared" si="936"/>
        <v/>
      </c>
      <c r="R935" s="51" t="str">
        <f t="shared" si="936"/>
        <v/>
      </c>
      <c r="S935" s="51" t="str">
        <f t="shared" si="936"/>
        <v/>
      </c>
      <c r="T935" s="51" t="str">
        <f t="shared" si="936"/>
        <v/>
      </c>
      <c r="U935" s="52"/>
      <c r="V935" s="52" t="str">
        <f>IFERROR(__xludf.DUMMYFUNCTION("""COMPUTED_VALUE"""),"")</f>
        <v/>
      </c>
      <c r="W935" s="52" t="str">
        <f>IFERROR(__xludf.DUMMYFUNCTION("""COMPUTED_VALUE"""),"")</f>
        <v/>
      </c>
      <c r="X935" s="52" t="str">
        <f>IFERROR(__xludf.DUMMYFUNCTION("""COMPUTED_VALUE"""),"")</f>
        <v/>
      </c>
      <c r="Y935" s="52" t="str">
        <f>IFERROR(__xludf.DUMMYFUNCTION("""COMPUTED_VALUE"""),"")</f>
        <v/>
      </c>
      <c r="Z935" s="52" t="str">
        <f>IFERROR(__xludf.DUMMYFUNCTION("""COMPUTED_VALUE"""),"")</f>
        <v/>
      </c>
      <c r="AA935" s="52" t="str">
        <f>IFERROR(__xludf.DUMMYFUNCTION("""COMPUTED_VALUE"""),"")</f>
        <v/>
      </c>
      <c r="AB935" s="52" t="str">
        <f>IFERROR(__xludf.DUMMYFUNCTION("""COMPUTED_VALUE"""),"")</f>
        <v/>
      </c>
      <c r="AC935" s="52" t="str">
        <f>IFERROR(__xludf.DUMMYFUNCTION("""COMPUTED_VALUE"""),"")</f>
        <v/>
      </c>
      <c r="AD935" s="52" t="str">
        <f>IFERROR(__xludf.DUMMYFUNCTION("""COMPUTED_VALUE"""),"")</f>
        <v/>
      </c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</row>
    <row r="936">
      <c r="B936" s="49"/>
      <c r="C936" s="49" t="str">
        <f t="shared" si="2"/>
        <v/>
      </c>
      <c r="D936" s="50" t="str">
        <f t="shared" si="3"/>
        <v/>
      </c>
      <c r="E936" s="51" t="str">
        <f t="shared" ref="E936:T936" si="937">IFERROR(VLOOKUP($A936,INDIRECT("'" &amp; E$1 &amp; "'!$C:$G"), 5, FALSE),"")</f>
        <v/>
      </c>
      <c r="F936" s="51" t="str">
        <f t="shared" si="937"/>
        <v/>
      </c>
      <c r="G936" s="51" t="str">
        <f t="shared" si="937"/>
        <v/>
      </c>
      <c r="H936" s="51" t="str">
        <f t="shared" si="937"/>
        <v/>
      </c>
      <c r="I936" s="51" t="str">
        <f t="shared" si="937"/>
        <v/>
      </c>
      <c r="J936" s="51" t="str">
        <f t="shared" si="937"/>
        <v/>
      </c>
      <c r="K936" s="51" t="str">
        <f t="shared" si="937"/>
        <v/>
      </c>
      <c r="L936" s="51" t="str">
        <f t="shared" si="937"/>
        <v/>
      </c>
      <c r="M936" s="51" t="str">
        <f t="shared" si="937"/>
        <v/>
      </c>
      <c r="N936" s="51" t="str">
        <f t="shared" si="937"/>
        <v/>
      </c>
      <c r="O936" s="51" t="str">
        <f t="shared" si="937"/>
        <v/>
      </c>
      <c r="P936" s="51" t="str">
        <f t="shared" si="937"/>
        <v/>
      </c>
      <c r="Q936" s="51" t="str">
        <f t="shared" si="937"/>
        <v/>
      </c>
      <c r="R936" s="51" t="str">
        <f t="shared" si="937"/>
        <v/>
      </c>
      <c r="S936" s="51" t="str">
        <f t="shared" si="937"/>
        <v/>
      </c>
      <c r="T936" s="51" t="str">
        <f t="shared" si="937"/>
        <v/>
      </c>
      <c r="U936" s="52"/>
      <c r="V936" s="52" t="str">
        <f>IFERROR(__xludf.DUMMYFUNCTION("""COMPUTED_VALUE"""),"")</f>
        <v/>
      </c>
      <c r="W936" s="52" t="str">
        <f>IFERROR(__xludf.DUMMYFUNCTION("""COMPUTED_VALUE"""),"")</f>
        <v/>
      </c>
      <c r="X936" s="52" t="str">
        <f>IFERROR(__xludf.DUMMYFUNCTION("""COMPUTED_VALUE"""),"")</f>
        <v/>
      </c>
      <c r="Y936" s="52" t="str">
        <f>IFERROR(__xludf.DUMMYFUNCTION("""COMPUTED_VALUE"""),"")</f>
        <v/>
      </c>
      <c r="Z936" s="52" t="str">
        <f>IFERROR(__xludf.DUMMYFUNCTION("""COMPUTED_VALUE"""),"")</f>
        <v/>
      </c>
      <c r="AA936" s="52" t="str">
        <f>IFERROR(__xludf.DUMMYFUNCTION("""COMPUTED_VALUE"""),"")</f>
        <v/>
      </c>
      <c r="AB936" s="52" t="str">
        <f>IFERROR(__xludf.DUMMYFUNCTION("""COMPUTED_VALUE"""),"")</f>
        <v/>
      </c>
      <c r="AC936" s="52" t="str">
        <f>IFERROR(__xludf.DUMMYFUNCTION("""COMPUTED_VALUE"""),"")</f>
        <v/>
      </c>
      <c r="AD936" s="52" t="str">
        <f>IFERROR(__xludf.DUMMYFUNCTION("""COMPUTED_VALUE"""),"")</f>
        <v/>
      </c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</row>
    <row r="937">
      <c r="B937" s="49"/>
      <c r="C937" s="49" t="str">
        <f t="shared" si="2"/>
        <v/>
      </c>
      <c r="D937" s="50" t="str">
        <f t="shared" si="3"/>
        <v/>
      </c>
      <c r="E937" s="51" t="str">
        <f t="shared" ref="E937:T937" si="938">IFERROR(VLOOKUP($A937,INDIRECT("'" &amp; E$1 &amp; "'!$C:$G"), 5, FALSE),"")</f>
        <v/>
      </c>
      <c r="F937" s="51" t="str">
        <f t="shared" si="938"/>
        <v/>
      </c>
      <c r="G937" s="51" t="str">
        <f t="shared" si="938"/>
        <v/>
      </c>
      <c r="H937" s="51" t="str">
        <f t="shared" si="938"/>
        <v/>
      </c>
      <c r="I937" s="51" t="str">
        <f t="shared" si="938"/>
        <v/>
      </c>
      <c r="J937" s="51" t="str">
        <f t="shared" si="938"/>
        <v/>
      </c>
      <c r="K937" s="51" t="str">
        <f t="shared" si="938"/>
        <v/>
      </c>
      <c r="L937" s="51" t="str">
        <f t="shared" si="938"/>
        <v/>
      </c>
      <c r="M937" s="51" t="str">
        <f t="shared" si="938"/>
        <v/>
      </c>
      <c r="N937" s="51" t="str">
        <f t="shared" si="938"/>
        <v/>
      </c>
      <c r="O937" s="51" t="str">
        <f t="shared" si="938"/>
        <v/>
      </c>
      <c r="P937" s="51" t="str">
        <f t="shared" si="938"/>
        <v/>
      </c>
      <c r="Q937" s="51" t="str">
        <f t="shared" si="938"/>
        <v/>
      </c>
      <c r="R937" s="51" t="str">
        <f t="shared" si="938"/>
        <v/>
      </c>
      <c r="S937" s="51" t="str">
        <f t="shared" si="938"/>
        <v/>
      </c>
      <c r="T937" s="51" t="str">
        <f t="shared" si="938"/>
        <v/>
      </c>
      <c r="U937" s="52"/>
      <c r="V937" s="52" t="str">
        <f>IFERROR(__xludf.DUMMYFUNCTION("""COMPUTED_VALUE"""),"")</f>
        <v/>
      </c>
      <c r="W937" s="52" t="str">
        <f>IFERROR(__xludf.DUMMYFUNCTION("""COMPUTED_VALUE"""),"")</f>
        <v/>
      </c>
      <c r="X937" s="52" t="str">
        <f>IFERROR(__xludf.DUMMYFUNCTION("""COMPUTED_VALUE"""),"")</f>
        <v/>
      </c>
      <c r="Y937" s="52" t="str">
        <f>IFERROR(__xludf.DUMMYFUNCTION("""COMPUTED_VALUE"""),"")</f>
        <v/>
      </c>
      <c r="Z937" s="52" t="str">
        <f>IFERROR(__xludf.DUMMYFUNCTION("""COMPUTED_VALUE"""),"")</f>
        <v/>
      </c>
      <c r="AA937" s="52" t="str">
        <f>IFERROR(__xludf.DUMMYFUNCTION("""COMPUTED_VALUE"""),"")</f>
        <v/>
      </c>
      <c r="AB937" s="52" t="str">
        <f>IFERROR(__xludf.DUMMYFUNCTION("""COMPUTED_VALUE"""),"")</f>
        <v/>
      </c>
      <c r="AC937" s="52" t="str">
        <f>IFERROR(__xludf.DUMMYFUNCTION("""COMPUTED_VALUE"""),"")</f>
        <v/>
      </c>
      <c r="AD937" s="52" t="str">
        <f>IFERROR(__xludf.DUMMYFUNCTION("""COMPUTED_VALUE"""),"")</f>
        <v/>
      </c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</row>
    <row r="938">
      <c r="B938" s="49"/>
      <c r="C938" s="49" t="str">
        <f t="shared" si="2"/>
        <v/>
      </c>
      <c r="D938" s="50" t="str">
        <f t="shared" si="3"/>
        <v/>
      </c>
      <c r="E938" s="51" t="str">
        <f t="shared" ref="E938:T938" si="939">IFERROR(VLOOKUP($A938,INDIRECT("'" &amp; E$1 &amp; "'!$C:$G"), 5, FALSE),"")</f>
        <v/>
      </c>
      <c r="F938" s="51" t="str">
        <f t="shared" si="939"/>
        <v/>
      </c>
      <c r="G938" s="51" t="str">
        <f t="shared" si="939"/>
        <v/>
      </c>
      <c r="H938" s="51" t="str">
        <f t="shared" si="939"/>
        <v/>
      </c>
      <c r="I938" s="51" t="str">
        <f t="shared" si="939"/>
        <v/>
      </c>
      <c r="J938" s="51" t="str">
        <f t="shared" si="939"/>
        <v/>
      </c>
      <c r="K938" s="51" t="str">
        <f t="shared" si="939"/>
        <v/>
      </c>
      <c r="L938" s="51" t="str">
        <f t="shared" si="939"/>
        <v/>
      </c>
      <c r="M938" s="51" t="str">
        <f t="shared" si="939"/>
        <v/>
      </c>
      <c r="N938" s="51" t="str">
        <f t="shared" si="939"/>
        <v/>
      </c>
      <c r="O938" s="51" t="str">
        <f t="shared" si="939"/>
        <v/>
      </c>
      <c r="P938" s="51" t="str">
        <f t="shared" si="939"/>
        <v/>
      </c>
      <c r="Q938" s="51" t="str">
        <f t="shared" si="939"/>
        <v/>
      </c>
      <c r="R938" s="51" t="str">
        <f t="shared" si="939"/>
        <v/>
      </c>
      <c r="S938" s="51" t="str">
        <f t="shared" si="939"/>
        <v/>
      </c>
      <c r="T938" s="51" t="str">
        <f t="shared" si="939"/>
        <v/>
      </c>
      <c r="U938" s="52"/>
      <c r="V938" s="52" t="str">
        <f>IFERROR(__xludf.DUMMYFUNCTION("""COMPUTED_VALUE"""),"")</f>
        <v/>
      </c>
      <c r="W938" s="52" t="str">
        <f>IFERROR(__xludf.DUMMYFUNCTION("""COMPUTED_VALUE"""),"")</f>
        <v/>
      </c>
      <c r="X938" s="52" t="str">
        <f>IFERROR(__xludf.DUMMYFUNCTION("""COMPUTED_VALUE"""),"")</f>
        <v/>
      </c>
      <c r="Y938" s="52" t="str">
        <f>IFERROR(__xludf.DUMMYFUNCTION("""COMPUTED_VALUE"""),"")</f>
        <v/>
      </c>
      <c r="Z938" s="52" t="str">
        <f>IFERROR(__xludf.DUMMYFUNCTION("""COMPUTED_VALUE"""),"")</f>
        <v/>
      </c>
      <c r="AA938" s="52" t="str">
        <f>IFERROR(__xludf.DUMMYFUNCTION("""COMPUTED_VALUE"""),"")</f>
        <v/>
      </c>
      <c r="AB938" s="52" t="str">
        <f>IFERROR(__xludf.DUMMYFUNCTION("""COMPUTED_VALUE"""),"")</f>
        <v/>
      </c>
      <c r="AC938" s="52" t="str">
        <f>IFERROR(__xludf.DUMMYFUNCTION("""COMPUTED_VALUE"""),"")</f>
        <v/>
      </c>
      <c r="AD938" s="52" t="str">
        <f>IFERROR(__xludf.DUMMYFUNCTION("""COMPUTED_VALUE"""),"")</f>
        <v/>
      </c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</row>
    <row r="939">
      <c r="B939" s="49"/>
      <c r="C939" s="49" t="str">
        <f t="shared" si="2"/>
        <v/>
      </c>
      <c r="D939" s="50" t="str">
        <f t="shared" si="3"/>
        <v/>
      </c>
      <c r="E939" s="51" t="str">
        <f t="shared" ref="E939:T939" si="940">IFERROR(VLOOKUP($A939,INDIRECT("'" &amp; E$1 &amp; "'!$C:$G"), 5, FALSE),"")</f>
        <v/>
      </c>
      <c r="F939" s="51" t="str">
        <f t="shared" si="940"/>
        <v/>
      </c>
      <c r="G939" s="51" t="str">
        <f t="shared" si="940"/>
        <v/>
      </c>
      <c r="H939" s="51" t="str">
        <f t="shared" si="940"/>
        <v/>
      </c>
      <c r="I939" s="51" t="str">
        <f t="shared" si="940"/>
        <v/>
      </c>
      <c r="J939" s="51" t="str">
        <f t="shared" si="940"/>
        <v/>
      </c>
      <c r="K939" s="51" t="str">
        <f t="shared" si="940"/>
        <v/>
      </c>
      <c r="L939" s="51" t="str">
        <f t="shared" si="940"/>
        <v/>
      </c>
      <c r="M939" s="51" t="str">
        <f t="shared" si="940"/>
        <v/>
      </c>
      <c r="N939" s="51" t="str">
        <f t="shared" si="940"/>
        <v/>
      </c>
      <c r="O939" s="51" t="str">
        <f t="shared" si="940"/>
        <v/>
      </c>
      <c r="P939" s="51" t="str">
        <f t="shared" si="940"/>
        <v/>
      </c>
      <c r="Q939" s="51" t="str">
        <f t="shared" si="940"/>
        <v/>
      </c>
      <c r="R939" s="51" t="str">
        <f t="shared" si="940"/>
        <v/>
      </c>
      <c r="S939" s="51" t="str">
        <f t="shared" si="940"/>
        <v/>
      </c>
      <c r="T939" s="51" t="str">
        <f t="shared" si="940"/>
        <v/>
      </c>
      <c r="U939" s="52"/>
      <c r="V939" s="52" t="str">
        <f>IFERROR(__xludf.DUMMYFUNCTION("""COMPUTED_VALUE"""),"")</f>
        <v/>
      </c>
      <c r="W939" s="52" t="str">
        <f>IFERROR(__xludf.DUMMYFUNCTION("""COMPUTED_VALUE"""),"")</f>
        <v/>
      </c>
      <c r="X939" s="52" t="str">
        <f>IFERROR(__xludf.DUMMYFUNCTION("""COMPUTED_VALUE"""),"")</f>
        <v/>
      </c>
      <c r="Y939" s="52" t="str">
        <f>IFERROR(__xludf.DUMMYFUNCTION("""COMPUTED_VALUE"""),"")</f>
        <v/>
      </c>
      <c r="Z939" s="52" t="str">
        <f>IFERROR(__xludf.DUMMYFUNCTION("""COMPUTED_VALUE"""),"")</f>
        <v/>
      </c>
      <c r="AA939" s="52" t="str">
        <f>IFERROR(__xludf.DUMMYFUNCTION("""COMPUTED_VALUE"""),"")</f>
        <v/>
      </c>
      <c r="AB939" s="52" t="str">
        <f>IFERROR(__xludf.DUMMYFUNCTION("""COMPUTED_VALUE"""),"")</f>
        <v/>
      </c>
      <c r="AC939" s="52" t="str">
        <f>IFERROR(__xludf.DUMMYFUNCTION("""COMPUTED_VALUE"""),"")</f>
        <v/>
      </c>
      <c r="AD939" s="52" t="str">
        <f>IFERROR(__xludf.DUMMYFUNCTION("""COMPUTED_VALUE"""),"")</f>
        <v/>
      </c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</row>
    <row r="940">
      <c r="B940" s="49"/>
      <c r="C940" s="49" t="str">
        <f t="shared" si="2"/>
        <v/>
      </c>
      <c r="D940" s="50" t="str">
        <f t="shared" si="3"/>
        <v/>
      </c>
      <c r="E940" s="51" t="str">
        <f t="shared" ref="E940:T940" si="941">IFERROR(VLOOKUP($A940,INDIRECT("'" &amp; E$1 &amp; "'!$C:$G"), 5, FALSE),"")</f>
        <v/>
      </c>
      <c r="F940" s="51" t="str">
        <f t="shared" si="941"/>
        <v/>
      </c>
      <c r="G940" s="51" t="str">
        <f t="shared" si="941"/>
        <v/>
      </c>
      <c r="H940" s="51" t="str">
        <f t="shared" si="941"/>
        <v/>
      </c>
      <c r="I940" s="51" t="str">
        <f t="shared" si="941"/>
        <v/>
      </c>
      <c r="J940" s="51" t="str">
        <f t="shared" si="941"/>
        <v/>
      </c>
      <c r="K940" s="51" t="str">
        <f t="shared" si="941"/>
        <v/>
      </c>
      <c r="L940" s="51" t="str">
        <f t="shared" si="941"/>
        <v/>
      </c>
      <c r="M940" s="51" t="str">
        <f t="shared" si="941"/>
        <v/>
      </c>
      <c r="N940" s="51" t="str">
        <f t="shared" si="941"/>
        <v/>
      </c>
      <c r="O940" s="51" t="str">
        <f t="shared" si="941"/>
        <v/>
      </c>
      <c r="P940" s="51" t="str">
        <f t="shared" si="941"/>
        <v/>
      </c>
      <c r="Q940" s="51" t="str">
        <f t="shared" si="941"/>
        <v/>
      </c>
      <c r="R940" s="51" t="str">
        <f t="shared" si="941"/>
        <v/>
      </c>
      <c r="S940" s="51" t="str">
        <f t="shared" si="941"/>
        <v/>
      </c>
      <c r="T940" s="51" t="str">
        <f t="shared" si="941"/>
        <v/>
      </c>
      <c r="U940" s="52"/>
      <c r="V940" s="52" t="str">
        <f>IFERROR(__xludf.DUMMYFUNCTION("""COMPUTED_VALUE"""),"")</f>
        <v/>
      </c>
      <c r="W940" s="52" t="str">
        <f>IFERROR(__xludf.DUMMYFUNCTION("""COMPUTED_VALUE"""),"")</f>
        <v/>
      </c>
      <c r="X940" s="52" t="str">
        <f>IFERROR(__xludf.DUMMYFUNCTION("""COMPUTED_VALUE"""),"")</f>
        <v/>
      </c>
      <c r="Y940" s="52" t="str">
        <f>IFERROR(__xludf.DUMMYFUNCTION("""COMPUTED_VALUE"""),"")</f>
        <v/>
      </c>
      <c r="Z940" s="52" t="str">
        <f>IFERROR(__xludf.DUMMYFUNCTION("""COMPUTED_VALUE"""),"")</f>
        <v/>
      </c>
      <c r="AA940" s="52" t="str">
        <f>IFERROR(__xludf.DUMMYFUNCTION("""COMPUTED_VALUE"""),"")</f>
        <v/>
      </c>
      <c r="AB940" s="52" t="str">
        <f>IFERROR(__xludf.DUMMYFUNCTION("""COMPUTED_VALUE"""),"")</f>
        <v/>
      </c>
      <c r="AC940" s="52" t="str">
        <f>IFERROR(__xludf.DUMMYFUNCTION("""COMPUTED_VALUE"""),"")</f>
        <v/>
      </c>
      <c r="AD940" s="52" t="str">
        <f>IFERROR(__xludf.DUMMYFUNCTION("""COMPUTED_VALUE"""),"")</f>
        <v/>
      </c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</row>
    <row r="941">
      <c r="B941" s="49"/>
      <c r="C941" s="49" t="str">
        <f t="shared" si="2"/>
        <v/>
      </c>
      <c r="D941" s="50" t="str">
        <f t="shared" si="3"/>
        <v/>
      </c>
      <c r="E941" s="51" t="str">
        <f t="shared" ref="E941:T941" si="942">IFERROR(VLOOKUP($A941,INDIRECT("'" &amp; E$1 &amp; "'!$C:$G"), 5, FALSE),"")</f>
        <v/>
      </c>
      <c r="F941" s="51" t="str">
        <f t="shared" si="942"/>
        <v/>
      </c>
      <c r="G941" s="51" t="str">
        <f t="shared" si="942"/>
        <v/>
      </c>
      <c r="H941" s="51" t="str">
        <f t="shared" si="942"/>
        <v/>
      </c>
      <c r="I941" s="51" t="str">
        <f t="shared" si="942"/>
        <v/>
      </c>
      <c r="J941" s="51" t="str">
        <f t="shared" si="942"/>
        <v/>
      </c>
      <c r="K941" s="51" t="str">
        <f t="shared" si="942"/>
        <v/>
      </c>
      <c r="L941" s="51" t="str">
        <f t="shared" si="942"/>
        <v/>
      </c>
      <c r="M941" s="51" t="str">
        <f t="shared" si="942"/>
        <v/>
      </c>
      <c r="N941" s="51" t="str">
        <f t="shared" si="942"/>
        <v/>
      </c>
      <c r="O941" s="51" t="str">
        <f t="shared" si="942"/>
        <v/>
      </c>
      <c r="P941" s="51" t="str">
        <f t="shared" si="942"/>
        <v/>
      </c>
      <c r="Q941" s="51" t="str">
        <f t="shared" si="942"/>
        <v/>
      </c>
      <c r="R941" s="51" t="str">
        <f t="shared" si="942"/>
        <v/>
      </c>
      <c r="S941" s="51" t="str">
        <f t="shared" si="942"/>
        <v/>
      </c>
      <c r="T941" s="51" t="str">
        <f t="shared" si="942"/>
        <v/>
      </c>
      <c r="U941" s="52"/>
      <c r="V941" s="52" t="str">
        <f>IFERROR(__xludf.DUMMYFUNCTION("""COMPUTED_VALUE"""),"")</f>
        <v/>
      </c>
      <c r="W941" s="52" t="str">
        <f>IFERROR(__xludf.DUMMYFUNCTION("""COMPUTED_VALUE"""),"")</f>
        <v/>
      </c>
      <c r="X941" s="52" t="str">
        <f>IFERROR(__xludf.DUMMYFUNCTION("""COMPUTED_VALUE"""),"")</f>
        <v/>
      </c>
      <c r="Y941" s="52" t="str">
        <f>IFERROR(__xludf.DUMMYFUNCTION("""COMPUTED_VALUE"""),"")</f>
        <v/>
      </c>
      <c r="Z941" s="52" t="str">
        <f>IFERROR(__xludf.DUMMYFUNCTION("""COMPUTED_VALUE"""),"")</f>
        <v/>
      </c>
      <c r="AA941" s="52" t="str">
        <f>IFERROR(__xludf.DUMMYFUNCTION("""COMPUTED_VALUE"""),"")</f>
        <v/>
      </c>
      <c r="AB941" s="52" t="str">
        <f>IFERROR(__xludf.DUMMYFUNCTION("""COMPUTED_VALUE"""),"")</f>
        <v/>
      </c>
      <c r="AC941" s="52" t="str">
        <f>IFERROR(__xludf.DUMMYFUNCTION("""COMPUTED_VALUE"""),"")</f>
        <v/>
      </c>
      <c r="AD941" s="52" t="str">
        <f>IFERROR(__xludf.DUMMYFUNCTION("""COMPUTED_VALUE"""),"")</f>
        <v/>
      </c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</row>
    <row r="942">
      <c r="B942" s="49"/>
      <c r="C942" s="49" t="str">
        <f t="shared" si="2"/>
        <v/>
      </c>
      <c r="D942" s="50" t="str">
        <f t="shared" si="3"/>
        <v/>
      </c>
      <c r="E942" s="51" t="str">
        <f t="shared" ref="E942:T942" si="943">IFERROR(VLOOKUP($A942,INDIRECT("'" &amp; E$1 &amp; "'!$C:$G"), 5, FALSE),"")</f>
        <v/>
      </c>
      <c r="F942" s="51" t="str">
        <f t="shared" si="943"/>
        <v/>
      </c>
      <c r="G942" s="51" t="str">
        <f t="shared" si="943"/>
        <v/>
      </c>
      <c r="H942" s="51" t="str">
        <f t="shared" si="943"/>
        <v/>
      </c>
      <c r="I942" s="51" t="str">
        <f t="shared" si="943"/>
        <v/>
      </c>
      <c r="J942" s="51" t="str">
        <f t="shared" si="943"/>
        <v/>
      </c>
      <c r="K942" s="51" t="str">
        <f t="shared" si="943"/>
        <v/>
      </c>
      <c r="L942" s="51" t="str">
        <f t="shared" si="943"/>
        <v/>
      </c>
      <c r="M942" s="51" t="str">
        <f t="shared" si="943"/>
        <v/>
      </c>
      <c r="N942" s="51" t="str">
        <f t="shared" si="943"/>
        <v/>
      </c>
      <c r="O942" s="51" t="str">
        <f t="shared" si="943"/>
        <v/>
      </c>
      <c r="P942" s="51" t="str">
        <f t="shared" si="943"/>
        <v/>
      </c>
      <c r="Q942" s="51" t="str">
        <f t="shared" si="943"/>
        <v/>
      </c>
      <c r="R942" s="51" t="str">
        <f t="shared" si="943"/>
        <v/>
      </c>
      <c r="S942" s="51" t="str">
        <f t="shared" si="943"/>
        <v/>
      </c>
      <c r="T942" s="51" t="str">
        <f t="shared" si="943"/>
        <v/>
      </c>
      <c r="U942" s="52"/>
      <c r="V942" s="52" t="str">
        <f>IFERROR(__xludf.DUMMYFUNCTION("""COMPUTED_VALUE"""),"")</f>
        <v/>
      </c>
      <c r="W942" s="52" t="str">
        <f>IFERROR(__xludf.DUMMYFUNCTION("""COMPUTED_VALUE"""),"")</f>
        <v/>
      </c>
      <c r="X942" s="52" t="str">
        <f>IFERROR(__xludf.DUMMYFUNCTION("""COMPUTED_VALUE"""),"")</f>
        <v/>
      </c>
      <c r="Y942" s="52" t="str">
        <f>IFERROR(__xludf.DUMMYFUNCTION("""COMPUTED_VALUE"""),"")</f>
        <v/>
      </c>
      <c r="Z942" s="52" t="str">
        <f>IFERROR(__xludf.DUMMYFUNCTION("""COMPUTED_VALUE"""),"")</f>
        <v/>
      </c>
      <c r="AA942" s="52" t="str">
        <f>IFERROR(__xludf.DUMMYFUNCTION("""COMPUTED_VALUE"""),"")</f>
        <v/>
      </c>
      <c r="AB942" s="52" t="str">
        <f>IFERROR(__xludf.DUMMYFUNCTION("""COMPUTED_VALUE"""),"")</f>
        <v/>
      </c>
      <c r="AC942" s="52" t="str">
        <f>IFERROR(__xludf.DUMMYFUNCTION("""COMPUTED_VALUE"""),"")</f>
        <v/>
      </c>
      <c r="AD942" s="52" t="str">
        <f>IFERROR(__xludf.DUMMYFUNCTION("""COMPUTED_VALUE"""),"")</f>
        <v/>
      </c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</row>
    <row r="943">
      <c r="B943" s="49"/>
      <c r="C943" s="49" t="str">
        <f t="shared" si="2"/>
        <v/>
      </c>
      <c r="D943" s="50" t="str">
        <f t="shared" si="3"/>
        <v/>
      </c>
      <c r="E943" s="51" t="str">
        <f t="shared" ref="E943:T943" si="944">IFERROR(VLOOKUP($A943,INDIRECT("'" &amp; E$1 &amp; "'!$C:$G"), 5, FALSE),"")</f>
        <v/>
      </c>
      <c r="F943" s="51" t="str">
        <f t="shared" si="944"/>
        <v/>
      </c>
      <c r="G943" s="51" t="str">
        <f t="shared" si="944"/>
        <v/>
      </c>
      <c r="H943" s="51" t="str">
        <f t="shared" si="944"/>
        <v/>
      </c>
      <c r="I943" s="51" t="str">
        <f t="shared" si="944"/>
        <v/>
      </c>
      <c r="J943" s="51" t="str">
        <f t="shared" si="944"/>
        <v/>
      </c>
      <c r="K943" s="51" t="str">
        <f t="shared" si="944"/>
        <v/>
      </c>
      <c r="L943" s="51" t="str">
        <f t="shared" si="944"/>
        <v/>
      </c>
      <c r="M943" s="51" t="str">
        <f t="shared" si="944"/>
        <v/>
      </c>
      <c r="N943" s="51" t="str">
        <f t="shared" si="944"/>
        <v/>
      </c>
      <c r="O943" s="51" t="str">
        <f t="shared" si="944"/>
        <v/>
      </c>
      <c r="P943" s="51" t="str">
        <f t="shared" si="944"/>
        <v/>
      </c>
      <c r="Q943" s="51" t="str">
        <f t="shared" si="944"/>
        <v/>
      </c>
      <c r="R943" s="51" t="str">
        <f t="shared" si="944"/>
        <v/>
      </c>
      <c r="S943" s="51" t="str">
        <f t="shared" si="944"/>
        <v/>
      </c>
      <c r="T943" s="51" t="str">
        <f t="shared" si="944"/>
        <v/>
      </c>
      <c r="U943" s="52"/>
      <c r="V943" s="52" t="str">
        <f>IFERROR(__xludf.DUMMYFUNCTION("""COMPUTED_VALUE"""),"")</f>
        <v/>
      </c>
      <c r="W943" s="52" t="str">
        <f>IFERROR(__xludf.DUMMYFUNCTION("""COMPUTED_VALUE"""),"")</f>
        <v/>
      </c>
      <c r="X943" s="52" t="str">
        <f>IFERROR(__xludf.DUMMYFUNCTION("""COMPUTED_VALUE"""),"")</f>
        <v/>
      </c>
      <c r="Y943" s="52" t="str">
        <f>IFERROR(__xludf.DUMMYFUNCTION("""COMPUTED_VALUE"""),"")</f>
        <v/>
      </c>
      <c r="Z943" s="52" t="str">
        <f>IFERROR(__xludf.DUMMYFUNCTION("""COMPUTED_VALUE"""),"")</f>
        <v/>
      </c>
      <c r="AA943" s="52" t="str">
        <f>IFERROR(__xludf.DUMMYFUNCTION("""COMPUTED_VALUE"""),"")</f>
        <v/>
      </c>
      <c r="AB943" s="52" t="str">
        <f>IFERROR(__xludf.DUMMYFUNCTION("""COMPUTED_VALUE"""),"")</f>
        <v/>
      </c>
      <c r="AC943" s="52" t="str">
        <f>IFERROR(__xludf.DUMMYFUNCTION("""COMPUTED_VALUE"""),"")</f>
        <v/>
      </c>
      <c r="AD943" s="52" t="str">
        <f>IFERROR(__xludf.DUMMYFUNCTION("""COMPUTED_VALUE"""),"")</f>
        <v/>
      </c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</row>
    <row r="944">
      <c r="B944" s="49"/>
      <c r="C944" s="49" t="str">
        <f t="shared" si="2"/>
        <v/>
      </c>
      <c r="D944" s="50" t="str">
        <f t="shared" si="3"/>
        <v/>
      </c>
      <c r="E944" s="51" t="str">
        <f t="shared" ref="E944:T944" si="945">IFERROR(VLOOKUP($A944,INDIRECT("'" &amp; E$1 &amp; "'!$C:$G"), 5, FALSE),"")</f>
        <v/>
      </c>
      <c r="F944" s="51" t="str">
        <f t="shared" si="945"/>
        <v/>
      </c>
      <c r="G944" s="51" t="str">
        <f t="shared" si="945"/>
        <v/>
      </c>
      <c r="H944" s="51" t="str">
        <f t="shared" si="945"/>
        <v/>
      </c>
      <c r="I944" s="51" t="str">
        <f t="shared" si="945"/>
        <v/>
      </c>
      <c r="J944" s="51" t="str">
        <f t="shared" si="945"/>
        <v/>
      </c>
      <c r="K944" s="51" t="str">
        <f t="shared" si="945"/>
        <v/>
      </c>
      <c r="L944" s="51" t="str">
        <f t="shared" si="945"/>
        <v/>
      </c>
      <c r="M944" s="51" t="str">
        <f t="shared" si="945"/>
        <v/>
      </c>
      <c r="N944" s="51" t="str">
        <f t="shared" si="945"/>
        <v/>
      </c>
      <c r="O944" s="51" t="str">
        <f t="shared" si="945"/>
        <v/>
      </c>
      <c r="P944" s="51" t="str">
        <f t="shared" si="945"/>
        <v/>
      </c>
      <c r="Q944" s="51" t="str">
        <f t="shared" si="945"/>
        <v/>
      </c>
      <c r="R944" s="51" t="str">
        <f t="shared" si="945"/>
        <v/>
      </c>
      <c r="S944" s="51" t="str">
        <f t="shared" si="945"/>
        <v/>
      </c>
      <c r="T944" s="51" t="str">
        <f t="shared" si="945"/>
        <v/>
      </c>
      <c r="U944" s="52"/>
      <c r="V944" s="52" t="str">
        <f>IFERROR(__xludf.DUMMYFUNCTION("""COMPUTED_VALUE"""),"")</f>
        <v/>
      </c>
      <c r="W944" s="52" t="str">
        <f>IFERROR(__xludf.DUMMYFUNCTION("""COMPUTED_VALUE"""),"")</f>
        <v/>
      </c>
      <c r="X944" s="52" t="str">
        <f>IFERROR(__xludf.DUMMYFUNCTION("""COMPUTED_VALUE"""),"")</f>
        <v/>
      </c>
      <c r="Y944" s="52" t="str">
        <f>IFERROR(__xludf.DUMMYFUNCTION("""COMPUTED_VALUE"""),"")</f>
        <v/>
      </c>
      <c r="Z944" s="52" t="str">
        <f>IFERROR(__xludf.DUMMYFUNCTION("""COMPUTED_VALUE"""),"")</f>
        <v/>
      </c>
      <c r="AA944" s="52" t="str">
        <f>IFERROR(__xludf.DUMMYFUNCTION("""COMPUTED_VALUE"""),"")</f>
        <v/>
      </c>
      <c r="AB944" s="52" t="str">
        <f>IFERROR(__xludf.DUMMYFUNCTION("""COMPUTED_VALUE"""),"")</f>
        <v/>
      </c>
      <c r="AC944" s="52" t="str">
        <f>IFERROR(__xludf.DUMMYFUNCTION("""COMPUTED_VALUE"""),"")</f>
        <v/>
      </c>
      <c r="AD944" s="52" t="str">
        <f>IFERROR(__xludf.DUMMYFUNCTION("""COMPUTED_VALUE"""),"")</f>
        <v/>
      </c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</row>
    <row r="945">
      <c r="B945" s="49"/>
      <c r="C945" s="49" t="str">
        <f t="shared" si="2"/>
        <v/>
      </c>
      <c r="D945" s="50" t="str">
        <f t="shared" si="3"/>
        <v/>
      </c>
      <c r="E945" s="51" t="str">
        <f t="shared" ref="E945:T945" si="946">IFERROR(VLOOKUP($A945,INDIRECT("'" &amp; E$1 &amp; "'!$C:$G"), 5, FALSE),"")</f>
        <v/>
      </c>
      <c r="F945" s="51" t="str">
        <f t="shared" si="946"/>
        <v/>
      </c>
      <c r="G945" s="51" t="str">
        <f t="shared" si="946"/>
        <v/>
      </c>
      <c r="H945" s="51" t="str">
        <f t="shared" si="946"/>
        <v/>
      </c>
      <c r="I945" s="51" t="str">
        <f t="shared" si="946"/>
        <v/>
      </c>
      <c r="J945" s="51" t="str">
        <f t="shared" si="946"/>
        <v/>
      </c>
      <c r="K945" s="51" t="str">
        <f t="shared" si="946"/>
        <v/>
      </c>
      <c r="L945" s="51" t="str">
        <f t="shared" si="946"/>
        <v/>
      </c>
      <c r="M945" s="51" t="str">
        <f t="shared" si="946"/>
        <v/>
      </c>
      <c r="N945" s="51" t="str">
        <f t="shared" si="946"/>
        <v/>
      </c>
      <c r="O945" s="51" t="str">
        <f t="shared" si="946"/>
        <v/>
      </c>
      <c r="P945" s="51" t="str">
        <f t="shared" si="946"/>
        <v/>
      </c>
      <c r="Q945" s="51" t="str">
        <f t="shared" si="946"/>
        <v/>
      </c>
      <c r="R945" s="51" t="str">
        <f t="shared" si="946"/>
        <v/>
      </c>
      <c r="S945" s="51" t="str">
        <f t="shared" si="946"/>
        <v/>
      </c>
      <c r="T945" s="51" t="str">
        <f t="shared" si="946"/>
        <v/>
      </c>
      <c r="U945" s="52"/>
      <c r="V945" s="52" t="str">
        <f>IFERROR(__xludf.DUMMYFUNCTION("""COMPUTED_VALUE"""),"")</f>
        <v/>
      </c>
      <c r="W945" s="52" t="str">
        <f>IFERROR(__xludf.DUMMYFUNCTION("""COMPUTED_VALUE"""),"")</f>
        <v/>
      </c>
      <c r="X945" s="52" t="str">
        <f>IFERROR(__xludf.DUMMYFUNCTION("""COMPUTED_VALUE"""),"")</f>
        <v/>
      </c>
      <c r="Y945" s="52" t="str">
        <f>IFERROR(__xludf.DUMMYFUNCTION("""COMPUTED_VALUE"""),"")</f>
        <v/>
      </c>
      <c r="Z945" s="52" t="str">
        <f>IFERROR(__xludf.DUMMYFUNCTION("""COMPUTED_VALUE"""),"")</f>
        <v/>
      </c>
      <c r="AA945" s="52" t="str">
        <f>IFERROR(__xludf.DUMMYFUNCTION("""COMPUTED_VALUE"""),"")</f>
        <v/>
      </c>
      <c r="AB945" s="52" t="str">
        <f>IFERROR(__xludf.DUMMYFUNCTION("""COMPUTED_VALUE"""),"")</f>
        <v/>
      </c>
      <c r="AC945" s="52" t="str">
        <f>IFERROR(__xludf.DUMMYFUNCTION("""COMPUTED_VALUE"""),"")</f>
        <v/>
      </c>
      <c r="AD945" s="52" t="str">
        <f>IFERROR(__xludf.DUMMYFUNCTION("""COMPUTED_VALUE"""),"")</f>
        <v/>
      </c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</row>
    <row r="946">
      <c r="B946" s="49"/>
      <c r="C946" s="49" t="str">
        <f t="shared" si="2"/>
        <v/>
      </c>
      <c r="D946" s="50" t="str">
        <f t="shared" si="3"/>
        <v/>
      </c>
      <c r="E946" s="51" t="str">
        <f t="shared" ref="E946:T946" si="947">IFERROR(VLOOKUP($A946,INDIRECT("'" &amp; E$1 &amp; "'!$C:$G"), 5, FALSE),"")</f>
        <v/>
      </c>
      <c r="F946" s="51" t="str">
        <f t="shared" si="947"/>
        <v/>
      </c>
      <c r="G946" s="51" t="str">
        <f t="shared" si="947"/>
        <v/>
      </c>
      <c r="H946" s="51" t="str">
        <f t="shared" si="947"/>
        <v/>
      </c>
      <c r="I946" s="51" t="str">
        <f t="shared" si="947"/>
        <v/>
      </c>
      <c r="J946" s="51" t="str">
        <f t="shared" si="947"/>
        <v/>
      </c>
      <c r="K946" s="51" t="str">
        <f t="shared" si="947"/>
        <v/>
      </c>
      <c r="L946" s="51" t="str">
        <f t="shared" si="947"/>
        <v/>
      </c>
      <c r="M946" s="51" t="str">
        <f t="shared" si="947"/>
        <v/>
      </c>
      <c r="N946" s="51" t="str">
        <f t="shared" si="947"/>
        <v/>
      </c>
      <c r="O946" s="51" t="str">
        <f t="shared" si="947"/>
        <v/>
      </c>
      <c r="P946" s="51" t="str">
        <f t="shared" si="947"/>
        <v/>
      </c>
      <c r="Q946" s="51" t="str">
        <f t="shared" si="947"/>
        <v/>
      </c>
      <c r="R946" s="51" t="str">
        <f t="shared" si="947"/>
        <v/>
      </c>
      <c r="S946" s="51" t="str">
        <f t="shared" si="947"/>
        <v/>
      </c>
      <c r="T946" s="51" t="str">
        <f t="shared" si="947"/>
        <v/>
      </c>
      <c r="U946" s="52"/>
      <c r="V946" s="52" t="str">
        <f>IFERROR(__xludf.DUMMYFUNCTION("""COMPUTED_VALUE"""),"")</f>
        <v/>
      </c>
      <c r="W946" s="52" t="str">
        <f>IFERROR(__xludf.DUMMYFUNCTION("""COMPUTED_VALUE"""),"")</f>
        <v/>
      </c>
      <c r="X946" s="52" t="str">
        <f>IFERROR(__xludf.DUMMYFUNCTION("""COMPUTED_VALUE"""),"")</f>
        <v/>
      </c>
      <c r="Y946" s="52" t="str">
        <f>IFERROR(__xludf.DUMMYFUNCTION("""COMPUTED_VALUE"""),"")</f>
        <v/>
      </c>
      <c r="Z946" s="52" t="str">
        <f>IFERROR(__xludf.DUMMYFUNCTION("""COMPUTED_VALUE"""),"")</f>
        <v/>
      </c>
      <c r="AA946" s="52" t="str">
        <f>IFERROR(__xludf.DUMMYFUNCTION("""COMPUTED_VALUE"""),"")</f>
        <v/>
      </c>
      <c r="AB946" s="52" t="str">
        <f>IFERROR(__xludf.DUMMYFUNCTION("""COMPUTED_VALUE"""),"")</f>
        <v/>
      </c>
      <c r="AC946" s="52" t="str">
        <f>IFERROR(__xludf.DUMMYFUNCTION("""COMPUTED_VALUE"""),"")</f>
        <v/>
      </c>
      <c r="AD946" s="52" t="str">
        <f>IFERROR(__xludf.DUMMYFUNCTION("""COMPUTED_VALUE"""),"")</f>
        <v/>
      </c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</row>
    <row r="947">
      <c r="B947" s="49"/>
      <c r="C947" s="49" t="str">
        <f t="shared" si="2"/>
        <v/>
      </c>
      <c r="D947" s="50" t="str">
        <f t="shared" si="3"/>
        <v/>
      </c>
      <c r="E947" s="51" t="str">
        <f t="shared" ref="E947:T947" si="948">IFERROR(VLOOKUP($A947,INDIRECT("'" &amp; E$1 &amp; "'!$C:$G"), 5, FALSE),"")</f>
        <v/>
      </c>
      <c r="F947" s="51" t="str">
        <f t="shared" si="948"/>
        <v/>
      </c>
      <c r="G947" s="51" t="str">
        <f t="shared" si="948"/>
        <v/>
      </c>
      <c r="H947" s="51" t="str">
        <f t="shared" si="948"/>
        <v/>
      </c>
      <c r="I947" s="51" t="str">
        <f t="shared" si="948"/>
        <v/>
      </c>
      <c r="J947" s="51" t="str">
        <f t="shared" si="948"/>
        <v/>
      </c>
      <c r="K947" s="51" t="str">
        <f t="shared" si="948"/>
        <v/>
      </c>
      <c r="L947" s="51" t="str">
        <f t="shared" si="948"/>
        <v/>
      </c>
      <c r="M947" s="51" t="str">
        <f t="shared" si="948"/>
        <v/>
      </c>
      <c r="N947" s="51" t="str">
        <f t="shared" si="948"/>
        <v/>
      </c>
      <c r="O947" s="51" t="str">
        <f t="shared" si="948"/>
        <v/>
      </c>
      <c r="P947" s="51" t="str">
        <f t="shared" si="948"/>
        <v/>
      </c>
      <c r="Q947" s="51" t="str">
        <f t="shared" si="948"/>
        <v/>
      </c>
      <c r="R947" s="51" t="str">
        <f t="shared" si="948"/>
        <v/>
      </c>
      <c r="S947" s="51" t="str">
        <f t="shared" si="948"/>
        <v/>
      </c>
      <c r="T947" s="51" t="str">
        <f t="shared" si="948"/>
        <v/>
      </c>
      <c r="U947" s="52"/>
      <c r="V947" s="52" t="str">
        <f>IFERROR(__xludf.DUMMYFUNCTION("""COMPUTED_VALUE"""),"")</f>
        <v/>
      </c>
      <c r="W947" s="52" t="str">
        <f>IFERROR(__xludf.DUMMYFUNCTION("""COMPUTED_VALUE"""),"")</f>
        <v/>
      </c>
      <c r="X947" s="52" t="str">
        <f>IFERROR(__xludf.DUMMYFUNCTION("""COMPUTED_VALUE"""),"")</f>
        <v/>
      </c>
      <c r="Y947" s="52" t="str">
        <f>IFERROR(__xludf.DUMMYFUNCTION("""COMPUTED_VALUE"""),"")</f>
        <v/>
      </c>
      <c r="Z947" s="52" t="str">
        <f>IFERROR(__xludf.DUMMYFUNCTION("""COMPUTED_VALUE"""),"")</f>
        <v/>
      </c>
      <c r="AA947" s="52" t="str">
        <f>IFERROR(__xludf.DUMMYFUNCTION("""COMPUTED_VALUE"""),"")</f>
        <v/>
      </c>
      <c r="AB947" s="52" t="str">
        <f>IFERROR(__xludf.DUMMYFUNCTION("""COMPUTED_VALUE"""),"")</f>
        <v/>
      </c>
      <c r="AC947" s="52" t="str">
        <f>IFERROR(__xludf.DUMMYFUNCTION("""COMPUTED_VALUE"""),"")</f>
        <v/>
      </c>
      <c r="AD947" s="52" t="str">
        <f>IFERROR(__xludf.DUMMYFUNCTION("""COMPUTED_VALUE"""),"")</f>
        <v/>
      </c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</row>
    <row r="948">
      <c r="B948" s="49"/>
      <c r="C948" s="49" t="str">
        <f t="shared" si="2"/>
        <v/>
      </c>
      <c r="D948" s="50" t="str">
        <f t="shared" si="3"/>
        <v/>
      </c>
      <c r="E948" s="51" t="str">
        <f t="shared" ref="E948:T948" si="949">IFERROR(VLOOKUP($A948,INDIRECT("'" &amp; E$1 &amp; "'!$C:$G"), 5, FALSE),"")</f>
        <v/>
      </c>
      <c r="F948" s="51" t="str">
        <f t="shared" si="949"/>
        <v/>
      </c>
      <c r="G948" s="51" t="str">
        <f t="shared" si="949"/>
        <v/>
      </c>
      <c r="H948" s="51" t="str">
        <f t="shared" si="949"/>
        <v/>
      </c>
      <c r="I948" s="51" t="str">
        <f t="shared" si="949"/>
        <v/>
      </c>
      <c r="J948" s="51" t="str">
        <f t="shared" si="949"/>
        <v/>
      </c>
      <c r="K948" s="51" t="str">
        <f t="shared" si="949"/>
        <v/>
      </c>
      <c r="L948" s="51" t="str">
        <f t="shared" si="949"/>
        <v/>
      </c>
      <c r="M948" s="51" t="str">
        <f t="shared" si="949"/>
        <v/>
      </c>
      <c r="N948" s="51" t="str">
        <f t="shared" si="949"/>
        <v/>
      </c>
      <c r="O948" s="51" t="str">
        <f t="shared" si="949"/>
        <v/>
      </c>
      <c r="P948" s="51" t="str">
        <f t="shared" si="949"/>
        <v/>
      </c>
      <c r="Q948" s="51" t="str">
        <f t="shared" si="949"/>
        <v/>
      </c>
      <c r="R948" s="51" t="str">
        <f t="shared" si="949"/>
        <v/>
      </c>
      <c r="S948" s="51" t="str">
        <f t="shared" si="949"/>
        <v/>
      </c>
      <c r="T948" s="51" t="str">
        <f t="shared" si="949"/>
        <v/>
      </c>
      <c r="U948" s="52"/>
      <c r="V948" s="52" t="str">
        <f>IFERROR(__xludf.DUMMYFUNCTION("""COMPUTED_VALUE"""),"")</f>
        <v/>
      </c>
      <c r="W948" s="52" t="str">
        <f>IFERROR(__xludf.DUMMYFUNCTION("""COMPUTED_VALUE"""),"")</f>
        <v/>
      </c>
      <c r="X948" s="52" t="str">
        <f>IFERROR(__xludf.DUMMYFUNCTION("""COMPUTED_VALUE"""),"")</f>
        <v/>
      </c>
      <c r="Y948" s="52" t="str">
        <f>IFERROR(__xludf.DUMMYFUNCTION("""COMPUTED_VALUE"""),"")</f>
        <v/>
      </c>
      <c r="Z948" s="52" t="str">
        <f>IFERROR(__xludf.DUMMYFUNCTION("""COMPUTED_VALUE"""),"")</f>
        <v/>
      </c>
      <c r="AA948" s="52" t="str">
        <f>IFERROR(__xludf.DUMMYFUNCTION("""COMPUTED_VALUE"""),"")</f>
        <v/>
      </c>
      <c r="AB948" s="52" t="str">
        <f>IFERROR(__xludf.DUMMYFUNCTION("""COMPUTED_VALUE"""),"")</f>
        <v/>
      </c>
      <c r="AC948" s="52" t="str">
        <f>IFERROR(__xludf.DUMMYFUNCTION("""COMPUTED_VALUE"""),"")</f>
        <v/>
      </c>
      <c r="AD948" s="52" t="str">
        <f>IFERROR(__xludf.DUMMYFUNCTION("""COMPUTED_VALUE"""),"")</f>
        <v/>
      </c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</row>
    <row r="949">
      <c r="B949" s="49"/>
      <c r="C949" s="49" t="str">
        <f t="shared" si="2"/>
        <v/>
      </c>
      <c r="D949" s="50" t="str">
        <f t="shared" si="3"/>
        <v/>
      </c>
      <c r="E949" s="51" t="str">
        <f t="shared" ref="E949:T949" si="950">IFERROR(VLOOKUP($A949,INDIRECT("'" &amp; E$1 &amp; "'!$C:$G"), 5, FALSE),"")</f>
        <v/>
      </c>
      <c r="F949" s="51" t="str">
        <f t="shared" si="950"/>
        <v/>
      </c>
      <c r="G949" s="51" t="str">
        <f t="shared" si="950"/>
        <v/>
      </c>
      <c r="H949" s="51" t="str">
        <f t="shared" si="950"/>
        <v/>
      </c>
      <c r="I949" s="51" t="str">
        <f t="shared" si="950"/>
        <v/>
      </c>
      <c r="J949" s="51" t="str">
        <f t="shared" si="950"/>
        <v/>
      </c>
      <c r="K949" s="51" t="str">
        <f t="shared" si="950"/>
        <v/>
      </c>
      <c r="L949" s="51" t="str">
        <f t="shared" si="950"/>
        <v/>
      </c>
      <c r="M949" s="51" t="str">
        <f t="shared" si="950"/>
        <v/>
      </c>
      <c r="N949" s="51" t="str">
        <f t="shared" si="950"/>
        <v/>
      </c>
      <c r="O949" s="51" t="str">
        <f t="shared" si="950"/>
        <v/>
      </c>
      <c r="P949" s="51" t="str">
        <f t="shared" si="950"/>
        <v/>
      </c>
      <c r="Q949" s="51" t="str">
        <f t="shared" si="950"/>
        <v/>
      </c>
      <c r="R949" s="51" t="str">
        <f t="shared" si="950"/>
        <v/>
      </c>
      <c r="S949" s="51" t="str">
        <f t="shared" si="950"/>
        <v/>
      </c>
      <c r="T949" s="51" t="str">
        <f t="shared" si="950"/>
        <v/>
      </c>
      <c r="U949" s="52"/>
      <c r="V949" s="52" t="str">
        <f>IFERROR(__xludf.DUMMYFUNCTION("""COMPUTED_VALUE"""),"")</f>
        <v/>
      </c>
      <c r="W949" s="52" t="str">
        <f>IFERROR(__xludf.DUMMYFUNCTION("""COMPUTED_VALUE"""),"")</f>
        <v/>
      </c>
      <c r="X949" s="52" t="str">
        <f>IFERROR(__xludf.DUMMYFUNCTION("""COMPUTED_VALUE"""),"")</f>
        <v/>
      </c>
      <c r="Y949" s="52" t="str">
        <f>IFERROR(__xludf.DUMMYFUNCTION("""COMPUTED_VALUE"""),"")</f>
        <v/>
      </c>
      <c r="Z949" s="52" t="str">
        <f>IFERROR(__xludf.DUMMYFUNCTION("""COMPUTED_VALUE"""),"")</f>
        <v/>
      </c>
      <c r="AA949" s="52" t="str">
        <f>IFERROR(__xludf.DUMMYFUNCTION("""COMPUTED_VALUE"""),"")</f>
        <v/>
      </c>
      <c r="AB949" s="52" t="str">
        <f>IFERROR(__xludf.DUMMYFUNCTION("""COMPUTED_VALUE"""),"")</f>
        <v/>
      </c>
      <c r="AC949" s="52" t="str">
        <f>IFERROR(__xludf.DUMMYFUNCTION("""COMPUTED_VALUE"""),"")</f>
        <v/>
      </c>
      <c r="AD949" s="52" t="str">
        <f>IFERROR(__xludf.DUMMYFUNCTION("""COMPUTED_VALUE"""),"")</f>
        <v/>
      </c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</row>
    <row r="950">
      <c r="B950" s="49"/>
      <c r="C950" s="49" t="str">
        <f t="shared" si="2"/>
        <v/>
      </c>
      <c r="D950" s="50" t="str">
        <f t="shared" si="3"/>
        <v/>
      </c>
      <c r="E950" s="51" t="str">
        <f t="shared" ref="E950:T950" si="951">IFERROR(VLOOKUP($A950,INDIRECT("'" &amp; E$1 &amp; "'!$C:$G"), 5, FALSE),"")</f>
        <v/>
      </c>
      <c r="F950" s="51" t="str">
        <f t="shared" si="951"/>
        <v/>
      </c>
      <c r="G950" s="51" t="str">
        <f t="shared" si="951"/>
        <v/>
      </c>
      <c r="H950" s="51" t="str">
        <f t="shared" si="951"/>
        <v/>
      </c>
      <c r="I950" s="51" t="str">
        <f t="shared" si="951"/>
        <v/>
      </c>
      <c r="J950" s="51" t="str">
        <f t="shared" si="951"/>
        <v/>
      </c>
      <c r="K950" s="51" t="str">
        <f t="shared" si="951"/>
        <v/>
      </c>
      <c r="L950" s="51" t="str">
        <f t="shared" si="951"/>
        <v/>
      </c>
      <c r="M950" s="51" t="str">
        <f t="shared" si="951"/>
        <v/>
      </c>
      <c r="N950" s="51" t="str">
        <f t="shared" si="951"/>
        <v/>
      </c>
      <c r="O950" s="51" t="str">
        <f t="shared" si="951"/>
        <v/>
      </c>
      <c r="P950" s="51" t="str">
        <f t="shared" si="951"/>
        <v/>
      </c>
      <c r="Q950" s="51" t="str">
        <f t="shared" si="951"/>
        <v/>
      </c>
      <c r="R950" s="51" t="str">
        <f t="shared" si="951"/>
        <v/>
      </c>
      <c r="S950" s="51" t="str">
        <f t="shared" si="951"/>
        <v/>
      </c>
      <c r="T950" s="51" t="str">
        <f t="shared" si="951"/>
        <v/>
      </c>
      <c r="U950" s="52"/>
      <c r="V950" s="52" t="str">
        <f>IFERROR(__xludf.DUMMYFUNCTION("""COMPUTED_VALUE"""),"")</f>
        <v/>
      </c>
      <c r="W950" s="52" t="str">
        <f>IFERROR(__xludf.DUMMYFUNCTION("""COMPUTED_VALUE"""),"")</f>
        <v/>
      </c>
      <c r="X950" s="52" t="str">
        <f>IFERROR(__xludf.DUMMYFUNCTION("""COMPUTED_VALUE"""),"")</f>
        <v/>
      </c>
      <c r="Y950" s="52" t="str">
        <f>IFERROR(__xludf.DUMMYFUNCTION("""COMPUTED_VALUE"""),"")</f>
        <v/>
      </c>
      <c r="Z950" s="52" t="str">
        <f>IFERROR(__xludf.DUMMYFUNCTION("""COMPUTED_VALUE"""),"")</f>
        <v/>
      </c>
      <c r="AA950" s="52" t="str">
        <f>IFERROR(__xludf.DUMMYFUNCTION("""COMPUTED_VALUE"""),"")</f>
        <v/>
      </c>
      <c r="AB950" s="52" t="str">
        <f>IFERROR(__xludf.DUMMYFUNCTION("""COMPUTED_VALUE"""),"")</f>
        <v/>
      </c>
      <c r="AC950" s="52" t="str">
        <f>IFERROR(__xludf.DUMMYFUNCTION("""COMPUTED_VALUE"""),"")</f>
        <v/>
      </c>
      <c r="AD950" s="52" t="str">
        <f>IFERROR(__xludf.DUMMYFUNCTION("""COMPUTED_VALUE"""),"")</f>
        <v/>
      </c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</row>
    <row r="951">
      <c r="B951" s="49"/>
      <c r="C951" s="49" t="str">
        <f t="shared" si="2"/>
        <v/>
      </c>
      <c r="D951" s="50" t="str">
        <f t="shared" si="3"/>
        <v/>
      </c>
      <c r="E951" s="51" t="str">
        <f t="shared" ref="E951:T951" si="952">IFERROR(VLOOKUP($A951,INDIRECT("'" &amp; E$1 &amp; "'!$C:$G"), 5, FALSE),"")</f>
        <v/>
      </c>
      <c r="F951" s="51" t="str">
        <f t="shared" si="952"/>
        <v/>
      </c>
      <c r="G951" s="51" t="str">
        <f t="shared" si="952"/>
        <v/>
      </c>
      <c r="H951" s="51" t="str">
        <f t="shared" si="952"/>
        <v/>
      </c>
      <c r="I951" s="51" t="str">
        <f t="shared" si="952"/>
        <v/>
      </c>
      <c r="J951" s="51" t="str">
        <f t="shared" si="952"/>
        <v/>
      </c>
      <c r="K951" s="51" t="str">
        <f t="shared" si="952"/>
        <v/>
      </c>
      <c r="L951" s="51" t="str">
        <f t="shared" si="952"/>
        <v/>
      </c>
      <c r="M951" s="51" t="str">
        <f t="shared" si="952"/>
        <v/>
      </c>
      <c r="N951" s="51" t="str">
        <f t="shared" si="952"/>
        <v/>
      </c>
      <c r="O951" s="51" t="str">
        <f t="shared" si="952"/>
        <v/>
      </c>
      <c r="P951" s="51" t="str">
        <f t="shared" si="952"/>
        <v/>
      </c>
      <c r="Q951" s="51" t="str">
        <f t="shared" si="952"/>
        <v/>
      </c>
      <c r="R951" s="51" t="str">
        <f t="shared" si="952"/>
        <v/>
      </c>
      <c r="S951" s="51" t="str">
        <f t="shared" si="952"/>
        <v/>
      </c>
      <c r="T951" s="51" t="str">
        <f t="shared" si="952"/>
        <v/>
      </c>
      <c r="U951" s="52"/>
      <c r="V951" s="52" t="str">
        <f>IFERROR(__xludf.DUMMYFUNCTION("""COMPUTED_VALUE"""),"")</f>
        <v/>
      </c>
      <c r="W951" s="52" t="str">
        <f>IFERROR(__xludf.DUMMYFUNCTION("""COMPUTED_VALUE"""),"")</f>
        <v/>
      </c>
      <c r="X951" s="52" t="str">
        <f>IFERROR(__xludf.DUMMYFUNCTION("""COMPUTED_VALUE"""),"")</f>
        <v/>
      </c>
      <c r="Y951" s="52" t="str">
        <f>IFERROR(__xludf.DUMMYFUNCTION("""COMPUTED_VALUE"""),"")</f>
        <v/>
      </c>
      <c r="Z951" s="52" t="str">
        <f>IFERROR(__xludf.DUMMYFUNCTION("""COMPUTED_VALUE"""),"")</f>
        <v/>
      </c>
      <c r="AA951" s="52" t="str">
        <f>IFERROR(__xludf.DUMMYFUNCTION("""COMPUTED_VALUE"""),"")</f>
        <v/>
      </c>
      <c r="AB951" s="52" t="str">
        <f>IFERROR(__xludf.DUMMYFUNCTION("""COMPUTED_VALUE"""),"")</f>
        <v/>
      </c>
      <c r="AC951" s="52" t="str">
        <f>IFERROR(__xludf.DUMMYFUNCTION("""COMPUTED_VALUE"""),"")</f>
        <v/>
      </c>
      <c r="AD951" s="52" t="str">
        <f>IFERROR(__xludf.DUMMYFUNCTION("""COMPUTED_VALUE"""),"")</f>
        <v/>
      </c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</row>
    <row r="952">
      <c r="B952" s="49"/>
      <c r="C952" s="49" t="str">
        <f t="shared" si="2"/>
        <v/>
      </c>
      <c r="D952" s="50" t="str">
        <f t="shared" si="3"/>
        <v/>
      </c>
      <c r="E952" s="51" t="str">
        <f t="shared" ref="E952:T952" si="953">IFERROR(VLOOKUP($A952,INDIRECT("'" &amp; E$1 &amp; "'!$C:$G"), 5, FALSE),"")</f>
        <v/>
      </c>
      <c r="F952" s="51" t="str">
        <f t="shared" si="953"/>
        <v/>
      </c>
      <c r="G952" s="51" t="str">
        <f t="shared" si="953"/>
        <v/>
      </c>
      <c r="H952" s="51" t="str">
        <f t="shared" si="953"/>
        <v/>
      </c>
      <c r="I952" s="51" t="str">
        <f t="shared" si="953"/>
        <v/>
      </c>
      <c r="J952" s="51" t="str">
        <f t="shared" si="953"/>
        <v/>
      </c>
      <c r="K952" s="51" t="str">
        <f t="shared" si="953"/>
        <v/>
      </c>
      <c r="L952" s="51" t="str">
        <f t="shared" si="953"/>
        <v/>
      </c>
      <c r="M952" s="51" t="str">
        <f t="shared" si="953"/>
        <v/>
      </c>
      <c r="N952" s="51" t="str">
        <f t="shared" si="953"/>
        <v/>
      </c>
      <c r="O952" s="51" t="str">
        <f t="shared" si="953"/>
        <v/>
      </c>
      <c r="P952" s="51" t="str">
        <f t="shared" si="953"/>
        <v/>
      </c>
      <c r="Q952" s="51" t="str">
        <f t="shared" si="953"/>
        <v/>
      </c>
      <c r="R952" s="51" t="str">
        <f t="shared" si="953"/>
        <v/>
      </c>
      <c r="S952" s="51" t="str">
        <f t="shared" si="953"/>
        <v/>
      </c>
      <c r="T952" s="51" t="str">
        <f t="shared" si="953"/>
        <v/>
      </c>
      <c r="U952" s="52"/>
      <c r="V952" s="52" t="str">
        <f>IFERROR(__xludf.DUMMYFUNCTION("""COMPUTED_VALUE"""),"")</f>
        <v/>
      </c>
      <c r="W952" s="52" t="str">
        <f>IFERROR(__xludf.DUMMYFUNCTION("""COMPUTED_VALUE"""),"")</f>
        <v/>
      </c>
      <c r="X952" s="52" t="str">
        <f>IFERROR(__xludf.DUMMYFUNCTION("""COMPUTED_VALUE"""),"")</f>
        <v/>
      </c>
      <c r="Y952" s="52" t="str">
        <f>IFERROR(__xludf.DUMMYFUNCTION("""COMPUTED_VALUE"""),"")</f>
        <v/>
      </c>
      <c r="Z952" s="52" t="str">
        <f>IFERROR(__xludf.DUMMYFUNCTION("""COMPUTED_VALUE"""),"")</f>
        <v/>
      </c>
      <c r="AA952" s="52" t="str">
        <f>IFERROR(__xludf.DUMMYFUNCTION("""COMPUTED_VALUE"""),"")</f>
        <v/>
      </c>
      <c r="AB952" s="52" t="str">
        <f>IFERROR(__xludf.DUMMYFUNCTION("""COMPUTED_VALUE"""),"")</f>
        <v/>
      </c>
      <c r="AC952" s="52" t="str">
        <f>IFERROR(__xludf.DUMMYFUNCTION("""COMPUTED_VALUE"""),"")</f>
        <v/>
      </c>
      <c r="AD952" s="52" t="str">
        <f>IFERROR(__xludf.DUMMYFUNCTION("""COMPUTED_VALUE"""),"")</f>
        <v/>
      </c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</row>
    <row r="953">
      <c r="B953" s="49"/>
      <c r="C953" s="49" t="str">
        <f t="shared" si="2"/>
        <v/>
      </c>
      <c r="D953" s="50" t="str">
        <f t="shared" si="3"/>
        <v/>
      </c>
      <c r="E953" s="51" t="str">
        <f t="shared" ref="E953:T953" si="954">IFERROR(VLOOKUP($A953,INDIRECT("'" &amp; E$1 &amp; "'!$C:$G"), 5, FALSE),"")</f>
        <v/>
      </c>
      <c r="F953" s="51" t="str">
        <f t="shared" si="954"/>
        <v/>
      </c>
      <c r="G953" s="51" t="str">
        <f t="shared" si="954"/>
        <v/>
      </c>
      <c r="H953" s="51" t="str">
        <f t="shared" si="954"/>
        <v/>
      </c>
      <c r="I953" s="51" t="str">
        <f t="shared" si="954"/>
        <v/>
      </c>
      <c r="J953" s="51" t="str">
        <f t="shared" si="954"/>
        <v/>
      </c>
      <c r="K953" s="51" t="str">
        <f t="shared" si="954"/>
        <v/>
      </c>
      <c r="L953" s="51" t="str">
        <f t="shared" si="954"/>
        <v/>
      </c>
      <c r="M953" s="51" t="str">
        <f t="shared" si="954"/>
        <v/>
      </c>
      <c r="N953" s="51" t="str">
        <f t="shared" si="954"/>
        <v/>
      </c>
      <c r="O953" s="51" t="str">
        <f t="shared" si="954"/>
        <v/>
      </c>
      <c r="P953" s="51" t="str">
        <f t="shared" si="954"/>
        <v/>
      </c>
      <c r="Q953" s="51" t="str">
        <f t="shared" si="954"/>
        <v/>
      </c>
      <c r="R953" s="51" t="str">
        <f t="shared" si="954"/>
        <v/>
      </c>
      <c r="S953" s="51" t="str">
        <f t="shared" si="954"/>
        <v/>
      </c>
      <c r="T953" s="51" t="str">
        <f t="shared" si="954"/>
        <v/>
      </c>
      <c r="U953" s="52"/>
      <c r="V953" s="52" t="str">
        <f>IFERROR(__xludf.DUMMYFUNCTION("""COMPUTED_VALUE"""),"")</f>
        <v/>
      </c>
      <c r="W953" s="52" t="str">
        <f>IFERROR(__xludf.DUMMYFUNCTION("""COMPUTED_VALUE"""),"")</f>
        <v/>
      </c>
      <c r="X953" s="52" t="str">
        <f>IFERROR(__xludf.DUMMYFUNCTION("""COMPUTED_VALUE"""),"")</f>
        <v/>
      </c>
      <c r="Y953" s="52" t="str">
        <f>IFERROR(__xludf.DUMMYFUNCTION("""COMPUTED_VALUE"""),"")</f>
        <v/>
      </c>
      <c r="Z953" s="52" t="str">
        <f>IFERROR(__xludf.DUMMYFUNCTION("""COMPUTED_VALUE"""),"")</f>
        <v/>
      </c>
      <c r="AA953" s="52" t="str">
        <f>IFERROR(__xludf.DUMMYFUNCTION("""COMPUTED_VALUE"""),"")</f>
        <v/>
      </c>
      <c r="AB953" s="52" t="str">
        <f>IFERROR(__xludf.DUMMYFUNCTION("""COMPUTED_VALUE"""),"")</f>
        <v/>
      </c>
      <c r="AC953" s="52" t="str">
        <f>IFERROR(__xludf.DUMMYFUNCTION("""COMPUTED_VALUE"""),"")</f>
        <v/>
      </c>
      <c r="AD953" s="52" t="str">
        <f>IFERROR(__xludf.DUMMYFUNCTION("""COMPUTED_VALUE"""),"")</f>
        <v/>
      </c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</row>
    <row r="954">
      <c r="B954" s="49"/>
      <c r="C954" s="49" t="str">
        <f t="shared" si="2"/>
        <v/>
      </c>
      <c r="D954" s="50" t="str">
        <f t="shared" si="3"/>
        <v/>
      </c>
      <c r="E954" s="51" t="str">
        <f t="shared" ref="E954:T954" si="955">IFERROR(VLOOKUP($A954,INDIRECT("'" &amp; E$1 &amp; "'!$C:$G"), 5, FALSE),"")</f>
        <v/>
      </c>
      <c r="F954" s="51" t="str">
        <f t="shared" si="955"/>
        <v/>
      </c>
      <c r="G954" s="51" t="str">
        <f t="shared" si="955"/>
        <v/>
      </c>
      <c r="H954" s="51" t="str">
        <f t="shared" si="955"/>
        <v/>
      </c>
      <c r="I954" s="51" t="str">
        <f t="shared" si="955"/>
        <v/>
      </c>
      <c r="J954" s="51" t="str">
        <f t="shared" si="955"/>
        <v/>
      </c>
      <c r="K954" s="51" t="str">
        <f t="shared" si="955"/>
        <v/>
      </c>
      <c r="L954" s="51" t="str">
        <f t="shared" si="955"/>
        <v/>
      </c>
      <c r="M954" s="51" t="str">
        <f t="shared" si="955"/>
        <v/>
      </c>
      <c r="N954" s="51" t="str">
        <f t="shared" si="955"/>
        <v/>
      </c>
      <c r="O954" s="51" t="str">
        <f t="shared" si="955"/>
        <v/>
      </c>
      <c r="P954" s="51" t="str">
        <f t="shared" si="955"/>
        <v/>
      </c>
      <c r="Q954" s="51" t="str">
        <f t="shared" si="955"/>
        <v/>
      </c>
      <c r="R954" s="51" t="str">
        <f t="shared" si="955"/>
        <v/>
      </c>
      <c r="S954" s="51" t="str">
        <f t="shared" si="955"/>
        <v/>
      </c>
      <c r="T954" s="51" t="str">
        <f t="shared" si="955"/>
        <v/>
      </c>
      <c r="U954" s="52"/>
      <c r="V954" s="52" t="str">
        <f>IFERROR(__xludf.DUMMYFUNCTION("""COMPUTED_VALUE"""),"")</f>
        <v/>
      </c>
      <c r="W954" s="52" t="str">
        <f>IFERROR(__xludf.DUMMYFUNCTION("""COMPUTED_VALUE"""),"")</f>
        <v/>
      </c>
      <c r="X954" s="52" t="str">
        <f>IFERROR(__xludf.DUMMYFUNCTION("""COMPUTED_VALUE"""),"")</f>
        <v/>
      </c>
      <c r="Y954" s="52" t="str">
        <f>IFERROR(__xludf.DUMMYFUNCTION("""COMPUTED_VALUE"""),"")</f>
        <v/>
      </c>
      <c r="Z954" s="52" t="str">
        <f>IFERROR(__xludf.DUMMYFUNCTION("""COMPUTED_VALUE"""),"")</f>
        <v/>
      </c>
      <c r="AA954" s="52" t="str">
        <f>IFERROR(__xludf.DUMMYFUNCTION("""COMPUTED_VALUE"""),"")</f>
        <v/>
      </c>
      <c r="AB954" s="52" t="str">
        <f>IFERROR(__xludf.DUMMYFUNCTION("""COMPUTED_VALUE"""),"")</f>
        <v/>
      </c>
      <c r="AC954" s="52" t="str">
        <f>IFERROR(__xludf.DUMMYFUNCTION("""COMPUTED_VALUE"""),"")</f>
        <v/>
      </c>
      <c r="AD954" s="52" t="str">
        <f>IFERROR(__xludf.DUMMYFUNCTION("""COMPUTED_VALUE"""),"")</f>
        <v/>
      </c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</row>
    <row r="955">
      <c r="B955" s="49"/>
      <c r="C955" s="49" t="str">
        <f t="shared" si="2"/>
        <v/>
      </c>
      <c r="D955" s="50" t="str">
        <f t="shared" si="3"/>
        <v/>
      </c>
      <c r="E955" s="51" t="str">
        <f t="shared" ref="E955:T955" si="956">IFERROR(VLOOKUP($A955,INDIRECT("'" &amp; E$1 &amp; "'!$C:$G"), 5, FALSE),"")</f>
        <v/>
      </c>
      <c r="F955" s="51" t="str">
        <f t="shared" si="956"/>
        <v/>
      </c>
      <c r="G955" s="51" t="str">
        <f t="shared" si="956"/>
        <v/>
      </c>
      <c r="H955" s="51" t="str">
        <f t="shared" si="956"/>
        <v/>
      </c>
      <c r="I955" s="51" t="str">
        <f t="shared" si="956"/>
        <v/>
      </c>
      <c r="J955" s="51" t="str">
        <f t="shared" si="956"/>
        <v/>
      </c>
      <c r="K955" s="51" t="str">
        <f t="shared" si="956"/>
        <v/>
      </c>
      <c r="L955" s="51" t="str">
        <f t="shared" si="956"/>
        <v/>
      </c>
      <c r="M955" s="51" t="str">
        <f t="shared" si="956"/>
        <v/>
      </c>
      <c r="N955" s="51" t="str">
        <f t="shared" si="956"/>
        <v/>
      </c>
      <c r="O955" s="51" t="str">
        <f t="shared" si="956"/>
        <v/>
      </c>
      <c r="P955" s="51" t="str">
        <f t="shared" si="956"/>
        <v/>
      </c>
      <c r="Q955" s="51" t="str">
        <f t="shared" si="956"/>
        <v/>
      </c>
      <c r="R955" s="51" t="str">
        <f t="shared" si="956"/>
        <v/>
      </c>
      <c r="S955" s="51" t="str">
        <f t="shared" si="956"/>
        <v/>
      </c>
      <c r="T955" s="51" t="str">
        <f t="shared" si="956"/>
        <v/>
      </c>
      <c r="U955" s="52"/>
      <c r="V955" s="52" t="str">
        <f>IFERROR(__xludf.DUMMYFUNCTION("""COMPUTED_VALUE"""),"")</f>
        <v/>
      </c>
      <c r="W955" s="52" t="str">
        <f>IFERROR(__xludf.DUMMYFUNCTION("""COMPUTED_VALUE"""),"")</f>
        <v/>
      </c>
      <c r="X955" s="52" t="str">
        <f>IFERROR(__xludf.DUMMYFUNCTION("""COMPUTED_VALUE"""),"")</f>
        <v/>
      </c>
      <c r="Y955" s="52" t="str">
        <f>IFERROR(__xludf.DUMMYFUNCTION("""COMPUTED_VALUE"""),"")</f>
        <v/>
      </c>
      <c r="Z955" s="52" t="str">
        <f>IFERROR(__xludf.DUMMYFUNCTION("""COMPUTED_VALUE"""),"")</f>
        <v/>
      </c>
      <c r="AA955" s="52" t="str">
        <f>IFERROR(__xludf.DUMMYFUNCTION("""COMPUTED_VALUE"""),"")</f>
        <v/>
      </c>
      <c r="AB955" s="52" t="str">
        <f>IFERROR(__xludf.DUMMYFUNCTION("""COMPUTED_VALUE"""),"")</f>
        <v/>
      </c>
      <c r="AC955" s="52" t="str">
        <f>IFERROR(__xludf.DUMMYFUNCTION("""COMPUTED_VALUE"""),"")</f>
        <v/>
      </c>
      <c r="AD955" s="52" t="str">
        <f>IFERROR(__xludf.DUMMYFUNCTION("""COMPUTED_VALUE"""),"")</f>
        <v/>
      </c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</row>
    <row r="956">
      <c r="B956" s="49"/>
      <c r="C956" s="49" t="str">
        <f t="shared" si="2"/>
        <v/>
      </c>
      <c r="D956" s="50" t="str">
        <f t="shared" si="3"/>
        <v/>
      </c>
      <c r="E956" s="51" t="str">
        <f t="shared" ref="E956:T956" si="957">IFERROR(VLOOKUP($A956,INDIRECT("'" &amp; E$1 &amp; "'!$C:$G"), 5, FALSE),"")</f>
        <v/>
      </c>
      <c r="F956" s="51" t="str">
        <f t="shared" si="957"/>
        <v/>
      </c>
      <c r="G956" s="51" t="str">
        <f t="shared" si="957"/>
        <v/>
      </c>
      <c r="H956" s="51" t="str">
        <f t="shared" si="957"/>
        <v/>
      </c>
      <c r="I956" s="51" t="str">
        <f t="shared" si="957"/>
        <v/>
      </c>
      <c r="J956" s="51" t="str">
        <f t="shared" si="957"/>
        <v/>
      </c>
      <c r="K956" s="51" t="str">
        <f t="shared" si="957"/>
        <v/>
      </c>
      <c r="L956" s="51" t="str">
        <f t="shared" si="957"/>
        <v/>
      </c>
      <c r="M956" s="51" t="str">
        <f t="shared" si="957"/>
        <v/>
      </c>
      <c r="N956" s="51" t="str">
        <f t="shared" si="957"/>
        <v/>
      </c>
      <c r="O956" s="51" t="str">
        <f t="shared" si="957"/>
        <v/>
      </c>
      <c r="P956" s="51" t="str">
        <f t="shared" si="957"/>
        <v/>
      </c>
      <c r="Q956" s="51" t="str">
        <f t="shared" si="957"/>
        <v/>
      </c>
      <c r="R956" s="51" t="str">
        <f t="shared" si="957"/>
        <v/>
      </c>
      <c r="S956" s="51" t="str">
        <f t="shared" si="957"/>
        <v/>
      </c>
      <c r="T956" s="51" t="str">
        <f t="shared" si="957"/>
        <v/>
      </c>
      <c r="U956" s="52"/>
      <c r="V956" s="52" t="str">
        <f>IFERROR(__xludf.DUMMYFUNCTION("""COMPUTED_VALUE"""),"")</f>
        <v/>
      </c>
      <c r="W956" s="52" t="str">
        <f>IFERROR(__xludf.DUMMYFUNCTION("""COMPUTED_VALUE"""),"")</f>
        <v/>
      </c>
      <c r="X956" s="52" t="str">
        <f>IFERROR(__xludf.DUMMYFUNCTION("""COMPUTED_VALUE"""),"")</f>
        <v/>
      </c>
      <c r="Y956" s="52" t="str">
        <f>IFERROR(__xludf.DUMMYFUNCTION("""COMPUTED_VALUE"""),"")</f>
        <v/>
      </c>
      <c r="Z956" s="52" t="str">
        <f>IFERROR(__xludf.DUMMYFUNCTION("""COMPUTED_VALUE"""),"")</f>
        <v/>
      </c>
      <c r="AA956" s="52" t="str">
        <f>IFERROR(__xludf.DUMMYFUNCTION("""COMPUTED_VALUE"""),"")</f>
        <v/>
      </c>
      <c r="AB956" s="52" t="str">
        <f>IFERROR(__xludf.DUMMYFUNCTION("""COMPUTED_VALUE"""),"")</f>
        <v/>
      </c>
      <c r="AC956" s="52" t="str">
        <f>IFERROR(__xludf.DUMMYFUNCTION("""COMPUTED_VALUE"""),"")</f>
        <v/>
      </c>
      <c r="AD956" s="52" t="str">
        <f>IFERROR(__xludf.DUMMYFUNCTION("""COMPUTED_VALUE"""),"")</f>
        <v/>
      </c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</row>
    <row r="957">
      <c r="B957" s="49"/>
      <c r="C957" s="49" t="str">
        <f t="shared" si="2"/>
        <v/>
      </c>
      <c r="D957" s="50" t="str">
        <f t="shared" si="3"/>
        <v/>
      </c>
      <c r="E957" s="51" t="str">
        <f t="shared" ref="E957:T957" si="958">IFERROR(VLOOKUP($A957,INDIRECT("'" &amp; E$1 &amp; "'!$C:$G"), 5, FALSE),"")</f>
        <v/>
      </c>
      <c r="F957" s="51" t="str">
        <f t="shared" si="958"/>
        <v/>
      </c>
      <c r="G957" s="51" t="str">
        <f t="shared" si="958"/>
        <v/>
      </c>
      <c r="H957" s="51" t="str">
        <f t="shared" si="958"/>
        <v/>
      </c>
      <c r="I957" s="51" t="str">
        <f t="shared" si="958"/>
        <v/>
      </c>
      <c r="J957" s="51" t="str">
        <f t="shared" si="958"/>
        <v/>
      </c>
      <c r="K957" s="51" t="str">
        <f t="shared" si="958"/>
        <v/>
      </c>
      <c r="L957" s="51" t="str">
        <f t="shared" si="958"/>
        <v/>
      </c>
      <c r="M957" s="51" t="str">
        <f t="shared" si="958"/>
        <v/>
      </c>
      <c r="N957" s="51" t="str">
        <f t="shared" si="958"/>
        <v/>
      </c>
      <c r="O957" s="51" t="str">
        <f t="shared" si="958"/>
        <v/>
      </c>
      <c r="P957" s="51" t="str">
        <f t="shared" si="958"/>
        <v/>
      </c>
      <c r="Q957" s="51" t="str">
        <f t="shared" si="958"/>
        <v/>
      </c>
      <c r="R957" s="51" t="str">
        <f t="shared" si="958"/>
        <v/>
      </c>
      <c r="S957" s="51" t="str">
        <f t="shared" si="958"/>
        <v/>
      </c>
      <c r="T957" s="51" t="str">
        <f t="shared" si="958"/>
        <v/>
      </c>
      <c r="U957" s="52"/>
      <c r="V957" s="52" t="str">
        <f>IFERROR(__xludf.DUMMYFUNCTION("""COMPUTED_VALUE"""),"")</f>
        <v/>
      </c>
      <c r="W957" s="52" t="str">
        <f>IFERROR(__xludf.DUMMYFUNCTION("""COMPUTED_VALUE"""),"")</f>
        <v/>
      </c>
      <c r="X957" s="52" t="str">
        <f>IFERROR(__xludf.DUMMYFUNCTION("""COMPUTED_VALUE"""),"")</f>
        <v/>
      </c>
      <c r="Y957" s="52" t="str">
        <f>IFERROR(__xludf.DUMMYFUNCTION("""COMPUTED_VALUE"""),"")</f>
        <v/>
      </c>
      <c r="Z957" s="52" t="str">
        <f>IFERROR(__xludf.DUMMYFUNCTION("""COMPUTED_VALUE"""),"")</f>
        <v/>
      </c>
      <c r="AA957" s="52" t="str">
        <f>IFERROR(__xludf.DUMMYFUNCTION("""COMPUTED_VALUE"""),"")</f>
        <v/>
      </c>
      <c r="AB957" s="52" t="str">
        <f>IFERROR(__xludf.DUMMYFUNCTION("""COMPUTED_VALUE"""),"")</f>
        <v/>
      </c>
      <c r="AC957" s="52" t="str">
        <f>IFERROR(__xludf.DUMMYFUNCTION("""COMPUTED_VALUE"""),"")</f>
        <v/>
      </c>
      <c r="AD957" s="52" t="str">
        <f>IFERROR(__xludf.DUMMYFUNCTION("""COMPUTED_VALUE"""),"")</f>
        <v/>
      </c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</row>
    <row r="958">
      <c r="B958" s="49"/>
      <c r="C958" s="49" t="str">
        <f t="shared" si="2"/>
        <v/>
      </c>
      <c r="D958" s="50" t="str">
        <f t="shared" si="3"/>
        <v/>
      </c>
      <c r="E958" s="51" t="str">
        <f t="shared" ref="E958:T958" si="959">IFERROR(VLOOKUP($A958,INDIRECT("'" &amp; E$1 &amp; "'!$C:$G"), 5, FALSE),"")</f>
        <v/>
      </c>
      <c r="F958" s="51" t="str">
        <f t="shared" si="959"/>
        <v/>
      </c>
      <c r="G958" s="51" t="str">
        <f t="shared" si="959"/>
        <v/>
      </c>
      <c r="H958" s="51" t="str">
        <f t="shared" si="959"/>
        <v/>
      </c>
      <c r="I958" s="51" t="str">
        <f t="shared" si="959"/>
        <v/>
      </c>
      <c r="J958" s="51" t="str">
        <f t="shared" si="959"/>
        <v/>
      </c>
      <c r="K958" s="51" t="str">
        <f t="shared" si="959"/>
        <v/>
      </c>
      <c r="L958" s="51" t="str">
        <f t="shared" si="959"/>
        <v/>
      </c>
      <c r="M958" s="51" t="str">
        <f t="shared" si="959"/>
        <v/>
      </c>
      <c r="N958" s="51" t="str">
        <f t="shared" si="959"/>
        <v/>
      </c>
      <c r="O958" s="51" t="str">
        <f t="shared" si="959"/>
        <v/>
      </c>
      <c r="P958" s="51" t="str">
        <f t="shared" si="959"/>
        <v/>
      </c>
      <c r="Q958" s="51" t="str">
        <f t="shared" si="959"/>
        <v/>
      </c>
      <c r="R958" s="51" t="str">
        <f t="shared" si="959"/>
        <v/>
      </c>
      <c r="S958" s="51" t="str">
        <f t="shared" si="959"/>
        <v/>
      </c>
      <c r="T958" s="51" t="str">
        <f t="shared" si="959"/>
        <v/>
      </c>
      <c r="U958" s="52"/>
      <c r="V958" s="52" t="str">
        <f>IFERROR(__xludf.DUMMYFUNCTION("""COMPUTED_VALUE"""),"")</f>
        <v/>
      </c>
      <c r="W958" s="52" t="str">
        <f>IFERROR(__xludf.DUMMYFUNCTION("""COMPUTED_VALUE"""),"")</f>
        <v/>
      </c>
      <c r="X958" s="52" t="str">
        <f>IFERROR(__xludf.DUMMYFUNCTION("""COMPUTED_VALUE"""),"")</f>
        <v/>
      </c>
      <c r="Y958" s="52" t="str">
        <f>IFERROR(__xludf.DUMMYFUNCTION("""COMPUTED_VALUE"""),"")</f>
        <v/>
      </c>
      <c r="Z958" s="52" t="str">
        <f>IFERROR(__xludf.DUMMYFUNCTION("""COMPUTED_VALUE"""),"")</f>
        <v/>
      </c>
      <c r="AA958" s="52" t="str">
        <f>IFERROR(__xludf.DUMMYFUNCTION("""COMPUTED_VALUE"""),"")</f>
        <v/>
      </c>
      <c r="AB958" s="52" t="str">
        <f>IFERROR(__xludf.DUMMYFUNCTION("""COMPUTED_VALUE"""),"")</f>
        <v/>
      </c>
      <c r="AC958" s="52" t="str">
        <f>IFERROR(__xludf.DUMMYFUNCTION("""COMPUTED_VALUE"""),"")</f>
        <v/>
      </c>
      <c r="AD958" s="52" t="str">
        <f>IFERROR(__xludf.DUMMYFUNCTION("""COMPUTED_VALUE"""),"")</f>
        <v/>
      </c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</row>
    <row r="959">
      <c r="B959" s="49"/>
      <c r="C959" s="49" t="str">
        <f t="shared" si="2"/>
        <v/>
      </c>
      <c r="D959" s="50" t="str">
        <f t="shared" si="3"/>
        <v/>
      </c>
      <c r="E959" s="51" t="str">
        <f t="shared" ref="E959:T959" si="960">IFERROR(VLOOKUP($A959,INDIRECT("'" &amp; E$1 &amp; "'!$C:$G"), 5, FALSE),"")</f>
        <v/>
      </c>
      <c r="F959" s="51" t="str">
        <f t="shared" si="960"/>
        <v/>
      </c>
      <c r="G959" s="51" t="str">
        <f t="shared" si="960"/>
        <v/>
      </c>
      <c r="H959" s="51" t="str">
        <f t="shared" si="960"/>
        <v/>
      </c>
      <c r="I959" s="51" t="str">
        <f t="shared" si="960"/>
        <v/>
      </c>
      <c r="J959" s="51" t="str">
        <f t="shared" si="960"/>
        <v/>
      </c>
      <c r="K959" s="51" t="str">
        <f t="shared" si="960"/>
        <v/>
      </c>
      <c r="L959" s="51" t="str">
        <f t="shared" si="960"/>
        <v/>
      </c>
      <c r="M959" s="51" t="str">
        <f t="shared" si="960"/>
        <v/>
      </c>
      <c r="N959" s="51" t="str">
        <f t="shared" si="960"/>
        <v/>
      </c>
      <c r="O959" s="51" t="str">
        <f t="shared" si="960"/>
        <v/>
      </c>
      <c r="P959" s="51" t="str">
        <f t="shared" si="960"/>
        <v/>
      </c>
      <c r="Q959" s="51" t="str">
        <f t="shared" si="960"/>
        <v/>
      </c>
      <c r="R959" s="51" t="str">
        <f t="shared" si="960"/>
        <v/>
      </c>
      <c r="S959" s="51" t="str">
        <f t="shared" si="960"/>
        <v/>
      </c>
      <c r="T959" s="51" t="str">
        <f t="shared" si="960"/>
        <v/>
      </c>
      <c r="U959" s="52"/>
      <c r="V959" s="52" t="str">
        <f>IFERROR(__xludf.DUMMYFUNCTION("""COMPUTED_VALUE"""),"")</f>
        <v/>
      </c>
      <c r="W959" s="52" t="str">
        <f>IFERROR(__xludf.DUMMYFUNCTION("""COMPUTED_VALUE"""),"")</f>
        <v/>
      </c>
      <c r="X959" s="52" t="str">
        <f>IFERROR(__xludf.DUMMYFUNCTION("""COMPUTED_VALUE"""),"")</f>
        <v/>
      </c>
      <c r="Y959" s="52" t="str">
        <f>IFERROR(__xludf.DUMMYFUNCTION("""COMPUTED_VALUE"""),"")</f>
        <v/>
      </c>
      <c r="Z959" s="52" t="str">
        <f>IFERROR(__xludf.DUMMYFUNCTION("""COMPUTED_VALUE"""),"")</f>
        <v/>
      </c>
      <c r="AA959" s="52" t="str">
        <f>IFERROR(__xludf.DUMMYFUNCTION("""COMPUTED_VALUE"""),"")</f>
        <v/>
      </c>
      <c r="AB959" s="52" t="str">
        <f>IFERROR(__xludf.DUMMYFUNCTION("""COMPUTED_VALUE"""),"")</f>
        <v/>
      </c>
      <c r="AC959" s="52" t="str">
        <f>IFERROR(__xludf.DUMMYFUNCTION("""COMPUTED_VALUE"""),"")</f>
        <v/>
      </c>
      <c r="AD959" s="52" t="str">
        <f>IFERROR(__xludf.DUMMYFUNCTION("""COMPUTED_VALUE"""),"")</f>
        <v/>
      </c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</row>
    <row r="960">
      <c r="B960" s="49"/>
      <c r="C960" s="49" t="str">
        <f t="shared" si="2"/>
        <v/>
      </c>
      <c r="D960" s="50" t="str">
        <f t="shared" si="3"/>
        <v/>
      </c>
      <c r="E960" s="51" t="str">
        <f t="shared" ref="E960:T960" si="961">IFERROR(VLOOKUP($A960,INDIRECT("'" &amp; E$1 &amp; "'!$C:$G"), 5, FALSE),"")</f>
        <v/>
      </c>
      <c r="F960" s="51" t="str">
        <f t="shared" si="961"/>
        <v/>
      </c>
      <c r="G960" s="51" t="str">
        <f t="shared" si="961"/>
        <v/>
      </c>
      <c r="H960" s="51" t="str">
        <f t="shared" si="961"/>
        <v/>
      </c>
      <c r="I960" s="51" t="str">
        <f t="shared" si="961"/>
        <v/>
      </c>
      <c r="J960" s="51" t="str">
        <f t="shared" si="961"/>
        <v/>
      </c>
      <c r="K960" s="51" t="str">
        <f t="shared" si="961"/>
        <v/>
      </c>
      <c r="L960" s="51" t="str">
        <f t="shared" si="961"/>
        <v/>
      </c>
      <c r="M960" s="51" t="str">
        <f t="shared" si="961"/>
        <v/>
      </c>
      <c r="N960" s="51" t="str">
        <f t="shared" si="961"/>
        <v/>
      </c>
      <c r="O960" s="51" t="str">
        <f t="shared" si="961"/>
        <v/>
      </c>
      <c r="P960" s="51" t="str">
        <f t="shared" si="961"/>
        <v/>
      </c>
      <c r="Q960" s="51" t="str">
        <f t="shared" si="961"/>
        <v/>
      </c>
      <c r="R960" s="51" t="str">
        <f t="shared" si="961"/>
        <v/>
      </c>
      <c r="S960" s="51" t="str">
        <f t="shared" si="961"/>
        <v/>
      </c>
      <c r="T960" s="51" t="str">
        <f t="shared" si="961"/>
        <v/>
      </c>
      <c r="U960" s="52"/>
      <c r="V960" s="52" t="str">
        <f>IFERROR(__xludf.DUMMYFUNCTION("""COMPUTED_VALUE"""),"")</f>
        <v/>
      </c>
      <c r="W960" s="52" t="str">
        <f>IFERROR(__xludf.DUMMYFUNCTION("""COMPUTED_VALUE"""),"")</f>
        <v/>
      </c>
      <c r="X960" s="52" t="str">
        <f>IFERROR(__xludf.DUMMYFUNCTION("""COMPUTED_VALUE"""),"")</f>
        <v/>
      </c>
      <c r="Y960" s="52" t="str">
        <f>IFERROR(__xludf.DUMMYFUNCTION("""COMPUTED_VALUE"""),"")</f>
        <v/>
      </c>
      <c r="Z960" s="52" t="str">
        <f>IFERROR(__xludf.DUMMYFUNCTION("""COMPUTED_VALUE"""),"")</f>
        <v/>
      </c>
      <c r="AA960" s="52" t="str">
        <f>IFERROR(__xludf.DUMMYFUNCTION("""COMPUTED_VALUE"""),"")</f>
        <v/>
      </c>
      <c r="AB960" s="52" t="str">
        <f>IFERROR(__xludf.DUMMYFUNCTION("""COMPUTED_VALUE"""),"")</f>
        <v/>
      </c>
      <c r="AC960" s="52" t="str">
        <f>IFERROR(__xludf.DUMMYFUNCTION("""COMPUTED_VALUE"""),"")</f>
        <v/>
      </c>
      <c r="AD960" s="52" t="str">
        <f>IFERROR(__xludf.DUMMYFUNCTION("""COMPUTED_VALUE"""),"")</f>
        <v/>
      </c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</row>
    <row r="961">
      <c r="B961" s="49"/>
      <c r="C961" s="49" t="str">
        <f t="shared" si="2"/>
        <v/>
      </c>
      <c r="D961" s="50" t="str">
        <f t="shared" si="3"/>
        <v/>
      </c>
      <c r="E961" s="51" t="str">
        <f t="shared" ref="E961:T961" si="962">IFERROR(VLOOKUP($A961,INDIRECT("'" &amp; E$1 &amp; "'!$C:$G"), 5, FALSE),"")</f>
        <v/>
      </c>
      <c r="F961" s="51" t="str">
        <f t="shared" si="962"/>
        <v/>
      </c>
      <c r="G961" s="51" t="str">
        <f t="shared" si="962"/>
        <v/>
      </c>
      <c r="H961" s="51" t="str">
        <f t="shared" si="962"/>
        <v/>
      </c>
      <c r="I961" s="51" t="str">
        <f t="shared" si="962"/>
        <v/>
      </c>
      <c r="J961" s="51" t="str">
        <f t="shared" si="962"/>
        <v/>
      </c>
      <c r="K961" s="51" t="str">
        <f t="shared" si="962"/>
        <v/>
      </c>
      <c r="L961" s="51" t="str">
        <f t="shared" si="962"/>
        <v/>
      </c>
      <c r="M961" s="51" t="str">
        <f t="shared" si="962"/>
        <v/>
      </c>
      <c r="N961" s="51" t="str">
        <f t="shared" si="962"/>
        <v/>
      </c>
      <c r="O961" s="51" t="str">
        <f t="shared" si="962"/>
        <v/>
      </c>
      <c r="P961" s="51" t="str">
        <f t="shared" si="962"/>
        <v/>
      </c>
      <c r="Q961" s="51" t="str">
        <f t="shared" si="962"/>
        <v/>
      </c>
      <c r="R961" s="51" t="str">
        <f t="shared" si="962"/>
        <v/>
      </c>
      <c r="S961" s="51" t="str">
        <f t="shared" si="962"/>
        <v/>
      </c>
      <c r="T961" s="51" t="str">
        <f t="shared" si="962"/>
        <v/>
      </c>
      <c r="U961" s="52"/>
      <c r="V961" s="52" t="str">
        <f>IFERROR(__xludf.DUMMYFUNCTION("""COMPUTED_VALUE"""),"")</f>
        <v/>
      </c>
      <c r="W961" s="52" t="str">
        <f>IFERROR(__xludf.DUMMYFUNCTION("""COMPUTED_VALUE"""),"")</f>
        <v/>
      </c>
      <c r="X961" s="52" t="str">
        <f>IFERROR(__xludf.DUMMYFUNCTION("""COMPUTED_VALUE"""),"")</f>
        <v/>
      </c>
      <c r="Y961" s="52" t="str">
        <f>IFERROR(__xludf.DUMMYFUNCTION("""COMPUTED_VALUE"""),"")</f>
        <v/>
      </c>
      <c r="Z961" s="52" t="str">
        <f>IFERROR(__xludf.DUMMYFUNCTION("""COMPUTED_VALUE"""),"")</f>
        <v/>
      </c>
      <c r="AA961" s="52" t="str">
        <f>IFERROR(__xludf.DUMMYFUNCTION("""COMPUTED_VALUE"""),"")</f>
        <v/>
      </c>
      <c r="AB961" s="52" t="str">
        <f>IFERROR(__xludf.DUMMYFUNCTION("""COMPUTED_VALUE"""),"")</f>
        <v/>
      </c>
      <c r="AC961" s="52" t="str">
        <f>IFERROR(__xludf.DUMMYFUNCTION("""COMPUTED_VALUE"""),"")</f>
        <v/>
      </c>
      <c r="AD961" s="52" t="str">
        <f>IFERROR(__xludf.DUMMYFUNCTION("""COMPUTED_VALUE"""),"")</f>
        <v/>
      </c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</row>
    <row r="962">
      <c r="B962" s="49"/>
      <c r="C962" s="49" t="str">
        <f t="shared" si="2"/>
        <v/>
      </c>
      <c r="D962" s="50" t="str">
        <f t="shared" si="3"/>
        <v/>
      </c>
      <c r="E962" s="51" t="str">
        <f t="shared" ref="E962:T962" si="963">IFERROR(VLOOKUP($A962,INDIRECT("'" &amp; E$1 &amp; "'!$C:$G"), 5, FALSE),"")</f>
        <v/>
      </c>
      <c r="F962" s="51" t="str">
        <f t="shared" si="963"/>
        <v/>
      </c>
      <c r="G962" s="51" t="str">
        <f t="shared" si="963"/>
        <v/>
      </c>
      <c r="H962" s="51" t="str">
        <f t="shared" si="963"/>
        <v/>
      </c>
      <c r="I962" s="51" t="str">
        <f t="shared" si="963"/>
        <v/>
      </c>
      <c r="J962" s="51" t="str">
        <f t="shared" si="963"/>
        <v/>
      </c>
      <c r="K962" s="51" t="str">
        <f t="shared" si="963"/>
        <v/>
      </c>
      <c r="L962" s="51" t="str">
        <f t="shared" si="963"/>
        <v/>
      </c>
      <c r="M962" s="51" t="str">
        <f t="shared" si="963"/>
        <v/>
      </c>
      <c r="N962" s="51" t="str">
        <f t="shared" si="963"/>
        <v/>
      </c>
      <c r="O962" s="51" t="str">
        <f t="shared" si="963"/>
        <v/>
      </c>
      <c r="P962" s="51" t="str">
        <f t="shared" si="963"/>
        <v/>
      </c>
      <c r="Q962" s="51" t="str">
        <f t="shared" si="963"/>
        <v/>
      </c>
      <c r="R962" s="51" t="str">
        <f t="shared" si="963"/>
        <v/>
      </c>
      <c r="S962" s="51" t="str">
        <f t="shared" si="963"/>
        <v/>
      </c>
      <c r="T962" s="51" t="str">
        <f t="shared" si="963"/>
        <v/>
      </c>
      <c r="U962" s="52"/>
      <c r="V962" s="52" t="str">
        <f>IFERROR(__xludf.DUMMYFUNCTION("""COMPUTED_VALUE"""),"")</f>
        <v/>
      </c>
      <c r="W962" s="52" t="str">
        <f>IFERROR(__xludf.DUMMYFUNCTION("""COMPUTED_VALUE"""),"")</f>
        <v/>
      </c>
      <c r="X962" s="52" t="str">
        <f>IFERROR(__xludf.DUMMYFUNCTION("""COMPUTED_VALUE"""),"")</f>
        <v/>
      </c>
      <c r="Y962" s="52" t="str">
        <f>IFERROR(__xludf.DUMMYFUNCTION("""COMPUTED_VALUE"""),"")</f>
        <v/>
      </c>
      <c r="Z962" s="52" t="str">
        <f>IFERROR(__xludf.DUMMYFUNCTION("""COMPUTED_VALUE"""),"")</f>
        <v/>
      </c>
      <c r="AA962" s="52" t="str">
        <f>IFERROR(__xludf.DUMMYFUNCTION("""COMPUTED_VALUE"""),"")</f>
        <v/>
      </c>
      <c r="AB962" s="52" t="str">
        <f>IFERROR(__xludf.DUMMYFUNCTION("""COMPUTED_VALUE"""),"")</f>
        <v/>
      </c>
      <c r="AC962" s="52" t="str">
        <f>IFERROR(__xludf.DUMMYFUNCTION("""COMPUTED_VALUE"""),"")</f>
        <v/>
      </c>
      <c r="AD962" s="52" t="str">
        <f>IFERROR(__xludf.DUMMYFUNCTION("""COMPUTED_VALUE"""),"")</f>
        <v/>
      </c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</row>
    <row r="963">
      <c r="B963" s="49"/>
      <c r="C963" s="49" t="str">
        <f t="shared" si="2"/>
        <v/>
      </c>
      <c r="D963" s="50" t="str">
        <f t="shared" si="3"/>
        <v/>
      </c>
      <c r="E963" s="51" t="str">
        <f t="shared" ref="E963:T963" si="964">IFERROR(VLOOKUP($A963,INDIRECT("'" &amp; E$1 &amp; "'!$C:$G"), 5, FALSE),"")</f>
        <v/>
      </c>
      <c r="F963" s="51" t="str">
        <f t="shared" si="964"/>
        <v/>
      </c>
      <c r="G963" s="51" t="str">
        <f t="shared" si="964"/>
        <v/>
      </c>
      <c r="H963" s="51" t="str">
        <f t="shared" si="964"/>
        <v/>
      </c>
      <c r="I963" s="51" t="str">
        <f t="shared" si="964"/>
        <v/>
      </c>
      <c r="J963" s="51" t="str">
        <f t="shared" si="964"/>
        <v/>
      </c>
      <c r="K963" s="51" t="str">
        <f t="shared" si="964"/>
        <v/>
      </c>
      <c r="L963" s="51" t="str">
        <f t="shared" si="964"/>
        <v/>
      </c>
      <c r="M963" s="51" t="str">
        <f t="shared" si="964"/>
        <v/>
      </c>
      <c r="N963" s="51" t="str">
        <f t="shared" si="964"/>
        <v/>
      </c>
      <c r="O963" s="51" t="str">
        <f t="shared" si="964"/>
        <v/>
      </c>
      <c r="P963" s="51" t="str">
        <f t="shared" si="964"/>
        <v/>
      </c>
      <c r="Q963" s="51" t="str">
        <f t="shared" si="964"/>
        <v/>
      </c>
      <c r="R963" s="51" t="str">
        <f t="shared" si="964"/>
        <v/>
      </c>
      <c r="S963" s="51" t="str">
        <f t="shared" si="964"/>
        <v/>
      </c>
      <c r="T963" s="51" t="str">
        <f t="shared" si="964"/>
        <v/>
      </c>
      <c r="U963" s="52"/>
      <c r="V963" s="52" t="str">
        <f>IFERROR(__xludf.DUMMYFUNCTION("""COMPUTED_VALUE"""),"")</f>
        <v/>
      </c>
      <c r="W963" s="52" t="str">
        <f>IFERROR(__xludf.DUMMYFUNCTION("""COMPUTED_VALUE"""),"")</f>
        <v/>
      </c>
      <c r="X963" s="52" t="str">
        <f>IFERROR(__xludf.DUMMYFUNCTION("""COMPUTED_VALUE"""),"")</f>
        <v/>
      </c>
      <c r="Y963" s="52" t="str">
        <f>IFERROR(__xludf.DUMMYFUNCTION("""COMPUTED_VALUE"""),"")</f>
        <v/>
      </c>
      <c r="Z963" s="52" t="str">
        <f>IFERROR(__xludf.DUMMYFUNCTION("""COMPUTED_VALUE"""),"")</f>
        <v/>
      </c>
      <c r="AA963" s="52" t="str">
        <f>IFERROR(__xludf.DUMMYFUNCTION("""COMPUTED_VALUE"""),"")</f>
        <v/>
      </c>
      <c r="AB963" s="52" t="str">
        <f>IFERROR(__xludf.DUMMYFUNCTION("""COMPUTED_VALUE"""),"")</f>
        <v/>
      </c>
      <c r="AC963" s="52" t="str">
        <f>IFERROR(__xludf.DUMMYFUNCTION("""COMPUTED_VALUE"""),"")</f>
        <v/>
      </c>
      <c r="AD963" s="52" t="str">
        <f>IFERROR(__xludf.DUMMYFUNCTION("""COMPUTED_VALUE"""),"")</f>
        <v/>
      </c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</row>
    <row r="964">
      <c r="B964" s="49"/>
      <c r="C964" s="49" t="str">
        <f t="shared" si="2"/>
        <v/>
      </c>
      <c r="D964" s="50" t="str">
        <f t="shared" si="3"/>
        <v/>
      </c>
      <c r="E964" s="51" t="str">
        <f t="shared" ref="E964:T964" si="965">IFERROR(VLOOKUP($A964,INDIRECT("'" &amp; E$1 &amp; "'!$C:$G"), 5, FALSE),"")</f>
        <v/>
      </c>
      <c r="F964" s="51" t="str">
        <f t="shared" si="965"/>
        <v/>
      </c>
      <c r="G964" s="51" t="str">
        <f t="shared" si="965"/>
        <v/>
      </c>
      <c r="H964" s="51" t="str">
        <f t="shared" si="965"/>
        <v/>
      </c>
      <c r="I964" s="51" t="str">
        <f t="shared" si="965"/>
        <v/>
      </c>
      <c r="J964" s="51" t="str">
        <f t="shared" si="965"/>
        <v/>
      </c>
      <c r="K964" s="51" t="str">
        <f t="shared" si="965"/>
        <v/>
      </c>
      <c r="L964" s="51" t="str">
        <f t="shared" si="965"/>
        <v/>
      </c>
      <c r="M964" s="51" t="str">
        <f t="shared" si="965"/>
        <v/>
      </c>
      <c r="N964" s="51" t="str">
        <f t="shared" si="965"/>
        <v/>
      </c>
      <c r="O964" s="51" t="str">
        <f t="shared" si="965"/>
        <v/>
      </c>
      <c r="P964" s="51" t="str">
        <f t="shared" si="965"/>
        <v/>
      </c>
      <c r="Q964" s="51" t="str">
        <f t="shared" si="965"/>
        <v/>
      </c>
      <c r="R964" s="51" t="str">
        <f t="shared" si="965"/>
        <v/>
      </c>
      <c r="S964" s="51" t="str">
        <f t="shared" si="965"/>
        <v/>
      </c>
      <c r="T964" s="51" t="str">
        <f t="shared" si="965"/>
        <v/>
      </c>
      <c r="U964" s="52"/>
      <c r="V964" s="52" t="str">
        <f>IFERROR(__xludf.DUMMYFUNCTION("""COMPUTED_VALUE"""),"")</f>
        <v/>
      </c>
      <c r="W964" s="52" t="str">
        <f>IFERROR(__xludf.DUMMYFUNCTION("""COMPUTED_VALUE"""),"")</f>
        <v/>
      </c>
      <c r="X964" s="52" t="str">
        <f>IFERROR(__xludf.DUMMYFUNCTION("""COMPUTED_VALUE"""),"")</f>
        <v/>
      </c>
      <c r="Y964" s="52" t="str">
        <f>IFERROR(__xludf.DUMMYFUNCTION("""COMPUTED_VALUE"""),"")</f>
        <v/>
      </c>
      <c r="Z964" s="52" t="str">
        <f>IFERROR(__xludf.DUMMYFUNCTION("""COMPUTED_VALUE"""),"")</f>
        <v/>
      </c>
      <c r="AA964" s="52" t="str">
        <f>IFERROR(__xludf.DUMMYFUNCTION("""COMPUTED_VALUE"""),"")</f>
        <v/>
      </c>
      <c r="AB964" s="52" t="str">
        <f>IFERROR(__xludf.DUMMYFUNCTION("""COMPUTED_VALUE"""),"")</f>
        <v/>
      </c>
      <c r="AC964" s="52" t="str">
        <f>IFERROR(__xludf.DUMMYFUNCTION("""COMPUTED_VALUE"""),"")</f>
        <v/>
      </c>
      <c r="AD964" s="52" t="str">
        <f>IFERROR(__xludf.DUMMYFUNCTION("""COMPUTED_VALUE"""),"")</f>
        <v/>
      </c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</row>
    <row r="965">
      <c r="B965" s="49"/>
      <c r="C965" s="49" t="str">
        <f t="shared" si="2"/>
        <v/>
      </c>
      <c r="D965" s="50" t="str">
        <f t="shared" si="3"/>
        <v/>
      </c>
      <c r="E965" s="51" t="str">
        <f t="shared" ref="E965:T965" si="966">IFERROR(VLOOKUP($A965,INDIRECT("'" &amp; E$1 &amp; "'!$C:$G"), 5, FALSE),"")</f>
        <v/>
      </c>
      <c r="F965" s="51" t="str">
        <f t="shared" si="966"/>
        <v/>
      </c>
      <c r="G965" s="51" t="str">
        <f t="shared" si="966"/>
        <v/>
      </c>
      <c r="H965" s="51" t="str">
        <f t="shared" si="966"/>
        <v/>
      </c>
      <c r="I965" s="51" t="str">
        <f t="shared" si="966"/>
        <v/>
      </c>
      <c r="J965" s="51" t="str">
        <f t="shared" si="966"/>
        <v/>
      </c>
      <c r="K965" s="51" t="str">
        <f t="shared" si="966"/>
        <v/>
      </c>
      <c r="L965" s="51" t="str">
        <f t="shared" si="966"/>
        <v/>
      </c>
      <c r="M965" s="51" t="str">
        <f t="shared" si="966"/>
        <v/>
      </c>
      <c r="N965" s="51" t="str">
        <f t="shared" si="966"/>
        <v/>
      </c>
      <c r="O965" s="51" t="str">
        <f t="shared" si="966"/>
        <v/>
      </c>
      <c r="P965" s="51" t="str">
        <f t="shared" si="966"/>
        <v/>
      </c>
      <c r="Q965" s="51" t="str">
        <f t="shared" si="966"/>
        <v/>
      </c>
      <c r="R965" s="51" t="str">
        <f t="shared" si="966"/>
        <v/>
      </c>
      <c r="S965" s="51" t="str">
        <f t="shared" si="966"/>
        <v/>
      </c>
      <c r="T965" s="51" t="str">
        <f t="shared" si="966"/>
        <v/>
      </c>
      <c r="U965" s="52"/>
      <c r="V965" s="52" t="str">
        <f>IFERROR(__xludf.DUMMYFUNCTION("""COMPUTED_VALUE"""),"")</f>
        <v/>
      </c>
      <c r="W965" s="52" t="str">
        <f>IFERROR(__xludf.DUMMYFUNCTION("""COMPUTED_VALUE"""),"")</f>
        <v/>
      </c>
      <c r="X965" s="52" t="str">
        <f>IFERROR(__xludf.DUMMYFUNCTION("""COMPUTED_VALUE"""),"")</f>
        <v/>
      </c>
      <c r="Y965" s="52" t="str">
        <f>IFERROR(__xludf.DUMMYFUNCTION("""COMPUTED_VALUE"""),"")</f>
        <v/>
      </c>
      <c r="Z965" s="52" t="str">
        <f>IFERROR(__xludf.DUMMYFUNCTION("""COMPUTED_VALUE"""),"")</f>
        <v/>
      </c>
      <c r="AA965" s="52" t="str">
        <f>IFERROR(__xludf.DUMMYFUNCTION("""COMPUTED_VALUE"""),"")</f>
        <v/>
      </c>
      <c r="AB965" s="52" t="str">
        <f>IFERROR(__xludf.DUMMYFUNCTION("""COMPUTED_VALUE"""),"")</f>
        <v/>
      </c>
      <c r="AC965" s="52" t="str">
        <f>IFERROR(__xludf.DUMMYFUNCTION("""COMPUTED_VALUE"""),"")</f>
        <v/>
      </c>
      <c r="AD965" s="52" t="str">
        <f>IFERROR(__xludf.DUMMYFUNCTION("""COMPUTED_VALUE"""),"")</f>
        <v/>
      </c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</row>
    <row r="966">
      <c r="B966" s="49"/>
      <c r="C966" s="49" t="str">
        <f t="shared" si="2"/>
        <v/>
      </c>
      <c r="D966" s="50" t="str">
        <f t="shared" si="3"/>
        <v/>
      </c>
      <c r="E966" s="51" t="str">
        <f t="shared" ref="E966:T966" si="967">IFERROR(VLOOKUP($A966,INDIRECT("'" &amp; E$1 &amp; "'!$C:$G"), 5, FALSE),"")</f>
        <v/>
      </c>
      <c r="F966" s="51" t="str">
        <f t="shared" si="967"/>
        <v/>
      </c>
      <c r="G966" s="51" t="str">
        <f t="shared" si="967"/>
        <v/>
      </c>
      <c r="H966" s="51" t="str">
        <f t="shared" si="967"/>
        <v/>
      </c>
      <c r="I966" s="51" t="str">
        <f t="shared" si="967"/>
        <v/>
      </c>
      <c r="J966" s="51" t="str">
        <f t="shared" si="967"/>
        <v/>
      </c>
      <c r="K966" s="51" t="str">
        <f t="shared" si="967"/>
        <v/>
      </c>
      <c r="L966" s="51" t="str">
        <f t="shared" si="967"/>
        <v/>
      </c>
      <c r="M966" s="51" t="str">
        <f t="shared" si="967"/>
        <v/>
      </c>
      <c r="N966" s="51" t="str">
        <f t="shared" si="967"/>
        <v/>
      </c>
      <c r="O966" s="51" t="str">
        <f t="shared" si="967"/>
        <v/>
      </c>
      <c r="P966" s="51" t="str">
        <f t="shared" si="967"/>
        <v/>
      </c>
      <c r="Q966" s="51" t="str">
        <f t="shared" si="967"/>
        <v/>
      </c>
      <c r="R966" s="51" t="str">
        <f t="shared" si="967"/>
        <v/>
      </c>
      <c r="S966" s="51" t="str">
        <f t="shared" si="967"/>
        <v/>
      </c>
      <c r="T966" s="51" t="str">
        <f t="shared" si="967"/>
        <v/>
      </c>
      <c r="U966" s="52"/>
      <c r="V966" s="52" t="str">
        <f>IFERROR(__xludf.DUMMYFUNCTION("""COMPUTED_VALUE"""),"")</f>
        <v/>
      </c>
      <c r="W966" s="52" t="str">
        <f>IFERROR(__xludf.DUMMYFUNCTION("""COMPUTED_VALUE"""),"")</f>
        <v/>
      </c>
      <c r="X966" s="52" t="str">
        <f>IFERROR(__xludf.DUMMYFUNCTION("""COMPUTED_VALUE"""),"")</f>
        <v/>
      </c>
      <c r="Y966" s="52" t="str">
        <f>IFERROR(__xludf.DUMMYFUNCTION("""COMPUTED_VALUE"""),"")</f>
        <v/>
      </c>
      <c r="Z966" s="52" t="str">
        <f>IFERROR(__xludf.DUMMYFUNCTION("""COMPUTED_VALUE"""),"")</f>
        <v/>
      </c>
      <c r="AA966" s="52" t="str">
        <f>IFERROR(__xludf.DUMMYFUNCTION("""COMPUTED_VALUE"""),"")</f>
        <v/>
      </c>
      <c r="AB966" s="52" t="str">
        <f>IFERROR(__xludf.DUMMYFUNCTION("""COMPUTED_VALUE"""),"")</f>
        <v/>
      </c>
      <c r="AC966" s="52" t="str">
        <f>IFERROR(__xludf.DUMMYFUNCTION("""COMPUTED_VALUE"""),"")</f>
        <v/>
      </c>
      <c r="AD966" s="52" t="str">
        <f>IFERROR(__xludf.DUMMYFUNCTION("""COMPUTED_VALUE"""),"")</f>
        <v/>
      </c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</row>
    <row r="967">
      <c r="B967" s="49"/>
      <c r="C967" s="49" t="str">
        <f t="shared" si="2"/>
        <v/>
      </c>
      <c r="D967" s="50" t="str">
        <f t="shared" si="3"/>
        <v/>
      </c>
      <c r="E967" s="51" t="str">
        <f t="shared" ref="E967:T967" si="968">IFERROR(VLOOKUP($A967,INDIRECT("'" &amp; E$1 &amp; "'!$C:$G"), 5, FALSE),"")</f>
        <v/>
      </c>
      <c r="F967" s="51" t="str">
        <f t="shared" si="968"/>
        <v/>
      </c>
      <c r="G967" s="51" t="str">
        <f t="shared" si="968"/>
        <v/>
      </c>
      <c r="H967" s="51" t="str">
        <f t="shared" si="968"/>
        <v/>
      </c>
      <c r="I967" s="51" t="str">
        <f t="shared" si="968"/>
        <v/>
      </c>
      <c r="J967" s="51" t="str">
        <f t="shared" si="968"/>
        <v/>
      </c>
      <c r="K967" s="51" t="str">
        <f t="shared" si="968"/>
        <v/>
      </c>
      <c r="L967" s="51" t="str">
        <f t="shared" si="968"/>
        <v/>
      </c>
      <c r="M967" s="51" t="str">
        <f t="shared" si="968"/>
        <v/>
      </c>
      <c r="N967" s="51" t="str">
        <f t="shared" si="968"/>
        <v/>
      </c>
      <c r="O967" s="51" t="str">
        <f t="shared" si="968"/>
        <v/>
      </c>
      <c r="P967" s="51" t="str">
        <f t="shared" si="968"/>
        <v/>
      </c>
      <c r="Q967" s="51" t="str">
        <f t="shared" si="968"/>
        <v/>
      </c>
      <c r="R967" s="51" t="str">
        <f t="shared" si="968"/>
        <v/>
      </c>
      <c r="S967" s="51" t="str">
        <f t="shared" si="968"/>
        <v/>
      </c>
      <c r="T967" s="51" t="str">
        <f t="shared" si="968"/>
        <v/>
      </c>
      <c r="U967" s="52"/>
      <c r="V967" s="52" t="str">
        <f>IFERROR(__xludf.DUMMYFUNCTION("""COMPUTED_VALUE"""),"")</f>
        <v/>
      </c>
      <c r="W967" s="52" t="str">
        <f>IFERROR(__xludf.DUMMYFUNCTION("""COMPUTED_VALUE"""),"")</f>
        <v/>
      </c>
      <c r="X967" s="52" t="str">
        <f>IFERROR(__xludf.DUMMYFUNCTION("""COMPUTED_VALUE"""),"")</f>
        <v/>
      </c>
      <c r="Y967" s="52" t="str">
        <f>IFERROR(__xludf.DUMMYFUNCTION("""COMPUTED_VALUE"""),"")</f>
        <v/>
      </c>
      <c r="Z967" s="52" t="str">
        <f>IFERROR(__xludf.DUMMYFUNCTION("""COMPUTED_VALUE"""),"")</f>
        <v/>
      </c>
      <c r="AA967" s="52" t="str">
        <f>IFERROR(__xludf.DUMMYFUNCTION("""COMPUTED_VALUE"""),"")</f>
        <v/>
      </c>
      <c r="AB967" s="52" t="str">
        <f>IFERROR(__xludf.DUMMYFUNCTION("""COMPUTED_VALUE"""),"")</f>
        <v/>
      </c>
      <c r="AC967" s="52" t="str">
        <f>IFERROR(__xludf.DUMMYFUNCTION("""COMPUTED_VALUE"""),"")</f>
        <v/>
      </c>
      <c r="AD967" s="52" t="str">
        <f>IFERROR(__xludf.DUMMYFUNCTION("""COMPUTED_VALUE"""),"")</f>
        <v/>
      </c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</row>
    <row r="968">
      <c r="B968" s="49"/>
      <c r="C968" s="49" t="str">
        <f t="shared" si="2"/>
        <v/>
      </c>
      <c r="D968" s="50" t="str">
        <f t="shared" si="3"/>
        <v/>
      </c>
      <c r="E968" s="51" t="str">
        <f t="shared" ref="E968:T968" si="969">IFERROR(VLOOKUP($A968,INDIRECT("'" &amp; E$1 &amp; "'!$C:$G"), 5, FALSE),"")</f>
        <v/>
      </c>
      <c r="F968" s="51" t="str">
        <f t="shared" si="969"/>
        <v/>
      </c>
      <c r="G968" s="51" t="str">
        <f t="shared" si="969"/>
        <v/>
      </c>
      <c r="H968" s="51" t="str">
        <f t="shared" si="969"/>
        <v/>
      </c>
      <c r="I968" s="51" t="str">
        <f t="shared" si="969"/>
        <v/>
      </c>
      <c r="J968" s="51" t="str">
        <f t="shared" si="969"/>
        <v/>
      </c>
      <c r="K968" s="51" t="str">
        <f t="shared" si="969"/>
        <v/>
      </c>
      <c r="L968" s="51" t="str">
        <f t="shared" si="969"/>
        <v/>
      </c>
      <c r="M968" s="51" t="str">
        <f t="shared" si="969"/>
        <v/>
      </c>
      <c r="N968" s="51" t="str">
        <f t="shared" si="969"/>
        <v/>
      </c>
      <c r="O968" s="51" t="str">
        <f t="shared" si="969"/>
        <v/>
      </c>
      <c r="P968" s="51" t="str">
        <f t="shared" si="969"/>
        <v/>
      </c>
      <c r="Q968" s="51" t="str">
        <f t="shared" si="969"/>
        <v/>
      </c>
      <c r="R968" s="51" t="str">
        <f t="shared" si="969"/>
        <v/>
      </c>
      <c r="S968" s="51" t="str">
        <f t="shared" si="969"/>
        <v/>
      </c>
      <c r="T968" s="51" t="str">
        <f t="shared" si="969"/>
        <v/>
      </c>
      <c r="U968" s="52"/>
      <c r="V968" s="52" t="str">
        <f>IFERROR(__xludf.DUMMYFUNCTION("""COMPUTED_VALUE"""),"")</f>
        <v/>
      </c>
      <c r="W968" s="52" t="str">
        <f>IFERROR(__xludf.DUMMYFUNCTION("""COMPUTED_VALUE"""),"")</f>
        <v/>
      </c>
      <c r="X968" s="52" t="str">
        <f>IFERROR(__xludf.DUMMYFUNCTION("""COMPUTED_VALUE"""),"")</f>
        <v/>
      </c>
      <c r="Y968" s="52" t="str">
        <f>IFERROR(__xludf.DUMMYFUNCTION("""COMPUTED_VALUE"""),"")</f>
        <v/>
      </c>
      <c r="Z968" s="52" t="str">
        <f>IFERROR(__xludf.DUMMYFUNCTION("""COMPUTED_VALUE"""),"")</f>
        <v/>
      </c>
      <c r="AA968" s="52" t="str">
        <f>IFERROR(__xludf.DUMMYFUNCTION("""COMPUTED_VALUE"""),"")</f>
        <v/>
      </c>
      <c r="AB968" s="52" t="str">
        <f>IFERROR(__xludf.DUMMYFUNCTION("""COMPUTED_VALUE"""),"")</f>
        <v/>
      </c>
      <c r="AC968" s="52" t="str">
        <f>IFERROR(__xludf.DUMMYFUNCTION("""COMPUTED_VALUE"""),"")</f>
        <v/>
      </c>
      <c r="AD968" s="52" t="str">
        <f>IFERROR(__xludf.DUMMYFUNCTION("""COMPUTED_VALUE"""),"")</f>
        <v/>
      </c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</row>
    <row r="969">
      <c r="B969" s="49"/>
      <c r="C969" s="49" t="str">
        <f t="shared" si="2"/>
        <v/>
      </c>
      <c r="D969" s="50" t="str">
        <f t="shared" si="3"/>
        <v/>
      </c>
      <c r="E969" s="51" t="str">
        <f t="shared" ref="E969:T969" si="970">IFERROR(VLOOKUP($A969,INDIRECT("'" &amp; E$1 &amp; "'!$C:$G"), 5, FALSE),"")</f>
        <v/>
      </c>
      <c r="F969" s="51" t="str">
        <f t="shared" si="970"/>
        <v/>
      </c>
      <c r="G969" s="51" t="str">
        <f t="shared" si="970"/>
        <v/>
      </c>
      <c r="H969" s="51" t="str">
        <f t="shared" si="970"/>
        <v/>
      </c>
      <c r="I969" s="51" t="str">
        <f t="shared" si="970"/>
        <v/>
      </c>
      <c r="J969" s="51" t="str">
        <f t="shared" si="970"/>
        <v/>
      </c>
      <c r="K969" s="51" t="str">
        <f t="shared" si="970"/>
        <v/>
      </c>
      <c r="L969" s="51" t="str">
        <f t="shared" si="970"/>
        <v/>
      </c>
      <c r="M969" s="51" t="str">
        <f t="shared" si="970"/>
        <v/>
      </c>
      <c r="N969" s="51" t="str">
        <f t="shared" si="970"/>
        <v/>
      </c>
      <c r="O969" s="51" t="str">
        <f t="shared" si="970"/>
        <v/>
      </c>
      <c r="P969" s="51" t="str">
        <f t="shared" si="970"/>
        <v/>
      </c>
      <c r="Q969" s="51" t="str">
        <f t="shared" si="970"/>
        <v/>
      </c>
      <c r="R969" s="51" t="str">
        <f t="shared" si="970"/>
        <v/>
      </c>
      <c r="S969" s="51" t="str">
        <f t="shared" si="970"/>
        <v/>
      </c>
      <c r="T969" s="51" t="str">
        <f t="shared" si="970"/>
        <v/>
      </c>
      <c r="U969" s="52"/>
      <c r="V969" s="52" t="str">
        <f>IFERROR(__xludf.DUMMYFUNCTION("""COMPUTED_VALUE"""),"")</f>
        <v/>
      </c>
      <c r="W969" s="52" t="str">
        <f>IFERROR(__xludf.DUMMYFUNCTION("""COMPUTED_VALUE"""),"")</f>
        <v/>
      </c>
      <c r="X969" s="52" t="str">
        <f>IFERROR(__xludf.DUMMYFUNCTION("""COMPUTED_VALUE"""),"")</f>
        <v/>
      </c>
      <c r="Y969" s="52" t="str">
        <f>IFERROR(__xludf.DUMMYFUNCTION("""COMPUTED_VALUE"""),"")</f>
        <v/>
      </c>
      <c r="Z969" s="52" t="str">
        <f>IFERROR(__xludf.DUMMYFUNCTION("""COMPUTED_VALUE"""),"")</f>
        <v/>
      </c>
      <c r="AA969" s="52" t="str">
        <f>IFERROR(__xludf.DUMMYFUNCTION("""COMPUTED_VALUE"""),"")</f>
        <v/>
      </c>
      <c r="AB969" s="52" t="str">
        <f>IFERROR(__xludf.DUMMYFUNCTION("""COMPUTED_VALUE"""),"")</f>
        <v/>
      </c>
      <c r="AC969" s="52" t="str">
        <f>IFERROR(__xludf.DUMMYFUNCTION("""COMPUTED_VALUE"""),"")</f>
        <v/>
      </c>
      <c r="AD969" s="52" t="str">
        <f>IFERROR(__xludf.DUMMYFUNCTION("""COMPUTED_VALUE"""),"")</f>
        <v/>
      </c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</row>
    <row r="970">
      <c r="B970" s="49"/>
      <c r="C970" s="49" t="str">
        <f t="shared" si="2"/>
        <v/>
      </c>
      <c r="D970" s="50" t="str">
        <f t="shared" si="3"/>
        <v/>
      </c>
      <c r="E970" s="51" t="str">
        <f t="shared" ref="E970:T970" si="971">IFERROR(VLOOKUP($A970,INDIRECT("'" &amp; E$1 &amp; "'!$C:$G"), 5, FALSE),"")</f>
        <v/>
      </c>
      <c r="F970" s="51" t="str">
        <f t="shared" si="971"/>
        <v/>
      </c>
      <c r="G970" s="51" t="str">
        <f t="shared" si="971"/>
        <v/>
      </c>
      <c r="H970" s="51" t="str">
        <f t="shared" si="971"/>
        <v/>
      </c>
      <c r="I970" s="51" t="str">
        <f t="shared" si="971"/>
        <v/>
      </c>
      <c r="J970" s="51" t="str">
        <f t="shared" si="971"/>
        <v/>
      </c>
      <c r="K970" s="51" t="str">
        <f t="shared" si="971"/>
        <v/>
      </c>
      <c r="L970" s="51" t="str">
        <f t="shared" si="971"/>
        <v/>
      </c>
      <c r="M970" s="51" t="str">
        <f t="shared" si="971"/>
        <v/>
      </c>
      <c r="N970" s="51" t="str">
        <f t="shared" si="971"/>
        <v/>
      </c>
      <c r="O970" s="51" t="str">
        <f t="shared" si="971"/>
        <v/>
      </c>
      <c r="P970" s="51" t="str">
        <f t="shared" si="971"/>
        <v/>
      </c>
      <c r="Q970" s="51" t="str">
        <f t="shared" si="971"/>
        <v/>
      </c>
      <c r="R970" s="51" t="str">
        <f t="shared" si="971"/>
        <v/>
      </c>
      <c r="S970" s="51" t="str">
        <f t="shared" si="971"/>
        <v/>
      </c>
      <c r="T970" s="51" t="str">
        <f t="shared" si="971"/>
        <v/>
      </c>
      <c r="U970" s="52"/>
      <c r="V970" s="52" t="str">
        <f>IFERROR(__xludf.DUMMYFUNCTION("""COMPUTED_VALUE"""),"")</f>
        <v/>
      </c>
      <c r="W970" s="52" t="str">
        <f>IFERROR(__xludf.DUMMYFUNCTION("""COMPUTED_VALUE"""),"")</f>
        <v/>
      </c>
      <c r="X970" s="52" t="str">
        <f>IFERROR(__xludf.DUMMYFUNCTION("""COMPUTED_VALUE"""),"")</f>
        <v/>
      </c>
      <c r="Y970" s="52" t="str">
        <f>IFERROR(__xludf.DUMMYFUNCTION("""COMPUTED_VALUE"""),"")</f>
        <v/>
      </c>
      <c r="Z970" s="52" t="str">
        <f>IFERROR(__xludf.DUMMYFUNCTION("""COMPUTED_VALUE"""),"")</f>
        <v/>
      </c>
      <c r="AA970" s="52" t="str">
        <f>IFERROR(__xludf.DUMMYFUNCTION("""COMPUTED_VALUE"""),"")</f>
        <v/>
      </c>
      <c r="AB970" s="52" t="str">
        <f>IFERROR(__xludf.DUMMYFUNCTION("""COMPUTED_VALUE"""),"")</f>
        <v/>
      </c>
      <c r="AC970" s="52" t="str">
        <f>IFERROR(__xludf.DUMMYFUNCTION("""COMPUTED_VALUE"""),"")</f>
        <v/>
      </c>
      <c r="AD970" s="52" t="str">
        <f>IFERROR(__xludf.DUMMYFUNCTION("""COMPUTED_VALUE"""),"")</f>
        <v/>
      </c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</row>
    <row r="971">
      <c r="B971" s="49"/>
      <c r="C971" s="49" t="str">
        <f t="shared" si="2"/>
        <v/>
      </c>
      <c r="D971" s="50" t="str">
        <f t="shared" si="3"/>
        <v/>
      </c>
      <c r="E971" s="51" t="str">
        <f t="shared" ref="E971:T971" si="972">IFERROR(VLOOKUP($A971,INDIRECT("'" &amp; E$1 &amp; "'!$C:$G"), 5, FALSE),"")</f>
        <v/>
      </c>
      <c r="F971" s="51" t="str">
        <f t="shared" si="972"/>
        <v/>
      </c>
      <c r="G971" s="51" t="str">
        <f t="shared" si="972"/>
        <v/>
      </c>
      <c r="H971" s="51" t="str">
        <f t="shared" si="972"/>
        <v/>
      </c>
      <c r="I971" s="51" t="str">
        <f t="shared" si="972"/>
        <v/>
      </c>
      <c r="J971" s="51" t="str">
        <f t="shared" si="972"/>
        <v/>
      </c>
      <c r="K971" s="51" t="str">
        <f t="shared" si="972"/>
        <v/>
      </c>
      <c r="L971" s="51" t="str">
        <f t="shared" si="972"/>
        <v/>
      </c>
      <c r="M971" s="51" t="str">
        <f t="shared" si="972"/>
        <v/>
      </c>
      <c r="N971" s="51" t="str">
        <f t="shared" si="972"/>
        <v/>
      </c>
      <c r="O971" s="51" t="str">
        <f t="shared" si="972"/>
        <v/>
      </c>
      <c r="P971" s="51" t="str">
        <f t="shared" si="972"/>
        <v/>
      </c>
      <c r="Q971" s="51" t="str">
        <f t="shared" si="972"/>
        <v/>
      </c>
      <c r="R971" s="51" t="str">
        <f t="shared" si="972"/>
        <v/>
      </c>
      <c r="S971" s="51" t="str">
        <f t="shared" si="972"/>
        <v/>
      </c>
      <c r="T971" s="51" t="str">
        <f t="shared" si="972"/>
        <v/>
      </c>
      <c r="U971" s="52"/>
      <c r="V971" s="52" t="str">
        <f>IFERROR(__xludf.DUMMYFUNCTION("""COMPUTED_VALUE"""),"")</f>
        <v/>
      </c>
      <c r="W971" s="52" t="str">
        <f>IFERROR(__xludf.DUMMYFUNCTION("""COMPUTED_VALUE"""),"")</f>
        <v/>
      </c>
      <c r="X971" s="52" t="str">
        <f>IFERROR(__xludf.DUMMYFUNCTION("""COMPUTED_VALUE"""),"")</f>
        <v/>
      </c>
      <c r="Y971" s="52" t="str">
        <f>IFERROR(__xludf.DUMMYFUNCTION("""COMPUTED_VALUE"""),"")</f>
        <v/>
      </c>
      <c r="Z971" s="52" t="str">
        <f>IFERROR(__xludf.DUMMYFUNCTION("""COMPUTED_VALUE"""),"")</f>
        <v/>
      </c>
      <c r="AA971" s="52" t="str">
        <f>IFERROR(__xludf.DUMMYFUNCTION("""COMPUTED_VALUE"""),"")</f>
        <v/>
      </c>
      <c r="AB971" s="52" t="str">
        <f>IFERROR(__xludf.DUMMYFUNCTION("""COMPUTED_VALUE"""),"")</f>
        <v/>
      </c>
      <c r="AC971" s="52" t="str">
        <f>IFERROR(__xludf.DUMMYFUNCTION("""COMPUTED_VALUE"""),"")</f>
        <v/>
      </c>
      <c r="AD971" s="52" t="str">
        <f>IFERROR(__xludf.DUMMYFUNCTION("""COMPUTED_VALUE"""),"")</f>
        <v/>
      </c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</row>
    <row r="972">
      <c r="B972" s="49"/>
      <c r="C972" s="49" t="str">
        <f t="shared" si="2"/>
        <v/>
      </c>
      <c r="D972" s="50" t="str">
        <f t="shared" si="3"/>
        <v/>
      </c>
      <c r="E972" s="51" t="str">
        <f t="shared" ref="E972:T972" si="973">IFERROR(VLOOKUP($A972,INDIRECT("'" &amp; E$1 &amp; "'!$C:$G"), 5, FALSE),"")</f>
        <v/>
      </c>
      <c r="F972" s="51" t="str">
        <f t="shared" si="973"/>
        <v/>
      </c>
      <c r="G972" s="51" t="str">
        <f t="shared" si="973"/>
        <v/>
      </c>
      <c r="H972" s="51" t="str">
        <f t="shared" si="973"/>
        <v/>
      </c>
      <c r="I972" s="51" t="str">
        <f t="shared" si="973"/>
        <v/>
      </c>
      <c r="J972" s="51" t="str">
        <f t="shared" si="973"/>
        <v/>
      </c>
      <c r="K972" s="51" t="str">
        <f t="shared" si="973"/>
        <v/>
      </c>
      <c r="L972" s="51" t="str">
        <f t="shared" si="973"/>
        <v/>
      </c>
      <c r="M972" s="51" t="str">
        <f t="shared" si="973"/>
        <v/>
      </c>
      <c r="N972" s="51" t="str">
        <f t="shared" si="973"/>
        <v/>
      </c>
      <c r="O972" s="51" t="str">
        <f t="shared" si="973"/>
        <v/>
      </c>
      <c r="P972" s="51" t="str">
        <f t="shared" si="973"/>
        <v/>
      </c>
      <c r="Q972" s="51" t="str">
        <f t="shared" si="973"/>
        <v/>
      </c>
      <c r="R972" s="51" t="str">
        <f t="shared" si="973"/>
        <v/>
      </c>
      <c r="S972" s="51" t="str">
        <f t="shared" si="973"/>
        <v/>
      </c>
      <c r="T972" s="51" t="str">
        <f t="shared" si="973"/>
        <v/>
      </c>
      <c r="U972" s="52"/>
      <c r="V972" s="52" t="str">
        <f>IFERROR(__xludf.DUMMYFUNCTION("""COMPUTED_VALUE"""),"")</f>
        <v/>
      </c>
      <c r="W972" s="52" t="str">
        <f>IFERROR(__xludf.DUMMYFUNCTION("""COMPUTED_VALUE"""),"")</f>
        <v/>
      </c>
      <c r="X972" s="52" t="str">
        <f>IFERROR(__xludf.DUMMYFUNCTION("""COMPUTED_VALUE"""),"")</f>
        <v/>
      </c>
      <c r="Y972" s="52" t="str">
        <f>IFERROR(__xludf.DUMMYFUNCTION("""COMPUTED_VALUE"""),"")</f>
        <v/>
      </c>
      <c r="Z972" s="52" t="str">
        <f>IFERROR(__xludf.DUMMYFUNCTION("""COMPUTED_VALUE"""),"")</f>
        <v/>
      </c>
      <c r="AA972" s="52" t="str">
        <f>IFERROR(__xludf.DUMMYFUNCTION("""COMPUTED_VALUE"""),"")</f>
        <v/>
      </c>
      <c r="AB972" s="52" t="str">
        <f>IFERROR(__xludf.DUMMYFUNCTION("""COMPUTED_VALUE"""),"")</f>
        <v/>
      </c>
      <c r="AC972" s="52" t="str">
        <f>IFERROR(__xludf.DUMMYFUNCTION("""COMPUTED_VALUE"""),"")</f>
        <v/>
      </c>
      <c r="AD972" s="52" t="str">
        <f>IFERROR(__xludf.DUMMYFUNCTION("""COMPUTED_VALUE"""),"")</f>
        <v/>
      </c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</row>
    <row r="973">
      <c r="B973" s="49"/>
      <c r="C973" s="49" t="str">
        <f t="shared" si="2"/>
        <v/>
      </c>
      <c r="D973" s="50" t="str">
        <f t="shared" si="3"/>
        <v/>
      </c>
      <c r="E973" s="51" t="str">
        <f t="shared" ref="E973:T973" si="974">IFERROR(VLOOKUP($A973,INDIRECT("'" &amp; E$1 &amp; "'!$C:$G"), 5, FALSE),"")</f>
        <v/>
      </c>
      <c r="F973" s="51" t="str">
        <f t="shared" si="974"/>
        <v/>
      </c>
      <c r="G973" s="51" t="str">
        <f t="shared" si="974"/>
        <v/>
      </c>
      <c r="H973" s="51" t="str">
        <f t="shared" si="974"/>
        <v/>
      </c>
      <c r="I973" s="51" t="str">
        <f t="shared" si="974"/>
        <v/>
      </c>
      <c r="J973" s="51" t="str">
        <f t="shared" si="974"/>
        <v/>
      </c>
      <c r="K973" s="51" t="str">
        <f t="shared" si="974"/>
        <v/>
      </c>
      <c r="L973" s="51" t="str">
        <f t="shared" si="974"/>
        <v/>
      </c>
      <c r="M973" s="51" t="str">
        <f t="shared" si="974"/>
        <v/>
      </c>
      <c r="N973" s="51" t="str">
        <f t="shared" si="974"/>
        <v/>
      </c>
      <c r="O973" s="51" t="str">
        <f t="shared" si="974"/>
        <v/>
      </c>
      <c r="P973" s="51" t="str">
        <f t="shared" si="974"/>
        <v/>
      </c>
      <c r="Q973" s="51" t="str">
        <f t="shared" si="974"/>
        <v/>
      </c>
      <c r="R973" s="51" t="str">
        <f t="shared" si="974"/>
        <v/>
      </c>
      <c r="S973" s="51" t="str">
        <f t="shared" si="974"/>
        <v/>
      </c>
      <c r="T973" s="51" t="str">
        <f t="shared" si="974"/>
        <v/>
      </c>
      <c r="U973" s="52"/>
      <c r="V973" s="52" t="str">
        <f>IFERROR(__xludf.DUMMYFUNCTION("""COMPUTED_VALUE"""),"")</f>
        <v/>
      </c>
      <c r="W973" s="52" t="str">
        <f>IFERROR(__xludf.DUMMYFUNCTION("""COMPUTED_VALUE"""),"")</f>
        <v/>
      </c>
      <c r="X973" s="52" t="str">
        <f>IFERROR(__xludf.DUMMYFUNCTION("""COMPUTED_VALUE"""),"")</f>
        <v/>
      </c>
      <c r="Y973" s="52" t="str">
        <f>IFERROR(__xludf.DUMMYFUNCTION("""COMPUTED_VALUE"""),"")</f>
        <v/>
      </c>
      <c r="Z973" s="52" t="str">
        <f>IFERROR(__xludf.DUMMYFUNCTION("""COMPUTED_VALUE"""),"")</f>
        <v/>
      </c>
      <c r="AA973" s="52" t="str">
        <f>IFERROR(__xludf.DUMMYFUNCTION("""COMPUTED_VALUE"""),"")</f>
        <v/>
      </c>
      <c r="AB973" s="52" t="str">
        <f>IFERROR(__xludf.DUMMYFUNCTION("""COMPUTED_VALUE"""),"")</f>
        <v/>
      </c>
      <c r="AC973" s="52" t="str">
        <f>IFERROR(__xludf.DUMMYFUNCTION("""COMPUTED_VALUE"""),"")</f>
        <v/>
      </c>
      <c r="AD973" s="52" t="str">
        <f>IFERROR(__xludf.DUMMYFUNCTION("""COMPUTED_VALUE"""),"")</f>
        <v/>
      </c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</row>
    <row r="974">
      <c r="B974" s="49"/>
      <c r="C974" s="49" t="str">
        <f t="shared" si="2"/>
        <v/>
      </c>
      <c r="D974" s="50" t="str">
        <f t="shared" si="3"/>
        <v/>
      </c>
      <c r="E974" s="51" t="str">
        <f t="shared" ref="E974:T974" si="975">IFERROR(VLOOKUP($A974,INDIRECT("'" &amp; E$1 &amp; "'!$C:$G"), 5, FALSE),"")</f>
        <v/>
      </c>
      <c r="F974" s="51" t="str">
        <f t="shared" si="975"/>
        <v/>
      </c>
      <c r="G974" s="51" t="str">
        <f t="shared" si="975"/>
        <v/>
      </c>
      <c r="H974" s="51" t="str">
        <f t="shared" si="975"/>
        <v/>
      </c>
      <c r="I974" s="51" t="str">
        <f t="shared" si="975"/>
        <v/>
      </c>
      <c r="J974" s="51" t="str">
        <f t="shared" si="975"/>
        <v/>
      </c>
      <c r="K974" s="51" t="str">
        <f t="shared" si="975"/>
        <v/>
      </c>
      <c r="L974" s="51" t="str">
        <f t="shared" si="975"/>
        <v/>
      </c>
      <c r="M974" s="51" t="str">
        <f t="shared" si="975"/>
        <v/>
      </c>
      <c r="N974" s="51" t="str">
        <f t="shared" si="975"/>
        <v/>
      </c>
      <c r="O974" s="51" t="str">
        <f t="shared" si="975"/>
        <v/>
      </c>
      <c r="P974" s="51" t="str">
        <f t="shared" si="975"/>
        <v/>
      </c>
      <c r="Q974" s="51" t="str">
        <f t="shared" si="975"/>
        <v/>
      </c>
      <c r="R974" s="51" t="str">
        <f t="shared" si="975"/>
        <v/>
      </c>
      <c r="S974" s="51" t="str">
        <f t="shared" si="975"/>
        <v/>
      </c>
      <c r="T974" s="51" t="str">
        <f t="shared" si="975"/>
        <v/>
      </c>
      <c r="U974" s="52"/>
      <c r="V974" s="52" t="str">
        <f>IFERROR(__xludf.DUMMYFUNCTION("""COMPUTED_VALUE"""),"")</f>
        <v/>
      </c>
      <c r="W974" s="52" t="str">
        <f>IFERROR(__xludf.DUMMYFUNCTION("""COMPUTED_VALUE"""),"")</f>
        <v/>
      </c>
      <c r="X974" s="52" t="str">
        <f>IFERROR(__xludf.DUMMYFUNCTION("""COMPUTED_VALUE"""),"")</f>
        <v/>
      </c>
      <c r="Y974" s="52" t="str">
        <f>IFERROR(__xludf.DUMMYFUNCTION("""COMPUTED_VALUE"""),"")</f>
        <v/>
      </c>
      <c r="Z974" s="52" t="str">
        <f>IFERROR(__xludf.DUMMYFUNCTION("""COMPUTED_VALUE"""),"")</f>
        <v/>
      </c>
      <c r="AA974" s="52" t="str">
        <f>IFERROR(__xludf.DUMMYFUNCTION("""COMPUTED_VALUE"""),"")</f>
        <v/>
      </c>
      <c r="AB974" s="52" t="str">
        <f>IFERROR(__xludf.DUMMYFUNCTION("""COMPUTED_VALUE"""),"")</f>
        <v/>
      </c>
      <c r="AC974" s="52" t="str">
        <f>IFERROR(__xludf.DUMMYFUNCTION("""COMPUTED_VALUE"""),"")</f>
        <v/>
      </c>
      <c r="AD974" s="52" t="str">
        <f>IFERROR(__xludf.DUMMYFUNCTION("""COMPUTED_VALUE"""),"")</f>
        <v/>
      </c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</row>
    <row r="975">
      <c r="B975" s="49"/>
      <c r="C975" s="49" t="str">
        <f t="shared" si="2"/>
        <v/>
      </c>
      <c r="D975" s="50" t="str">
        <f t="shared" si="3"/>
        <v/>
      </c>
      <c r="E975" s="51" t="str">
        <f t="shared" ref="E975:T975" si="976">IFERROR(VLOOKUP($A975,INDIRECT("'" &amp; E$1 &amp; "'!$C:$G"), 5, FALSE),"")</f>
        <v/>
      </c>
      <c r="F975" s="51" t="str">
        <f t="shared" si="976"/>
        <v/>
      </c>
      <c r="G975" s="51" t="str">
        <f t="shared" si="976"/>
        <v/>
      </c>
      <c r="H975" s="51" t="str">
        <f t="shared" si="976"/>
        <v/>
      </c>
      <c r="I975" s="51" t="str">
        <f t="shared" si="976"/>
        <v/>
      </c>
      <c r="J975" s="51" t="str">
        <f t="shared" si="976"/>
        <v/>
      </c>
      <c r="K975" s="51" t="str">
        <f t="shared" si="976"/>
        <v/>
      </c>
      <c r="L975" s="51" t="str">
        <f t="shared" si="976"/>
        <v/>
      </c>
      <c r="M975" s="51" t="str">
        <f t="shared" si="976"/>
        <v/>
      </c>
      <c r="N975" s="51" t="str">
        <f t="shared" si="976"/>
        <v/>
      </c>
      <c r="O975" s="51" t="str">
        <f t="shared" si="976"/>
        <v/>
      </c>
      <c r="P975" s="51" t="str">
        <f t="shared" si="976"/>
        <v/>
      </c>
      <c r="Q975" s="51" t="str">
        <f t="shared" si="976"/>
        <v/>
      </c>
      <c r="R975" s="51" t="str">
        <f t="shared" si="976"/>
        <v/>
      </c>
      <c r="S975" s="51" t="str">
        <f t="shared" si="976"/>
        <v/>
      </c>
      <c r="T975" s="51" t="str">
        <f t="shared" si="976"/>
        <v/>
      </c>
      <c r="U975" s="52"/>
      <c r="V975" s="52" t="str">
        <f>IFERROR(__xludf.DUMMYFUNCTION("""COMPUTED_VALUE"""),"")</f>
        <v/>
      </c>
      <c r="W975" s="52" t="str">
        <f>IFERROR(__xludf.DUMMYFUNCTION("""COMPUTED_VALUE"""),"")</f>
        <v/>
      </c>
      <c r="X975" s="52" t="str">
        <f>IFERROR(__xludf.DUMMYFUNCTION("""COMPUTED_VALUE"""),"")</f>
        <v/>
      </c>
      <c r="Y975" s="52" t="str">
        <f>IFERROR(__xludf.DUMMYFUNCTION("""COMPUTED_VALUE"""),"")</f>
        <v/>
      </c>
      <c r="Z975" s="52" t="str">
        <f>IFERROR(__xludf.DUMMYFUNCTION("""COMPUTED_VALUE"""),"")</f>
        <v/>
      </c>
      <c r="AA975" s="52" t="str">
        <f>IFERROR(__xludf.DUMMYFUNCTION("""COMPUTED_VALUE"""),"")</f>
        <v/>
      </c>
      <c r="AB975" s="52" t="str">
        <f>IFERROR(__xludf.DUMMYFUNCTION("""COMPUTED_VALUE"""),"")</f>
        <v/>
      </c>
      <c r="AC975" s="52" t="str">
        <f>IFERROR(__xludf.DUMMYFUNCTION("""COMPUTED_VALUE"""),"")</f>
        <v/>
      </c>
      <c r="AD975" s="52" t="str">
        <f>IFERROR(__xludf.DUMMYFUNCTION("""COMPUTED_VALUE"""),"")</f>
        <v/>
      </c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</row>
    <row r="976">
      <c r="B976" s="49"/>
      <c r="C976" s="49" t="str">
        <f t="shared" si="2"/>
        <v/>
      </c>
      <c r="D976" s="50" t="str">
        <f t="shared" si="3"/>
        <v/>
      </c>
      <c r="E976" s="51" t="str">
        <f t="shared" ref="E976:T976" si="977">IFERROR(VLOOKUP($A976,INDIRECT("'" &amp; E$1 &amp; "'!$C:$G"), 5, FALSE),"")</f>
        <v/>
      </c>
      <c r="F976" s="51" t="str">
        <f t="shared" si="977"/>
        <v/>
      </c>
      <c r="G976" s="51" t="str">
        <f t="shared" si="977"/>
        <v/>
      </c>
      <c r="H976" s="51" t="str">
        <f t="shared" si="977"/>
        <v/>
      </c>
      <c r="I976" s="51" t="str">
        <f t="shared" si="977"/>
        <v/>
      </c>
      <c r="J976" s="51" t="str">
        <f t="shared" si="977"/>
        <v/>
      </c>
      <c r="K976" s="51" t="str">
        <f t="shared" si="977"/>
        <v/>
      </c>
      <c r="L976" s="51" t="str">
        <f t="shared" si="977"/>
        <v/>
      </c>
      <c r="M976" s="51" t="str">
        <f t="shared" si="977"/>
        <v/>
      </c>
      <c r="N976" s="51" t="str">
        <f t="shared" si="977"/>
        <v/>
      </c>
      <c r="O976" s="51" t="str">
        <f t="shared" si="977"/>
        <v/>
      </c>
      <c r="P976" s="51" t="str">
        <f t="shared" si="977"/>
        <v/>
      </c>
      <c r="Q976" s="51" t="str">
        <f t="shared" si="977"/>
        <v/>
      </c>
      <c r="R976" s="51" t="str">
        <f t="shared" si="977"/>
        <v/>
      </c>
      <c r="S976" s="51" t="str">
        <f t="shared" si="977"/>
        <v/>
      </c>
      <c r="T976" s="51" t="str">
        <f t="shared" si="977"/>
        <v/>
      </c>
      <c r="U976" s="52"/>
      <c r="V976" s="52" t="str">
        <f>IFERROR(__xludf.DUMMYFUNCTION("""COMPUTED_VALUE"""),"")</f>
        <v/>
      </c>
      <c r="W976" s="52" t="str">
        <f>IFERROR(__xludf.DUMMYFUNCTION("""COMPUTED_VALUE"""),"")</f>
        <v/>
      </c>
      <c r="X976" s="52" t="str">
        <f>IFERROR(__xludf.DUMMYFUNCTION("""COMPUTED_VALUE"""),"")</f>
        <v/>
      </c>
      <c r="Y976" s="52" t="str">
        <f>IFERROR(__xludf.DUMMYFUNCTION("""COMPUTED_VALUE"""),"")</f>
        <v/>
      </c>
      <c r="Z976" s="52" t="str">
        <f>IFERROR(__xludf.DUMMYFUNCTION("""COMPUTED_VALUE"""),"")</f>
        <v/>
      </c>
      <c r="AA976" s="52" t="str">
        <f>IFERROR(__xludf.DUMMYFUNCTION("""COMPUTED_VALUE"""),"")</f>
        <v/>
      </c>
      <c r="AB976" s="52" t="str">
        <f>IFERROR(__xludf.DUMMYFUNCTION("""COMPUTED_VALUE"""),"")</f>
        <v/>
      </c>
      <c r="AC976" s="52" t="str">
        <f>IFERROR(__xludf.DUMMYFUNCTION("""COMPUTED_VALUE"""),"")</f>
        <v/>
      </c>
      <c r="AD976" s="52" t="str">
        <f>IFERROR(__xludf.DUMMYFUNCTION("""COMPUTED_VALUE"""),"")</f>
        <v/>
      </c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</row>
    <row r="977">
      <c r="B977" s="49"/>
      <c r="C977" s="49" t="str">
        <f t="shared" si="2"/>
        <v/>
      </c>
      <c r="D977" s="50" t="str">
        <f t="shared" si="3"/>
        <v/>
      </c>
      <c r="E977" s="51" t="str">
        <f t="shared" ref="E977:T977" si="978">IFERROR(VLOOKUP($A977,INDIRECT("'" &amp; E$1 &amp; "'!$C:$G"), 5, FALSE),"")</f>
        <v/>
      </c>
      <c r="F977" s="51" t="str">
        <f t="shared" si="978"/>
        <v/>
      </c>
      <c r="G977" s="51" t="str">
        <f t="shared" si="978"/>
        <v/>
      </c>
      <c r="H977" s="51" t="str">
        <f t="shared" si="978"/>
        <v/>
      </c>
      <c r="I977" s="51" t="str">
        <f t="shared" si="978"/>
        <v/>
      </c>
      <c r="J977" s="51" t="str">
        <f t="shared" si="978"/>
        <v/>
      </c>
      <c r="K977" s="51" t="str">
        <f t="shared" si="978"/>
        <v/>
      </c>
      <c r="L977" s="51" t="str">
        <f t="shared" si="978"/>
        <v/>
      </c>
      <c r="M977" s="51" t="str">
        <f t="shared" si="978"/>
        <v/>
      </c>
      <c r="N977" s="51" t="str">
        <f t="shared" si="978"/>
        <v/>
      </c>
      <c r="O977" s="51" t="str">
        <f t="shared" si="978"/>
        <v/>
      </c>
      <c r="P977" s="51" t="str">
        <f t="shared" si="978"/>
        <v/>
      </c>
      <c r="Q977" s="51" t="str">
        <f t="shared" si="978"/>
        <v/>
      </c>
      <c r="R977" s="51" t="str">
        <f t="shared" si="978"/>
        <v/>
      </c>
      <c r="S977" s="51" t="str">
        <f t="shared" si="978"/>
        <v/>
      </c>
      <c r="T977" s="51" t="str">
        <f t="shared" si="978"/>
        <v/>
      </c>
      <c r="U977" s="52"/>
      <c r="V977" s="52" t="str">
        <f>IFERROR(__xludf.DUMMYFUNCTION("""COMPUTED_VALUE"""),"")</f>
        <v/>
      </c>
      <c r="W977" s="52" t="str">
        <f>IFERROR(__xludf.DUMMYFUNCTION("""COMPUTED_VALUE"""),"")</f>
        <v/>
      </c>
      <c r="X977" s="52" t="str">
        <f>IFERROR(__xludf.DUMMYFUNCTION("""COMPUTED_VALUE"""),"")</f>
        <v/>
      </c>
      <c r="Y977" s="52" t="str">
        <f>IFERROR(__xludf.DUMMYFUNCTION("""COMPUTED_VALUE"""),"")</f>
        <v/>
      </c>
      <c r="Z977" s="52" t="str">
        <f>IFERROR(__xludf.DUMMYFUNCTION("""COMPUTED_VALUE"""),"")</f>
        <v/>
      </c>
      <c r="AA977" s="52" t="str">
        <f>IFERROR(__xludf.DUMMYFUNCTION("""COMPUTED_VALUE"""),"")</f>
        <v/>
      </c>
      <c r="AB977" s="52" t="str">
        <f>IFERROR(__xludf.DUMMYFUNCTION("""COMPUTED_VALUE"""),"")</f>
        <v/>
      </c>
      <c r="AC977" s="52" t="str">
        <f>IFERROR(__xludf.DUMMYFUNCTION("""COMPUTED_VALUE"""),"")</f>
        <v/>
      </c>
      <c r="AD977" s="52" t="str">
        <f>IFERROR(__xludf.DUMMYFUNCTION("""COMPUTED_VALUE"""),"")</f>
        <v/>
      </c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</row>
    <row r="978">
      <c r="B978" s="49"/>
      <c r="C978" s="49" t="str">
        <f t="shared" si="2"/>
        <v/>
      </c>
      <c r="D978" s="50" t="str">
        <f t="shared" si="3"/>
        <v/>
      </c>
      <c r="E978" s="51" t="str">
        <f t="shared" ref="E978:T978" si="979">IFERROR(VLOOKUP($A978,INDIRECT("'" &amp; E$1 &amp; "'!$C:$G"), 5, FALSE),"")</f>
        <v/>
      </c>
      <c r="F978" s="51" t="str">
        <f t="shared" si="979"/>
        <v/>
      </c>
      <c r="G978" s="51" t="str">
        <f t="shared" si="979"/>
        <v/>
      </c>
      <c r="H978" s="51" t="str">
        <f t="shared" si="979"/>
        <v/>
      </c>
      <c r="I978" s="51" t="str">
        <f t="shared" si="979"/>
        <v/>
      </c>
      <c r="J978" s="51" t="str">
        <f t="shared" si="979"/>
        <v/>
      </c>
      <c r="K978" s="51" t="str">
        <f t="shared" si="979"/>
        <v/>
      </c>
      <c r="L978" s="51" t="str">
        <f t="shared" si="979"/>
        <v/>
      </c>
      <c r="M978" s="51" t="str">
        <f t="shared" si="979"/>
        <v/>
      </c>
      <c r="N978" s="51" t="str">
        <f t="shared" si="979"/>
        <v/>
      </c>
      <c r="O978" s="51" t="str">
        <f t="shared" si="979"/>
        <v/>
      </c>
      <c r="P978" s="51" t="str">
        <f t="shared" si="979"/>
        <v/>
      </c>
      <c r="Q978" s="51" t="str">
        <f t="shared" si="979"/>
        <v/>
      </c>
      <c r="R978" s="51" t="str">
        <f t="shared" si="979"/>
        <v/>
      </c>
      <c r="S978" s="51" t="str">
        <f t="shared" si="979"/>
        <v/>
      </c>
      <c r="T978" s="51" t="str">
        <f t="shared" si="979"/>
        <v/>
      </c>
      <c r="U978" s="52"/>
      <c r="V978" s="52" t="str">
        <f>IFERROR(__xludf.DUMMYFUNCTION("""COMPUTED_VALUE"""),"")</f>
        <v/>
      </c>
      <c r="W978" s="52" t="str">
        <f>IFERROR(__xludf.DUMMYFUNCTION("""COMPUTED_VALUE"""),"")</f>
        <v/>
      </c>
      <c r="X978" s="52" t="str">
        <f>IFERROR(__xludf.DUMMYFUNCTION("""COMPUTED_VALUE"""),"")</f>
        <v/>
      </c>
      <c r="Y978" s="52" t="str">
        <f>IFERROR(__xludf.DUMMYFUNCTION("""COMPUTED_VALUE"""),"")</f>
        <v/>
      </c>
      <c r="Z978" s="52" t="str">
        <f>IFERROR(__xludf.DUMMYFUNCTION("""COMPUTED_VALUE"""),"")</f>
        <v/>
      </c>
      <c r="AA978" s="52" t="str">
        <f>IFERROR(__xludf.DUMMYFUNCTION("""COMPUTED_VALUE"""),"")</f>
        <v/>
      </c>
      <c r="AB978" s="52" t="str">
        <f>IFERROR(__xludf.DUMMYFUNCTION("""COMPUTED_VALUE"""),"")</f>
        <v/>
      </c>
      <c r="AC978" s="52" t="str">
        <f>IFERROR(__xludf.DUMMYFUNCTION("""COMPUTED_VALUE"""),"")</f>
        <v/>
      </c>
      <c r="AD978" s="52" t="str">
        <f>IFERROR(__xludf.DUMMYFUNCTION("""COMPUTED_VALUE"""),"")</f>
        <v/>
      </c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</row>
    <row r="979">
      <c r="B979" s="49"/>
      <c r="C979" s="49" t="str">
        <f t="shared" si="2"/>
        <v/>
      </c>
      <c r="D979" s="50" t="str">
        <f t="shared" si="3"/>
        <v/>
      </c>
      <c r="E979" s="51" t="str">
        <f t="shared" ref="E979:T979" si="980">IFERROR(VLOOKUP($A979,INDIRECT("'" &amp; E$1 &amp; "'!$C:$G"), 5, FALSE),"")</f>
        <v/>
      </c>
      <c r="F979" s="51" t="str">
        <f t="shared" si="980"/>
        <v/>
      </c>
      <c r="G979" s="51" t="str">
        <f t="shared" si="980"/>
        <v/>
      </c>
      <c r="H979" s="51" t="str">
        <f t="shared" si="980"/>
        <v/>
      </c>
      <c r="I979" s="51" t="str">
        <f t="shared" si="980"/>
        <v/>
      </c>
      <c r="J979" s="51" t="str">
        <f t="shared" si="980"/>
        <v/>
      </c>
      <c r="K979" s="51" t="str">
        <f t="shared" si="980"/>
        <v/>
      </c>
      <c r="L979" s="51" t="str">
        <f t="shared" si="980"/>
        <v/>
      </c>
      <c r="M979" s="51" t="str">
        <f t="shared" si="980"/>
        <v/>
      </c>
      <c r="N979" s="51" t="str">
        <f t="shared" si="980"/>
        <v/>
      </c>
      <c r="O979" s="51" t="str">
        <f t="shared" si="980"/>
        <v/>
      </c>
      <c r="P979" s="51" t="str">
        <f t="shared" si="980"/>
        <v/>
      </c>
      <c r="Q979" s="51" t="str">
        <f t="shared" si="980"/>
        <v/>
      </c>
      <c r="R979" s="51" t="str">
        <f t="shared" si="980"/>
        <v/>
      </c>
      <c r="S979" s="51" t="str">
        <f t="shared" si="980"/>
        <v/>
      </c>
      <c r="T979" s="51" t="str">
        <f t="shared" si="980"/>
        <v/>
      </c>
      <c r="U979" s="52"/>
      <c r="V979" s="52" t="str">
        <f>IFERROR(__xludf.DUMMYFUNCTION("""COMPUTED_VALUE"""),"")</f>
        <v/>
      </c>
      <c r="W979" s="52" t="str">
        <f>IFERROR(__xludf.DUMMYFUNCTION("""COMPUTED_VALUE"""),"")</f>
        <v/>
      </c>
      <c r="X979" s="52" t="str">
        <f>IFERROR(__xludf.DUMMYFUNCTION("""COMPUTED_VALUE"""),"")</f>
        <v/>
      </c>
      <c r="Y979" s="52" t="str">
        <f>IFERROR(__xludf.DUMMYFUNCTION("""COMPUTED_VALUE"""),"")</f>
        <v/>
      </c>
      <c r="Z979" s="52" t="str">
        <f>IFERROR(__xludf.DUMMYFUNCTION("""COMPUTED_VALUE"""),"")</f>
        <v/>
      </c>
      <c r="AA979" s="52" t="str">
        <f>IFERROR(__xludf.DUMMYFUNCTION("""COMPUTED_VALUE"""),"")</f>
        <v/>
      </c>
      <c r="AB979" s="52" t="str">
        <f>IFERROR(__xludf.DUMMYFUNCTION("""COMPUTED_VALUE"""),"")</f>
        <v/>
      </c>
      <c r="AC979" s="52" t="str">
        <f>IFERROR(__xludf.DUMMYFUNCTION("""COMPUTED_VALUE"""),"")</f>
        <v/>
      </c>
      <c r="AD979" s="52" t="str">
        <f>IFERROR(__xludf.DUMMYFUNCTION("""COMPUTED_VALUE"""),"")</f>
        <v/>
      </c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</row>
    <row r="980">
      <c r="B980" s="49"/>
      <c r="C980" s="49" t="str">
        <f t="shared" si="2"/>
        <v/>
      </c>
      <c r="D980" s="50" t="str">
        <f t="shared" si="3"/>
        <v/>
      </c>
      <c r="E980" s="51" t="str">
        <f t="shared" ref="E980:T980" si="981">IFERROR(VLOOKUP($A980,INDIRECT("'" &amp; E$1 &amp; "'!$C:$G"), 5, FALSE),"")</f>
        <v/>
      </c>
      <c r="F980" s="51" t="str">
        <f t="shared" si="981"/>
        <v/>
      </c>
      <c r="G980" s="51" t="str">
        <f t="shared" si="981"/>
        <v/>
      </c>
      <c r="H980" s="51" t="str">
        <f t="shared" si="981"/>
        <v/>
      </c>
      <c r="I980" s="51" t="str">
        <f t="shared" si="981"/>
        <v/>
      </c>
      <c r="J980" s="51" t="str">
        <f t="shared" si="981"/>
        <v/>
      </c>
      <c r="K980" s="51" t="str">
        <f t="shared" si="981"/>
        <v/>
      </c>
      <c r="L980" s="51" t="str">
        <f t="shared" si="981"/>
        <v/>
      </c>
      <c r="M980" s="51" t="str">
        <f t="shared" si="981"/>
        <v/>
      </c>
      <c r="N980" s="51" t="str">
        <f t="shared" si="981"/>
        <v/>
      </c>
      <c r="O980" s="51" t="str">
        <f t="shared" si="981"/>
        <v/>
      </c>
      <c r="P980" s="51" t="str">
        <f t="shared" si="981"/>
        <v/>
      </c>
      <c r="Q980" s="51" t="str">
        <f t="shared" si="981"/>
        <v/>
      </c>
      <c r="R980" s="51" t="str">
        <f t="shared" si="981"/>
        <v/>
      </c>
      <c r="S980" s="51" t="str">
        <f t="shared" si="981"/>
        <v/>
      </c>
      <c r="T980" s="51" t="str">
        <f t="shared" si="981"/>
        <v/>
      </c>
      <c r="U980" s="52"/>
      <c r="V980" s="52" t="str">
        <f>IFERROR(__xludf.DUMMYFUNCTION("""COMPUTED_VALUE"""),"")</f>
        <v/>
      </c>
      <c r="W980" s="52" t="str">
        <f>IFERROR(__xludf.DUMMYFUNCTION("""COMPUTED_VALUE"""),"")</f>
        <v/>
      </c>
      <c r="X980" s="52" t="str">
        <f>IFERROR(__xludf.DUMMYFUNCTION("""COMPUTED_VALUE"""),"")</f>
        <v/>
      </c>
      <c r="Y980" s="52" t="str">
        <f>IFERROR(__xludf.DUMMYFUNCTION("""COMPUTED_VALUE"""),"")</f>
        <v/>
      </c>
      <c r="Z980" s="52" t="str">
        <f>IFERROR(__xludf.DUMMYFUNCTION("""COMPUTED_VALUE"""),"")</f>
        <v/>
      </c>
      <c r="AA980" s="52" t="str">
        <f>IFERROR(__xludf.DUMMYFUNCTION("""COMPUTED_VALUE"""),"")</f>
        <v/>
      </c>
      <c r="AB980" s="52" t="str">
        <f>IFERROR(__xludf.DUMMYFUNCTION("""COMPUTED_VALUE"""),"")</f>
        <v/>
      </c>
      <c r="AC980" s="52" t="str">
        <f>IFERROR(__xludf.DUMMYFUNCTION("""COMPUTED_VALUE"""),"")</f>
        <v/>
      </c>
      <c r="AD980" s="52" t="str">
        <f>IFERROR(__xludf.DUMMYFUNCTION("""COMPUTED_VALUE"""),"")</f>
        <v/>
      </c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</row>
    <row r="981">
      <c r="B981" s="49"/>
      <c r="C981" s="49" t="str">
        <f t="shared" si="2"/>
        <v/>
      </c>
      <c r="D981" s="50" t="str">
        <f t="shared" si="3"/>
        <v/>
      </c>
      <c r="E981" s="51" t="str">
        <f t="shared" ref="E981:T981" si="982">IFERROR(VLOOKUP($A981,INDIRECT("'" &amp; E$1 &amp; "'!$C:$G"), 5, FALSE),"")</f>
        <v/>
      </c>
      <c r="F981" s="51" t="str">
        <f t="shared" si="982"/>
        <v/>
      </c>
      <c r="G981" s="51" t="str">
        <f t="shared" si="982"/>
        <v/>
      </c>
      <c r="H981" s="51" t="str">
        <f t="shared" si="982"/>
        <v/>
      </c>
      <c r="I981" s="51" t="str">
        <f t="shared" si="982"/>
        <v/>
      </c>
      <c r="J981" s="51" t="str">
        <f t="shared" si="982"/>
        <v/>
      </c>
      <c r="K981" s="51" t="str">
        <f t="shared" si="982"/>
        <v/>
      </c>
      <c r="L981" s="51" t="str">
        <f t="shared" si="982"/>
        <v/>
      </c>
      <c r="M981" s="51" t="str">
        <f t="shared" si="982"/>
        <v/>
      </c>
      <c r="N981" s="51" t="str">
        <f t="shared" si="982"/>
        <v/>
      </c>
      <c r="O981" s="51" t="str">
        <f t="shared" si="982"/>
        <v/>
      </c>
      <c r="P981" s="51" t="str">
        <f t="shared" si="982"/>
        <v/>
      </c>
      <c r="Q981" s="51" t="str">
        <f t="shared" si="982"/>
        <v/>
      </c>
      <c r="R981" s="51" t="str">
        <f t="shared" si="982"/>
        <v/>
      </c>
      <c r="S981" s="51" t="str">
        <f t="shared" si="982"/>
        <v/>
      </c>
      <c r="T981" s="51" t="str">
        <f t="shared" si="982"/>
        <v/>
      </c>
      <c r="U981" s="52"/>
      <c r="V981" s="52" t="str">
        <f>IFERROR(__xludf.DUMMYFUNCTION("""COMPUTED_VALUE"""),"")</f>
        <v/>
      </c>
      <c r="W981" s="52" t="str">
        <f>IFERROR(__xludf.DUMMYFUNCTION("""COMPUTED_VALUE"""),"")</f>
        <v/>
      </c>
      <c r="X981" s="52" t="str">
        <f>IFERROR(__xludf.DUMMYFUNCTION("""COMPUTED_VALUE"""),"")</f>
        <v/>
      </c>
      <c r="Y981" s="52" t="str">
        <f>IFERROR(__xludf.DUMMYFUNCTION("""COMPUTED_VALUE"""),"")</f>
        <v/>
      </c>
      <c r="Z981" s="52" t="str">
        <f>IFERROR(__xludf.DUMMYFUNCTION("""COMPUTED_VALUE"""),"")</f>
        <v/>
      </c>
      <c r="AA981" s="52" t="str">
        <f>IFERROR(__xludf.DUMMYFUNCTION("""COMPUTED_VALUE"""),"")</f>
        <v/>
      </c>
      <c r="AB981" s="52" t="str">
        <f>IFERROR(__xludf.DUMMYFUNCTION("""COMPUTED_VALUE"""),"")</f>
        <v/>
      </c>
      <c r="AC981" s="52" t="str">
        <f>IFERROR(__xludf.DUMMYFUNCTION("""COMPUTED_VALUE"""),"")</f>
        <v/>
      </c>
      <c r="AD981" s="52" t="str">
        <f>IFERROR(__xludf.DUMMYFUNCTION("""COMPUTED_VALUE"""),"")</f>
        <v/>
      </c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</row>
    <row r="982">
      <c r="B982" s="49"/>
      <c r="C982" s="49" t="str">
        <f t="shared" si="2"/>
        <v/>
      </c>
      <c r="D982" s="50" t="str">
        <f t="shared" si="3"/>
        <v/>
      </c>
      <c r="E982" s="51" t="str">
        <f t="shared" ref="E982:T982" si="983">IFERROR(VLOOKUP($A982,INDIRECT("'" &amp; E$1 &amp; "'!$C:$G"), 5, FALSE),"")</f>
        <v/>
      </c>
      <c r="F982" s="51" t="str">
        <f t="shared" si="983"/>
        <v/>
      </c>
      <c r="G982" s="51" t="str">
        <f t="shared" si="983"/>
        <v/>
      </c>
      <c r="H982" s="51" t="str">
        <f t="shared" si="983"/>
        <v/>
      </c>
      <c r="I982" s="51" t="str">
        <f t="shared" si="983"/>
        <v/>
      </c>
      <c r="J982" s="51" t="str">
        <f t="shared" si="983"/>
        <v/>
      </c>
      <c r="K982" s="51" t="str">
        <f t="shared" si="983"/>
        <v/>
      </c>
      <c r="L982" s="51" t="str">
        <f t="shared" si="983"/>
        <v/>
      </c>
      <c r="M982" s="51" t="str">
        <f t="shared" si="983"/>
        <v/>
      </c>
      <c r="N982" s="51" t="str">
        <f t="shared" si="983"/>
        <v/>
      </c>
      <c r="O982" s="51" t="str">
        <f t="shared" si="983"/>
        <v/>
      </c>
      <c r="P982" s="51" t="str">
        <f t="shared" si="983"/>
        <v/>
      </c>
      <c r="Q982" s="51" t="str">
        <f t="shared" si="983"/>
        <v/>
      </c>
      <c r="R982" s="51" t="str">
        <f t="shared" si="983"/>
        <v/>
      </c>
      <c r="S982" s="51" t="str">
        <f t="shared" si="983"/>
        <v/>
      </c>
      <c r="T982" s="51" t="str">
        <f t="shared" si="983"/>
        <v/>
      </c>
      <c r="U982" s="52"/>
      <c r="V982" s="52" t="str">
        <f>IFERROR(__xludf.DUMMYFUNCTION("""COMPUTED_VALUE"""),"")</f>
        <v/>
      </c>
      <c r="W982" s="52" t="str">
        <f>IFERROR(__xludf.DUMMYFUNCTION("""COMPUTED_VALUE"""),"")</f>
        <v/>
      </c>
      <c r="X982" s="52" t="str">
        <f>IFERROR(__xludf.DUMMYFUNCTION("""COMPUTED_VALUE"""),"")</f>
        <v/>
      </c>
      <c r="Y982" s="52" t="str">
        <f>IFERROR(__xludf.DUMMYFUNCTION("""COMPUTED_VALUE"""),"")</f>
        <v/>
      </c>
      <c r="Z982" s="52" t="str">
        <f>IFERROR(__xludf.DUMMYFUNCTION("""COMPUTED_VALUE"""),"")</f>
        <v/>
      </c>
      <c r="AA982" s="52" t="str">
        <f>IFERROR(__xludf.DUMMYFUNCTION("""COMPUTED_VALUE"""),"")</f>
        <v/>
      </c>
      <c r="AB982" s="52" t="str">
        <f>IFERROR(__xludf.DUMMYFUNCTION("""COMPUTED_VALUE"""),"")</f>
        <v/>
      </c>
      <c r="AC982" s="52" t="str">
        <f>IFERROR(__xludf.DUMMYFUNCTION("""COMPUTED_VALUE"""),"")</f>
        <v/>
      </c>
      <c r="AD982" s="52" t="str">
        <f>IFERROR(__xludf.DUMMYFUNCTION("""COMPUTED_VALUE"""),"")</f>
        <v/>
      </c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</row>
    <row r="983">
      <c r="B983" s="49"/>
      <c r="C983" s="49" t="str">
        <f t="shared" si="2"/>
        <v/>
      </c>
      <c r="D983" s="50" t="str">
        <f t="shared" si="3"/>
        <v/>
      </c>
      <c r="E983" s="51" t="str">
        <f t="shared" ref="E983:T983" si="984">IFERROR(VLOOKUP($A983,INDIRECT("'" &amp; E$1 &amp; "'!$C:$G"), 5, FALSE),"")</f>
        <v/>
      </c>
      <c r="F983" s="51" t="str">
        <f t="shared" si="984"/>
        <v/>
      </c>
      <c r="G983" s="51" t="str">
        <f t="shared" si="984"/>
        <v/>
      </c>
      <c r="H983" s="51" t="str">
        <f t="shared" si="984"/>
        <v/>
      </c>
      <c r="I983" s="51" t="str">
        <f t="shared" si="984"/>
        <v/>
      </c>
      <c r="J983" s="51" t="str">
        <f t="shared" si="984"/>
        <v/>
      </c>
      <c r="K983" s="51" t="str">
        <f t="shared" si="984"/>
        <v/>
      </c>
      <c r="L983" s="51" t="str">
        <f t="shared" si="984"/>
        <v/>
      </c>
      <c r="M983" s="51" t="str">
        <f t="shared" si="984"/>
        <v/>
      </c>
      <c r="N983" s="51" t="str">
        <f t="shared" si="984"/>
        <v/>
      </c>
      <c r="O983" s="51" t="str">
        <f t="shared" si="984"/>
        <v/>
      </c>
      <c r="P983" s="51" t="str">
        <f t="shared" si="984"/>
        <v/>
      </c>
      <c r="Q983" s="51" t="str">
        <f t="shared" si="984"/>
        <v/>
      </c>
      <c r="R983" s="51" t="str">
        <f t="shared" si="984"/>
        <v/>
      </c>
      <c r="S983" s="51" t="str">
        <f t="shared" si="984"/>
        <v/>
      </c>
      <c r="T983" s="51" t="str">
        <f t="shared" si="984"/>
        <v/>
      </c>
      <c r="U983" s="52"/>
      <c r="V983" s="52" t="str">
        <f>IFERROR(__xludf.DUMMYFUNCTION("""COMPUTED_VALUE"""),"")</f>
        <v/>
      </c>
      <c r="W983" s="52" t="str">
        <f>IFERROR(__xludf.DUMMYFUNCTION("""COMPUTED_VALUE"""),"")</f>
        <v/>
      </c>
      <c r="X983" s="52" t="str">
        <f>IFERROR(__xludf.DUMMYFUNCTION("""COMPUTED_VALUE"""),"")</f>
        <v/>
      </c>
      <c r="Y983" s="52" t="str">
        <f>IFERROR(__xludf.DUMMYFUNCTION("""COMPUTED_VALUE"""),"")</f>
        <v/>
      </c>
      <c r="Z983" s="52" t="str">
        <f>IFERROR(__xludf.DUMMYFUNCTION("""COMPUTED_VALUE"""),"")</f>
        <v/>
      </c>
      <c r="AA983" s="52" t="str">
        <f>IFERROR(__xludf.DUMMYFUNCTION("""COMPUTED_VALUE"""),"")</f>
        <v/>
      </c>
      <c r="AB983" s="52" t="str">
        <f>IFERROR(__xludf.DUMMYFUNCTION("""COMPUTED_VALUE"""),"")</f>
        <v/>
      </c>
      <c r="AC983" s="52" t="str">
        <f>IFERROR(__xludf.DUMMYFUNCTION("""COMPUTED_VALUE"""),"")</f>
        <v/>
      </c>
      <c r="AD983" s="52" t="str">
        <f>IFERROR(__xludf.DUMMYFUNCTION("""COMPUTED_VALUE"""),"")</f>
        <v/>
      </c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</row>
    <row r="984">
      <c r="B984" s="49"/>
      <c r="C984" s="49" t="str">
        <f t="shared" si="2"/>
        <v/>
      </c>
      <c r="D984" s="50" t="str">
        <f t="shared" si="3"/>
        <v/>
      </c>
      <c r="E984" s="51" t="str">
        <f t="shared" ref="E984:T984" si="985">IFERROR(VLOOKUP($A984,INDIRECT("'" &amp; E$1 &amp; "'!$C:$G"), 5, FALSE),"")</f>
        <v/>
      </c>
      <c r="F984" s="51" t="str">
        <f t="shared" si="985"/>
        <v/>
      </c>
      <c r="G984" s="51" t="str">
        <f t="shared" si="985"/>
        <v/>
      </c>
      <c r="H984" s="51" t="str">
        <f t="shared" si="985"/>
        <v/>
      </c>
      <c r="I984" s="51" t="str">
        <f t="shared" si="985"/>
        <v/>
      </c>
      <c r="J984" s="51" t="str">
        <f t="shared" si="985"/>
        <v/>
      </c>
      <c r="K984" s="51" t="str">
        <f t="shared" si="985"/>
        <v/>
      </c>
      <c r="L984" s="51" t="str">
        <f t="shared" si="985"/>
        <v/>
      </c>
      <c r="M984" s="51" t="str">
        <f t="shared" si="985"/>
        <v/>
      </c>
      <c r="N984" s="51" t="str">
        <f t="shared" si="985"/>
        <v/>
      </c>
      <c r="O984" s="51" t="str">
        <f t="shared" si="985"/>
        <v/>
      </c>
      <c r="P984" s="51" t="str">
        <f t="shared" si="985"/>
        <v/>
      </c>
      <c r="Q984" s="51" t="str">
        <f t="shared" si="985"/>
        <v/>
      </c>
      <c r="R984" s="51" t="str">
        <f t="shared" si="985"/>
        <v/>
      </c>
      <c r="S984" s="51" t="str">
        <f t="shared" si="985"/>
        <v/>
      </c>
      <c r="T984" s="51" t="str">
        <f t="shared" si="985"/>
        <v/>
      </c>
      <c r="U984" s="52"/>
      <c r="V984" s="52" t="str">
        <f>IFERROR(__xludf.DUMMYFUNCTION("""COMPUTED_VALUE"""),"")</f>
        <v/>
      </c>
      <c r="W984" s="52" t="str">
        <f>IFERROR(__xludf.DUMMYFUNCTION("""COMPUTED_VALUE"""),"")</f>
        <v/>
      </c>
      <c r="X984" s="52" t="str">
        <f>IFERROR(__xludf.DUMMYFUNCTION("""COMPUTED_VALUE"""),"")</f>
        <v/>
      </c>
      <c r="Y984" s="52" t="str">
        <f>IFERROR(__xludf.DUMMYFUNCTION("""COMPUTED_VALUE"""),"")</f>
        <v/>
      </c>
      <c r="Z984" s="52" t="str">
        <f>IFERROR(__xludf.DUMMYFUNCTION("""COMPUTED_VALUE"""),"")</f>
        <v/>
      </c>
      <c r="AA984" s="52" t="str">
        <f>IFERROR(__xludf.DUMMYFUNCTION("""COMPUTED_VALUE"""),"")</f>
        <v/>
      </c>
      <c r="AB984" s="52" t="str">
        <f>IFERROR(__xludf.DUMMYFUNCTION("""COMPUTED_VALUE"""),"")</f>
        <v/>
      </c>
      <c r="AC984" s="52" t="str">
        <f>IFERROR(__xludf.DUMMYFUNCTION("""COMPUTED_VALUE"""),"")</f>
        <v/>
      </c>
      <c r="AD984" s="52" t="str">
        <f>IFERROR(__xludf.DUMMYFUNCTION("""COMPUTED_VALUE"""),"")</f>
        <v/>
      </c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</row>
    <row r="985">
      <c r="B985" s="49"/>
      <c r="C985" s="49" t="str">
        <f t="shared" si="2"/>
        <v/>
      </c>
      <c r="D985" s="50" t="str">
        <f t="shared" si="3"/>
        <v/>
      </c>
      <c r="E985" s="51" t="str">
        <f t="shared" ref="E985:T985" si="986">IFERROR(VLOOKUP($A985,INDIRECT("'" &amp; E$1 &amp; "'!$C:$G"), 5, FALSE),"")</f>
        <v/>
      </c>
      <c r="F985" s="51" t="str">
        <f t="shared" si="986"/>
        <v/>
      </c>
      <c r="G985" s="51" t="str">
        <f t="shared" si="986"/>
        <v/>
      </c>
      <c r="H985" s="51" t="str">
        <f t="shared" si="986"/>
        <v/>
      </c>
      <c r="I985" s="51" t="str">
        <f t="shared" si="986"/>
        <v/>
      </c>
      <c r="J985" s="51" t="str">
        <f t="shared" si="986"/>
        <v/>
      </c>
      <c r="K985" s="51" t="str">
        <f t="shared" si="986"/>
        <v/>
      </c>
      <c r="L985" s="51" t="str">
        <f t="shared" si="986"/>
        <v/>
      </c>
      <c r="M985" s="51" t="str">
        <f t="shared" si="986"/>
        <v/>
      </c>
      <c r="N985" s="51" t="str">
        <f t="shared" si="986"/>
        <v/>
      </c>
      <c r="O985" s="51" t="str">
        <f t="shared" si="986"/>
        <v/>
      </c>
      <c r="P985" s="51" t="str">
        <f t="shared" si="986"/>
        <v/>
      </c>
      <c r="Q985" s="51" t="str">
        <f t="shared" si="986"/>
        <v/>
      </c>
      <c r="R985" s="51" t="str">
        <f t="shared" si="986"/>
        <v/>
      </c>
      <c r="S985" s="51" t="str">
        <f t="shared" si="986"/>
        <v/>
      </c>
      <c r="T985" s="51" t="str">
        <f t="shared" si="986"/>
        <v/>
      </c>
      <c r="U985" s="52"/>
      <c r="V985" s="52" t="str">
        <f>IFERROR(__xludf.DUMMYFUNCTION("""COMPUTED_VALUE"""),"")</f>
        <v/>
      </c>
      <c r="W985" s="52" t="str">
        <f>IFERROR(__xludf.DUMMYFUNCTION("""COMPUTED_VALUE"""),"")</f>
        <v/>
      </c>
      <c r="X985" s="52" t="str">
        <f>IFERROR(__xludf.DUMMYFUNCTION("""COMPUTED_VALUE"""),"")</f>
        <v/>
      </c>
      <c r="Y985" s="52" t="str">
        <f>IFERROR(__xludf.DUMMYFUNCTION("""COMPUTED_VALUE"""),"")</f>
        <v/>
      </c>
      <c r="Z985" s="52" t="str">
        <f>IFERROR(__xludf.DUMMYFUNCTION("""COMPUTED_VALUE"""),"")</f>
        <v/>
      </c>
      <c r="AA985" s="52" t="str">
        <f>IFERROR(__xludf.DUMMYFUNCTION("""COMPUTED_VALUE"""),"")</f>
        <v/>
      </c>
      <c r="AB985" s="52" t="str">
        <f>IFERROR(__xludf.DUMMYFUNCTION("""COMPUTED_VALUE"""),"")</f>
        <v/>
      </c>
      <c r="AC985" s="52" t="str">
        <f>IFERROR(__xludf.DUMMYFUNCTION("""COMPUTED_VALUE"""),"")</f>
        <v/>
      </c>
      <c r="AD985" s="52" t="str">
        <f>IFERROR(__xludf.DUMMYFUNCTION("""COMPUTED_VALUE"""),"")</f>
        <v/>
      </c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</row>
    <row r="986">
      <c r="B986" s="49"/>
      <c r="C986" s="49" t="str">
        <f t="shared" si="2"/>
        <v/>
      </c>
      <c r="D986" s="50" t="str">
        <f t="shared" si="3"/>
        <v/>
      </c>
      <c r="E986" s="51" t="str">
        <f t="shared" ref="E986:T986" si="987">IFERROR(VLOOKUP($A986,INDIRECT("'" &amp; E$1 &amp; "'!$C:$G"), 5, FALSE),"")</f>
        <v/>
      </c>
      <c r="F986" s="51" t="str">
        <f t="shared" si="987"/>
        <v/>
      </c>
      <c r="G986" s="51" t="str">
        <f t="shared" si="987"/>
        <v/>
      </c>
      <c r="H986" s="51" t="str">
        <f t="shared" si="987"/>
        <v/>
      </c>
      <c r="I986" s="51" t="str">
        <f t="shared" si="987"/>
        <v/>
      </c>
      <c r="J986" s="51" t="str">
        <f t="shared" si="987"/>
        <v/>
      </c>
      <c r="K986" s="51" t="str">
        <f t="shared" si="987"/>
        <v/>
      </c>
      <c r="L986" s="51" t="str">
        <f t="shared" si="987"/>
        <v/>
      </c>
      <c r="M986" s="51" t="str">
        <f t="shared" si="987"/>
        <v/>
      </c>
      <c r="N986" s="51" t="str">
        <f t="shared" si="987"/>
        <v/>
      </c>
      <c r="O986" s="51" t="str">
        <f t="shared" si="987"/>
        <v/>
      </c>
      <c r="P986" s="51" t="str">
        <f t="shared" si="987"/>
        <v/>
      </c>
      <c r="Q986" s="51" t="str">
        <f t="shared" si="987"/>
        <v/>
      </c>
      <c r="R986" s="51" t="str">
        <f t="shared" si="987"/>
        <v/>
      </c>
      <c r="S986" s="51" t="str">
        <f t="shared" si="987"/>
        <v/>
      </c>
      <c r="T986" s="51" t="str">
        <f t="shared" si="987"/>
        <v/>
      </c>
      <c r="U986" s="52"/>
      <c r="V986" s="52" t="str">
        <f>IFERROR(__xludf.DUMMYFUNCTION("""COMPUTED_VALUE"""),"")</f>
        <v/>
      </c>
      <c r="W986" s="52" t="str">
        <f>IFERROR(__xludf.DUMMYFUNCTION("""COMPUTED_VALUE"""),"")</f>
        <v/>
      </c>
      <c r="X986" s="52" t="str">
        <f>IFERROR(__xludf.DUMMYFUNCTION("""COMPUTED_VALUE"""),"")</f>
        <v/>
      </c>
      <c r="Y986" s="52" t="str">
        <f>IFERROR(__xludf.DUMMYFUNCTION("""COMPUTED_VALUE"""),"")</f>
        <v/>
      </c>
      <c r="Z986" s="52" t="str">
        <f>IFERROR(__xludf.DUMMYFUNCTION("""COMPUTED_VALUE"""),"")</f>
        <v/>
      </c>
      <c r="AA986" s="52" t="str">
        <f>IFERROR(__xludf.DUMMYFUNCTION("""COMPUTED_VALUE"""),"")</f>
        <v/>
      </c>
      <c r="AB986" s="52" t="str">
        <f>IFERROR(__xludf.DUMMYFUNCTION("""COMPUTED_VALUE"""),"")</f>
        <v/>
      </c>
      <c r="AC986" s="52" t="str">
        <f>IFERROR(__xludf.DUMMYFUNCTION("""COMPUTED_VALUE"""),"")</f>
        <v/>
      </c>
      <c r="AD986" s="52" t="str">
        <f>IFERROR(__xludf.DUMMYFUNCTION("""COMPUTED_VALUE"""),"")</f>
        <v/>
      </c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</row>
    <row r="987">
      <c r="B987" s="49"/>
      <c r="C987" s="49" t="str">
        <f t="shared" si="2"/>
        <v/>
      </c>
      <c r="D987" s="50" t="str">
        <f t="shared" si="3"/>
        <v/>
      </c>
      <c r="E987" s="51" t="str">
        <f t="shared" ref="E987:T987" si="988">IFERROR(VLOOKUP($A987,INDIRECT("'" &amp; E$1 &amp; "'!$C:$G"), 5, FALSE),"")</f>
        <v/>
      </c>
      <c r="F987" s="51" t="str">
        <f t="shared" si="988"/>
        <v/>
      </c>
      <c r="G987" s="51" t="str">
        <f t="shared" si="988"/>
        <v/>
      </c>
      <c r="H987" s="51" t="str">
        <f t="shared" si="988"/>
        <v/>
      </c>
      <c r="I987" s="51" t="str">
        <f t="shared" si="988"/>
        <v/>
      </c>
      <c r="J987" s="51" t="str">
        <f t="shared" si="988"/>
        <v/>
      </c>
      <c r="K987" s="51" t="str">
        <f t="shared" si="988"/>
        <v/>
      </c>
      <c r="L987" s="51" t="str">
        <f t="shared" si="988"/>
        <v/>
      </c>
      <c r="M987" s="51" t="str">
        <f t="shared" si="988"/>
        <v/>
      </c>
      <c r="N987" s="51" t="str">
        <f t="shared" si="988"/>
        <v/>
      </c>
      <c r="O987" s="51" t="str">
        <f t="shared" si="988"/>
        <v/>
      </c>
      <c r="P987" s="51" t="str">
        <f t="shared" si="988"/>
        <v/>
      </c>
      <c r="Q987" s="51" t="str">
        <f t="shared" si="988"/>
        <v/>
      </c>
      <c r="R987" s="51" t="str">
        <f t="shared" si="988"/>
        <v/>
      </c>
      <c r="S987" s="51" t="str">
        <f t="shared" si="988"/>
        <v/>
      </c>
      <c r="T987" s="51" t="str">
        <f t="shared" si="988"/>
        <v/>
      </c>
      <c r="U987" s="52"/>
      <c r="V987" s="52" t="str">
        <f>IFERROR(__xludf.DUMMYFUNCTION("""COMPUTED_VALUE"""),"")</f>
        <v/>
      </c>
      <c r="W987" s="52" t="str">
        <f>IFERROR(__xludf.DUMMYFUNCTION("""COMPUTED_VALUE"""),"")</f>
        <v/>
      </c>
      <c r="X987" s="52" t="str">
        <f>IFERROR(__xludf.DUMMYFUNCTION("""COMPUTED_VALUE"""),"")</f>
        <v/>
      </c>
      <c r="Y987" s="52" t="str">
        <f>IFERROR(__xludf.DUMMYFUNCTION("""COMPUTED_VALUE"""),"")</f>
        <v/>
      </c>
      <c r="Z987" s="52" t="str">
        <f>IFERROR(__xludf.DUMMYFUNCTION("""COMPUTED_VALUE"""),"")</f>
        <v/>
      </c>
      <c r="AA987" s="52" t="str">
        <f>IFERROR(__xludf.DUMMYFUNCTION("""COMPUTED_VALUE"""),"")</f>
        <v/>
      </c>
      <c r="AB987" s="52" t="str">
        <f>IFERROR(__xludf.DUMMYFUNCTION("""COMPUTED_VALUE"""),"")</f>
        <v/>
      </c>
      <c r="AC987" s="52" t="str">
        <f>IFERROR(__xludf.DUMMYFUNCTION("""COMPUTED_VALUE"""),"")</f>
        <v/>
      </c>
      <c r="AD987" s="52" t="str">
        <f>IFERROR(__xludf.DUMMYFUNCTION("""COMPUTED_VALUE"""),"")</f>
        <v/>
      </c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</row>
    <row r="988">
      <c r="B988" s="49"/>
      <c r="C988" s="49" t="str">
        <f t="shared" si="2"/>
        <v/>
      </c>
      <c r="D988" s="50" t="str">
        <f t="shared" si="3"/>
        <v/>
      </c>
      <c r="E988" s="51" t="str">
        <f t="shared" ref="E988:T988" si="989">IFERROR(VLOOKUP($A988,INDIRECT("'" &amp; E$1 &amp; "'!$C:$G"), 5, FALSE),"")</f>
        <v/>
      </c>
      <c r="F988" s="51" t="str">
        <f t="shared" si="989"/>
        <v/>
      </c>
      <c r="G988" s="51" t="str">
        <f t="shared" si="989"/>
        <v/>
      </c>
      <c r="H988" s="51" t="str">
        <f t="shared" si="989"/>
        <v/>
      </c>
      <c r="I988" s="51" t="str">
        <f t="shared" si="989"/>
        <v/>
      </c>
      <c r="J988" s="51" t="str">
        <f t="shared" si="989"/>
        <v/>
      </c>
      <c r="K988" s="51" t="str">
        <f t="shared" si="989"/>
        <v/>
      </c>
      <c r="L988" s="51" t="str">
        <f t="shared" si="989"/>
        <v/>
      </c>
      <c r="M988" s="51" t="str">
        <f t="shared" si="989"/>
        <v/>
      </c>
      <c r="N988" s="51" t="str">
        <f t="shared" si="989"/>
        <v/>
      </c>
      <c r="O988" s="51" t="str">
        <f t="shared" si="989"/>
        <v/>
      </c>
      <c r="P988" s="51" t="str">
        <f t="shared" si="989"/>
        <v/>
      </c>
      <c r="Q988" s="51" t="str">
        <f t="shared" si="989"/>
        <v/>
      </c>
      <c r="R988" s="51" t="str">
        <f t="shared" si="989"/>
        <v/>
      </c>
      <c r="S988" s="51" t="str">
        <f t="shared" si="989"/>
        <v/>
      </c>
      <c r="T988" s="51" t="str">
        <f t="shared" si="989"/>
        <v/>
      </c>
      <c r="U988" s="52"/>
      <c r="V988" s="52" t="str">
        <f>IFERROR(__xludf.DUMMYFUNCTION("""COMPUTED_VALUE"""),"")</f>
        <v/>
      </c>
      <c r="W988" s="52" t="str">
        <f>IFERROR(__xludf.DUMMYFUNCTION("""COMPUTED_VALUE"""),"")</f>
        <v/>
      </c>
      <c r="X988" s="52" t="str">
        <f>IFERROR(__xludf.DUMMYFUNCTION("""COMPUTED_VALUE"""),"")</f>
        <v/>
      </c>
      <c r="Y988" s="52" t="str">
        <f>IFERROR(__xludf.DUMMYFUNCTION("""COMPUTED_VALUE"""),"")</f>
        <v/>
      </c>
      <c r="Z988" s="52" t="str">
        <f>IFERROR(__xludf.DUMMYFUNCTION("""COMPUTED_VALUE"""),"")</f>
        <v/>
      </c>
      <c r="AA988" s="52" t="str">
        <f>IFERROR(__xludf.DUMMYFUNCTION("""COMPUTED_VALUE"""),"")</f>
        <v/>
      </c>
      <c r="AB988" s="52" t="str">
        <f>IFERROR(__xludf.DUMMYFUNCTION("""COMPUTED_VALUE"""),"")</f>
        <v/>
      </c>
      <c r="AC988" s="52" t="str">
        <f>IFERROR(__xludf.DUMMYFUNCTION("""COMPUTED_VALUE"""),"")</f>
        <v/>
      </c>
      <c r="AD988" s="52" t="str">
        <f>IFERROR(__xludf.DUMMYFUNCTION("""COMPUTED_VALUE"""),"")</f>
        <v/>
      </c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</row>
    <row r="989">
      <c r="B989" s="49"/>
      <c r="C989" s="49" t="str">
        <f t="shared" si="2"/>
        <v/>
      </c>
      <c r="D989" s="50" t="str">
        <f t="shared" si="3"/>
        <v/>
      </c>
      <c r="E989" s="51" t="str">
        <f t="shared" ref="E989:T989" si="990">IFERROR(VLOOKUP($A989,INDIRECT("'" &amp; E$1 &amp; "'!$C:$G"), 5, FALSE),"")</f>
        <v/>
      </c>
      <c r="F989" s="51" t="str">
        <f t="shared" si="990"/>
        <v/>
      </c>
      <c r="G989" s="51" t="str">
        <f t="shared" si="990"/>
        <v/>
      </c>
      <c r="H989" s="51" t="str">
        <f t="shared" si="990"/>
        <v/>
      </c>
      <c r="I989" s="51" t="str">
        <f t="shared" si="990"/>
        <v/>
      </c>
      <c r="J989" s="51" t="str">
        <f t="shared" si="990"/>
        <v/>
      </c>
      <c r="K989" s="51" t="str">
        <f t="shared" si="990"/>
        <v/>
      </c>
      <c r="L989" s="51" t="str">
        <f t="shared" si="990"/>
        <v/>
      </c>
      <c r="M989" s="51" t="str">
        <f t="shared" si="990"/>
        <v/>
      </c>
      <c r="N989" s="51" t="str">
        <f t="shared" si="990"/>
        <v/>
      </c>
      <c r="O989" s="51" t="str">
        <f t="shared" si="990"/>
        <v/>
      </c>
      <c r="P989" s="51" t="str">
        <f t="shared" si="990"/>
        <v/>
      </c>
      <c r="Q989" s="51" t="str">
        <f t="shared" si="990"/>
        <v/>
      </c>
      <c r="R989" s="51" t="str">
        <f t="shared" si="990"/>
        <v/>
      </c>
      <c r="S989" s="51" t="str">
        <f t="shared" si="990"/>
        <v/>
      </c>
      <c r="T989" s="51" t="str">
        <f t="shared" si="990"/>
        <v/>
      </c>
      <c r="U989" s="52"/>
      <c r="V989" s="52" t="str">
        <f>IFERROR(__xludf.DUMMYFUNCTION("""COMPUTED_VALUE"""),"")</f>
        <v/>
      </c>
      <c r="W989" s="52" t="str">
        <f>IFERROR(__xludf.DUMMYFUNCTION("""COMPUTED_VALUE"""),"")</f>
        <v/>
      </c>
      <c r="X989" s="52" t="str">
        <f>IFERROR(__xludf.DUMMYFUNCTION("""COMPUTED_VALUE"""),"")</f>
        <v/>
      </c>
      <c r="Y989" s="52" t="str">
        <f>IFERROR(__xludf.DUMMYFUNCTION("""COMPUTED_VALUE"""),"")</f>
        <v/>
      </c>
      <c r="Z989" s="52" t="str">
        <f>IFERROR(__xludf.DUMMYFUNCTION("""COMPUTED_VALUE"""),"")</f>
        <v/>
      </c>
      <c r="AA989" s="52" t="str">
        <f>IFERROR(__xludf.DUMMYFUNCTION("""COMPUTED_VALUE"""),"")</f>
        <v/>
      </c>
      <c r="AB989" s="52" t="str">
        <f>IFERROR(__xludf.DUMMYFUNCTION("""COMPUTED_VALUE"""),"")</f>
        <v/>
      </c>
      <c r="AC989" s="52" t="str">
        <f>IFERROR(__xludf.DUMMYFUNCTION("""COMPUTED_VALUE"""),"")</f>
        <v/>
      </c>
      <c r="AD989" s="52" t="str">
        <f>IFERROR(__xludf.DUMMYFUNCTION("""COMPUTED_VALUE"""),"")</f>
        <v/>
      </c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</row>
    <row r="990">
      <c r="B990" s="49"/>
      <c r="C990" s="49" t="str">
        <f t="shared" si="2"/>
        <v/>
      </c>
      <c r="D990" s="50" t="str">
        <f t="shared" si="3"/>
        <v/>
      </c>
      <c r="E990" s="51" t="str">
        <f t="shared" ref="E990:T990" si="991">IFERROR(VLOOKUP($A990,INDIRECT("'" &amp; E$1 &amp; "'!$C:$G"), 5, FALSE),"")</f>
        <v/>
      </c>
      <c r="F990" s="51" t="str">
        <f t="shared" si="991"/>
        <v/>
      </c>
      <c r="G990" s="51" t="str">
        <f t="shared" si="991"/>
        <v/>
      </c>
      <c r="H990" s="51" t="str">
        <f t="shared" si="991"/>
        <v/>
      </c>
      <c r="I990" s="51" t="str">
        <f t="shared" si="991"/>
        <v/>
      </c>
      <c r="J990" s="51" t="str">
        <f t="shared" si="991"/>
        <v/>
      </c>
      <c r="K990" s="51" t="str">
        <f t="shared" si="991"/>
        <v/>
      </c>
      <c r="L990" s="51" t="str">
        <f t="shared" si="991"/>
        <v/>
      </c>
      <c r="M990" s="51" t="str">
        <f t="shared" si="991"/>
        <v/>
      </c>
      <c r="N990" s="51" t="str">
        <f t="shared" si="991"/>
        <v/>
      </c>
      <c r="O990" s="51" t="str">
        <f t="shared" si="991"/>
        <v/>
      </c>
      <c r="P990" s="51" t="str">
        <f t="shared" si="991"/>
        <v/>
      </c>
      <c r="Q990" s="51" t="str">
        <f t="shared" si="991"/>
        <v/>
      </c>
      <c r="R990" s="51" t="str">
        <f t="shared" si="991"/>
        <v/>
      </c>
      <c r="S990" s="51" t="str">
        <f t="shared" si="991"/>
        <v/>
      </c>
      <c r="T990" s="51" t="str">
        <f t="shared" si="991"/>
        <v/>
      </c>
      <c r="U990" s="52"/>
      <c r="V990" s="52" t="str">
        <f>IFERROR(__xludf.DUMMYFUNCTION("""COMPUTED_VALUE"""),"")</f>
        <v/>
      </c>
      <c r="W990" s="52" t="str">
        <f>IFERROR(__xludf.DUMMYFUNCTION("""COMPUTED_VALUE"""),"")</f>
        <v/>
      </c>
      <c r="X990" s="52" t="str">
        <f>IFERROR(__xludf.DUMMYFUNCTION("""COMPUTED_VALUE"""),"")</f>
        <v/>
      </c>
      <c r="Y990" s="52" t="str">
        <f>IFERROR(__xludf.DUMMYFUNCTION("""COMPUTED_VALUE"""),"")</f>
        <v/>
      </c>
      <c r="Z990" s="52" t="str">
        <f>IFERROR(__xludf.DUMMYFUNCTION("""COMPUTED_VALUE"""),"")</f>
        <v/>
      </c>
      <c r="AA990" s="52" t="str">
        <f>IFERROR(__xludf.DUMMYFUNCTION("""COMPUTED_VALUE"""),"")</f>
        <v/>
      </c>
      <c r="AB990" s="52" t="str">
        <f>IFERROR(__xludf.DUMMYFUNCTION("""COMPUTED_VALUE"""),"")</f>
        <v/>
      </c>
      <c r="AC990" s="52" t="str">
        <f>IFERROR(__xludf.DUMMYFUNCTION("""COMPUTED_VALUE"""),"")</f>
        <v/>
      </c>
      <c r="AD990" s="52" t="str">
        <f>IFERROR(__xludf.DUMMYFUNCTION("""COMPUTED_VALUE"""),"")</f>
        <v/>
      </c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</row>
    <row r="991">
      <c r="B991" s="49"/>
      <c r="C991" s="49" t="str">
        <f t="shared" si="2"/>
        <v/>
      </c>
      <c r="D991" s="50" t="str">
        <f t="shared" si="3"/>
        <v/>
      </c>
      <c r="E991" s="51" t="str">
        <f t="shared" ref="E991:T991" si="992">IFERROR(VLOOKUP($A991,INDIRECT("'" &amp; E$1 &amp; "'!$C:$G"), 5, FALSE),"")</f>
        <v/>
      </c>
      <c r="F991" s="51" t="str">
        <f t="shared" si="992"/>
        <v/>
      </c>
      <c r="G991" s="51" t="str">
        <f t="shared" si="992"/>
        <v/>
      </c>
      <c r="H991" s="51" t="str">
        <f t="shared" si="992"/>
        <v/>
      </c>
      <c r="I991" s="51" t="str">
        <f t="shared" si="992"/>
        <v/>
      </c>
      <c r="J991" s="51" t="str">
        <f t="shared" si="992"/>
        <v/>
      </c>
      <c r="K991" s="51" t="str">
        <f t="shared" si="992"/>
        <v/>
      </c>
      <c r="L991" s="51" t="str">
        <f t="shared" si="992"/>
        <v/>
      </c>
      <c r="M991" s="51" t="str">
        <f t="shared" si="992"/>
        <v/>
      </c>
      <c r="N991" s="51" t="str">
        <f t="shared" si="992"/>
        <v/>
      </c>
      <c r="O991" s="51" t="str">
        <f t="shared" si="992"/>
        <v/>
      </c>
      <c r="P991" s="51" t="str">
        <f t="shared" si="992"/>
        <v/>
      </c>
      <c r="Q991" s="51" t="str">
        <f t="shared" si="992"/>
        <v/>
      </c>
      <c r="R991" s="51" t="str">
        <f t="shared" si="992"/>
        <v/>
      </c>
      <c r="S991" s="51" t="str">
        <f t="shared" si="992"/>
        <v/>
      </c>
      <c r="T991" s="51" t="str">
        <f t="shared" si="992"/>
        <v/>
      </c>
      <c r="U991" s="52"/>
      <c r="V991" s="52" t="str">
        <f>IFERROR(__xludf.DUMMYFUNCTION("""COMPUTED_VALUE"""),"")</f>
        <v/>
      </c>
      <c r="W991" s="52" t="str">
        <f>IFERROR(__xludf.DUMMYFUNCTION("""COMPUTED_VALUE"""),"")</f>
        <v/>
      </c>
      <c r="X991" s="52" t="str">
        <f>IFERROR(__xludf.DUMMYFUNCTION("""COMPUTED_VALUE"""),"")</f>
        <v/>
      </c>
      <c r="Y991" s="52" t="str">
        <f>IFERROR(__xludf.DUMMYFUNCTION("""COMPUTED_VALUE"""),"")</f>
        <v/>
      </c>
      <c r="Z991" s="52" t="str">
        <f>IFERROR(__xludf.DUMMYFUNCTION("""COMPUTED_VALUE"""),"")</f>
        <v/>
      </c>
      <c r="AA991" s="52" t="str">
        <f>IFERROR(__xludf.DUMMYFUNCTION("""COMPUTED_VALUE"""),"")</f>
        <v/>
      </c>
      <c r="AB991" s="52" t="str">
        <f>IFERROR(__xludf.DUMMYFUNCTION("""COMPUTED_VALUE"""),"")</f>
        <v/>
      </c>
      <c r="AC991" s="52" t="str">
        <f>IFERROR(__xludf.DUMMYFUNCTION("""COMPUTED_VALUE"""),"")</f>
        <v/>
      </c>
      <c r="AD991" s="52" t="str">
        <f>IFERROR(__xludf.DUMMYFUNCTION("""COMPUTED_VALUE"""),"")</f>
        <v/>
      </c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</row>
    <row r="992">
      <c r="B992" s="49"/>
      <c r="C992" s="49" t="str">
        <f t="shared" si="2"/>
        <v/>
      </c>
      <c r="D992" s="50" t="str">
        <f t="shared" si="3"/>
        <v/>
      </c>
      <c r="E992" s="51" t="str">
        <f t="shared" ref="E992:T992" si="993">IFERROR(VLOOKUP($A992,INDIRECT("'" &amp; E$1 &amp; "'!$C:$G"), 5, FALSE),"")</f>
        <v/>
      </c>
      <c r="F992" s="51" t="str">
        <f t="shared" si="993"/>
        <v/>
      </c>
      <c r="G992" s="51" t="str">
        <f t="shared" si="993"/>
        <v/>
      </c>
      <c r="H992" s="51" t="str">
        <f t="shared" si="993"/>
        <v/>
      </c>
      <c r="I992" s="51" t="str">
        <f t="shared" si="993"/>
        <v/>
      </c>
      <c r="J992" s="51" t="str">
        <f t="shared" si="993"/>
        <v/>
      </c>
      <c r="K992" s="51" t="str">
        <f t="shared" si="993"/>
        <v/>
      </c>
      <c r="L992" s="51" t="str">
        <f t="shared" si="993"/>
        <v/>
      </c>
      <c r="M992" s="51" t="str">
        <f t="shared" si="993"/>
        <v/>
      </c>
      <c r="N992" s="51" t="str">
        <f t="shared" si="993"/>
        <v/>
      </c>
      <c r="O992" s="51" t="str">
        <f t="shared" si="993"/>
        <v/>
      </c>
      <c r="P992" s="51" t="str">
        <f t="shared" si="993"/>
        <v/>
      </c>
      <c r="Q992" s="51" t="str">
        <f t="shared" si="993"/>
        <v/>
      </c>
      <c r="R992" s="51" t="str">
        <f t="shared" si="993"/>
        <v/>
      </c>
      <c r="S992" s="51" t="str">
        <f t="shared" si="993"/>
        <v/>
      </c>
      <c r="T992" s="51" t="str">
        <f t="shared" si="993"/>
        <v/>
      </c>
      <c r="U992" s="52"/>
      <c r="V992" s="52" t="str">
        <f>IFERROR(__xludf.DUMMYFUNCTION("""COMPUTED_VALUE"""),"")</f>
        <v/>
      </c>
      <c r="W992" s="52" t="str">
        <f>IFERROR(__xludf.DUMMYFUNCTION("""COMPUTED_VALUE"""),"")</f>
        <v/>
      </c>
      <c r="X992" s="52" t="str">
        <f>IFERROR(__xludf.DUMMYFUNCTION("""COMPUTED_VALUE"""),"")</f>
        <v/>
      </c>
      <c r="Y992" s="52" t="str">
        <f>IFERROR(__xludf.DUMMYFUNCTION("""COMPUTED_VALUE"""),"")</f>
        <v/>
      </c>
      <c r="Z992" s="52" t="str">
        <f>IFERROR(__xludf.DUMMYFUNCTION("""COMPUTED_VALUE"""),"")</f>
        <v/>
      </c>
      <c r="AA992" s="52" t="str">
        <f>IFERROR(__xludf.DUMMYFUNCTION("""COMPUTED_VALUE"""),"")</f>
        <v/>
      </c>
      <c r="AB992" s="52" t="str">
        <f>IFERROR(__xludf.DUMMYFUNCTION("""COMPUTED_VALUE"""),"")</f>
        <v/>
      </c>
      <c r="AC992" s="52" t="str">
        <f>IFERROR(__xludf.DUMMYFUNCTION("""COMPUTED_VALUE"""),"")</f>
        <v/>
      </c>
      <c r="AD992" s="52" t="str">
        <f>IFERROR(__xludf.DUMMYFUNCTION("""COMPUTED_VALUE"""),"")</f>
        <v/>
      </c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</row>
    <row r="993">
      <c r="B993" s="49"/>
      <c r="C993" s="49" t="str">
        <f t="shared" si="2"/>
        <v/>
      </c>
      <c r="D993" s="50" t="str">
        <f t="shared" si="3"/>
        <v/>
      </c>
      <c r="E993" s="51" t="str">
        <f t="shared" ref="E993:T993" si="994">IFERROR(VLOOKUP($A993,INDIRECT("'" &amp; E$1 &amp; "'!$C:$G"), 5, FALSE),"")</f>
        <v/>
      </c>
      <c r="F993" s="51" t="str">
        <f t="shared" si="994"/>
        <v/>
      </c>
      <c r="G993" s="51" t="str">
        <f t="shared" si="994"/>
        <v/>
      </c>
      <c r="H993" s="51" t="str">
        <f t="shared" si="994"/>
        <v/>
      </c>
      <c r="I993" s="51" t="str">
        <f t="shared" si="994"/>
        <v/>
      </c>
      <c r="J993" s="51" t="str">
        <f t="shared" si="994"/>
        <v/>
      </c>
      <c r="K993" s="51" t="str">
        <f t="shared" si="994"/>
        <v/>
      </c>
      <c r="L993" s="51" t="str">
        <f t="shared" si="994"/>
        <v/>
      </c>
      <c r="M993" s="51" t="str">
        <f t="shared" si="994"/>
        <v/>
      </c>
      <c r="N993" s="51" t="str">
        <f t="shared" si="994"/>
        <v/>
      </c>
      <c r="O993" s="51" t="str">
        <f t="shared" si="994"/>
        <v/>
      </c>
      <c r="P993" s="51" t="str">
        <f t="shared" si="994"/>
        <v/>
      </c>
      <c r="Q993" s="51" t="str">
        <f t="shared" si="994"/>
        <v/>
      </c>
      <c r="R993" s="51" t="str">
        <f t="shared" si="994"/>
        <v/>
      </c>
      <c r="S993" s="51" t="str">
        <f t="shared" si="994"/>
        <v/>
      </c>
      <c r="T993" s="51" t="str">
        <f t="shared" si="994"/>
        <v/>
      </c>
      <c r="U993" s="52"/>
      <c r="V993" s="52" t="str">
        <f>IFERROR(__xludf.DUMMYFUNCTION("""COMPUTED_VALUE"""),"")</f>
        <v/>
      </c>
      <c r="W993" s="52" t="str">
        <f>IFERROR(__xludf.DUMMYFUNCTION("""COMPUTED_VALUE"""),"")</f>
        <v/>
      </c>
      <c r="X993" s="52" t="str">
        <f>IFERROR(__xludf.DUMMYFUNCTION("""COMPUTED_VALUE"""),"")</f>
        <v/>
      </c>
      <c r="Y993" s="52" t="str">
        <f>IFERROR(__xludf.DUMMYFUNCTION("""COMPUTED_VALUE"""),"")</f>
        <v/>
      </c>
      <c r="Z993" s="52" t="str">
        <f>IFERROR(__xludf.DUMMYFUNCTION("""COMPUTED_VALUE"""),"")</f>
        <v/>
      </c>
      <c r="AA993" s="52" t="str">
        <f>IFERROR(__xludf.DUMMYFUNCTION("""COMPUTED_VALUE"""),"")</f>
        <v/>
      </c>
      <c r="AB993" s="52" t="str">
        <f>IFERROR(__xludf.DUMMYFUNCTION("""COMPUTED_VALUE"""),"")</f>
        <v/>
      </c>
      <c r="AC993" s="52" t="str">
        <f>IFERROR(__xludf.DUMMYFUNCTION("""COMPUTED_VALUE"""),"")</f>
        <v/>
      </c>
      <c r="AD993" s="52" t="str">
        <f>IFERROR(__xludf.DUMMYFUNCTION("""COMPUTED_VALUE"""),"")</f>
        <v/>
      </c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</row>
    <row r="994">
      <c r="B994" s="49"/>
      <c r="C994" s="49" t="str">
        <f t="shared" si="2"/>
        <v/>
      </c>
      <c r="D994" s="50" t="str">
        <f t="shared" si="3"/>
        <v/>
      </c>
      <c r="E994" s="51" t="str">
        <f t="shared" ref="E994:T994" si="995">IFERROR(VLOOKUP($A994,INDIRECT("'" &amp; E$1 &amp; "'!$C:$G"), 5, FALSE),"")</f>
        <v/>
      </c>
      <c r="F994" s="51" t="str">
        <f t="shared" si="995"/>
        <v/>
      </c>
      <c r="G994" s="51" t="str">
        <f t="shared" si="995"/>
        <v/>
      </c>
      <c r="H994" s="51" t="str">
        <f t="shared" si="995"/>
        <v/>
      </c>
      <c r="I994" s="51" t="str">
        <f t="shared" si="995"/>
        <v/>
      </c>
      <c r="J994" s="51" t="str">
        <f t="shared" si="995"/>
        <v/>
      </c>
      <c r="K994" s="51" t="str">
        <f t="shared" si="995"/>
        <v/>
      </c>
      <c r="L994" s="51" t="str">
        <f t="shared" si="995"/>
        <v/>
      </c>
      <c r="M994" s="51" t="str">
        <f t="shared" si="995"/>
        <v/>
      </c>
      <c r="N994" s="51" t="str">
        <f t="shared" si="995"/>
        <v/>
      </c>
      <c r="O994" s="51" t="str">
        <f t="shared" si="995"/>
        <v/>
      </c>
      <c r="P994" s="51" t="str">
        <f t="shared" si="995"/>
        <v/>
      </c>
      <c r="Q994" s="51" t="str">
        <f t="shared" si="995"/>
        <v/>
      </c>
      <c r="R994" s="51" t="str">
        <f t="shared" si="995"/>
        <v/>
      </c>
      <c r="S994" s="51" t="str">
        <f t="shared" si="995"/>
        <v/>
      </c>
      <c r="T994" s="51" t="str">
        <f t="shared" si="995"/>
        <v/>
      </c>
      <c r="U994" s="52"/>
      <c r="V994" s="52" t="str">
        <f>IFERROR(__xludf.DUMMYFUNCTION("""COMPUTED_VALUE"""),"")</f>
        <v/>
      </c>
      <c r="W994" s="52" t="str">
        <f>IFERROR(__xludf.DUMMYFUNCTION("""COMPUTED_VALUE"""),"")</f>
        <v/>
      </c>
      <c r="X994" s="52" t="str">
        <f>IFERROR(__xludf.DUMMYFUNCTION("""COMPUTED_VALUE"""),"")</f>
        <v/>
      </c>
      <c r="Y994" s="52" t="str">
        <f>IFERROR(__xludf.DUMMYFUNCTION("""COMPUTED_VALUE"""),"")</f>
        <v/>
      </c>
      <c r="Z994" s="52" t="str">
        <f>IFERROR(__xludf.DUMMYFUNCTION("""COMPUTED_VALUE"""),"")</f>
        <v/>
      </c>
      <c r="AA994" s="52" t="str">
        <f>IFERROR(__xludf.DUMMYFUNCTION("""COMPUTED_VALUE"""),"")</f>
        <v/>
      </c>
      <c r="AB994" s="52" t="str">
        <f>IFERROR(__xludf.DUMMYFUNCTION("""COMPUTED_VALUE"""),"")</f>
        <v/>
      </c>
      <c r="AC994" s="52" t="str">
        <f>IFERROR(__xludf.DUMMYFUNCTION("""COMPUTED_VALUE"""),"")</f>
        <v/>
      </c>
      <c r="AD994" s="52" t="str">
        <f>IFERROR(__xludf.DUMMYFUNCTION("""COMPUTED_VALUE"""),"")</f>
        <v/>
      </c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</row>
    <row r="995">
      <c r="B995" s="49"/>
      <c r="C995" s="49" t="str">
        <f t="shared" si="2"/>
        <v/>
      </c>
      <c r="D995" s="50" t="str">
        <f t="shared" si="3"/>
        <v/>
      </c>
      <c r="E995" s="51" t="str">
        <f t="shared" ref="E995:T995" si="996">IFERROR(VLOOKUP($A995,INDIRECT("'" &amp; E$1 &amp; "'!$C:$G"), 5, FALSE),"")</f>
        <v/>
      </c>
      <c r="F995" s="51" t="str">
        <f t="shared" si="996"/>
        <v/>
      </c>
      <c r="G995" s="51" t="str">
        <f t="shared" si="996"/>
        <v/>
      </c>
      <c r="H995" s="51" t="str">
        <f t="shared" si="996"/>
        <v/>
      </c>
      <c r="I995" s="51" t="str">
        <f t="shared" si="996"/>
        <v/>
      </c>
      <c r="J995" s="51" t="str">
        <f t="shared" si="996"/>
        <v/>
      </c>
      <c r="K995" s="51" t="str">
        <f t="shared" si="996"/>
        <v/>
      </c>
      <c r="L995" s="51" t="str">
        <f t="shared" si="996"/>
        <v/>
      </c>
      <c r="M995" s="51" t="str">
        <f t="shared" si="996"/>
        <v/>
      </c>
      <c r="N995" s="51" t="str">
        <f t="shared" si="996"/>
        <v/>
      </c>
      <c r="O995" s="51" t="str">
        <f t="shared" si="996"/>
        <v/>
      </c>
      <c r="P995" s="51" t="str">
        <f t="shared" si="996"/>
        <v/>
      </c>
      <c r="Q995" s="51" t="str">
        <f t="shared" si="996"/>
        <v/>
      </c>
      <c r="R995" s="51" t="str">
        <f t="shared" si="996"/>
        <v/>
      </c>
      <c r="S995" s="51" t="str">
        <f t="shared" si="996"/>
        <v/>
      </c>
      <c r="T995" s="51" t="str">
        <f t="shared" si="996"/>
        <v/>
      </c>
      <c r="U995" s="52"/>
      <c r="V995" s="52" t="str">
        <f>IFERROR(__xludf.DUMMYFUNCTION("""COMPUTED_VALUE"""),"")</f>
        <v/>
      </c>
      <c r="W995" s="52" t="str">
        <f>IFERROR(__xludf.DUMMYFUNCTION("""COMPUTED_VALUE"""),"")</f>
        <v/>
      </c>
      <c r="X995" s="52" t="str">
        <f>IFERROR(__xludf.DUMMYFUNCTION("""COMPUTED_VALUE"""),"")</f>
        <v/>
      </c>
      <c r="Y995" s="52" t="str">
        <f>IFERROR(__xludf.DUMMYFUNCTION("""COMPUTED_VALUE"""),"")</f>
        <v/>
      </c>
      <c r="Z995" s="52" t="str">
        <f>IFERROR(__xludf.DUMMYFUNCTION("""COMPUTED_VALUE"""),"")</f>
        <v/>
      </c>
      <c r="AA995" s="52" t="str">
        <f>IFERROR(__xludf.DUMMYFUNCTION("""COMPUTED_VALUE"""),"")</f>
        <v/>
      </c>
      <c r="AB995" s="52" t="str">
        <f>IFERROR(__xludf.DUMMYFUNCTION("""COMPUTED_VALUE"""),"")</f>
        <v/>
      </c>
      <c r="AC995" s="52" t="str">
        <f>IFERROR(__xludf.DUMMYFUNCTION("""COMPUTED_VALUE"""),"")</f>
        <v/>
      </c>
      <c r="AD995" s="52" t="str">
        <f>IFERROR(__xludf.DUMMYFUNCTION("""COMPUTED_VALUE"""),"")</f>
        <v/>
      </c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</row>
    <row r="996">
      <c r="B996" s="49"/>
      <c r="C996" s="49" t="str">
        <f t="shared" si="2"/>
        <v/>
      </c>
      <c r="D996" s="50" t="str">
        <f t="shared" si="3"/>
        <v/>
      </c>
      <c r="E996" s="51" t="str">
        <f t="shared" ref="E996:T996" si="997">IFERROR(VLOOKUP($A996,INDIRECT("'" &amp; E$1 &amp; "'!$C:$G"), 5, FALSE),"")</f>
        <v/>
      </c>
      <c r="F996" s="51" t="str">
        <f t="shared" si="997"/>
        <v/>
      </c>
      <c r="G996" s="51" t="str">
        <f t="shared" si="997"/>
        <v/>
      </c>
      <c r="H996" s="51" t="str">
        <f t="shared" si="997"/>
        <v/>
      </c>
      <c r="I996" s="51" t="str">
        <f t="shared" si="997"/>
        <v/>
      </c>
      <c r="J996" s="51" t="str">
        <f t="shared" si="997"/>
        <v/>
      </c>
      <c r="K996" s="51" t="str">
        <f t="shared" si="997"/>
        <v/>
      </c>
      <c r="L996" s="51" t="str">
        <f t="shared" si="997"/>
        <v/>
      </c>
      <c r="M996" s="51" t="str">
        <f t="shared" si="997"/>
        <v/>
      </c>
      <c r="N996" s="51" t="str">
        <f t="shared" si="997"/>
        <v/>
      </c>
      <c r="O996" s="51" t="str">
        <f t="shared" si="997"/>
        <v/>
      </c>
      <c r="P996" s="51" t="str">
        <f t="shared" si="997"/>
        <v/>
      </c>
      <c r="Q996" s="51" t="str">
        <f t="shared" si="997"/>
        <v/>
      </c>
      <c r="R996" s="51" t="str">
        <f t="shared" si="997"/>
        <v/>
      </c>
      <c r="S996" s="51" t="str">
        <f t="shared" si="997"/>
        <v/>
      </c>
      <c r="T996" s="51" t="str">
        <f t="shared" si="997"/>
        <v/>
      </c>
      <c r="U996" s="52"/>
      <c r="V996" s="52" t="str">
        <f>IFERROR(__xludf.DUMMYFUNCTION("""COMPUTED_VALUE"""),"")</f>
        <v/>
      </c>
      <c r="W996" s="52" t="str">
        <f>IFERROR(__xludf.DUMMYFUNCTION("""COMPUTED_VALUE"""),"")</f>
        <v/>
      </c>
      <c r="X996" s="52" t="str">
        <f>IFERROR(__xludf.DUMMYFUNCTION("""COMPUTED_VALUE"""),"")</f>
        <v/>
      </c>
      <c r="Y996" s="52" t="str">
        <f>IFERROR(__xludf.DUMMYFUNCTION("""COMPUTED_VALUE"""),"")</f>
        <v/>
      </c>
      <c r="Z996" s="52" t="str">
        <f>IFERROR(__xludf.DUMMYFUNCTION("""COMPUTED_VALUE"""),"")</f>
        <v/>
      </c>
      <c r="AA996" s="52" t="str">
        <f>IFERROR(__xludf.DUMMYFUNCTION("""COMPUTED_VALUE"""),"")</f>
        <v/>
      </c>
      <c r="AB996" s="52" t="str">
        <f>IFERROR(__xludf.DUMMYFUNCTION("""COMPUTED_VALUE"""),"")</f>
        <v/>
      </c>
      <c r="AC996" s="52" t="str">
        <f>IFERROR(__xludf.DUMMYFUNCTION("""COMPUTED_VALUE"""),"")</f>
        <v/>
      </c>
      <c r="AD996" s="52" t="str">
        <f>IFERROR(__xludf.DUMMYFUNCTION("""COMPUTED_VALUE"""),"")</f>
        <v/>
      </c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</row>
    <row r="997">
      <c r="B997" s="49"/>
      <c r="C997" s="49" t="str">
        <f t="shared" si="2"/>
        <v/>
      </c>
      <c r="D997" s="50" t="str">
        <f t="shared" si="3"/>
        <v/>
      </c>
      <c r="E997" s="51" t="str">
        <f t="shared" ref="E997:T997" si="998">IFERROR(VLOOKUP($A997,INDIRECT("'" &amp; E$1 &amp; "'!$C:$G"), 5, FALSE),"")</f>
        <v/>
      </c>
      <c r="F997" s="51" t="str">
        <f t="shared" si="998"/>
        <v/>
      </c>
      <c r="G997" s="51" t="str">
        <f t="shared" si="998"/>
        <v/>
      </c>
      <c r="H997" s="51" t="str">
        <f t="shared" si="998"/>
        <v/>
      </c>
      <c r="I997" s="51" t="str">
        <f t="shared" si="998"/>
        <v/>
      </c>
      <c r="J997" s="51" t="str">
        <f t="shared" si="998"/>
        <v/>
      </c>
      <c r="K997" s="51" t="str">
        <f t="shared" si="998"/>
        <v/>
      </c>
      <c r="L997" s="51" t="str">
        <f t="shared" si="998"/>
        <v/>
      </c>
      <c r="M997" s="51" t="str">
        <f t="shared" si="998"/>
        <v/>
      </c>
      <c r="N997" s="51" t="str">
        <f t="shared" si="998"/>
        <v/>
      </c>
      <c r="O997" s="51" t="str">
        <f t="shared" si="998"/>
        <v/>
      </c>
      <c r="P997" s="51" t="str">
        <f t="shared" si="998"/>
        <v/>
      </c>
      <c r="Q997" s="51" t="str">
        <f t="shared" si="998"/>
        <v/>
      </c>
      <c r="R997" s="51" t="str">
        <f t="shared" si="998"/>
        <v/>
      </c>
      <c r="S997" s="51" t="str">
        <f t="shared" si="998"/>
        <v/>
      </c>
      <c r="T997" s="51" t="str">
        <f t="shared" si="998"/>
        <v/>
      </c>
      <c r="U997" s="52"/>
      <c r="V997" s="52" t="str">
        <f>IFERROR(__xludf.DUMMYFUNCTION("""COMPUTED_VALUE"""),"")</f>
        <v/>
      </c>
      <c r="W997" s="52" t="str">
        <f>IFERROR(__xludf.DUMMYFUNCTION("""COMPUTED_VALUE"""),"")</f>
        <v/>
      </c>
      <c r="X997" s="52" t="str">
        <f>IFERROR(__xludf.DUMMYFUNCTION("""COMPUTED_VALUE"""),"")</f>
        <v/>
      </c>
      <c r="Y997" s="52" t="str">
        <f>IFERROR(__xludf.DUMMYFUNCTION("""COMPUTED_VALUE"""),"")</f>
        <v/>
      </c>
      <c r="Z997" s="52" t="str">
        <f>IFERROR(__xludf.DUMMYFUNCTION("""COMPUTED_VALUE"""),"")</f>
        <v/>
      </c>
      <c r="AA997" s="52" t="str">
        <f>IFERROR(__xludf.DUMMYFUNCTION("""COMPUTED_VALUE"""),"")</f>
        <v/>
      </c>
      <c r="AB997" s="52" t="str">
        <f>IFERROR(__xludf.DUMMYFUNCTION("""COMPUTED_VALUE"""),"")</f>
        <v/>
      </c>
      <c r="AC997" s="52" t="str">
        <f>IFERROR(__xludf.DUMMYFUNCTION("""COMPUTED_VALUE"""),"")</f>
        <v/>
      </c>
      <c r="AD997" s="52" t="str">
        <f>IFERROR(__xludf.DUMMYFUNCTION("""COMPUTED_VALUE"""),"")</f>
        <v/>
      </c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</row>
    <row r="998">
      <c r="B998" s="49"/>
      <c r="C998" s="49" t="str">
        <f t="shared" si="2"/>
        <v/>
      </c>
      <c r="D998" s="50" t="str">
        <f t="shared" si="3"/>
        <v/>
      </c>
      <c r="E998" s="51" t="str">
        <f t="shared" ref="E998:T998" si="999">IFERROR(VLOOKUP($A998,INDIRECT("'" &amp; E$1 &amp; "'!$C:$G"), 5, FALSE),"")</f>
        <v/>
      </c>
      <c r="F998" s="51" t="str">
        <f t="shared" si="999"/>
        <v/>
      </c>
      <c r="G998" s="51" t="str">
        <f t="shared" si="999"/>
        <v/>
      </c>
      <c r="H998" s="51" t="str">
        <f t="shared" si="999"/>
        <v/>
      </c>
      <c r="I998" s="51" t="str">
        <f t="shared" si="999"/>
        <v/>
      </c>
      <c r="J998" s="51" t="str">
        <f t="shared" si="999"/>
        <v/>
      </c>
      <c r="K998" s="51" t="str">
        <f t="shared" si="999"/>
        <v/>
      </c>
      <c r="L998" s="51" t="str">
        <f t="shared" si="999"/>
        <v/>
      </c>
      <c r="M998" s="51" t="str">
        <f t="shared" si="999"/>
        <v/>
      </c>
      <c r="N998" s="51" t="str">
        <f t="shared" si="999"/>
        <v/>
      </c>
      <c r="O998" s="51" t="str">
        <f t="shared" si="999"/>
        <v/>
      </c>
      <c r="P998" s="51" t="str">
        <f t="shared" si="999"/>
        <v/>
      </c>
      <c r="Q998" s="51" t="str">
        <f t="shared" si="999"/>
        <v/>
      </c>
      <c r="R998" s="51" t="str">
        <f t="shared" si="999"/>
        <v/>
      </c>
      <c r="S998" s="51" t="str">
        <f t="shared" si="999"/>
        <v/>
      </c>
      <c r="T998" s="51" t="str">
        <f t="shared" si="999"/>
        <v/>
      </c>
      <c r="U998" s="52"/>
      <c r="V998" s="52" t="str">
        <f>IFERROR(__xludf.DUMMYFUNCTION("""COMPUTED_VALUE"""),"")</f>
        <v/>
      </c>
      <c r="W998" s="52" t="str">
        <f>IFERROR(__xludf.DUMMYFUNCTION("""COMPUTED_VALUE"""),"")</f>
        <v/>
      </c>
      <c r="X998" s="52" t="str">
        <f>IFERROR(__xludf.DUMMYFUNCTION("""COMPUTED_VALUE"""),"")</f>
        <v/>
      </c>
      <c r="Y998" s="52" t="str">
        <f>IFERROR(__xludf.DUMMYFUNCTION("""COMPUTED_VALUE"""),"")</f>
        <v/>
      </c>
      <c r="Z998" s="52" t="str">
        <f>IFERROR(__xludf.DUMMYFUNCTION("""COMPUTED_VALUE"""),"")</f>
        <v/>
      </c>
      <c r="AA998" s="52" t="str">
        <f>IFERROR(__xludf.DUMMYFUNCTION("""COMPUTED_VALUE"""),"")</f>
        <v/>
      </c>
      <c r="AB998" s="52" t="str">
        <f>IFERROR(__xludf.DUMMYFUNCTION("""COMPUTED_VALUE"""),"")</f>
        <v/>
      </c>
      <c r="AC998" s="52" t="str">
        <f>IFERROR(__xludf.DUMMYFUNCTION("""COMPUTED_VALUE"""),"")</f>
        <v/>
      </c>
      <c r="AD998" s="52" t="str">
        <f>IFERROR(__xludf.DUMMYFUNCTION("""COMPUTED_VALUE"""),"")</f>
        <v/>
      </c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</row>
    <row r="999">
      <c r="B999" s="49"/>
      <c r="C999" s="49" t="str">
        <f t="shared" si="2"/>
        <v/>
      </c>
      <c r="D999" s="50" t="str">
        <f t="shared" si="3"/>
        <v/>
      </c>
      <c r="E999" s="51" t="str">
        <f t="shared" ref="E999:T999" si="1000">IFERROR(VLOOKUP($A999,INDIRECT("'" &amp; E$1 &amp; "'!$C:$G"), 5, FALSE),"")</f>
        <v/>
      </c>
      <c r="F999" s="51" t="str">
        <f t="shared" si="1000"/>
        <v/>
      </c>
      <c r="G999" s="51" t="str">
        <f t="shared" si="1000"/>
        <v/>
      </c>
      <c r="H999" s="51" t="str">
        <f t="shared" si="1000"/>
        <v/>
      </c>
      <c r="I999" s="51" t="str">
        <f t="shared" si="1000"/>
        <v/>
      </c>
      <c r="J999" s="51" t="str">
        <f t="shared" si="1000"/>
        <v/>
      </c>
      <c r="K999" s="51" t="str">
        <f t="shared" si="1000"/>
        <v/>
      </c>
      <c r="L999" s="51" t="str">
        <f t="shared" si="1000"/>
        <v/>
      </c>
      <c r="M999" s="51" t="str">
        <f t="shared" si="1000"/>
        <v/>
      </c>
      <c r="N999" s="51" t="str">
        <f t="shared" si="1000"/>
        <v/>
      </c>
      <c r="O999" s="51" t="str">
        <f t="shared" si="1000"/>
        <v/>
      </c>
      <c r="P999" s="51" t="str">
        <f t="shared" si="1000"/>
        <v/>
      </c>
      <c r="Q999" s="51" t="str">
        <f t="shared" si="1000"/>
        <v/>
      </c>
      <c r="R999" s="51" t="str">
        <f t="shared" si="1000"/>
        <v/>
      </c>
      <c r="S999" s="51" t="str">
        <f t="shared" si="1000"/>
        <v/>
      </c>
      <c r="T999" s="51" t="str">
        <f t="shared" si="1000"/>
        <v/>
      </c>
      <c r="U999" s="52"/>
      <c r="V999" s="52" t="str">
        <f>IFERROR(__xludf.DUMMYFUNCTION("""COMPUTED_VALUE"""),"")</f>
        <v/>
      </c>
      <c r="W999" s="52" t="str">
        <f>IFERROR(__xludf.DUMMYFUNCTION("""COMPUTED_VALUE"""),"")</f>
        <v/>
      </c>
      <c r="X999" s="52" t="str">
        <f>IFERROR(__xludf.DUMMYFUNCTION("""COMPUTED_VALUE"""),"")</f>
        <v/>
      </c>
      <c r="Y999" s="52" t="str">
        <f>IFERROR(__xludf.DUMMYFUNCTION("""COMPUTED_VALUE"""),"")</f>
        <v/>
      </c>
      <c r="Z999" s="52" t="str">
        <f>IFERROR(__xludf.DUMMYFUNCTION("""COMPUTED_VALUE"""),"")</f>
        <v/>
      </c>
      <c r="AA999" s="52" t="str">
        <f>IFERROR(__xludf.DUMMYFUNCTION("""COMPUTED_VALUE"""),"")</f>
        <v/>
      </c>
      <c r="AB999" s="52" t="str">
        <f>IFERROR(__xludf.DUMMYFUNCTION("""COMPUTED_VALUE"""),"")</f>
        <v/>
      </c>
      <c r="AC999" s="52" t="str">
        <f>IFERROR(__xludf.DUMMYFUNCTION("""COMPUTED_VALUE"""),"")</f>
        <v/>
      </c>
      <c r="AD999" s="52" t="str">
        <f>IFERROR(__xludf.DUMMYFUNCTION("""COMPUTED_VALUE"""),"")</f>
        <v/>
      </c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</row>
    <row r="1000">
      <c r="B1000" s="49"/>
      <c r="C1000" s="49" t="str">
        <f t="shared" si="2"/>
        <v/>
      </c>
      <c r="D1000" s="50" t="str">
        <f t="shared" si="3"/>
        <v/>
      </c>
      <c r="E1000" s="51" t="str">
        <f t="shared" ref="E1000:T1000" si="1001">IFERROR(VLOOKUP($A1000,INDIRECT("'" &amp; E$1 &amp; "'!$C:$G"), 5, FALSE),"")</f>
        <v/>
      </c>
      <c r="F1000" s="51" t="str">
        <f t="shared" si="1001"/>
        <v/>
      </c>
      <c r="G1000" s="51" t="str">
        <f t="shared" si="1001"/>
        <v/>
      </c>
      <c r="H1000" s="51" t="str">
        <f t="shared" si="1001"/>
        <v/>
      </c>
      <c r="I1000" s="51" t="str">
        <f t="shared" si="1001"/>
        <v/>
      </c>
      <c r="J1000" s="51" t="str">
        <f t="shared" si="1001"/>
        <v/>
      </c>
      <c r="K1000" s="51" t="str">
        <f t="shared" si="1001"/>
        <v/>
      </c>
      <c r="L1000" s="51" t="str">
        <f t="shared" si="1001"/>
        <v/>
      </c>
      <c r="M1000" s="51" t="str">
        <f t="shared" si="1001"/>
        <v/>
      </c>
      <c r="N1000" s="51" t="str">
        <f t="shared" si="1001"/>
        <v/>
      </c>
      <c r="O1000" s="51" t="str">
        <f t="shared" si="1001"/>
        <v/>
      </c>
      <c r="P1000" s="51" t="str">
        <f t="shared" si="1001"/>
        <v/>
      </c>
      <c r="Q1000" s="51" t="str">
        <f t="shared" si="1001"/>
        <v/>
      </c>
      <c r="R1000" s="51" t="str">
        <f t="shared" si="1001"/>
        <v/>
      </c>
      <c r="S1000" s="51" t="str">
        <f t="shared" si="1001"/>
        <v/>
      </c>
      <c r="T1000" s="51" t="str">
        <f t="shared" si="1001"/>
        <v/>
      </c>
      <c r="U1000" s="52"/>
      <c r="V1000" s="52" t="str">
        <f>IFERROR(__xludf.DUMMYFUNCTION("""COMPUTED_VALUE"""),"")</f>
        <v/>
      </c>
      <c r="W1000" s="52" t="str">
        <f>IFERROR(__xludf.DUMMYFUNCTION("""COMPUTED_VALUE"""),"")</f>
        <v/>
      </c>
      <c r="X1000" s="52" t="str">
        <f>IFERROR(__xludf.DUMMYFUNCTION("""COMPUTED_VALUE"""),"")</f>
        <v/>
      </c>
      <c r="Y1000" s="52" t="str">
        <f>IFERROR(__xludf.DUMMYFUNCTION("""COMPUTED_VALUE"""),"")</f>
        <v/>
      </c>
      <c r="Z1000" s="52" t="str">
        <f>IFERROR(__xludf.DUMMYFUNCTION("""COMPUTED_VALUE"""),"")</f>
        <v/>
      </c>
      <c r="AA1000" s="52" t="str">
        <f>IFERROR(__xludf.DUMMYFUNCTION("""COMPUTED_VALUE"""),"")</f>
        <v/>
      </c>
      <c r="AB1000" s="52" t="str">
        <f>IFERROR(__xludf.DUMMYFUNCTION("""COMPUTED_VALUE"""),"")</f>
        <v/>
      </c>
      <c r="AC1000" s="52" t="str">
        <f>IFERROR(__xludf.DUMMYFUNCTION("""COMPUTED_VALUE"""),"")</f>
        <v/>
      </c>
      <c r="AD1000" s="52" t="str">
        <f>IFERROR(__xludf.DUMMYFUNCTION("""COMPUTED_VALUE"""),"")</f>
        <v/>
      </c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</row>
    <row r="1001">
      <c r="B1001" s="49"/>
      <c r="C1001" s="49" t="str">
        <f t="shared" si="2"/>
        <v/>
      </c>
      <c r="D1001" s="50" t="str">
        <f t="shared" si="3"/>
        <v/>
      </c>
      <c r="E1001" s="51" t="str">
        <f t="shared" ref="E1001:T1001" si="1002">IFERROR(VLOOKUP($A1001,INDIRECT("'" &amp; E$1 &amp; "'!$C:$G"), 5, FALSE),"")</f>
        <v/>
      </c>
      <c r="F1001" s="51" t="str">
        <f t="shared" si="1002"/>
        <v/>
      </c>
      <c r="G1001" s="51" t="str">
        <f t="shared" si="1002"/>
        <v/>
      </c>
      <c r="H1001" s="51" t="str">
        <f t="shared" si="1002"/>
        <v/>
      </c>
      <c r="I1001" s="51" t="str">
        <f t="shared" si="1002"/>
        <v/>
      </c>
      <c r="J1001" s="51" t="str">
        <f t="shared" si="1002"/>
        <v/>
      </c>
      <c r="K1001" s="51" t="str">
        <f t="shared" si="1002"/>
        <v/>
      </c>
      <c r="L1001" s="51" t="str">
        <f t="shared" si="1002"/>
        <v/>
      </c>
      <c r="M1001" s="51" t="str">
        <f t="shared" si="1002"/>
        <v/>
      </c>
      <c r="N1001" s="51" t="str">
        <f t="shared" si="1002"/>
        <v/>
      </c>
      <c r="O1001" s="51" t="str">
        <f t="shared" si="1002"/>
        <v/>
      </c>
      <c r="P1001" s="51" t="str">
        <f t="shared" si="1002"/>
        <v/>
      </c>
      <c r="Q1001" s="51" t="str">
        <f t="shared" si="1002"/>
        <v/>
      </c>
      <c r="R1001" s="51" t="str">
        <f t="shared" si="1002"/>
        <v/>
      </c>
      <c r="S1001" s="51" t="str">
        <f t="shared" si="1002"/>
        <v/>
      </c>
      <c r="T1001" s="51" t="str">
        <f t="shared" si="1002"/>
        <v/>
      </c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</row>
    <row r="1002">
      <c r="B1002" s="49"/>
      <c r="C1002" s="49" t="str">
        <f t="shared" si="2"/>
        <v/>
      </c>
      <c r="D1002" s="50" t="str">
        <f t="shared" si="3"/>
        <v/>
      </c>
      <c r="E1002" s="51" t="str">
        <f t="shared" ref="E1002:T1002" si="1003">IFERROR(VLOOKUP($A1002,INDIRECT("'" &amp; E$1 &amp; "'!$C:$G"), 5, FALSE),"")</f>
        <v/>
      </c>
      <c r="F1002" s="51" t="str">
        <f t="shared" si="1003"/>
        <v/>
      </c>
      <c r="G1002" s="51" t="str">
        <f t="shared" si="1003"/>
        <v/>
      </c>
      <c r="H1002" s="51" t="str">
        <f t="shared" si="1003"/>
        <v/>
      </c>
      <c r="I1002" s="51" t="str">
        <f t="shared" si="1003"/>
        <v/>
      </c>
      <c r="J1002" s="51" t="str">
        <f t="shared" si="1003"/>
        <v/>
      </c>
      <c r="K1002" s="51" t="str">
        <f t="shared" si="1003"/>
        <v/>
      </c>
      <c r="L1002" s="51" t="str">
        <f t="shared" si="1003"/>
        <v/>
      </c>
      <c r="M1002" s="51" t="str">
        <f t="shared" si="1003"/>
        <v/>
      </c>
      <c r="N1002" s="51" t="str">
        <f t="shared" si="1003"/>
        <v/>
      </c>
      <c r="O1002" s="51" t="str">
        <f t="shared" si="1003"/>
        <v/>
      </c>
      <c r="P1002" s="51" t="str">
        <f t="shared" si="1003"/>
        <v/>
      </c>
      <c r="Q1002" s="51" t="str">
        <f t="shared" si="1003"/>
        <v/>
      </c>
      <c r="R1002" s="51" t="str">
        <f t="shared" si="1003"/>
        <v/>
      </c>
      <c r="S1002" s="51" t="str">
        <f t="shared" si="1003"/>
        <v/>
      </c>
      <c r="T1002" s="51" t="str">
        <f t="shared" si="1003"/>
        <v/>
      </c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/>
      <c r="AT1002" s="52"/>
      <c r="AU1002" s="52"/>
      <c r="AV1002" s="52"/>
      <c r="AW1002" s="52"/>
      <c r="AX1002" s="52"/>
      <c r="AY1002" s="52"/>
      <c r="AZ1002" s="52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</row>
    <row r="1003">
      <c r="B1003" s="49"/>
      <c r="C1003" s="49" t="str">
        <f t="shared" si="2"/>
        <v/>
      </c>
      <c r="D1003" s="50" t="str">
        <f t="shared" si="3"/>
        <v/>
      </c>
      <c r="E1003" s="51" t="str">
        <f t="shared" ref="E1003:T1003" si="1004">IFERROR(VLOOKUP($A1003,INDIRECT("'" &amp; E$1 &amp; "'!$C:$G"), 5, FALSE),"")</f>
        <v/>
      </c>
      <c r="F1003" s="51" t="str">
        <f t="shared" si="1004"/>
        <v/>
      </c>
      <c r="G1003" s="51" t="str">
        <f t="shared" si="1004"/>
        <v/>
      </c>
      <c r="H1003" s="51" t="str">
        <f t="shared" si="1004"/>
        <v/>
      </c>
      <c r="I1003" s="51" t="str">
        <f t="shared" si="1004"/>
        <v/>
      </c>
      <c r="J1003" s="51" t="str">
        <f t="shared" si="1004"/>
        <v/>
      </c>
      <c r="K1003" s="51" t="str">
        <f t="shared" si="1004"/>
        <v/>
      </c>
      <c r="L1003" s="51" t="str">
        <f t="shared" si="1004"/>
        <v/>
      </c>
      <c r="M1003" s="51" t="str">
        <f t="shared" si="1004"/>
        <v/>
      </c>
      <c r="N1003" s="51" t="str">
        <f t="shared" si="1004"/>
        <v/>
      </c>
      <c r="O1003" s="51" t="str">
        <f t="shared" si="1004"/>
        <v/>
      </c>
      <c r="P1003" s="51" t="str">
        <f t="shared" si="1004"/>
        <v/>
      </c>
      <c r="Q1003" s="51" t="str">
        <f t="shared" si="1004"/>
        <v/>
      </c>
      <c r="R1003" s="51" t="str">
        <f t="shared" si="1004"/>
        <v/>
      </c>
      <c r="S1003" s="51" t="str">
        <f t="shared" si="1004"/>
        <v/>
      </c>
      <c r="T1003" s="51" t="str">
        <f t="shared" si="1004"/>
        <v/>
      </c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</row>
    <row r="1004">
      <c r="B1004" s="49"/>
      <c r="C1004" s="49" t="str">
        <f t="shared" si="2"/>
        <v/>
      </c>
      <c r="D1004" s="50" t="str">
        <f t="shared" si="3"/>
        <v/>
      </c>
      <c r="E1004" s="51" t="str">
        <f t="shared" ref="E1004:T1004" si="1005">IFERROR(VLOOKUP($A1004,INDIRECT("'" &amp; E$1 &amp; "'!$C:$G"), 5, FALSE),"")</f>
        <v/>
      </c>
      <c r="F1004" s="51" t="str">
        <f t="shared" si="1005"/>
        <v/>
      </c>
      <c r="G1004" s="51" t="str">
        <f t="shared" si="1005"/>
        <v/>
      </c>
      <c r="H1004" s="51" t="str">
        <f t="shared" si="1005"/>
        <v/>
      </c>
      <c r="I1004" s="51" t="str">
        <f t="shared" si="1005"/>
        <v/>
      </c>
      <c r="J1004" s="51" t="str">
        <f t="shared" si="1005"/>
        <v/>
      </c>
      <c r="K1004" s="51" t="str">
        <f t="shared" si="1005"/>
        <v/>
      </c>
      <c r="L1004" s="51" t="str">
        <f t="shared" si="1005"/>
        <v/>
      </c>
      <c r="M1004" s="51" t="str">
        <f t="shared" si="1005"/>
        <v/>
      </c>
      <c r="N1004" s="51" t="str">
        <f t="shared" si="1005"/>
        <v/>
      </c>
      <c r="O1004" s="51" t="str">
        <f t="shared" si="1005"/>
        <v/>
      </c>
      <c r="P1004" s="51" t="str">
        <f t="shared" si="1005"/>
        <v/>
      </c>
      <c r="Q1004" s="51" t="str">
        <f t="shared" si="1005"/>
        <v/>
      </c>
      <c r="R1004" s="51" t="str">
        <f t="shared" si="1005"/>
        <v/>
      </c>
      <c r="S1004" s="51" t="str">
        <f t="shared" si="1005"/>
        <v/>
      </c>
      <c r="T1004" s="51" t="str">
        <f t="shared" si="1005"/>
        <v/>
      </c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</row>
    <row r="1005">
      <c r="B1005" s="49"/>
      <c r="C1005" s="49" t="str">
        <f t="shared" si="2"/>
        <v/>
      </c>
      <c r="D1005" s="50" t="str">
        <f t="shared" si="3"/>
        <v/>
      </c>
      <c r="E1005" s="51" t="str">
        <f t="shared" ref="E1005:T1005" si="1006">IFERROR(VLOOKUP($A1005,INDIRECT("'" &amp; E$1 &amp; "'!$C:$G"), 5, FALSE),"")</f>
        <v/>
      </c>
      <c r="F1005" s="51" t="str">
        <f t="shared" si="1006"/>
        <v/>
      </c>
      <c r="G1005" s="51" t="str">
        <f t="shared" si="1006"/>
        <v/>
      </c>
      <c r="H1005" s="51" t="str">
        <f t="shared" si="1006"/>
        <v/>
      </c>
      <c r="I1005" s="51" t="str">
        <f t="shared" si="1006"/>
        <v/>
      </c>
      <c r="J1005" s="51" t="str">
        <f t="shared" si="1006"/>
        <v/>
      </c>
      <c r="K1005" s="51" t="str">
        <f t="shared" si="1006"/>
        <v/>
      </c>
      <c r="L1005" s="51" t="str">
        <f t="shared" si="1006"/>
        <v/>
      </c>
      <c r="M1005" s="51" t="str">
        <f t="shared" si="1006"/>
        <v/>
      </c>
      <c r="N1005" s="51" t="str">
        <f t="shared" si="1006"/>
        <v/>
      </c>
      <c r="O1005" s="51" t="str">
        <f t="shared" si="1006"/>
        <v/>
      </c>
      <c r="P1005" s="51" t="str">
        <f t="shared" si="1006"/>
        <v/>
      </c>
      <c r="Q1005" s="51" t="str">
        <f t="shared" si="1006"/>
        <v/>
      </c>
      <c r="R1005" s="51" t="str">
        <f t="shared" si="1006"/>
        <v/>
      </c>
      <c r="S1005" s="51" t="str">
        <f t="shared" si="1006"/>
        <v/>
      </c>
      <c r="T1005" s="51" t="str">
        <f t="shared" si="1006"/>
        <v/>
      </c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  <c r="AO1005" s="52"/>
      <c r="AP1005" s="52"/>
      <c r="AQ1005" s="52"/>
      <c r="AR1005" s="52"/>
      <c r="AS1005" s="52"/>
      <c r="AT1005" s="52"/>
      <c r="AU1005" s="52"/>
      <c r="AV1005" s="52"/>
      <c r="AW1005" s="52"/>
      <c r="AX1005" s="52"/>
      <c r="AY1005" s="52"/>
      <c r="AZ1005" s="52"/>
      <c r="BA1005" s="52"/>
      <c r="BB1005" s="52"/>
      <c r="BC1005" s="52"/>
      <c r="BD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</row>
    <row r="1006">
      <c r="B1006" s="49"/>
      <c r="C1006" s="49" t="str">
        <f t="shared" si="2"/>
        <v/>
      </c>
      <c r="D1006" s="50" t="str">
        <f t="shared" si="3"/>
        <v/>
      </c>
      <c r="E1006" s="51" t="str">
        <f t="shared" ref="E1006:T1006" si="1007">IFERROR(VLOOKUP($A1006,INDIRECT("'" &amp; E$1 &amp; "'!$C:$G"), 5, FALSE),"")</f>
        <v/>
      </c>
      <c r="F1006" s="51" t="str">
        <f t="shared" si="1007"/>
        <v/>
      </c>
      <c r="G1006" s="51" t="str">
        <f t="shared" si="1007"/>
        <v/>
      </c>
      <c r="H1006" s="51" t="str">
        <f t="shared" si="1007"/>
        <v/>
      </c>
      <c r="I1006" s="51" t="str">
        <f t="shared" si="1007"/>
        <v/>
      </c>
      <c r="J1006" s="51" t="str">
        <f t="shared" si="1007"/>
        <v/>
      </c>
      <c r="K1006" s="51" t="str">
        <f t="shared" si="1007"/>
        <v/>
      </c>
      <c r="L1006" s="51" t="str">
        <f t="shared" si="1007"/>
        <v/>
      </c>
      <c r="M1006" s="51" t="str">
        <f t="shared" si="1007"/>
        <v/>
      </c>
      <c r="N1006" s="51" t="str">
        <f t="shared" si="1007"/>
        <v/>
      </c>
      <c r="O1006" s="51" t="str">
        <f t="shared" si="1007"/>
        <v/>
      </c>
      <c r="P1006" s="51" t="str">
        <f t="shared" si="1007"/>
        <v/>
      </c>
      <c r="Q1006" s="51" t="str">
        <f t="shared" si="1007"/>
        <v/>
      </c>
      <c r="R1006" s="51" t="str">
        <f t="shared" si="1007"/>
        <v/>
      </c>
      <c r="S1006" s="51" t="str">
        <f t="shared" si="1007"/>
        <v/>
      </c>
      <c r="T1006" s="51" t="str">
        <f t="shared" si="1007"/>
        <v/>
      </c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  <c r="AI1006" s="52"/>
      <c r="AJ1006" s="52"/>
      <c r="AK1006" s="52"/>
      <c r="AL1006" s="52"/>
      <c r="AM1006" s="52"/>
      <c r="AN1006" s="52"/>
      <c r="AO1006" s="52"/>
      <c r="AP1006" s="52"/>
      <c r="AQ1006" s="52"/>
      <c r="AR1006" s="52"/>
      <c r="AS1006" s="52"/>
      <c r="AT1006" s="52"/>
      <c r="AU1006" s="52"/>
      <c r="AV1006" s="52"/>
      <c r="AW1006" s="52"/>
      <c r="AX1006" s="52"/>
      <c r="AY1006" s="52"/>
      <c r="AZ1006" s="52"/>
      <c r="BA1006" s="52"/>
      <c r="BB1006" s="52"/>
      <c r="BC1006" s="52"/>
      <c r="BD1006" s="52"/>
      <c r="BE1006" s="52"/>
      <c r="BF1006" s="52"/>
      <c r="BG1006" s="52"/>
      <c r="BH1006" s="52"/>
      <c r="BI1006" s="52"/>
      <c r="BJ1006" s="52"/>
      <c r="BK1006" s="52"/>
      <c r="BL1006" s="52"/>
      <c r="BM1006" s="52"/>
      <c r="BN1006" s="52"/>
      <c r="BO1006" s="52"/>
    </row>
    <row r="1007">
      <c r="B1007" s="49"/>
      <c r="C1007" s="49" t="str">
        <f t="shared" si="2"/>
        <v/>
      </c>
      <c r="D1007" s="50" t="str">
        <f t="shared" si="3"/>
        <v/>
      </c>
      <c r="E1007" s="51" t="str">
        <f t="shared" ref="E1007:T1007" si="1008">IFERROR(VLOOKUP($A1007,INDIRECT("'" &amp; E$1 &amp; "'!$C:$G"), 5, FALSE),"")</f>
        <v/>
      </c>
      <c r="F1007" s="51" t="str">
        <f t="shared" si="1008"/>
        <v/>
      </c>
      <c r="G1007" s="51" t="str">
        <f t="shared" si="1008"/>
        <v/>
      </c>
      <c r="H1007" s="51" t="str">
        <f t="shared" si="1008"/>
        <v/>
      </c>
      <c r="I1007" s="51" t="str">
        <f t="shared" si="1008"/>
        <v/>
      </c>
      <c r="J1007" s="51" t="str">
        <f t="shared" si="1008"/>
        <v/>
      </c>
      <c r="K1007" s="51" t="str">
        <f t="shared" si="1008"/>
        <v/>
      </c>
      <c r="L1007" s="51" t="str">
        <f t="shared" si="1008"/>
        <v/>
      </c>
      <c r="M1007" s="51" t="str">
        <f t="shared" si="1008"/>
        <v/>
      </c>
      <c r="N1007" s="51" t="str">
        <f t="shared" si="1008"/>
        <v/>
      </c>
      <c r="O1007" s="51" t="str">
        <f t="shared" si="1008"/>
        <v/>
      </c>
      <c r="P1007" s="51" t="str">
        <f t="shared" si="1008"/>
        <v/>
      </c>
      <c r="Q1007" s="51" t="str">
        <f t="shared" si="1008"/>
        <v/>
      </c>
      <c r="R1007" s="51" t="str">
        <f t="shared" si="1008"/>
        <v/>
      </c>
      <c r="S1007" s="51" t="str">
        <f t="shared" si="1008"/>
        <v/>
      </c>
      <c r="T1007" s="51" t="str">
        <f t="shared" si="1008"/>
        <v/>
      </c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2"/>
      <c r="BK1007" s="52"/>
      <c r="BL1007" s="52"/>
      <c r="BM1007" s="52"/>
      <c r="BN1007" s="52"/>
      <c r="BO1007" s="52"/>
    </row>
    <row r="1008">
      <c r="B1008" s="49"/>
      <c r="C1008" s="49" t="str">
        <f t="shared" si="2"/>
        <v/>
      </c>
      <c r="D1008" s="50" t="str">
        <f t="shared" si="3"/>
        <v/>
      </c>
      <c r="E1008" s="51" t="str">
        <f t="shared" ref="E1008:T1008" si="1009">IFERROR(VLOOKUP($A1008,INDIRECT("'" &amp; E$1 &amp; "'!$C:$G"), 5, FALSE),"")</f>
        <v/>
      </c>
      <c r="F1008" s="51" t="str">
        <f t="shared" si="1009"/>
        <v/>
      </c>
      <c r="G1008" s="51" t="str">
        <f t="shared" si="1009"/>
        <v/>
      </c>
      <c r="H1008" s="51" t="str">
        <f t="shared" si="1009"/>
        <v/>
      </c>
      <c r="I1008" s="51" t="str">
        <f t="shared" si="1009"/>
        <v/>
      </c>
      <c r="J1008" s="51" t="str">
        <f t="shared" si="1009"/>
        <v/>
      </c>
      <c r="K1008" s="51" t="str">
        <f t="shared" si="1009"/>
        <v/>
      </c>
      <c r="L1008" s="51" t="str">
        <f t="shared" si="1009"/>
        <v/>
      </c>
      <c r="M1008" s="51" t="str">
        <f t="shared" si="1009"/>
        <v/>
      </c>
      <c r="N1008" s="51" t="str">
        <f t="shared" si="1009"/>
        <v/>
      </c>
      <c r="O1008" s="51" t="str">
        <f t="shared" si="1009"/>
        <v/>
      </c>
      <c r="P1008" s="51" t="str">
        <f t="shared" si="1009"/>
        <v/>
      </c>
      <c r="Q1008" s="51" t="str">
        <f t="shared" si="1009"/>
        <v/>
      </c>
      <c r="R1008" s="51" t="str">
        <f t="shared" si="1009"/>
        <v/>
      </c>
      <c r="S1008" s="51" t="str">
        <f t="shared" si="1009"/>
        <v/>
      </c>
      <c r="T1008" s="51" t="str">
        <f t="shared" si="1009"/>
        <v/>
      </c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  <c r="AX1008" s="52"/>
      <c r="AY1008" s="52"/>
      <c r="AZ1008" s="52"/>
      <c r="BA1008" s="52"/>
      <c r="BB1008" s="52"/>
      <c r="BC1008" s="52"/>
      <c r="BD1008" s="52"/>
      <c r="BE1008" s="52"/>
      <c r="BF1008" s="52"/>
      <c r="BG1008" s="52"/>
      <c r="BH1008" s="52"/>
      <c r="BI1008" s="52"/>
      <c r="BJ1008" s="52"/>
      <c r="BK1008" s="52"/>
      <c r="BL1008" s="52"/>
      <c r="BM1008" s="52"/>
      <c r="BN1008" s="52"/>
      <c r="BO1008" s="52"/>
    </row>
    <row r="1009">
      <c r="B1009" s="49"/>
      <c r="C1009" s="49" t="str">
        <f t="shared" si="2"/>
        <v/>
      </c>
      <c r="D1009" s="50" t="str">
        <f t="shared" si="3"/>
        <v/>
      </c>
      <c r="E1009" s="51" t="str">
        <f t="shared" ref="E1009:T1009" si="1010">IFERROR(VLOOKUP($A1009,INDIRECT("'" &amp; E$1 &amp; "'!$C:$G"), 5, FALSE),"")</f>
        <v/>
      </c>
      <c r="F1009" s="51" t="str">
        <f t="shared" si="1010"/>
        <v/>
      </c>
      <c r="G1009" s="51" t="str">
        <f t="shared" si="1010"/>
        <v/>
      </c>
      <c r="H1009" s="51" t="str">
        <f t="shared" si="1010"/>
        <v/>
      </c>
      <c r="I1009" s="51" t="str">
        <f t="shared" si="1010"/>
        <v/>
      </c>
      <c r="J1009" s="51" t="str">
        <f t="shared" si="1010"/>
        <v/>
      </c>
      <c r="K1009" s="51" t="str">
        <f t="shared" si="1010"/>
        <v/>
      </c>
      <c r="L1009" s="51" t="str">
        <f t="shared" si="1010"/>
        <v/>
      </c>
      <c r="M1009" s="51" t="str">
        <f t="shared" si="1010"/>
        <v/>
      </c>
      <c r="N1009" s="51" t="str">
        <f t="shared" si="1010"/>
        <v/>
      </c>
      <c r="O1009" s="51" t="str">
        <f t="shared" si="1010"/>
        <v/>
      </c>
      <c r="P1009" s="51" t="str">
        <f t="shared" si="1010"/>
        <v/>
      </c>
      <c r="Q1009" s="51" t="str">
        <f t="shared" si="1010"/>
        <v/>
      </c>
      <c r="R1009" s="51" t="str">
        <f t="shared" si="1010"/>
        <v/>
      </c>
      <c r="S1009" s="51" t="str">
        <f t="shared" si="1010"/>
        <v/>
      </c>
      <c r="T1009" s="51" t="str">
        <f t="shared" si="1010"/>
        <v/>
      </c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2"/>
      <c r="AM1009" s="52"/>
      <c r="AN1009" s="52"/>
      <c r="AO1009" s="52"/>
      <c r="AP1009" s="52"/>
      <c r="AQ1009" s="52"/>
      <c r="AR1009" s="52"/>
      <c r="AS1009" s="52"/>
      <c r="AT1009" s="52"/>
      <c r="AU1009" s="52"/>
      <c r="AV1009" s="52"/>
      <c r="AW1009" s="52"/>
      <c r="AX1009" s="52"/>
      <c r="AY1009" s="52"/>
      <c r="AZ1009" s="52"/>
      <c r="BA1009" s="52"/>
      <c r="BB1009" s="52"/>
      <c r="BC1009" s="52"/>
      <c r="BD1009" s="52"/>
      <c r="BE1009" s="52"/>
      <c r="BF1009" s="52"/>
      <c r="BG1009" s="52"/>
      <c r="BH1009" s="52"/>
      <c r="BI1009" s="52"/>
      <c r="BJ1009" s="52"/>
      <c r="BK1009" s="52"/>
      <c r="BL1009" s="52"/>
      <c r="BM1009" s="52"/>
      <c r="BN1009" s="52"/>
      <c r="BO1009" s="52"/>
    </row>
    <row r="1010">
      <c r="B1010" s="49"/>
      <c r="C1010" s="49" t="str">
        <f t="shared" si="2"/>
        <v/>
      </c>
      <c r="D1010" s="50" t="str">
        <f t="shared" si="3"/>
        <v/>
      </c>
      <c r="E1010" s="51" t="str">
        <f t="shared" ref="E1010:T1010" si="1011">IFERROR(VLOOKUP($A1010,INDIRECT("'" &amp; E$1 &amp; "'!$C:$G"), 5, FALSE),"")</f>
        <v/>
      </c>
      <c r="F1010" s="51" t="str">
        <f t="shared" si="1011"/>
        <v/>
      </c>
      <c r="G1010" s="51" t="str">
        <f t="shared" si="1011"/>
        <v/>
      </c>
      <c r="H1010" s="51" t="str">
        <f t="shared" si="1011"/>
        <v/>
      </c>
      <c r="I1010" s="51" t="str">
        <f t="shared" si="1011"/>
        <v/>
      </c>
      <c r="J1010" s="51" t="str">
        <f t="shared" si="1011"/>
        <v/>
      </c>
      <c r="K1010" s="51" t="str">
        <f t="shared" si="1011"/>
        <v/>
      </c>
      <c r="L1010" s="51" t="str">
        <f t="shared" si="1011"/>
        <v/>
      </c>
      <c r="M1010" s="51" t="str">
        <f t="shared" si="1011"/>
        <v/>
      </c>
      <c r="N1010" s="51" t="str">
        <f t="shared" si="1011"/>
        <v/>
      </c>
      <c r="O1010" s="51" t="str">
        <f t="shared" si="1011"/>
        <v/>
      </c>
      <c r="P1010" s="51" t="str">
        <f t="shared" si="1011"/>
        <v/>
      </c>
      <c r="Q1010" s="51" t="str">
        <f t="shared" si="1011"/>
        <v/>
      </c>
      <c r="R1010" s="51" t="str">
        <f t="shared" si="1011"/>
        <v/>
      </c>
      <c r="S1010" s="51" t="str">
        <f t="shared" si="1011"/>
        <v/>
      </c>
      <c r="T1010" s="51" t="str">
        <f t="shared" si="1011"/>
        <v/>
      </c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  <c r="AX1010" s="52"/>
      <c r="AY1010" s="52"/>
      <c r="AZ1010" s="52"/>
      <c r="BA1010" s="52"/>
      <c r="BB1010" s="52"/>
      <c r="BC1010" s="52"/>
      <c r="BD1010" s="52"/>
      <c r="BE1010" s="52"/>
      <c r="BF1010" s="52"/>
      <c r="BG1010" s="52"/>
      <c r="BH1010" s="52"/>
      <c r="BI1010" s="52"/>
      <c r="BJ1010" s="52"/>
      <c r="BK1010" s="52"/>
      <c r="BL1010" s="52"/>
      <c r="BM1010" s="52"/>
      <c r="BN1010" s="52"/>
      <c r="BO1010" s="52"/>
    </row>
    <row r="1011">
      <c r="B1011" s="49"/>
      <c r="C1011" s="49" t="str">
        <f t="shared" si="2"/>
        <v/>
      </c>
      <c r="D1011" s="50" t="str">
        <f t="shared" si="3"/>
        <v/>
      </c>
      <c r="E1011" s="51" t="str">
        <f t="shared" ref="E1011:T1011" si="1012">IFERROR(VLOOKUP($A1011,INDIRECT("'" &amp; E$1 &amp; "'!$C:$G"), 5, FALSE),"")</f>
        <v/>
      </c>
      <c r="F1011" s="51" t="str">
        <f t="shared" si="1012"/>
        <v/>
      </c>
      <c r="G1011" s="51" t="str">
        <f t="shared" si="1012"/>
        <v/>
      </c>
      <c r="H1011" s="51" t="str">
        <f t="shared" si="1012"/>
        <v/>
      </c>
      <c r="I1011" s="51" t="str">
        <f t="shared" si="1012"/>
        <v/>
      </c>
      <c r="J1011" s="51" t="str">
        <f t="shared" si="1012"/>
        <v/>
      </c>
      <c r="K1011" s="51" t="str">
        <f t="shared" si="1012"/>
        <v/>
      </c>
      <c r="L1011" s="51" t="str">
        <f t="shared" si="1012"/>
        <v/>
      </c>
      <c r="M1011" s="51" t="str">
        <f t="shared" si="1012"/>
        <v/>
      </c>
      <c r="N1011" s="51" t="str">
        <f t="shared" si="1012"/>
        <v/>
      </c>
      <c r="O1011" s="51" t="str">
        <f t="shared" si="1012"/>
        <v/>
      </c>
      <c r="P1011" s="51" t="str">
        <f t="shared" si="1012"/>
        <v/>
      </c>
      <c r="Q1011" s="51" t="str">
        <f t="shared" si="1012"/>
        <v/>
      </c>
      <c r="R1011" s="51" t="str">
        <f t="shared" si="1012"/>
        <v/>
      </c>
      <c r="S1011" s="51" t="str">
        <f t="shared" si="1012"/>
        <v/>
      </c>
      <c r="T1011" s="51" t="str">
        <f t="shared" si="1012"/>
        <v/>
      </c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  <c r="AX1011" s="52"/>
      <c r="AY1011" s="52"/>
      <c r="AZ1011" s="52"/>
      <c r="BA1011" s="52"/>
      <c r="BB1011" s="52"/>
      <c r="BC1011" s="52"/>
      <c r="BD1011" s="52"/>
      <c r="BE1011" s="52"/>
      <c r="BF1011" s="52"/>
      <c r="BG1011" s="52"/>
      <c r="BH1011" s="52"/>
      <c r="BI1011" s="52"/>
      <c r="BJ1011" s="52"/>
      <c r="BK1011" s="52"/>
      <c r="BL1011" s="52"/>
      <c r="BM1011" s="52"/>
      <c r="BN1011" s="52"/>
      <c r="BO1011" s="52"/>
    </row>
    <row r="1012">
      <c r="B1012" s="49"/>
      <c r="C1012" s="49" t="str">
        <f t="shared" si="2"/>
        <v/>
      </c>
      <c r="D1012" s="50" t="str">
        <f t="shared" si="3"/>
        <v/>
      </c>
      <c r="E1012" s="51" t="str">
        <f t="shared" ref="E1012:T1012" si="1013">IFERROR(VLOOKUP($A1012,INDIRECT("'" &amp; E$1 &amp; "'!$C:$G"), 5, FALSE),"")</f>
        <v/>
      </c>
      <c r="F1012" s="51" t="str">
        <f t="shared" si="1013"/>
        <v/>
      </c>
      <c r="G1012" s="51" t="str">
        <f t="shared" si="1013"/>
        <v/>
      </c>
      <c r="H1012" s="51" t="str">
        <f t="shared" si="1013"/>
        <v/>
      </c>
      <c r="I1012" s="51" t="str">
        <f t="shared" si="1013"/>
        <v/>
      </c>
      <c r="J1012" s="51" t="str">
        <f t="shared" si="1013"/>
        <v/>
      </c>
      <c r="K1012" s="51" t="str">
        <f t="shared" si="1013"/>
        <v/>
      </c>
      <c r="L1012" s="51" t="str">
        <f t="shared" si="1013"/>
        <v/>
      </c>
      <c r="M1012" s="51" t="str">
        <f t="shared" si="1013"/>
        <v/>
      </c>
      <c r="N1012" s="51" t="str">
        <f t="shared" si="1013"/>
        <v/>
      </c>
      <c r="O1012" s="51" t="str">
        <f t="shared" si="1013"/>
        <v/>
      </c>
      <c r="P1012" s="51" t="str">
        <f t="shared" si="1013"/>
        <v/>
      </c>
      <c r="Q1012" s="51" t="str">
        <f t="shared" si="1013"/>
        <v/>
      </c>
      <c r="R1012" s="51" t="str">
        <f t="shared" si="1013"/>
        <v/>
      </c>
      <c r="S1012" s="51" t="str">
        <f t="shared" si="1013"/>
        <v/>
      </c>
      <c r="T1012" s="51" t="str">
        <f t="shared" si="1013"/>
        <v/>
      </c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2"/>
      <c r="AM1012" s="52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  <c r="AX1012" s="52"/>
      <c r="AY1012" s="52"/>
      <c r="AZ1012" s="52"/>
      <c r="BA1012" s="52"/>
      <c r="BB1012" s="52"/>
      <c r="BC1012" s="52"/>
      <c r="BD1012" s="52"/>
      <c r="BE1012" s="52"/>
      <c r="BF1012" s="52"/>
      <c r="BG1012" s="52"/>
      <c r="BH1012" s="52"/>
      <c r="BI1012" s="52"/>
      <c r="BJ1012" s="52"/>
      <c r="BK1012" s="52"/>
      <c r="BL1012" s="52"/>
      <c r="BM1012" s="52"/>
      <c r="BN1012" s="52"/>
      <c r="BO1012" s="52"/>
    </row>
    <row r="1013">
      <c r="B1013" s="49"/>
      <c r="C1013" s="49" t="str">
        <f t="shared" si="2"/>
        <v/>
      </c>
      <c r="D1013" s="50" t="str">
        <f t="shared" si="3"/>
        <v/>
      </c>
      <c r="E1013" s="51" t="str">
        <f t="shared" ref="E1013:T1013" si="1014">IFERROR(VLOOKUP($A1013,INDIRECT("'" &amp; E$1 &amp; "'!$C:$G"), 5, FALSE),"")</f>
        <v/>
      </c>
      <c r="F1013" s="51" t="str">
        <f t="shared" si="1014"/>
        <v/>
      </c>
      <c r="G1013" s="51" t="str">
        <f t="shared" si="1014"/>
        <v/>
      </c>
      <c r="H1013" s="51" t="str">
        <f t="shared" si="1014"/>
        <v/>
      </c>
      <c r="I1013" s="51" t="str">
        <f t="shared" si="1014"/>
        <v/>
      </c>
      <c r="J1013" s="51" t="str">
        <f t="shared" si="1014"/>
        <v/>
      </c>
      <c r="K1013" s="51" t="str">
        <f t="shared" si="1014"/>
        <v/>
      </c>
      <c r="L1013" s="51" t="str">
        <f t="shared" si="1014"/>
        <v/>
      </c>
      <c r="M1013" s="51" t="str">
        <f t="shared" si="1014"/>
        <v/>
      </c>
      <c r="N1013" s="51" t="str">
        <f t="shared" si="1014"/>
        <v/>
      </c>
      <c r="O1013" s="51" t="str">
        <f t="shared" si="1014"/>
        <v/>
      </c>
      <c r="P1013" s="51" t="str">
        <f t="shared" si="1014"/>
        <v/>
      </c>
      <c r="Q1013" s="51" t="str">
        <f t="shared" si="1014"/>
        <v/>
      </c>
      <c r="R1013" s="51" t="str">
        <f t="shared" si="1014"/>
        <v/>
      </c>
      <c r="S1013" s="51" t="str">
        <f t="shared" si="1014"/>
        <v/>
      </c>
      <c r="T1013" s="51" t="str">
        <f t="shared" si="1014"/>
        <v/>
      </c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2"/>
      <c r="AJ1013" s="52"/>
      <c r="AK1013" s="52"/>
      <c r="AL1013" s="52"/>
      <c r="AM1013" s="52"/>
      <c r="AN1013" s="52"/>
      <c r="AO1013" s="52"/>
      <c r="AP1013" s="52"/>
      <c r="AQ1013" s="52"/>
      <c r="AR1013" s="52"/>
      <c r="AS1013" s="52"/>
      <c r="AT1013" s="52"/>
      <c r="AU1013" s="52"/>
      <c r="AV1013" s="52"/>
      <c r="AW1013" s="52"/>
      <c r="AX1013" s="52"/>
      <c r="AY1013" s="52"/>
      <c r="AZ1013" s="52"/>
      <c r="BA1013" s="52"/>
      <c r="BB1013" s="52"/>
      <c r="BC1013" s="52"/>
      <c r="BD1013" s="52"/>
      <c r="BE1013" s="52"/>
      <c r="BF1013" s="52"/>
      <c r="BG1013" s="52"/>
      <c r="BH1013" s="52"/>
      <c r="BI1013" s="52"/>
      <c r="BJ1013" s="52"/>
      <c r="BK1013" s="52"/>
      <c r="BL1013" s="52"/>
      <c r="BM1013" s="52"/>
      <c r="BN1013" s="52"/>
      <c r="BO1013" s="52"/>
    </row>
    <row r="1014">
      <c r="B1014" s="49"/>
      <c r="C1014" s="49" t="str">
        <f t="shared" si="2"/>
        <v/>
      </c>
      <c r="D1014" s="50" t="str">
        <f t="shared" si="3"/>
        <v/>
      </c>
      <c r="E1014" s="51" t="str">
        <f t="shared" ref="E1014:T1014" si="1015">IFERROR(VLOOKUP($A1014,INDIRECT("'" &amp; E$1 &amp; "'!$C:$G"), 5, FALSE),"")</f>
        <v/>
      </c>
      <c r="F1014" s="51" t="str">
        <f t="shared" si="1015"/>
        <v/>
      </c>
      <c r="G1014" s="51" t="str">
        <f t="shared" si="1015"/>
        <v/>
      </c>
      <c r="H1014" s="51" t="str">
        <f t="shared" si="1015"/>
        <v/>
      </c>
      <c r="I1014" s="51" t="str">
        <f t="shared" si="1015"/>
        <v/>
      </c>
      <c r="J1014" s="51" t="str">
        <f t="shared" si="1015"/>
        <v/>
      </c>
      <c r="K1014" s="51" t="str">
        <f t="shared" si="1015"/>
        <v/>
      </c>
      <c r="L1014" s="51" t="str">
        <f t="shared" si="1015"/>
        <v/>
      </c>
      <c r="M1014" s="51" t="str">
        <f t="shared" si="1015"/>
        <v/>
      </c>
      <c r="N1014" s="51" t="str">
        <f t="shared" si="1015"/>
        <v/>
      </c>
      <c r="O1014" s="51" t="str">
        <f t="shared" si="1015"/>
        <v/>
      </c>
      <c r="P1014" s="51" t="str">
        <f t="shared" si="1015"/>
        <v/>
      </c>
      <c r="Q1014" s="51" t="str">
        <f t="shared" si="1015"/>
        <v/>
      </c>
      <c r="R1014" s="51" t="str">
        <f t="shared" si="1015"/>
        <v/>
      </c>
      <c r="S1014" s="51" t="str">
        <f t="shared" si="1015"/>
        <v/>
      </c>
      <c r="T1014" s="51" t="str">
        <f t="shared" si="1015"/>
        <v/>
      </c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2"/>
      <c r="AJ1014" s="52"/>
      <c r="AK1014" s="52"/>
      <c r="AL1014" s="52"/>
      <c r="AM1014" s="52"/>
      <c r="AN1014" s="52"/>
      <c r="AO1014" s="52"/>
      <c r="AP1014" s="52"/>
      <c r="AQ1014" s="52"/>
      <c r="AR1014" s="52"/>
      <c r="AS1014" s="52"/>
      <c r="AT1014" s="52"/>
      <c r="AU1014" s="52"/>
      <c r="AV1014" s="52"/>
      <c r="AW1014" s="52"/>
      <c r="AX1014" s="52"/>
      <c r="AY1014" s="52"/>
      <c r="AZ1014" s="52"/>
      <c r="BA1014" s="52"/>
      <c r="BB1014" s="52"/>
      <c r="BC1014" s="52"/>
      <c r="BD1014" s="52"/>
      <c r="BE1014" s="52"/>
      <c r="BF1014" s="52"/>
      <c r="BG1014" s="52"/>
      <c r="BH1014" s="52"/>
      <c r="BI1014" s="52"/>
      <c r="BJ1014" s="52"/>
      <c r="BK1014" s="52"/>
      <c r="BL1014" s="52"/>
      <c r="BM1014" s="52"/>
      <c r="BN1014" s="52"/>
      <c r="BO1014" s="52"/>
    </row>
    <row r="1015">
      <c r="B1015" s="49"/>
      <c r="C1015" s="49" t="str">
        <f t="shared" si="2"/>
        <v/>
      </c>
      <c r="D1015" s="50" t="str">
        <f t="shared" si="3"/>
        <v/>
      </c>
      <c r="E1015" s="51" t="str">
        <f t="shared" ref="E1015:T1015" si="1016">IFERROR(VLOOKUP($A1015,INDIRECT("'" &amp; E$1 &amp; "'!$C:$G"), 5, FALSE),"")</f>
        <v/>
      </c>
      <c r="F1015" s="51" t="str">
        <f t="shared" si="1016"/>
        <v/>
      </c>
      <c r="G1015" s="51" t="str">
        <f t="shared" si="1016"/>
        <v/>
      </c>
      <c r="H1015" s="51" t="str">
        <f t="shared" si="1016"/>
        <v/>
      </c>
      <c r="I1015" s="51" t="str">
        <f t="shared" si="1016"/>
        <v/>
      </c>
      <c r="J1015" s="51" t="str">
        <f t="shared" si="1016"/>
        <v/>
      </c>
      <c r="K1015" s="51" t="str">
        <f t="shared" si="1016"/>
        <v/>
      </c>
      <c r="L1015" s="51" t="str">
        <f t="shared" si="1016"/>
        <v/>
      </c>
      <c r="M1015" s="51" t="str">
        <f t="shared" si="1016"/>
        <v/>
      </c>
      <c r="N1015" s="51" t="str">
        <f t="shared" si="1016"/>
        <v/>
      </c>
      <c r="O1015" s="51" t="str">
        <f t="shared" si="1016"/>
        <v/>
      </c>
      <c r="P1015" s="51" t="str">
        <f t="shared" si="1016"/>
        <v/>
      </c>
      <c r="Q1015" s="51" t="str">
        <f t="shared" si="1016"/>
        <v/>
      </c>
      <c r="R1015" s="51" t="str">
        <f t="shared" si="1016"/>
        <v/>
      </c>
      <c r="S1015" s="51" t="str">
        <f t="shared" si="1016"/>
        <v/>
      </c>
      <c r="T1015" s="51" t="str">
        <f t="shared" si="1016"/>
        <v/>
      </c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52"/>
      <c r="AK1015" s="52"/>
      <c r="AL1015" s="52"/>
      <c r="AM1015" s="52"/>
      <c r="AN1015" s="52"/>
      <c r="AO1015" s="52"/>
      <c r="AP1015" s="52"/>
      <c r="AQ1015" s="52"/>
      <c r="AR1015" s="52"/>
      <c r="AS1015" s="52"/>
      <c r="AT1015" s="52"/>
      <c r="AU1015" s="52"/>
      <c r="AV1015" s="52"/>
      <c r="AW1015" s="52"/>
      <c r="AX1015" s="52"/>
      <c r="AY1015" s="52"/>
      <c r="AZ1015" s="52"/>
      <c r="BA1015" s="52"/>
      <c r="BB1015" s="52"/>
      <c r="BC1015" s="52"/>
      <c r="BD1015" s="52"/>
      <c r="BE1015" s="52"/>
      <c r="BF1015" s="52"/>
      <c r="BG1015" s="52"/>
      <c r="BH1015" s="52"/>
      <c r="BI1015" s="52"/>
      <c r="BJ1015" s="52"/>
      <c r="BK1015" s="52"/>
      <c r="BL1015" s="52"/>
      <c r="BM1015" s="52"/>
      <c r="BN1015" s="52"/>
      <c r="BO1015" s="52"/>
    </row>
    <row r="1016">
      <c r="B1016" s="49"/>
      <c r="C1016" s="49" t="str">
        <f t="shared" si="2"/>
        <v/>
      </c>
      <c r="D1016" s="50" t="str">
        <f t="shared" si="3"/>
        <v/>
      </c>
      <c r="E1016" s="51" t="str">
        <f t="shared" ref="E1016:T1016" si="1017">IFERROR(VLOOKUP($A1016,INDIRECT("'" &amp; E$1 &amp; "'!$C:$G"), 5, FALSE),"")</f>
        <v/>
      </c>
      <c r="F1016" s="51" t="str">
        <f t="shared" si="1017"/>
        <v/>
      </c>
      <c r="G1016" s="51" t="str">
        <f t="shared" si="1017"/>
        <v/>
      </c>
      <c r="H1016" s="51" t="str">
        <f t="shared" si="1017"/>
        <v/>
      </c>
      <c r="I1016" s="51" t="str">
        <f t="shared" si="1017"/>
        <v/>
      </c>
      <c r="J1016" s="51" t="str">
        <f t="shared" si="1017"/>
        <v/>
      </c>
      <c r="K1016" s="51" t="str">
        <f t="shared" si="1017"/>
        <v/>
      </c>
      <c r="L1016" s="51" t="str">
        <f t="shared" si="1017"/>
        <v/>
      </c>
      <c r="M1016" s="51" t="str">
        <f t="shared" si="1017"/>
        <v/>
      </c>
      <c r="N1016" s="51" t="str">
        <f t="shared" si="1017"/>
        <v/>
      </c>
      <c r="O1016" s="51" t="str">
        <f t="shared" si="1017"/>
        <v/>
      </c>
      <c r="P1016" s="51" t="str">
        <f t="shared" si="1017"/>
        <v/>
      </c>
      <c r="Q1016" s="51" t="str">
        <f t="shared" si="1017"/>
        <v/>
      </c>
      <c r="R1016" s="51" t="str">
        <f t="shared" si="1017"/>
        <v/>
      </c>
      <c r="S1016" s="51" t="str">
        <f t="shared" si="1017"/>
        <v/>
      </c>
      <c r="T1016" s="51" t="str">
        <f t="shared" si="1017"/>
        <v/>
      </c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  <c r="AY1016" s="52"/>
      <c r="AZ1016" s="52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2"/>
      <c r="BK1016" s="52"/>
      <c r="BL1016" s="52"/>
      <c r="BM1016" s="52"/>
      <c r="BN1016" s="52"/>
      <c r="BO1016" s="52"/>
    </row>
    <row r="1017">
      <c r="B1017" s="49"/>
      <c r="C1017" s="49" t="str">
        <f t="shared" si="2"/>
        <v/>
      </c>
      <c r="D1017" s="50" t="str">
        <f t="shared" si="3"/>
        <v/>
      </c>
      <c r="E1017" s="51" t="str">
        <f t="shared" ref="E1017:T1017" si="1018">IFERROR(VLOOKUP($A1017,INDIRECT("'" &amp; E$1 &amp; "'!$C:$G"), 5, FALSE),"")</f>
        <v/>
      </c>
      <c r="F1017" s="51" t="str">
        <f t="shared" si="1018"/>
        <v/>
      </c>
      <c r="G1017" s="51" t="str">
        <f t="shared" si="1018"/>
        <v/>
      </c>
      <c r="H1017" s="51" t="str">
        <f t="shared" si="1018"/>
        <v/>
      </c>
      <c r="I1017" s="51" t="str">
        <f t="shared" si="1018"/>
        <v/>
      </c>
      <c r="J1017" s="51" t="str">
        <f t="shared" si="1018"/>
        <v/>
      </c>
      <c r="K1017" s="51" t="str">
        <f t="shared" si="1018"/>
        <v/>
      </c>
      <c r="L1017" s="51" t="str">
        <f t="shared" si="1018"/>
        <v/>
      </c>
      <c r="M1017" s="51" t="str">
        <f t="shared" si="1018"/>
        <v/>
      </c>
      <c r="N1017" s="51" t="str">
        <f t="shared" si="1018"/>
        <v/>
      </c>
      <c r="O1017" s="51" t="str">
        <f t="shared" si="1018"/>
        <v/>
      </c>
      <c r="P1017" s="51" t="str">
        <f t="shared" si="1018"/>
        <v/>
      </c>
      <c r="Q1017" s="51" t="str">
        <f t="shared" si="1018"/>
        <v/>
      </c>
      <c r="R1017" s="51" t="str">
        <f t="shared" si="1018"/>
        <v/>
      </c>
      <c r="S1017" s="51" t="str">
        <f t="shared" si="1018"/>
        <v/>
      </c>
      <c r="T1017" s="51" t="str">
        <f t="shared" si="1018"/>
        <v/>
      </c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2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  <c r="AX1017" s="52"/>
      <c r="AY1017" s="52"/>
      <c r="AZ1017" s="52"/>
      <c r="BA1017" s="52"/>
      <c r="BB1017" s="52"/>
      <c r="BC1017" s="52"/>
      <c r="BD1017" s="52"/>
      <c r="BE1017" s="52"/>
      <c r="BF1017" s="52"/>
      <c r="BG1017" s="52"/>
      <c r="BH1017" s="52"/>
      <c r="BI1017" s="52"/>
      <c r="BJ1017" s="52"/>
      <c r="BK1017" s="52"/>
      <c r="BL1017" s="52"/>
      <c r="BM1017" s="52"/>
      <c r="BN1017" s="52"/>
      <c r="BO1017" s="52"/>
    </row>
    <row r="1018">
      <c r="B1018" s="49"/>
      <c r="C1018" s="49" t="str">
        <f t="shared" si="2"/>
        <v/>
      </c>
      <c r="D1018" s="50" t="str">
        <f t="shared" si="3"/>
        <v/>
      </c>
      <c r="E1018" s="51" t="str">
        <f t="shared" ref="E1018:T1018" si="1019">IFERROR(VLOOKUP($A1018,INDIRECT("'" &amp; E$1 &amp; "'!$C:$G"), 5, FALSE),"")</f>
        <v/>
      </c>
      <c r="F1018" s="51" t="str">
        <f t="shared" si="1019"/>
        <v/>
      </c>
      <c r="G1018" s="51" t="str">
        <f t="shared" si="1019"/>
        <v/>
      </c>
      <c r="H1018" s="51" t="str">
        <f t="shared" si="1019"/>
        <v/>
      </c>
      <c r="I1018" s="51" t="str">
        <f t="shared" si="1019"/>
        <v/>
      </c>
      <c r="J1018" s="51" t="str">
        <f t="shared" si="1019"/>
        <v/>
      </c>
      <c r="K1018" s="51" t="str">
        <f t="shared" si="1019"/>
        <v/>
      </c>
      <c r="L1018" s="51" t="str">
        <f t="shared" si="1019"/>
        <v/>
      </c>
      <c r="M1018" s="51" t="str">
        <f t="shared" si="1019"/>
        <v/>
      </c>
      <c r="N1018" s="51" t="str">
        <f t="shared" si="1019"/>
        <v/>
      </c>
      <c r="O1018" s="51" t="str">
        <f t="shared" si="1019"/>
        <v/>
      </c>
      <c r="P1018" s="51" t="str">
        <f t="shared" si="1019"/>
        <v/>
      </c>
      <c r="Q1018" s="51" t="str">
        <f t="shared" si="1019"/>
        <v/>
      </c>
      <c r="R1018" s="51" t="str">
        <f t="shared" si="1019"/>
        <v/>
      </c>
      <c r="S1018" s="51" t="str">
        <f t="shared" si="1019"/>
        <v/>
      </c>
      <c r="T1018" s="51" t="str">
        <f t="shared" si="1019"/>
        <v/>
      </c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  <c r="AQ1018" s="52"/>
      <c r="AR1018" s="52"/>
      <c r="AS1018" s="52"/>
      <c r="AT1018" s="52"/>
      <c r="AU1018" s="52"/>
      <c r="AV1018" s="52"/>
      <c r="AW1018" s="52"/>
      <c r="AX1018" s="52"/>
      <c r="AY1018" s="52"/>
      <c r="AZ1018" s="52"/>
      <c r="BA1018" s="52"/>
      <c r="BB1018" s="52"/>
      <c r="BC1018" s="52"/>
      <c r="BD1018" s="52"/>
      <c r="BE1018" s="52"/>
      <c r="BF1018" s="52"/>
      <c r="BG1018" s="52"/>
      <c r="BH1018" s="52"/>
      <c r="BI1018" s="52"/>
      <c r="BJ1018" s="52"/>
      <c r="BK1018" s="52"/>
      <c r="BL1018" s="52"/>
      <c r="BM1018" s="52"/>
      <c r="BN1018" s="52"/>
      <c r="BO1018" s="52"/>
    </row>
    <row r="1019">
      <c r="B1019" s="49"/>
      <c r="C1019" s="49" t="str">
        <f t="shared" si="2"/>
        <v/>
      </c>
      <c r="D1019" s="50" t="str">
        <f t="shared" si="3"/>
        <v/>
      </c>
      <c r="E1019" s="51" t="str">
        <f t="shared" ref="E1019:T1019" si="1020">IFERROR(VLOOKUP($A1019,INDIRECT("'" &amp; E$1 &amp; "'!$C:$G"), 5, FALSE),"")</f>
        <v/>
      </c>
      <c r="F1019" s="51" t="str">
        <f t="shared" si="1020"/>
        <v/>
      </c>
      <c r="G1019" s="51" t="str">
        <f t="shared" si="1020"/>
        <v/>
      </c>
      <c r="H1019" s="51" t="str">
        <f t="shared" si="1020"/>
        <v/>
      </c>
      <c r="I1019" s="51" t="str">
        <f t="shared" si="1020"/>
        <v/>
      </c>
      <c r="J1019" s="51" t="str">
        <f t="shared" si="1020"/>
        <v/>
      </c>
      <c r="K1019" s="51" t="str">
        <f t="shared" si="1020"/>
        <v/>
      </c>
      <c r="L1019" s="51" t="str">
        <f t="shared" si="1020"/>
        <v/>
      </c>
      <c r="M1019" s="51" t="str">
        <f t="shared" si="1020"/>
        <v/>
      </c>
      <c r="N1019" s="51" t="str">
        <f t="shared" si="1020"/>
        <v/>
      </c>
      <c r="O1019" s="51" t="str">
        <f t="shared" si="1020"/>
        <v/>
      </c>
      <c r="P1019" s="51" t="str">
        <f t="shared" si="1020"/>
        <v/>
      </c>
      <c r="Q1019" s="51" t="str">
        <f t="shared" si="1020"/>
        <v/>
      </c>
      <c r="R1019" s="51" t="str">
        <f t="shared" si="1020"/>
        <v/>
      </c>
      <c r="S1019" s="51" t="str">
        <f t="shared" si="1020"/>
        <v/>
      </c>
      <c r="T1019" s="51" t="str">
        <f t="shared" si="1020"/>
        <v/>
      </c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  <c r="AQ1019" s="52"/>
      <c r="AR1019" s="52"/>
      <c r="AS1019" s="52"/>
      <c r="AT1019" s="52"/>
      <c r="AU1019" s="52"/>
      <c r="AV1019" s="52"/>
      <c r="AW1019" s="52"/>
      <c r="AX1019" s="52"/>
      <c r="AY1019" s="52"/>
      <c r="AZ1019" s="52"/>
      <c r="BA1019" s="52"/>
      <c r="BB1019" s="52"/>
      <c r="BC1019" s="52"/>
      <c r="BD1019" s="52"/>
      <c r="BE1019" s="52"/>
      <c r="BF1019" s="52"/>
      <c r="BG1019" s="52"/>
      <c r="BH1019" s="52"/>
      <c r="BI1019" s="52"/>
      <c r="BJ1019" s="52"/>
      <c r="BK1019" s="52"/>
      <c r="BL1019" s="52"/>
      <c r="BM1019" s="52"/>
      <c r="BN1019" s="52"/>
      <c r="BO1019" s="52"/>
    </row>
    <row r="1020">
      <c r="B1020" s="49"/>
      <c r="C1020" s="49" t="str">
        <f t="shared" si="2"/>
        <v/>
      </c>
      <c r="D1020" s="50" t="str">
        <f t="shared" si="3"/>
        <v/>
      </c>
      <c r="E1020" s="51" t="str">
        <f t="shared" ref="E1020:T1020" si="1021">IFERROR(VLOOKUP($A1020,INDIRECT("'" &amp; E$1 &amp; "'!$C:$G"), 5, FALSE),"")</f>
        <v/>
      </c>
      <c r="F1020" s="51" t="str">
        <f t="shared" si="1021"/>
        <v/>
      </c>
      <c r="G1020" s="51" t="str">
        <f t="shared" si="1021"/>
        <v/>
      </c>
      <c r="H1020" s="51" t="str">
        <f t="shared" si="1021"/>
        <v/>
      </c>
      <c r="I1020" s="51" t="str">
        <f t="shared" si="1021"/>
        <v/>
      </c>
      <c r="J1020" s="51" t="str">
        <f t="shared" si="1021"/>
        <v/>
      </c>
      <c r="K1020" s="51" t="str">
        <f t="shared" si="1021"/>
        <v/>
      </c>
      <c r="L1020" s="51" t="str">
        <f t="shared" si="1021"/>
        <v/>
      </c>
      <c r="M1020" s="51" t="str">
        <f t="shared" si="1021"/>
        <v/>
      </c>
      <c r="N1020" s="51" t="str">
        <f t="shared" si="1021"/>
        <v/>
      </c>
      <c r="O1020" s="51" t="str">
        <f t="shared" si="1021"/>
        <v/>
      </c>
      <c r="P1020" s="51" t="str">
        <f t="shared" si="1021"/>
        <v/>
      </c>
      <c r="Q1020" s="51" t="str">
        <f t="shared" si="1021"/>
        <v/>
      </c>
      <c r="R1020" s="51" t="str">
        <f t="shared" si="1021"/>
        <v/>
      </c>
      <c r="S1020" s="51" t="str">
        <f t="shared" si="1021"/>
        <v/>
      </c>
      <c r="T1020" s="51" t="str">
        <f t="shared" si="1021"/>
        <v/>
      </c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2"/>
      <c r="AJ1020" s="52"/>
      <c r="AK1020" s="52"/>
      <c r="AL1020" s="52"/>
      <c r="AM1020" s="52"/>
      <c r="AN1020" s="52"/>
      <c r="AO1020" s="52"/>
      <c r="AP1020" s="52"/>
      <c r="AQ1020" s="52"/>
      <c r="AR1020" s="52"/>
      <c r="AS1020" s="52"/>
      <c r="AT1020" s="52"/>
      <c r="AU1020" s="52"/>
      <c r="AV1020" s="52"/>
      <c r="AW1020" s="52"/>
      <c r="AX1020" s="52"/>
      <c r="AY1020" s="52"/>
      <c r="AZ1020" s="52"/>
      <c r="BA1020" s="52"/>
      <c r="BB1020" s="52"/>
      <c r="BC1020" s="52"/>
      <c r="BD1020" s="52"/>
      <c r="BE1020" s="52"/>
      <c r="BF1020" s="52"/>
      <c r="BG1020" s="52"/>
      <c r="BH1020" s="52"/>
      <c r="BI1020" s="52"/>
      <c r="BJ1020" s="52"/>
      <c r="BK1020" s="52"/>
      <c r="BL1020" s="52"/>
      <c r="BM1020" s="52"/>
      <c r="BN1020" s="52"/>
      <c r="BO1020" s="52"/>
    </row>
    <row r="1021">
      <c r="B1021" s="49"/>
      <c r="C1021" s="49" t="str">
        <f t="shared" si="2"/>
        <v/>
      </c>
      <c r="D1021" s="50" t="str">
        <f t="shared" si="3"/>
        <v/>
      </c>
      <c r="E1021" s="51" t="str">
        <f t="shared" ref="E1021:T1021" si="1022">IFERROR(VLOOKUP($A1021,INDIRECT("'" &amp; E$1 &amp; "'!$C:$G"), 5, FALSE),"")</f>
        <v/>
      </c>
      <c r="F1021" s="51" t="str">
        <f t="shared" si="1022"/>
        <v/>
      </c>
      <c r="G1021" s="51" t="str">
        <f t="shared" si="1022"/>
        <v/>
      </c>
      <c r="H1021" s="51" t="str">
        <f t="shared" si="1022"/>
        <v/>
      </c>
      <c r="I1021" s="51" t="str">
        <f t="shared" si="1022"/>
        <v/>
      </c>
      <c r="J1021" s="51" t="str">
        <f t="shared" si="1022"/>
        <v/>
      </c>
      <c r="K1021" s="51" t="str">
        <f t="shared" si="1022"/>
        <v/>
      </c>
      <c r="L1021" s="51" t="str">
        <f t="shared" si="1022"/>
        <v/>
      </c>
      <c r="M1021" s="51" t="str">
        <f t="shared" si="1022"/>
        <v/>
      </c>
      <c r="N1021" s="51" t="str">
        <f t="shared" si="1022"/>
        <v/>
      </c>
      <c r="O1021" s="51" t="str">
        <f t="shared" si="1022"/>
        <v/>
      </c>
      <c r="P1021" s="51" t="str">
        <f t="shared" si="1022"/>
        <v/>
      </c>
      <c r="Q1021" s="51" t="str">
        <f t="shared" si="1022"/>
        <v/>
      </c>
      <c r="R1021" s="51" t="str">
        <f t="shared" si="1022"/>
        <v/>
      </c>
      <c r="S1021" s="51" t="str">
        <f t="shared" si="1022"/>
        <v/>
      </c>
      <c r="T1021" s="51" t="str">
        <f t="shared" si="1022"/>
        <v/>
      </c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I1021" s="52"/>
      <c r="AJ1021" s="52"/>
      <c r="AK1021" s="52"/>
      <c r="AL1021" s="52"/>
      <c r="AM1021" s="52"/>
      <c r="AN1021" s="52"/>
      <c r="AO1021" s="52"/>
      <c r="AP1021" s="52"/>
      <c r="AQ1021" s="52"/>
      <c r="AR1021" s="52"/>
      <c r="AS1021" s="52"/>
      <c r="AT1021" s="52"/>
      <c r="AU1021" s="52"/>
      <c r="AV1021" s="52"/>
      <c r="AW1021" s="52"/>
      <c r="AX1021" s="52"/>
      <c r="AY1021" s="52"/>
      <c r="AZ1021" s="52"/>
      <c r="BA1021" s="52"/>
      <c r="BB1021" s="52"/>
      <c r="BC1021" s="52"/>
      <c r="BD1021" s="52"/>
      <c r="BE1021" s="52"/>
      <c r="BF1021" s="52"/>
      <c r="BG1021" s="52"/>
      <c r="BH1021" s="52"/>
      <c r="BI1021" s="52"/>
      <c r="BJ1021" s="52"/>
      <c r="BK1021" s="52"/>
      <c r="BL1021" s="52"/>
      <c r="BM1021" s="52"/>
      <c r="BN1021" s="52"/>
      <c r="BO1021" s="52"/>
    </row>
    <row r="1022">
      <c r="B1022" s="49"/>
      <c r="C1022" s="49" t="str">
        <f t="shared" si="2"/>
        <v/>
      </c>
      <c r="D1022" s="50" t="str">
        <f t="shared" si="3"/>
        <v/>
      </c>
      <c r="E1022" s="51" t="str">
        <f t="shared" ref="E1022:T1022" si="1023">IFERROR(VLOOKUP($A1022,INDIRECT("'" &amp; E$1 &amp; "'!$C:$G"), 5, FALSE),"")</f>
        <v/>
      </c>
      <c r="F1022" s="51" t="str">
        <f t="shared" si="1023"/>
        <v/>
      </c>
      <c r="G1022" s="51" t="str">
        <f t="shared" si="1023"/>
        <v/>
      </c>
      <c r="H1022" s="51" t="str">
        <f t="shared" si="1023"/>
        <v/>
      </c>
      <c r="I1022" s="51" t="str">
        <f t="shared" si="1023"/>
        <v/>
      </c>
      <c r="J1022" s="51" t="str">
        <f t="shared" si="1023"/>
        <v/>
      </c>
      <c r="K1022" s="51" t="str">
        <f t="shared" si="1023"/>
        <v/>
      </c>
      <c r="L1022" s="51" t="str">
        <f t="shared" si="1023"/>
        <v/>
      </c>
      <c r="M1022" s="51" t="str">
        <f t="shared" si="1023"/>
        <v/>
      </c>
      <c r="N1022" s="51" t="str">
        <f t="shared" si="1023"/>
        <v/>
      </c>
      <c r="O1022" s="51" t="str">
        <f t="shared" si="1023"/>
        <v/>
      </c>
      <c r="P1022" s="51" t="str">
        <f t="shared" si="1023"/>
        <v/>
      </c>
      <c r="Q1022" s="51" t="str">
        <f t="shared" si="1023"/>
        <v/>
      </c>
      <c r="R1022" s="51" t="str">
        <f t="shared" si="1023"/>
        <v/>
      </c>
      <c r="S1022" s="51" t="str">
        <f t="shared" si="1023"/>
        <v/>
      </c>
      <c r="T1022" s="51" t="str">
        <f t="shared" si="1023"/>
        <v/>
      </c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  <c r="AQ1022" s="52"/>
      <c r="AR1022" s="52"/>
      <c r="AS1022" s="52"/>
      <c r="AT1022" s="52"/>
      <c r="AU1022" s="52"/>
      <c r="AV1022" s="52"/>
      <c r="AW1022" s="52"/>
      <c r="AX1022" s="52"/>
      <c r="AY1022" s="52"/>
      <c r="AZ1022" s="52"/>
      <c r="BA1022" s="52"/>
      <c r="BB1022" s="52"/>
      <c r="BC1022" s="52"/>
      <c r="BD1022" s="52"/>
      <c r="BE1022" s="52"/>
      <c r="BF1022" s="52"/>
      <c r="BG1022" s="52"/>
      <c r="BH1022" s="52"/>
      <c r="BI1022" s="52"/>
      <c r="BJ1022" s="52"/>
      <c r="BK1022" s="52"/>
      <c r="BL1022" s="52"/>
      <c r="BM1022" s="52"/>
      <c r="BN1022" s="52"/>
      <c r="BO1022" s="52"/>
    </row>
    <row r="1023">
      <c r="B1023" s="49"/>
      <c r="C1023" s="49" t="str">
        <f t="shared" si="2"/>
        <v/>
      </c>
      <c r="D1023" s="50" t="str">
        <f t="shared" si="3"/>
        <v/>
      </c>
      <c r="E1023" s="51" t="str">
        <f t="shared" ref="E1023:T1023" si="1024">IFERROR(VLOOKUP($A1023,INDIRECT("'" &amp; E$1 &amp; "'!$C:$G"), 5, FALSE),"")</f>
        <v/>
      </c>
      <c r="F1023" s="51" t="str">
        <f t="shared" si="1024"/>
        <v/>
      </c>
      <c r="G1023" s="51" t="str">
        <f t="shared" si="1024"/>
        <v/>
      </c>
      <c r="H1023" s="51" t="str">
        <f t="shared" si="1024"/>
        <v/>
      </c>
      <c r="I1023" s="51" t="str">
        <f t="shared" si="1024"/>
        <v/>
      </c>
      <c r="J1023" s="51" t="str">
        <f t="shared" si="1024"/>
        <v/>
      </c>
      <c r="K1023" s="51" t="str">
        <f t="shared" si="1024"/>
        <v/>
      </c>
      <c r="L1023" s="51" t="str">
        <f t="shared" si="1024"/>
        <v/>
      </c>
      <c r="M1023" s="51" t="str">
        <f t="shared" si="1024"/>
        <v/>
      </c>
      <c r="N1023" s="51" t="str">
        <f t="shared" si="1024"/>
        <v/>
      </c>
      <c r="O1023" s="51" t="str">
        <f t="shared" si="1024"/>
        <v/>
      </c>
      <c r="P1023" s="51" t="str">
        <f t="shared" si="1024"/>
        <v/>
      </c>
      <c r="Q1023" s="51" t="str">
        <f t="shared" si="1024"/>
        <v/>
      </c>
      <c r="R1023" s="51" t="str">
        <f t="shared" si="1024"/>
        <v/>
      </c>
      <c r="S1023" s="51" t="str">
        <f t="shared" si="1024"/>
        <v/>
      </c>
      <c r="T1023" s="51" t="str">
        <f t="shared" si="1024"/>
        <v/>
      </c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I1023" s="52"/>
      <c r="AJ1023" s="52"/>
      <c r="AK1023" s="52"/>
      <c r="AL1023" s="52"/>
      <c r="AM1023" s="52"/>
      <c r="AN1023" s="52"/>
      <c r="AO1023" s="52"/>
      <c r="AP1023" s="52"/>
      <c r="AQ1023" s="52"/>
      <c r="AR1023" s="52"/>
      <c r="AS1023" s="52"/>
      <c r="AT1023" s="52"/>
      <c r="AU1023" s="52"/>
      <c r="AV1023" s="52"/>
      <c r="AW1023" s="52"/>
      <c r="AX1023" s="52"/>
      <c r="AY1023" s="52"/>
      <c r="AZ1023" s="52"/>
      <c r="BA1023" s="52"/>
      <c r="BB1023" s="52"/>
      <c r="BC1023" s="52"/>
      <c r="BD1023" s="52"/>
      <c r="BE1023" s="52"/>
      <c r="BF1023" s="52"/>
      <c r="BG1023" s="52"/>
      <c r="BH1023" s="52"/>
      <c r="BI1023" s="52"/>
      <c r="BJ1023" s="52"/>
      <c r="BK1023" s="52"/>
      <c r="BL1023" s="52"/>
      <c r="BM1023" s="52"/>
      <c r="BN1023" s="52"/>
      <c r="BO1023" s="52"/>
    </row>
    <row r="1024">
      <c r="B1024" s="49"/>
      <c r="C1024" s="49" t="str">
        <f t="shared" si="2"/>
        <v/>
      </c>
      <c r="D1024" s="50" t="str">
        <f t="shared" si="3"/>
        <v/>
      </c>
      <c r="E1024" s="51" t="str">
        <f t="shared" ref="E1024:T1024" si="1025">IFERROR(VLOOKUP($A1024,INDIRECT("'" &amp; E$1 &amp; "'!$C:$G"), 5, FALSE),"")</f>
        <v/>
      </c>
      <c r="F1024" s="51" t="str">
        <f t="shared" si="1025"/>
        <v/>
      </c>
      <c r="G1024" s="51" t="str">
        <f t="shared" si="1025"/>
        <v/>
      </c>
      <c r="H1024" s="51" t="str">
        <f t="shared" si="1025"/>
        <v/>
      </c>
      <c r="I1024" s="51" t="str">
        <f t="shared" si="1025"/>
        <v/>
      </c>
      <c r="J1024" s="51" t="str">
        <f t="shared" si="1025"/>
        <v/>
      </c>
      <c r="K1024" s="51" t="str">
        <f t="shared" si="1025"/>
        <v/>
      </c>
      <c r="L1024" s="51" t="str">
        <f t="shared" si="1025"/>
        <v/>
      </c>
      <c r="M1024" s="51" t="str">
        <f t="shared" si="1025"/>
        <v/>
      </c>
      <c r="N1024" s="51" t="str">
        <f t="shared" si="1025"/>
        <v/>
      </c>
      <c r="O1024" s="51" t="str">
        <f t="shared" si="1025"/>
        <v/>
      </c>
      <c r="P1024" s="51" t="str">
        <f t="shared" si="1025"/>
        <v/>
      </c>
      <c r="Q1024" s="51" t="str">
        <f t="shared" si="1025"/>
        <v/>
      </c>
      <c r="R1024" s="51" t="str">
        <f t="shared" si="1025"/>
        <v/>
      </c>
      <c r="S1024" s="51" t="str">
        <f t="shared" si="1025"/>
        <v/>
      </c>
      <c r="T1024" s="51" t="str">
        <f t="shared" si="1025"/>
        <v/>
      </c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I1024" s="52"/>
      <c r="AJ1024" s="52"/>
      <c r="AK1024" s="52"/>
      <c r="AL1024" s="52"/>
      <c r="AM1024" s="52"/>
      <c r="AN1024" s="52"/>
      <c r="AO1024" s="52"/>
      <c r="AP1024" s="52"/>
      <c r="AQ1024" s="52"/>
      <c r="AR1024" s="52"/>
      <c r="AS1024" s="52"/>
      <c r="AT1024" s="52"/>
      <c r="AU1024" s="52"/>
      <c r="AV1024" s="52"/>
      <c r="AW1024" s="52"/>
      <c r="AX1024" s="52"/>
      <c r="AY1024" s="52"/>
      <c r="AZ1024" s="52"/>
      <c r="BA1024" s="52"/>
      <c r="BB1024" s="52"/>
      <c r="BC1024" s="52"/>
      <c r="BD1024" s="52"/>
      <c r="BE1024" s="52"/>
      <c r="BF1024" s="52"/>
      <c r="BG1024" s="52"/>
      <c r="BH1024" s="52"/>
      <c r="BI1024" s="52"/>
      <c r="BJ1024" s="52"/>
      <c r="BK1024" s="52"/>
      <c r="BL1024" s="52"/>
      <c r="BM1024" s="52"/>
      <c r="BN1024" s="52"/>
      <c r="BO1024" s="52"/>
    </row>
    <row r="1025">
      <c r="B1025" s="49"/>
      <c r="C1025" s="49" t="str">
        <f t="shared" si="2"/>
        <v/>
      </c>
      <c r="D1025" s="50" t="str">
        <f t="shared" si="3"/>
        <v/>
      </c>
      <c r="E1025" s="51" t="str">
        <f t="shared" ref="E1025:T1025" si="1026">IFERROR(VLOOKUP($A1025,INDIRECT("'" &amp; E$1 &amp; "'!$C:$G"), 5, FALSE),"")</f>
        <v/>
      </c>
      <c r="F1025" s="51" t="str">
        <f t="shared" si="1026"/>
        <v/>
      </c>
      <c r="G1025" s="51" t="str">
        <f t="shared" si="1026"/>
        <v/>
      </c>
      <c r="H1025" s="51" t="str">
        <f t="shared" si="1026"/>
        <v/>
      </c>
      <c r="I1025" s="51" t="str">
        <f t="shared" si="1026"/>
        <v/>
      </c>
      <c r="J1025" s="51" t="str">
        <f t="shared" si="1026"/>
        <v/>
      </c>
      <c r="K1025" s="51" t="str">
        <f t="shared" si="1026"/>
        <v/>
      </c>
      <c r="L1025" s="51" t="str">
        <f t="shared" si="1026"/>
        <v/>
      </c>
      <c r="M1025" s="51" t="str">
        <f t="shared" si="1026"/>
        <v/>
      </c>
      <c r="N1025" s="51" t="str">
        <f t="shared" si="1026"/>
        <v/>
      </c>
      <c r="O1025" s="51" t="str">
        <f t="shared" si="1026"/>
        <v/>
      </c>
      <c r="P1025" s="51" t="str">
        <f t="shared" si="1026"/>
        <v/>
      </c>
      <c r="Q1025" s="51" t="str">
        <f t="shared" si="1026"/>
        <v/>
      </c>
      <c r="R1025" s="51" t="str">
        <f t="shared" si="1026"/>
        <v/>
      </c>
      <c r="S1025" s="51" t="str">
        <f t="shared" si="1026"/>
        <v/>
      </c>
      <c r="T1025" s="51" t="str">
        <f t="shared" si="1026"/>
        <v/>
      </c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2"/>
      <c r="AM1025" s="52"/>
      <c r="AN1025" s="52"/>
      <c r="AO1025" s="52"/>
      <c r="AP1025" s="52"/>
      <c r="AQ1025" s="52"/>
      <c r="AR1025" s="52"/>
      <c r="AS1025" s="52"/>
      <c r="AT1025" s="52"/>
      <c r="AU1025" s="52"/>
      <c r="AV1025" s="52"/>
      <c r="AW1025" s="52"/>
      <c r="AX1025" s="52"/>
      <c r="AY1025" s="52"/>
      <c r="AZ1025" s="52"/>
      <c r="BA1025" s="52"/>
      <c r="BB1025" s="52"/>
      <c r="BC1025" s="52"/>
      <c r="BD1025" s="52"/>
      <c r="BE1025" s="52"/>
      <c r="BF1025" s="52"/>
      <c r="BG1025" s="52"/>
      <c r="BH1025" s="52"/>
      <c r="BI1025" s="52"/>
      <c r="BJ1025" s="52"/>
      <c r="BK1025" s="52"/>
      <c r="BL1025" s="52"/>
      <c r="BM1025" s="52"/>
      <c r="BN1025" s="52"/>
      <c r="BO1025" s="52"/>
    </row>
    <row r="1026">
      <c r="B1026" s="49"/>
      <c r="C1026" s="49" t="str">
        <f t="shared" si="2"/>
        <v/>
      </c>
      <c r="D1026" s="50" t="str">
        <f t="shared" si="3"/>
        <v/>
      </c>
      <c r="E1026" s="51" t="str">
        <f t="shared" ref="E1026:T1026" si="1027">IFERROR(VLOOKUP($A1026,INDIRECT("'" &amp; E$1 &amp; "'!$C:$G"), 5, FALSE),"")</f>
        <v/>
      </c>
      <c r="F1026" s="51" t="str">
        <f t="shared" si="1027"/>
        <v/>
      </c>
      <c r="G1026" s="51" t="str">
        <f t="shared" si="1027"/>
        <v/>
      </c>
      <c r="H1026" s="51" t="str">
        <f t="shared" si="1027"/>
        <v/>
      </c>
      <c r="I1026" s="51" t="str">
        <f t="shared" si="1027"/>
        <v/>
      </c>
      <c r="J1026" s="51" t="str">
        <f t="shared" si="1027"/>
        <v/>
      </c>
      <c r="K1026" s="51" t="str">
        <f t="shared" si="1027"/>
        <v/>
      </c>
      <c r="L1026" s="51" t="str">
        <f t="shared" si="1027"/>
        <v/>
      </c>
      <c r="M1026" s="51" t="str">
        <f t="shared" si="1027"/>
        <v/>
      </c>
      <c r="N1026" s="51" t="str">
        <f t="shared" si="1027"/>
        <v/>
      </c>
      <c r="O1026" s="51" t="str">
        <f t="shared" si="1027"/>
        <v/>
      </c>
      <c r="P1026" s="51" t="str">
        <f t="shared" si="1027"/>
        <v/>
      </c>
      <c r="Q1026" s="51" t="str">
        <f t="shared" si="1027"/>
        <v/>
      </c>
      <c r="R1026" s="51" t="str">
        <f t="shared" si="1027"/>
        <v/>
      </c>
      <c r="S1026" s="51" t="str">
        <f t="shared" si="1027"/>
        <v/>
      </c>
      <c r="T1026" s="51" t="str">
        <f t="shared" si="1027"/>
        <v/>
      </c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2"/>
      <c r="AM1026" s="52"/>
      <c r="AN1026" s="52"/>
      <c r="AO1026" s="52"/>
      <c r="AP1026" s="52"/>
      <c r="AQ1026" s="52"/>
      <c r="AR1026" s="52"/>
      <c r="AS1026" s="52"/>
      <c r="AT1026" s="52"/>
      <c r="AU1026" s="52"/>
      <c r="AV1026" s="52"/>
      <c r="AW1026" s="52"/>
      <c r="AX1026" s="52"/>
      <c r="AY1026" s="52"/>
      <c r="AZ1026" s="52"/>
      <c r="BA1026" s="52"/>
      <c r="BB1026" s="52"/>
      <c r="BC1026" s="52"/>
      <c r="BD1026" s="52"/>
      <c r="BE1026" s="52"/>
      <c r="BF1026" s="52"/>
      <c r="BG1026" s="52"/>
      <c r="BH1026" s="52"/>
      <c r="BI1026" s="52"/>
      <c r="BJ1026" s="52"/>
      <c r="BK1026" s="52"/>
      <c r="BL1026" s="52"/>
      <c r="BM1026" s="52"/>
      <c r="BN1026" s="52"/>
      <c r="BO1026" s="52"/>
    </row>
    <row r="1027">
      <c r="B1027" s="49"/>
      <c r="C1027" s="49" t="str">
        <f t="shared" si="2"/>
        <v/>
      </c>
      <c r="D1027" s="50" t="str">
        <f t="shared" si="3"/>
        <v/>
      </c>
      <c r="E1027" s="51" t="str">
        <f t="shared" ref="E1027:T1027" si="1028">IFERROR(VLOOKUP($A1027,INDIRECT("'" &amp; E$1 &amp; "'!$C:$G"), 5, FALSE),"")</f>
        <v/>
      </c>
      <c r="F1027" s="51" t="str">
        <f t="shared" si="1028"/>
        <v/>
      </c>
      <c r="G1027" s="51" t="str">
        <f t="shared" si="1028"/>
        <v/>
      </c>
      <c r="H1027" s="51" t="str">
        <f t="shared" si="1028"/>
        <v/>
      </c>
      <c r="I1027" s="51" t="str">
        <f t="shared" si="1028"/>
        <v/>
      </c>
      <c r="J1027" s="51" t="str">
        <f t="shared" si="1028"/>
        <v/>
      </c>
      <c r="K1027" s="51" t="str">
        <f t="shared" si="1028"/>
        <v/>
      </c>
      <c r="L1027" s="51" t="str">
        <f t="shared" si="1028"/>
        <v/>
      </c>
      <c r="M1027" s="51" t="str">
        <f t="shared" si="1028"/>
        <v/>
      </c>
      <c r="N1027" s="51" t="str">
        <f t="shared" si="1028"/>
        <v/>
      </c>
      <c r="O1027" s="51" t="str">
        <f t="shared" si="1028"/>
        <v/>
      </c>
      <c r="P1027" s="51" t="str">
        <f t="shared" si="1028"/>
        <v/>
      </c>
      <c r="Q1027" s="51" t="str">
        <f t="shared" si="1028"/>
        <v/>
      </c>
      <c r="R1027" s="51" t="str">
        <f t="shared" si="1028"/>
        <v/>
      </c>
      <c r="S1027" s="51" t="str">
        <f t="shared" si="1028"/>
        <v/>
      </c>
      <c r="T1027" s="51" t="str">
        <f t="shared" si="1028"/>
        <v/>
      </c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I1027" s="52"/>
      <c r="AJ1027" s="52"/>
      <c r="AK1027" s="52"/>
      <c r="AL1027" s="52"/>
      <c r="AM1027" s="52"/>
      <c r="AN1027" s="52"/>
      <c r="AO1027" s="52"/>
      <c r="AP1027" s="52"/>
      <c r="AQ1027" s="52"/>
      <c r="AR1027" s="52"/>
      <c r="AS1027" s="52"/>
      <c r="AT1027" s="52"/>
      <c r="AU1027" s="52"/>
      <c r="AV1027" s="52"/>
      <c r="AW1027" s="52"/>
      <c r="AX1027" s="52"/>
      <c r="AY1027" s="52"/>
      <c r="AZ1027" s="52"/>
      <c r="BA1027" s="52"/>
      <c r="BB1027" s="52"/>
      <c r="BC1027" s="52"/>
      <c r="BD1027" s="52"/>
      <c r="BE1027" s="52"/>
      <c r="BF1027" s="52"/>
      <c r="BG1027" s="52"/>
      <c r="BH1027" s="52"/>
      <c r="BI1027" s="52"/>
      <c r="BJ1027" s="52"/>
      <c r="BK1027" s="52"/>
      <c r="BL1027" s="52"/>
      <c r="BM1027" s="52"/>
      <c r="BN1027" s="52"/>
      <c r="BO1027" s="52"/>
    </row>
    <row r="1028">
      <c r="B1028" s="49"/>
      <c r="C1028" s="49" t="str">
        <f t="shared" si="2"/>
        <v/>
      </c>
      <c r="D1028" s="50" t="str">
        <f t="shared" si="3"/>
        <v/>
      </c>
      <c r="E1028" s="51" t="str">
        <f t="shared" ref="E1028:T1028" si="1029">IFERROR(VLOOKUP($A1028,INDIRECT("'" &amp; E$1 &amp; "'!$C:$G"), 5, FALSE),"")</f>
        <v/>
      </c>
      <c r="F1028" s="51" t="str">
        <f t="shared" si="1029"/>
        <v/>
      </c>
      <c r="G1028" s="51" t="str">
        <f t="shared" si="1029"/>
        <v/>
      </c>
      <c r="H1028" s="51" t="str">
        <f t="shared" si="1029"/>
        <v/>
      </c>
      <c r="I1028" s="51" t="str">
        <f t="shared" si="1029"/>
        <v/>
      </c>
      <c r="J1028" s="51" t="str">
        <f t="shared" si="1029"/>
        <v/>
      </c>
      <c r="K1028" s="51" t="str">
        <f t="shared" si="1029"/>
        <v/>
      </c>
      <c r="L1028" s="51" t="str">
        <f t="shared" si="1029"/>
        <v/>
      </c>
      <c r="M1028" s="51" t="str">
        <f t="shared" si="1029"/>
        <v/>
      </c>
      <c r="N1028" s="51" t="str">
        <f t="shared" si="1029"/>
        <v/>
      </c>
      <c r="O1028" s="51" t="str">
        <f t="shared" si="1029"/>
        <v/>
      </c>
      <c r="P1028" s="51" t="str">
        <f t="shared" si="1029"/>
        <v/>
      </c>
      <c r="Q1028" s="51" t="str">
        <f t="shared" si="1029"/>
        <v/>
      </c>
      <c r="R1028" s="51" t="str">
        <f t="shared" si="1029"/>
        <v/>
      </c>
      <c r="S1028" s="51" t="str">
        <f t="shared" si="1029"/>
        <v/>
      </c>
      <c r="T1028" s="51" t="str">
        <f t="shared" si="1029"/>
        <v/>
      </c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2"/>
      <c r="AM1028" s="52"/>
      <c r="AN1028" s="52"/>
      <c r="AO1028" s="52"/>
      <c r="AP1028" s="52"/>
      <c r="AQ1028" s="52"/>
      <c r="AR1028" s="52"/>
      <c r="AS1028" s="52"/>
      <c r="AT1028" s="52"/>
      <c r="AU1028" s="52"/>
      <c r="AV1028" s="52"/>
      <c r="AW1028" s="52"/>
      <c r="AX1028" s="52"/>
      <c r="AY1028" s="52"/>
      <c r="AZ1028" s="52"/>
      <c r="BA1028" s="52"/>
      <c r="BB1028" s="52"/>
      <c r="BC1028" s="52"/>
      <c r="BD1028" s="52"/>
      <c r="BE1028" s="52"/>
      <c r="BF1028" s="52"/>
      <c r="BG1028" s="52"/>
      <c r="BH1028" s="52"/>
      <c r="BI1028" s="52"/>
      <c r="BJ1028" s="52"/>
      <c r="BK1028" s="52"/>
      <c r="BL1028" s="52"/>
      <c r="BM1028" s="52"/>
      <c r="BN1028" s="52"/>
      <c r="BO1028" s="52"/>
    </row>
    <row r="1029">
      <c r="B1029" s="49"/>
      <c r="C1029" s="49" t="str">
        <f t="shared" si="2"/>
        <v/>
      </c>
      <c r="D1029" s="50" t="str">
        <f t="shared" si="3"/>
        <v/>
      </c>
      <c r="E1029" s="51" t="str">
        <f t="shared" ref="E1029:T1029" si="1030">IFERROR(VLOOKUP($A1029,INDIRECT("'" &amp; E$1 &amp; "'!$C:$G"), 5, FALSE),"")</f>
        <v/>
      </c>
      <c r="F1029" s="51" t="str">
        <f t="shared" si="1030"/>
        <v/>
      </c>
      <c r="G1029" s="51" t="str">
        <f t="shared" si="1030"/>
        <v/>
      </c>
      <c r="H1029" s="51" t="str">
        <f t="shared" si="1030"/>
        <v/>
      </c>
      <c r="I1029" s="51" t="str">
        <f t="shared" si="1030"/>
        <v/>
      </c>
      <c r="J1029" s="51" t="str">
        <f t="shared" si="1030"/>
        <v/>
      </c>
      <c r="K1029" s="51" t="str">
        <f t="shared" si="1030"/>
        <v/>
      </c>
      <c r="L1029" s="51" t="str">
        <f t="shared" si="1030"/>
        <v/>
      </c>
      <c r="M1029" s="51" t="str">
        <f t="shared" si="1030"/>
        <v/>
      </c>
      <c r="N1029" s="51" t="str">
        <f t="shared" si="1030"/>
        <v/>
      </c>
      <c r="O1029" s="51" t="str">
        <f t="shared" si="1030"/>
        <v/>
      </c>
      <c r="P1029" s="51" t="str">
        <f t="shared" si="1030"/>
        <v/>
      </c>
      <c r="Q1029" s="51" t="str">
        <f t="shared" si="1030"/>
        <v/>
      </c>
      <c r="R1029" s="51" t="str">
        <f t="shared" si="1030"/>
        <v/>
      </c>
      <c r="S1029" s="51" t="str">
        <f t="shared" si="1030"/>
        <v/>
      </c>
      <c r="T1029" s="51" t="str">
        <f t="shared" si="1030"/>
        <v/>
      </c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I1029" s="52"/>
      <c r="AJ1029" s="52"/>
      <c r="AK1029" s="52"/>
      <c r="AL1029" s="52"/>
      <c r="AM1029" s="52"/>
      <c r="AN1029" s="52"/>
      <c r="AO1029" s="52"/>
      <c r="AP1029" s="52"/>
      <c r="AQ1029" s="52"/>
      <c r="AR1029" s="52"/>
      <c r="AS1029" s="52"/>
      <c r="AT1029" s="52"/>
      <c r="AU1029" s="52"/>
      <c r="AV1029" s="52"/>
      <c r="AW1029" s="52"/>
      <c r="AX1029" s="52"/>
      <c r="AY1029" s="52"/>
      <c r="AZ1029" s="52"/>
      <c r="BA1029" s="52"/>
      <c r="BB1029" s="52"/>
      <c r="BC1029" s="52"/>
      <c r="BD1029" s="52"/>
      <c r="BE1029" s="52"/>
      <c r="BF1029" s="52"/>
      <c r="BG1029" s="52"/>
      <c r="BH1029" s="52"/>
      <c r="BI1029" s="52"/>
      <c r="BJ1029" s="52"/>
      <c r="BK1029" s="52"/>
      <c r="BL1029" s="52"/>
      <c r="BM1029" s="52"/>
      <c r="BN1029" s="52"/>
      <c r="BO1029" s="52"/>
    </row>
    <row r="1030">
      <c r="B1030" s="49"/>
      <c r="C1030" s="49" t="str">
        <f t="shared" si="2"/>
        <v/>
      </c>
      <c r="D1030" s="50" t="str">
        <f t="shared" si="3"/>
        <v/>
      </c>
      <c r="E1030" s="51" t="str">
        <f t="shared" ref="E1030:T1030" si="1031">IFERROR(VLOOKUP($A1030,INDIRECT("'" &amp; E$1 &amp; "'!$C:$G"), 5, FALSE),"")</f>
        <v/>
      </c>
      <c r="F1030" s="51" t="str">
        <f t="shared" si="1031"/>
        <v/>
      </c>
      <c r="G1030" s="51" t="str">
        <f t="shared" si="1031"/>
        <v/>
      </c>
      <c r="H1030" s="51" t="str">
        <f t="shared" si="1031"/>
        <v/>
      </c>
      <c r="I1030" s="51" t="str">
        <f t="shared" si="1031"/>
        <v/>
      </c>
      <c r="J1030" s="51" t="str">
        <f t="shared" si="1031"/>
        <v/>
      </c>
      <c r="K1030" s="51" t="str">
        <f t="shared" si="1031"/>
        <v/>
      </c>
      <c r="L1030" s="51" t="str">
        <f t="shared" si="1031"/>
        <v/>
      </c>
      <c r="M1030" s="51" t="str">
        <f t="shared" si="1031"/>
        <v/>
      </c>
      <c r="N1030" s="51" t="str">
        <f t="shared" si="1031"/>
        <v/>
      </c>
      <c r="O1030" s="51" t="str">
        <f t="shared" si="1031"/>
        <v/>
      </c>
      <c r="P1030" s="51" t="str">
        <f t="shared" si="1031"/>
        <v/>
      </c>
      <c r="Q1030" s="51" t="str">
        <f t="shared" si="1031"/>
        <v/>
      </c>
      <c r="R1030" s="51" t="str">
        <f t="shared" si="1031"/>
        <v/>
      </c>
      <c r="S1030" s="51" t="str">
        <f t="shared" si="1031"/>
        <v/>
      </c>
      <c r="T1030" s="51" t="str">
        <f t="shared" si="1031"/>
        <v/>
      </c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I1030" s="52"/>
      <c r="AJ1030" s="52"/>
      <c r="AK1030" s="52"/>
      <c r="AL1030" s="52"/>
      <c r="AM1030" s="52"/>
      <c r="AN1030" s="52"/>
      <c r="AO1030" s="52"/>
      <c r="AP1030" s="52"/>
      <c r="AQ1030" s="52"/>
      <c r="AR1030" s="52"/>
      <c r="AS1030" s="52"/>
      <c r="AT1030" s="52"/>
      <c r="AU1030" s="52"/>
      <c r="AV1030" s="52"/>
      <c r="AW1030" s="52"/>
      <c r="AX1030" s="52"/>
      <c r="AY1030" s="52"/>
      <c r="AZ1030" s="52"/>
      <c r="BA1030" s="52"/>
      <c r="BB1030" s="52"/>
      <c r="BC1030" s="52"/>
      <c r="BD1030" s="52"/>
      <c r="BE1030" s="52"/>
      <c r="BF1030" s="52"/>
      <c r="BG1030" s="52"/>
      <c r="BH1030" s="52"/>
      <c r="BI1030" s="52"/>
      <c r="BJ1030" s="52"/>
      <c r="BK1030" s="52"/>
      <c r="BL1030" s="52"/>
      <c r="BM1030" s="52"/>
      <c r="BN1030" s="52"/>
      <c r="BO1030" s="52"/>
    </row>
    <row r="1031">
      <c r="B1031" s="49"/>
      <c r="C1031" s="49" t="str">
        <f t="shared" si="2"/>
        <v/>
      </c>
      <c r="D1031" s="50" t="str">
        <f t="shared" si="3"/>
        <v/>
      </c>
      <c r="E1031" s="51" t="str">
        <f t="shared" ref="E1031:T1031" si="1032">IFERROR(VLOOKUP($A1031,INDIRECT("'" &amp; E$1 &amp; "'!$C:$G"), 5, FALSE),"")</f>
        <v/>
      </c>
      <c r="F1031" s="51" t="str">
        <f t="shared" si="1032"/>
        <v/>
      </c>
      <c r="G1031" s="51" t="str">
        <f t="shared" si="1032"/>
        <v/>
      </c>
      <c r="H1031" s="51" t="str">
        <f t="shared" si="1032"/>
        <v/>
      </c>
      <c r="I1031" s="51" t="str">
        <f t="shared" si="1032"/>
        <v/>
      </c>
      <c r="J1031" s="51" t="str">
        <f t="shared" si="1032"/>
        <v/>
      </c>
      <c r="K1031" s="51" t="str">
        <f t="shared" si="1032"/>
        <v/>
      </c>
      <c r="L1031" s="51" t="str">
        <f t="shared" si="1032"/>
        <v/>
      </c>
      <c r="M1031" s="51" t="str">
        <f t="shared" si="1032"/>
        <v/>
      </c>
      <c r="N1031" s="51" t="str">
        <f t="shared" si="1032"/>
        <v/>
      </c>
      <c r="O1031" s="51" t="str">
        <f t="shared" si="1032"/>
        <v/>
      </c>
      <c r="P1031" s="51" t="str">
        <f t="shared" si="1032"/>
        <v/>
      </c>
      <c r="Q1031" s="51" t="str">
        <f t="shared" si="1032"/>
        <v/>
      </c>
      <c r="R1031" s="51" t="str">
        <f t="shared" si="1032"/>
        <v/>
      </c>
      <c r="S1031" s="51" t="str">
        <f t="shared" si="1032"/>
        <v/>
      </c>
      <c r="T1031" s="51" t="str">
        <f t="shared" si="1032"/>
        <v/>
      </c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  <c r="AQ1031" s="52"/>
      <c r="AR1031" s="52"/>
      <c r="AS1031" s="52"/>
      <c r="AT1031" s="52"/>
      <c r="AU1031" s="52"/>
      <c r="AV1031" s="52"/>
      <c r="AW1031" s="52"/>
      <c r="AX1031" s="52"/>
      <c r="AY1031" s="52"/>
      <c r="AZ1031" s="52"/>
      <c r="BA1031" s="52"/>
      <c r="BB1031" s="52"/>
      <c r="BC1031" s="52"/>
      <c r="BD1031" s="52"/>
      <c r="BE1031" s="52"/>
      <c r="BF1031" s="52"/>
      <c r="BG1031" s="52"/>
      <c r="BH1031" s="52"/>
      <c r="BI1031" s="52"/>
      <c r="BJ1031" s="52"/>
      <c r="BK1031" s="52"/>
      <c r="BL1031" s="52"/>
      <c r="BM1031" s="52"/>
      <c r="BN1031" s="52"/>
      <c r="BO1031" s="52"/>
    </row>
    <row r="1032">
      <c r="B1032" s="49"/>
      <c r="C1032" s="49" t="str">
        <f t="shared" si="2"/>
        <v/>
      </c>
      <c r="D1032" s="50" t="str">
        <f t="shared" si="3"/>
        <v/>
      </c>
      <c r="E1032" s="51" t="str">
        <f t="shared" ref="E1032:T1032" si="1033">IFERROR(VLOOKUP($A1032,INDIRECT("'" &amp; E$1 &amp; "'!$C:$G"), 5, FALSE),"")</f>
        <v/>
      </c>
      <c r="F1032" s="51" t="str">
        <f t="shared" si="1033"/>
        <v/>
      </c>
      <c r="G1032" s="51" t="str">
        <f t="shared" si="1033"/>
        <v/>
      </c>
      <c r="H1032" s="51" t="str">
        <f t="shared" si="1033"/>
        <v/>
      </c>
      <c r="I1032" s="51" t="str">
        <f t="shared" si="1033"/>
        <v/>
      </c>
      <c r="J1032" s="51" t="str">
        <f t="shared" si="1033"/>
        <v/>
      </c>
      <c r="K1032" s="51" t="str">
        <f t="shared" si="1033"/>
        <v/>
      </c>
      <c r="L1032" s="51" t="str">
        <f t="shared" si="1033"/>
        <v/>
      </c>
      <c r="M1032" s="51" t="str">
        <f t="shared" si="1033"/>
        <v/>
      </c>
      <c r="N1032" s="51" t="str">
        <f t="shared" si="1033"/>
        <v/>
      </c>
      <c r="O1032" s="51" t="str">
        <f t="shared" si="1033"/>
        <v/>
      </c>
      <c r="P1032" s="51" t="str">
        <f t="shared" si="1033"/>
        <v/>
      </c>
      <c r="Q1032" s="51" t="str">
        <f t="shared" si="1033"/>
        <v/>
      </c>
      <c r="R1032" s="51" t="str">
        <f t="shared" si="1033"/>
        <v/>
      </c>
      <c r="S1032" s="51" t="str">
        <f t="shared" si="1033"/>
        <v/>
      </c>
      <c r="T1032" s="51" t="str">
        <f t="shared" si="1033"/>
        <v/>
      </c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52"/>
      <c r="AS1032" s="52"/>
      <c r="AT1032" s="52"/>
      <c r="AU1032" s="52"/>
      <c r="AV1032" s="52"/>
      <c r="AW1032" s="52"/>
      <c r="AX1032" s="52"/>
      <c r="AY1032" s="52"/>
      <c r="AZ1032" s="52"/>
      <c r="BA1032" s="52"/>
      <c r="BB1032" s="52"/>
      <c r="BC1032" s="52"/>
      <c r="BD1032" s="52"/>
      <c r="BE1032" s="52"/>
      <c r="BF1032" s="52"/>
      <c r="BG1032" s="52"/>
      <c r="BH1032" s="52"/>
      <c r="BI1032" s="52"/>
      <c r="BJ1032" s="52"/>
      <c r="BK1032" s="52"/>
      <c r="BL1032" s="52"/>
      <c r="BM1032" s="52"/>
      <c r="BN1032" s="52"/>
      <c r="BO1032" s="52"/>
    </row>
    <row r="1033">
      <c r="B1033" s="49"/>
      <c r="C1033" s="49" t="str">
        <f t="shared" si="2"/>
        <v/>
      </c>
      <c r="D1033" s="50" t="str">
        <f t="shared" si="3"/>
        <v/>
      </c>
      <c r="E1033" s="51" t="str">
        <f t="shared" ref="E1033:T1033" si="1034">IFERROR(VLOOKUP($A1033,INDIRECT("'" &amp; E$1 &amp; "'!$C:$G"), 5, FALSE),"")</f>
        <v/>
      </c>
      <c r="F1033" s="51" t="str">
        <f t="shared" si="1034"/>
        <v/>
      </c>
      <c r="G1033" s="51" t="str">
        <f t="shared" si="1034"/>
        <v/>
      </c>
      <c r="H1033" s="51" t="str">
        <f t="shared" si="1034"/>
        <v/>
      </c>
      <c r="I1033" s="51" t="str">
        <f t="shared" si="1034"/>
        <v/>
      </c>
      <c r="J1033" s="51" t="str">
        <f t="shared" si="1034"/>
        <v/>
      </c>
      <c r="K1033" s="51" t="str">
        <f t="shared" si="1034"/>
        <v/>
      </c>
      <c r="L1033" s="51" t="str">
        <f t="shared" si="1034"/>
        <v/>
      </c>
      <c r="M1033" s="51" t="str">
        <f t="shared" si="1034"/>
        <v/>
      </c>
      <c r="N1033" s="51" t="str">
        <f t="shared" si="1034"/>
        <v/>
      </c>
      <c r="O1033" s="51" t="str">
        <f t="shared" si="1034"/>
        <v/>
      </c>
      <c r="P1033" s="51" t="str">
        <f t="shared" si="1034"/>
        <v/>
      </c>
      <c r="Q1033" s="51" t="str">
        <f t="shared" si="1034"/>
        <v/>
      </c>
      <c r="R1033" s="51" t="str">
        <f t="shared" si="1034"/>
        <v/>
      </c>
      <c r="S1033" s="51" t="str">
        <f t="shared" si="1034"/>
        <v/>
      </c>
      <c r="T1033" s="51" t="str">
        <f t="shared" si="1034"/>
        <v/>
      </c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I1033" s="52"/>
      <c r="AJ1033" s="52"/>
      <c r="AK1033" s="52"/>
      <c r="AL1033" s="52"/>
      <c r="AM1033" s="52"/>
      <c r="AN1033" s="52"/>
      <c r="AO1033" s="52"/>
      <c r="AP1033" s="52"/>
      <c r="AQ1033" s="52"/>
      <c r="AR1033" s="52"/>
      <c r="AS1033" s="52"/>
      <c r="AT1033" s="52"/>
      <c r="AU1033" s="52"/>
      <c r="AV1033" s="52"/>
      <c r="AW1033" s="52"/>
      <c r="AX1033" s="52"/>
      <c r="AY1033" s="52"/>
      <c r="AZ1033" s="52"/>
      <c r="BA1033" s="52"/>
      <c r="BB1033" s="52"/>
      <c r="BC1033" s="52"/>
      <c r="BD1033" s="52"/>
      <c r="BE1033" s="52"/>
      <c r="BF1033" s="52"/>
      <c r="BG1033" s="52"/>
      <c r="BH1033" s="52"/>
      <c r="BI1033" s="52"/>
      <c r="BJ1033" s="52"/>
      <c r="BK1033" s="52"/>
      <c r="BL1033" s="52"/>
      <c r="BM1033" s="52"/>
      <c r="BN1033" s="52"/>
      <c r="BO1033" s="52"/>
    </row>
    <row r="1034">
      <c r="B1034" s="49"/>
      <c r="C1034" s="49" t="str">
        <f t="shared" si="2"/>
        <v/>
      </c>
      <c r="D1034" s="50" t="str">
        <f t="shared" si="3"/>
        <v/>
      </c>
      <c r="E1034" s="51" t="str">
        <f t="shared" ref="E1034:T1034" si="1035">IFERROR(VLOOKUP($A1034,INDIRECT("'" &amp; E$1 &amp; "'!$C:$G"), 5, FALSE),"")</f>
        <v/>
      </c>
      <c r="F1034" s="51" t="str">
        <f t="shared" si="1035"/>
        <v/>
      </c>
      <c r="G1034" s="51" t="str">
        <f t="shared" si="1035"/>
        <v/>
      </c>
      <c r="H1034" s="51" t="str">
        <f t="shared" si="1035"/>
        <v/>
      </c>
      <c r="I1034" s="51" t="str">
        <f t="shared" si="1035"/>
        <v/>
      </c>
      <c r="J1034" s="51" t="str">
        <f t="shared" si="1035"/>
        <v/>
      </c>
      <c r="K1034" s="51" t="str">
        <f t="shared" si="1035"/>
        <v/>
      </c>
      <c r="L1034" s="51" t="str">
        <f t="shared" si="1035"/>
        <v/>
      </c>
      <c r="M1034" s="51" t="str">
        <f t="shared" si="1035"/>
        <v/>
      </c>
      <c r="N1034" s="51" t="str">
        <f t="shared" si="1035"/>
        <v/>
      </c>
      <c r="O1034" s="51" t="str">
        <f t="shared" si="1035"/>
        <v/>
      </c>
      <c r="P1034" s="51" t="str">
        <f t="shared" si="1035"/>
        <v/>
      </c>
      <c r="Q1034" s="51" t="str">
        <f t="shared" si="1035"/>
        <v/>
      </c>
      <c r="R1034" s="51" t="str">
        <f t="shared" si="1035"/>
        <v/>
      </c>
      <c r="S1034" s="51" t="str">
        <f t="shared" si="1035"/>
        <v/>
      </c>
      <c r="T1034" s="51" t="str">
        <f t="shared" si="1035"/>
        <v/>
      </c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2"/>
      <c r="AM1034" s="52"/>
      <c r="AN1034" s="52"/>
      <c r="AO1034" s="52"/>
      <c r="AP1034" s="52"/>
      <c r="AQ1034" s="52"/>
      <c r="AR1034" s="52"/>
      <c r="AS1034" s="52"/>
      <c r="AT1034" s="52"/>
      <c r="AU1034" s="52"/>
      <c r="AV1034" s="52"/>
      <c r="AW1034" s="52"/>
      <c r="AX1034" s="52"/>
      <c r="AY1034" s="52"/>
      <c r="AZ1034" s="52"/>
      <c r="BA1034" s="52"/>
      <c r="BB1034" s="52"/>
      <c r="BC1034" s="52"/>
      <c r="BD1034" s="52"/>
      <c r="BE1034" s="52"/>
      <c r="BF1034" s="52"/>
      <c r="BG1034" s="52"/>
      <c r="BH1034" s="52"/>
      <c r="BI1034" s="52"/>
      <c r="BJ1034" s="52"/>
      <c r="BK1034" s="52"/>
      <c r="BL1034" s="52"/>
      <c r="BM1034" s="52"/>
      <c r="BN1034" s="52"/>
      <c r="BO1034" s="52"/>
    </row>
    <row r="1035">
      <c r="B1035" s="49"/>
      <c r="C1035" s="49" t="str">
        <f t="shared" si="2"/>
        <v/>
      </c>
      <c r="D1035" s="50" t="str">
        <f t="shared" si="3"/>
        <v/>
      </c>
      <c r="E1035" s="51" t="str">
        <f t="shared" ref="E1035:T1035" si="1036">IFERROR(VLOOKUP($A1035,INDIRECT("'" &amp; E$1 &amp; "'!$C:$G"), 5, FALSE),"")</f>
        <v/>
      </c>
      <c r="F1035" s="51" t="str">
        <f t="shared" si="1036"/>
        <v/>
      </c>
      <c r="G1035" s="51" t="str">
        <f t="shared" si="1036"/>
        <v/>
      </c>
      <c r="H1035" s="51" t="str">
        <f t="shared" si="1036"/>
        <v/>
      </c>
      <c r="I1035" s="51" t="str">
        <f t="shared" si="1036"/>
        <v/>
      </c>
      <c r="J1035" s="51" t="str">
        <f t="shared" si="1036"/>
        <v/>
      </c>
      <c r="K1035" s="51" t="str">
        <f t="shared" si="1036"/>
        <v/>
      </c>
      <c r="L1035" s="51" t="str">
        <f t="shared" si="1036"/>
        <v/>
      </c>
      <c r="M1035" s="51" t="str">
        <f t="shared" si="1036"/>
        <v/>
      </c>
      <c r="N1035" s="51" t="str">
        <f t="shared" si="1036"/>
        <v/>
      </c>
      <c r="O1035" s="51" t="str">
        <f t="shared" si="1036"/>
        <v/>
      </c>
      <c r="P1035" s="51" t="str">
        <f t="shared" si="1036"/>
        <v/>
      </c>
      <c r="Q1035" s="51" t="str">
        <f t="shared" si="1036"/>
        <v/>
      </c>
      <c r="R1035" s="51" t="str">
        <f t="shared" si="1036"/>
        <v/>
      </c>
      <c r="S1035" s="51" t="str">
        <f t="shared" si="1036"/>
        <v/>
      </c>
      <c r="T1035" s="51" t="str">
        <f t="shared" si="1036"/>
        <v/>
      </c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2"/>
      <c r="AM1035" s="52"/>
      <c r="AN1035" s="52"/>
      <c r="AO1035" s="52"/>
      <c r="AP1035" s="52"/>
      <c r="AQ1035" s="52"/>
      <c r="AR1035" s="52"/>
      <c r="AS1035" s="52"/>
      <c r="AT1035" s="52"/>
      <c r="AU1035" s="52"/>
      <c r="AV1035" s="52"/>
      <c r="AW1035" s="52"/>
      <c r="AX1035" s="52"/>
      <c r="AY1035" s="52"/>
      <c r="AZ1035" s="52"/>
      <c r="BA1035" s="52"/>
      <c r="BB1035" s="52"/>
      <c r="BC1035" s="52"/>
      <c r="BD1035" s="52"/>
      <c r="BE1035" s="52"/>
      <c r="BF1035" s="52"/>
      <c r="BG1035" s="52"/>
      <c r="BH1035" s="52"/>
      <c r="BI1035" s="52"/>
      <c r="BJ1035" s="52"/>
      <c r="BK1035" s="52"/>
      <c r="BL1035" s="52"/>
      <c r="BM1035" s="52"/>
      <c r="BN1035" s="52"/>
      <c r="BO1035" s="52"/>
    </row>
    <row r="1036">
      <c r="B1036" s="49"/>
      <c r="C1036" s="49" t="str">
        <f t="shared" si="2"/>
        <v/>
      </c>
      <c r="D1036" s="50" t="str">
        <f t="shared" si="3"/>
        <v/>
      </c>
      <c r="E1036" s="51" t="str">
        <f t="shared" ref="E1036:T1036" si="1037">IFERROR(VLOOKUP($A1036,INDIRECT("'" &amp; E$1 &amp; "'!$C:$G"), 5, FALSE),"")</f>
        <v/>
      </c>
      <c r="F1036" s="51" t="str">
        <f t="shared" si="1037"/>
        <v/>
      </c>
      <c r="G1036" s="51" t="str">
        <f t="shared" si="1037"/>
        <v/>
      </c>
      <c r="H1036" s="51" t="str">
        <f t="shared" si="1037"/>
        <v/>
      </c>
      <c r="I1036" s="51" t="str">
        <f t="shared" si="1037"/>
        <v/>
      </c>
      <c r="J1036" s="51" t="str">
        <f t="shared" si="1037"/>
        <v/>
      </c>
      <c r="K1036" s="51" t="str">
        <f t="shared" si="1037"/>
        <v/>
      </c>
      <c r="L1036" s="51" t="str">
        <f t="shared" si="1037"/>
        <v/>
      </c>
      <c r="M1036" s="51" t="str">
        <f t="shared" si="1037"/>
        <v/>
      </c>
      <c r="N1036" s="51" t="str">
        <f t="shared" si="1037"/>
        <v/>
      </c>
      <c r="O1036" s="51" t="str">
        <f t="shared" si="1037"/>
        <v/>
      </c>
      <c r="P1036" s="51" t="str">
        <f t="shared" si="1037"/>
        <v/>
      </c>
      <c r="Q1036" s="51" t="str">
        <f t="shared" si="1037"/>
        <v/>
      </c>
      <c r="R1036" s="51" t="str">
        <f t="shared" si="1037"/>
        <v/>
      </c>
      <c r="S1036" s="51" t="str">
        <f t="shared" si="1037"/>
        <v/>
      </c>
      <c r="T1036" s="51" t="str">
        <f t="shared" si="1037"/>
        <v/>
      </c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2"/>
      <c r="AM1036" s="52"/>
      <c r="AN1036" s="52"/>
      <c r="AO1036" s="52"/>
      <c r="AP1036" s="52"/>
      <c r="AQ1036" s="52"/>
      <c r="AR1036" s="52"/>
      <c r="AS1036" s="52"/>
      <c r="AT1036" s="52"/>
      <c r="AU1036" s="52"/>
      <c r="AV1036" s="52"/>
      <c r="AW1036" s="52"/>
      <c r="AX1036" s="52"/>
      <c r="AY1036" s="52"/>
      <c r="AZ1036" s="52"/>
      <c r="BA1036" s="52"/>
      <c r="BB1036" s="52"/>
      <c r="BC1036" s="52"/>
      <c r="BD1036" s="52"/>
      <c r="BE1036" s="52"/>
      <c r="BF1036" s="52"/>
      <c r="BG1036" s="52"/>
      <c r="BH1036" s="52"/>
      <c r="BI1036" s="52"/>
      <c r="BJ1036" s="52"/>
      <c r="BK1036" s="52"/>
      <c r="BL1036" s="52"/>
      <c r="BM1036" s="52"/>
      <c r="BN1036" s="52"/>
      <c r="BO1036" s="52"/>
    </row>
    <row r="1037">
      <c r="B1037" s="49"/>
      <c r="C1037" s="49" t="str">
        <f t="shared" si="2"/>
        <v/>
      </c>
      <c r="D1037" s="50" t="str">
        <f t="shared" si="3"/>
        <v/>
      </c>
      <c r="E1037" s="51" t="str">
        <f t="shared" ref="E1037:T1037" si="1038">IFERROR(VLOOKUP($A1037,INDIRECT("'" &amp; E$1 &amp; "'!$C:$G"), 5, FALSE),"")</f>
        <v/>
      </c>
      <c r="F1037" s="51" t="str">
        <f t="shared" si="1038"/>
        <v/>
      </c>
      <c r="G1037" s="51" t="str">
        <f t="shared" si="1038"/>
        <v/>
      </c>
      <c r="H1037" s="51" t="str">
        <f t="shared" si="1038"/>
        <v/>
      </c>
      <c r="I1037" s="51" t="str">
        <f t="shared" si="1038"/>
        <v/>
      </c>
      <c r="J1037" s="51" t="str">
        <f t="shared" si="1038"/>
        <v/>
      </c>
      <c r="K1037" s="51" t="str">
        <f t="shared" si="1038"/>
        <v/>
      </c>
      <c r="L1037" s="51" t="str">
        <f t="shared" si="1038"/>
        <v/>
      </c>
      <c r="M1037" s="51" t="str">
        <f t="shared" si="1038"/>
        <v/>
      </c>
      <c r="N1037" s="51" t="str">
        <f t="shared" si="1038"/>
        <v/>
      </c>
      <c r="O1037" s="51" t="str">
        <f t="shared" si="1038"/>
        <v/>
      </c>
      <c r="P1037" s="51" t="str">
        <f t="shared" si="1038"/>
        <v/>
      </c>
      <c r="Q1037" s="51" t="str">
        <f t="shared" si="1038"/>
        <v/>
      </c>
      <c r="R1037" s="51" t="str">
        <f t="shared" si="1038"/>
        <v/>
      </c>
      <c r="S1037" s="51" t="str">
        <f t="shared" si="1038"/>
        <v/>
      </c>
      <c r="T1037" s="51" t="str">
        <f t="shared" si="1038"/>
        <v/>
      </c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M1037" s="52"/>
      <c r="AN1037" s="52"/>
      <c r="AO1037" s="52"/>
      <c r="AP1037" s="52"/>
      <c r="AQ1037" s="52"/>
      <c r="AR1037" s="52"/>
      <c r="AS1037" s="52"/>
      <c r="AT1037" s="52"/>
      <c r="AU1037" s="52"/>
      <c r="AV1037" s="52"/>
      <c r="AW1037" s="52"/>
      <c r="AX1037" s="52"/>
      <c r="AY1037" s="52"/>
      <c r="AZ1037" s="52"/>
      <c r="BA1037" s="52"/>
      <c r="BB1037" s="52"/>
      <c r="BC1037" s="52"/>
      <c r="BD1037" s="52"/>
      <c r="BE1037" s="52"/>
      <c r="BF1037" s="52"/>
      <c r="BG1037" s="52"/>
      <c r="BH1037" s="52"/>
      <c r="BI1037" s="52"/>
      <c r="BJ1037" s="52"/>
      <c r="BK1037" s="52"/>
      <c r="BL1037" s="52"/>
      <c r="BM1037" s="52"/>
      <c r="BN1037" s="52"/>
      <c r="BO1037" s="52"/>
    </row>
    <row r="1038">
      <c r="B1038" s="49"/>
      <c r="C1038" s="49" t="str">
        <f t="shared" si="2"/>
        <v/>
      </c>
      <c r="D1038" s="50" t="str">
        <f t="shared" si="3"/>
        <v/>
      </c>
      <c r="E1038" s="51" t="str">
        <f t="shared" ref="E1038:T1038" si="1039">IFERROR(VLOOKUP($A1038,INDIRECT("'" &amp; E$1 &amp; "'!$C:$G"), 5, FALSE),"")</f>
        <v/>
      </c>
      <c r="F1038" s="51" t="str">
        <f t="shared" si="1039"/>
        <v/>
      </c>
      <c r="G1038" s="51" t="str">
        <f t="shared" si="1039"/>
        <v/>
      </c>
      <c r="H1038" s="51" t="str">
        <f t="shared" si="1039"/>
        <v/>
      </c>
      <c r="I1038" s="51" t="str">
        <f t="shared" si="1039"/>
        <v/>
      </c>
      <c r="J1038" s="51" t="str">
        <f t="shared" si="1039"/>
        <v/>
      </c>
      <c r="K1038" s="51" t="str">
        <f t="shared" si="1039"/>
        <v/>
      </c>
      <c r="L1038" s="51" t="str">
        <f t="shared" si="1039"/>
        <v/>
      </c>
      <c r="M1038" s="51" t="str">
        <f t="shared" si="1039"/>
        <v/>
      </c>
      <c r="N1038" s="51" t="str">
        <f t="shared" si="1039"/>
        <v/>
      </c>
      <c r="O1038" s="51" t="str">
        <f t="shared" si="1039"/>
        <v/>
      </c>
      <c r="P1038" s="51" t="str">
        <f t="shared" si="1039"/>
        <v/>
      </c>
      <c r="Q1038" s="51" t="str">
        <f t="shared" si="1039"/>
        <v/>
      </c>
      <c r="R1038" s="51" t="str">
        <f t="shared" si="1039"/>
        <v/>
      </c>
      <c r="S1038" s="51" t="str">
        <f t="shared" si="1039"/>
        <v/>
      </c>
      <c r="T1038" s="51" t="str">
        <f t="shared" si="1039"/>
        <v/>
      </c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2"/>
      <c r="AJ1038" s="52"/>
      <c r="AK1038" s="52"/>
      <c r="AL1038" s="52"/>
      <c r="AM1038" s="52"/>
      <c r="AN1038" s="52"/>
      <c r="AO1038" s="52"/>
      <c r="AP1038" s="52"/>
      <c r="AQ1038" s="52"/>
      <c r="AR1038" s="52"/>
      <c r="AS1038" s="52"/>
      <c r="AT1038" s="52"/>
      <c r="AU1038" s="52"/>
      <c r="AV1038" s="52"/>
      <c r="AW1038" s="52"/>
      <c r="AX1038" s="52"/>
      <c r="AY1038" s="52"/>
      <c r="AZ1038" s="52"/>
      <c r="BA1038" s="52"/>
      <c r="BB1038" s="52"/>
      <c r="BC1038" s="52"/>
      <c r="BD1038" s="52"/>
      <c r="BE1038" s="52"/>
      <c r="BF1038" s="52"/>
      <c r="BG1038" s="52"/>
      <c r="BH1038" s="52"/>
      <c r="BI1038" s="52"/>
      <c r="BJ1038" s="52"/>
      <c r="BK1038" s="52"/>
      <c r="BL1038" s="52"/>
      <c r="BM1038" s="52"/>
      <c r="BN1038" s="52"/>
      <c r="BO1038" s="52"/>
    </row>
    <row r="1039">
      <c r="B1039" s="49"/>
      <c r="C1039" s="49" t="str">
        <f t="shared" si="2"/>
        <v/>
      </c>
      <c r="D1039" s="50" t="str">
        <f t="shared" si="3"/>
        <v/>
      </c>
      <c r="E1039" s="51" t="str">
        <f t="shared" ref="E1039:T1039" si="1040">IFERROR(VLOOKUP($A1039,INDIRECT("'" &amp; E$1 &amp; "'!$C:$G"), 5, FALSE),"")</f>
        <v/>
      </c>
      <c r="F1039" s="51" t="str">
        <f t="shared" si="1040"/>
        <v/>
      </c>
      <c r="G1039" s="51" t="str">
        <f t="shared" si="1040"/>
        <v/>
      </c>
      <c r="H1039" s="51" t="str">
        <f t="shared" si="1040"/>
        <v/>
      </c>
      <c r="I1039" s="51" t="str">
        <f t="shared" si="1040"/>
        <v/>
      </c>
      <c r="J1039" s="51" t="str">
        <f t="shared" si="1040"/>
        <v/>
      </c>
      <c r="K1039" s="51" t="str">
        <f t="shared" si="1040"/>
        <v/>
      </c>
      <c r="L1039" s="51" t="str">
        <f t="shared" si="1040"/>
        <v/>
      </c>
      <c r="M1039" s="51" t="str">
        <f t="shared" si="1040"/>
        <v/>
      </c>
      <c r="N1039" s="51" t="str">
        <f t="shared" si="1040"/>
        <v/>
      </c>
      <c r="O1039" s="51" t="str">
        <f t="shared" si="1040"/>
        <v/>
      </c>
      <c r="P1039" s="51" t="str">
        <f t="shared" si="1040"/>
        <v/>
      </c>
      <c r="Q1039" s="51" t="str">
        <f t="shared" si="1040"/>
        <v/>
      </c>
      <c r="R1039" s="51" t="str">
        <f t="shared" si="1040"/>
        <v/>
      </c>
      <c r="S1039" s="51" t="str">
        <f t="shared" si="1040"/>
        <v/>
      </c>
      <c r="T1039" s="51" t="str">
        <f t="shared" si="1040"/>
        <v/>
      </c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I1039" s="52"/>
      <c r="AJ1039" s="52"/>
      <c r="AK1039" s="52"/>
      <c r="AL1039" s="52"/>
      <c r="AM1039" s="52"/>
      <c r="AN1039" s="52"/>
      <c r="AO1039" s="52"/>
      <c r="AP1039" s="52"/>
      <c r="AQ1039" s="52"/>
      <c r="AR1039" s="52"/>
      <c r="AS1039" s="52"/>
      <c r="AT1039" s="52"/>
      <c r="AU1039" s="52"/>
      <c r="AV1039" s="52"/>
      <c r="AW1039" s="52"/>
      <c r="AX1039" s="52"/>
      <c r="AY1039" s="52"/>
      <c r="AZ1039" s="52"/>
      <c r="BA1039" s="52"/>
      <c r="BB1039" s="52"/>
      <c r="BC1039" s="52"/>
      <c r="BD1039" s="52"/>
      <c r="BE1039" s="52"/>
      <c r="BF1039" s="52"/>
      <c r="BG1039" s="52"/>
      <c r="BH1039" s="52"/>
      <c r="BI1039" s="52"/>
      <c r="BJ1039" s="52"/>
      <c r="BK1039" s="52"/>
      <c r="BL1039" s="52"/>
      <c r="BM1039" s="52"/>
      <c r="BN1039" s="52"/>
      <c r="BO1039" s="52"/>
    </row>
    <row r="1040">
      <c r="B1040" s="49"/>
      <c r="C1040" s="49" t="str">
        <f t="shared" si="2"/>
        <v/>
      </c>
      <c r="D1040" s="50" t="str">
        <f t="shared" si="3"/>
        <v/>
      </c>
      <c r="E1040" s="51" t="str">
        <f t="shared" ref="E1040:T1040" si="1041">IFERROR(VLOOKUP($A1040,INDIRECT("'" &amp; E$1 &amp; "'!$C:$G"), 5, FALSE),"")</f>
        <v/>
      </c>
      <c r="F1040" s="51" t="str">
        <f t="shared" si="1041"/>
        <v/>
      </c>
      <c r="G1040" s="51" t="str">
        <f t="shared" si="1041"/>
        <v/>
      </c>
      <c r="H1040" s="51" t="str">
        <f t="shared" si="1041"/>
        <v/>
      </c>
      <c r="I1040" s="51" t="str">
        <f t="shared" si="1041"/>
        <v/>
      </c>
      <c r="J1040" s="51" t="str">
        <f t="shared" si="1041"/>
        <v/>
      </c>
      <c r="K1040" s="51" t="str">
        <f t="shared" si="1041"/>
        <v/>
      </c>
      <c r="L1040" s="51" t="str">
        <f t="shared" si="1041"/>
        <v/>
      </c>
      <c r="M1040" s="51" t="str">
        <f t="shared" si="1041"/>
        <v/>
      </c>
      <c r="N1040" s="51" t="str">
        <f t="shared" si="1041"/>
        <v/>
      </c>
      <c r="O1040" s="51" t="str">
        <f t="shared" si="1041"/>
        <v/>
      </c>
      <c r="P1040" s="51" t="str">
        <f t="shared" si="1041"/>
        <v/>
      </c>
      <c r="Q1040" s="51" t="str">
        <f t="shared" si="1041"/>
        <v/>
      </c>
      <c r="R1040" s="51" t="str">
        <f t="shared" si="1041"/>
        <v/>
      </c>
      <c r="S1040" s="51" t="str">
        <f t="shared" si="1041"/>
        <v/>
      </c>
      <c r="T1040" s="51" t="str">
        <f t="shared" si="1041"/>
        <v/>
      </c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2"/>
      <c r="AJ1040" s="52"/>
      <c r="AK1040" s="52"/>
      <c r="AL1040" s="52"/>
      <c r="AM1040" s="52"/>
      <c r="AN1040" s="52"/>
      <c r="AO1040" s="52"/>
      <c r="AP1040" s="52"/>
      <c r="AQ1040" s="52"/>
      <c r="AR1040" s="52"/>
      <c r="AS1040" s="52"/>
      <c r="AT1040" s="52"/>
      <c r="AU1040" s="52"/>
      <c r="AV1040" s="52"/>
      <c r="AW1040" s="52"/>
      <c r="AX1040" s="52"/>
      <c r="AY1040" s="52"/>
      <c r="AZ1040" s="52"/>
      <c r="BA1040" s="52"/>
      <c r="BB1040" s="52"/>
      <c r="BC1040" s="52"/>
      <c r="BD1040" s="52"/>
      <c r="BE1040" s="52"/>
      <c r="BF1040" s="52"/>
      <c r="BG1040" s="52"/>
      <c r="BH1040" s="52"/>
      <c r="BI1040" s="52"/>
      <c r="BJ1040" s="52"/>
      <c r="BK1040" s="52"/>
      <c r="BL1040" s="52"/>
      <c r="BM1040" s="52"/>
      <c r="BN1040" s="52"/>
      <c r="BO1040" s="52"/>
    </row>
    <row r="1041">
      <c r="B1041" s="49"/>
      <c r="C1041" s="49" t="str">
        <f t="shared" si="2"/>
        <v/>
      </c>
      <c r="D1041" s="50" t="str">
        <f t="shared" si="3"/>
        <v/>
      </c>
      <c r="E1041" s="51" t="str">
        <f t="shared" ref="E1041:T1041" si="1042">IFERROR(VLOOKUP($A1041,INDIRECT("'" &amp; E$1 &amp; "'!$C:$G"), 5, FALSE),"")</f>
        <v/>
      </c>
      <c r="F1041" s="51" t="str">
        <f t="shared" si="1042"/>
        <v/>
      </c>
      <c r="G1041" s="51" t="str">
        <f t="shared" si="1042"/>
        <v/>
      </c>
      <c r="H1041" s="51" t="str">
        <f t="shared" si="1042"/>
        <v/>
      </c>
      <c r="I1041" s="51" t="str">
        <f t="shared" si="1042"/>
        <v/>
      </c>
      <c r="J1041" s="51" t="str">
        <f t="shared" si="1042"/>
        <v/>
      </c>
      <c r="K1041" s="51" t="str">
        <f t="shared" si="1042"/>
        <v/>
      </c>
      <c r="L1041" s="51" t="str">
        <f t="shared" si="1042"/>
        <v/>
      </c>
      <c r="M1041" s="51" t="str">
        <f t="shared" si="1042"/>
        <v/>
      </c>
      <c r="N1041" s="51" t="str">
        <f t="shared" si="1042"/>
        <v/>
      </c>
      <c r="O1041" s="51" t="str">
        <f t="shared" si="1042"/>
        <v/>
      </c>
      <c r="P1041" s="51" t="str">
        <f t="shared" si="1042"/>
        <v/>
      </c>
      <c r="Q1041" s="51" t="str">
        <f t="shared" si="1042"/>
        <v/>
      </c>
      <c r="R1041" s="51" t="str">
        <f t="shared" si="1042"/>
        <v/>
      </c>
      <c r="S1041" s="51" t="str">
        <f t="shared" si="1042"/>
        <v/>
      </c>
      <c r="T1041" s="51" t="str">
        <f t="shared" si="1042"/>
        <v/>
      </c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I1041" s="52"/>
      <c r="AJ1041" s="52"/>
      <c r="AK1041" s="52"/>
      <c r="AL1041" s="52"/>
      <c r="AM1041" s="52"/>
      <c r="AN1041" s="52"/>
      <c r="AO1041" s="52"/>
      <c r="AP1041" s="52"/>
      <c r="AQ1041" s="52"/>
      <c r="AR1041" s="52"/>
      <c r="AS1041" s="52"/>
      <c r="AT1041" s="52"/>
      <c r="AU1041" s="52"/>
      <c r="AV1041" s="52"/>
      <c r="AW1041" s="52"/>
      <c r="AX1041" s="52"/>
      <c r="AY1041" s="52"/>
      <c r="AZ1041" s="52"/>
      <c r="BA1041" s="52"/>
      <c r="BB1041" s="52"/>
      <c r="BC1041" s="52"/>
      <c r="BD1041" s="52"/>
      <c r="BE1041" s="52"/>
      <c r="BF1041" s="52"/>
      <c r="BG1041" s="52"/>
      <c r="BH1041" s="52"/>
      <c r="BI1041" s="52"/>
      <c r="BJ1041" s="52"/>
      <c r="BK1041" s="52"/>
      <c r="BL1041" s="52"/>
      <c r="BM1041" s="52"/>
      <c r="BN1041" s="52"/>
      <c r="BO1041" s="52"/>
    </row>
    <row r="1042">
      <c r="B1042" s="49"/>
      <c r="C1042" s="49" t="str">
        <f t="shared" si="2"/>
        <v/>
      </c>
      <c r="D1042" s="50" t="str">
        <f t="shared" si="3"/>
        <v/>
      </c>
      <c r="E1042" s="51" t="str">
        <f t="shared" ref="E1042:T1042" si="1043">IFERROR(VLOOKUP($A1042,INDIRECT("'" &amp; E$1 &amp; "'!$C:$G"), 5, FALSE),"")</f>
        <v/>
      </c>
      <c r="F1042" s="51" t="str">
        <f t="shared" si="1043"/>
        <v/>
      </c>
      <c r="G1042" s="51" t="str">
        <f t="shared" si="1043"/>
        <v/>
      </c>
      <c r="H1042" s="51" t="str">
        <f t="shared" si="1043"/>
        <v/>
      </c>
      <c r="I1042" s="51" t="str">
        <f t="shared" si="1043"/>
        <v/>
      </c>
      <c r="J1042" s="51" t="str">
        <f t="shared" si="1043"/>
        <v/>
      </c>
      <c r="K1042" s="51" t="str">
        <f t="shared" si="1043"/>
        <v/>
      </c>
      <c r="L1042" s="51" t="str">
        <f t="shared" si="1043"/>
        <v/>
      </c>
      <c r="M1042" s="51" t="str">
        <f t="shared" si="1043"/>
        <v/>
      </c>
      <c r="N1042" s="51" t="str">
        <f t="shared" si="1043"/>
        <v/>
      </c>
      <c r="O1042" s="51" t="str">
        <f t="shared" si="1043"/>
        <v/>
      </c>
      <c r="P1042" s="51" t="str">
        <f t="shared" si="1043"/>
        <v/>
      </c>
      <c r="Q1042" s="51" t="str">
        <f t="shared" si="1043"/>
        <v/>
      </c>
      <c r="R1042" s="51" t="str">
        <f t="shared" si="1043"/>
        <v/>
      </c>
      <c r="S1042" s="51" t="str">
        <f t="shared" si="1043"/>
        <v/>
      </c>
      <c r="T1042" s="51" t="str">
        <f t="shared" si="1043"/>
        <v/>
      </c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2"/>
      <c r="AM1042" s="52"/>
      <c r="AN1042" s="52"/>
      <c r="AO1042" s="52"/>
      <c r="AP1042" s="52"/>
      <c r="AQ1042" s="52"/>
      <c r="AR1042" s="52"/>
      <c r="AS1042" s="52"/>
      <c r="AT1042" s="52"/>
      <c r="AU1042" s="52"/>
      <c r="AV1042" s="52"/>
      <c r="AW1042" s="52"/>
      <c r="AX1042" s="52"/>
      <c r="AY1042" s="52"/>
      <c r="AZ1042" s="52"/>
      <c r="BA1042" s="52"/>
      <c r="BB1042" s="52"/>
      <c r="BC1042" s="52"/>
      <c r="BD1042" s="52"/>
      <c r="BE1042" s="52"/>
      <c r="BF1042" s="52"/>
      <c r="BG1042" s="52"/>
      <c r="BH1042" s="52"/>
      <c r="BI1042" s="52"/>
      <c r="BJ1042" s="52"/>
      <c r="BK1042" s="52"/>
      <c r="BL1042" s="52"/>
      <c r="BM1042" s="52"/>
      <c r="BN1042" s="52"/>
      <c r="BO1042" s="52"/>
    </row>
    <row r="1043">
      <c r="B1043" s="49"/>
      <c r="C1043" s="49" t="str">
        <f t="shared" si="2"/>
        <v/>
      </c>
      <c r="D1043" s="50" t="str">
        <f t="shared" si="3"/>
        <v/>
      </c>
      <c r="E1043" s="51" t="str">
        <f t="shared" ref="E1043:T1043" si="1044">IFERROR(VLOOKUP($A1043,INDIRECT("'" &amp; E$1 &amp; "'!$C:$G"), 5, FALSE),"")</f>
        <v/>
      </c>
      <c r="F1043" s="51" t="str">
        <f t="shared" si="1044"/>
        <v/>
      </c>
      <c r="G1043" s="51" t="str">
        <f t="shared" si="1044"/>
        <v/>
      </c>
      <c r="H1043" s="51" t="str">
        <f t="shared" si="1044"/>
        <v/>
      </c>
      <c r="I1043" s="51" t="str">
        <f t="shared" si="1044"/>
        <v/>
      </c>
      <c r="J1043" s="51" t="str">
        <f t="shared" si="1044"/>
        <v/>
      </c>
      <c r="K1043" s="51" t="str">
        <f t="shared" si="1044"/>
        <v/>
      </c>
      <c r="L1043" s="51" t="str">
        <f t="shared" si="1044"/>
        <v/>
      </c>
      <c r="M1043" s="51" t="str">
        <f t="shared" si="1044"/>
        <v/>
      </c>
      <c r="N1043" s="51" t="str">
        <f t="shared" si="1044"/>
        <v/>
      </c>
      <c r="O1043" s="51" t="str">
        <f t="shared" si="1044"/>
        <v/>
      </c>
      <c r="P1043" s="51" t="str">
        <f t="shared" si="1044"/>
        <v/>
      </c>
      <c r="Q1043" s="51" t="str">
        <f t="shared" si="1044"/>
        <v/>
      </c>
      <c r="R1043" s="51" t="str">
        <f t="shared" si="1044"/>
        <v/>
      </c>
      <c r="S1043" s="51" t="str">
        <f t="shared" si="1044"/>
        <v/>
      </c>
      <c r="T1043" s="51" t="str">
        <f t="shared" si="1044"/>
        <v/>
      </c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2"/>
      <c r="AJ1043" s="52"/>
      <c r="AK1043" s="52"/>
      <c r="AL1043" s="52"/>
      <c r="AM1043" s="52"/>
      <c r="AN1043" s="52"/>
      <c r="AO1043" s="52"/>
      <c r="AP1043" s="52"/>
      <c r="AQ1043" s="52"/>
      <c r="AR1043" s="52"/>
      <c r="AS1043" s="52"/>
      <c r="AT1043" s="52"/>
      <c r="AU1043" s="52"/>
      <c r="AV1043" s="52"/>
      <c r="AW1043" s="52"/>
      <c r="AX1043" s="52"/>
      <c r="AY1043" s="52"/>
      <c r="AZ1043" s="52"/>
      <c r="BA1043" s="52"/>
      <c r="BB1043" s="52"/>
      <c r="BC1043" s="52"/>
      <c r="BD1043" s="52"/>
      <c r="BE1043" s="52"/>
      <c r="BF1043" s="52"/>
      <c r="BG1043" s="52"/>
      <c r="BH1043" s="52"/>
      <c r="BI1043" s="52"/>
      <c r="BJ1043" s="52"/>
      <c r="BK1043" s="52"/>
      <c r="BL1043" s="52"/>
      <c r="BM1043" s="52"/>
      <c r="BN1043" s="52"/>
      <c r="BO1043" s="52"/>
    </row>
    <row r="1044">
      <c r="B1044" s="49"/>
      <c r="C1044" s="49" t="str">
        <f t="shared" si="2"/>
        <v/>
      </c>
      <c r="D1044" s="50" t="str">
        <f t="shared" si="3"/>
        <v/>
      </c>
      <c r="E1044" s="51" t="str">
        <f t="shared" ref="E1044:T1044" si="1045">IFERROR(VLOOKUP($A1044,INDIRECT("'" &amp; E$1 &amp; "'!$C:$G"), 5, FALSE),"")</f>
        <v/>
      </c>
      <c r="F1044" s="51" t="str">
        <f t="shared" si="1045"/>
        <v/>
      </c>
      <c r="G1044" s="51" t="str">
        <f t="shared" si="1045"/>
        <v/>
      </c>
      <c r="H1044" s="51" t="str">
        <f t="shared" si="1045"/>
        <v/>
      </c>
      <c r="I1044" s="51" t="str">
        <f t="shared" si="1045"/>
        <v/>
      </c>
      <c r="J1044" s="51" t="str">
        <f t="shared" si="1045"/>
        <v/>
      </c>
      <c r="K1044" s="51" t="str">
        <f t="shared" si="1045"/>
        <v/>
      </c>
      <c r="L1044" s="51" t="str">
        <f t="shared" si="1045"/>
        <v/>
      </c>
      <c r="M1044" s="51" t="str">
        <f t="shared" si="1045"/>
        <v/>
      </c>
      <c r="N1044" s="51" t="str">
        <f t="shared" si="1045"/>
        <v/>
      </c>
      <c r="O1044" s="51" t="str">
        <f t="shared" si="1045"/>
        <v/>
      </c>
      <c r="P1044" s="51" t="str">
        <f t="shared" si="1045"/>
        <v/>
      </c>
      <c r="Q1044" s="51" t="str">
        <f t="shared" si="1045"/>
        <v/>
      </c>
      <c r="R1044" s="51" t="str">
        <f t="shared" si="1045"/>
        <v/>
      </c>
      <c r="S1044" s="51" t="str">
        <f t="shared" si="1045"/>
        <v/>
      </c>
      <c r="T1044" s="51" t="str">
        <f t="shared" si="1045"/>
        <v/>
      </c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I1044" s="52"/>
      <c r="AJ1044" s="52"/>
      <c r="AK1044" s="52"/>
      <c r="AL1044" s="52"/>
      <c r="AM1044" s="52"/>
      <c r="AN1044" s="52"/>
      <c r="AO1044" s="52"/>
      <c r="AP1044" s="52"/>
      <c r="AQ1044" s="52"/>
      <c r="AR1044" s="52"/>
      <c r="AS1044" s="52"/>
      <c r="AT1044" s="52"/>
      <c r="AU1044" s="52"/>
      <c r="AV1044" s="52"/>
      <c r="AW1044" s="52"/>
      <c r="AX1044" s="52"/>
      <c r="AY1044" s="52"/>
      <c r="AZ1044" s="52"/>
      <c r="BA1044" s="52"/>
      <c r="BB1044" s="52"/>
      <c r="BC1044" s="52"/>
      <c r="BD1044" s="52"/>
      <c r="BE1044" s="52"/>
      <c r="BF1044" s="52"/>
      <c r="BG1044" s="52"/>
      <c r="BH1044" s="52"/>
      <c r="BI1044" s="52"/>
      <c r="BJ1044" s="52"/>
      <c r="BK1044" s="52"/>
      <c r="BL1044" s="52"/>
      <c r="BM1044" s="52"/>
      <c r="BN1044" s="52"/>
      <c r="BO1044" s="52"/>
    </row>
    <row r="1045">
      <c r="B1045" s="49"/>
      <c r="C1045" s="49" t="str">
        <f t="shared" si="2"/>
        <v/>
      </c>
      <c r="D1045" s="50" t="str">
        <f t="shared" si="3"/>
        <v/>
      </c>
      <c r="E1045" s="51" t="str">
        <f t="shared" ref="E1045:T1045" si="1046">IFERROR(VLOOKUP($A1045,INDIRECT("'" &amp; E$1 &amp; "'!$C:$G"), 5, FALSE),"")</f>
        <v/>
      </c>
      <c r="F1045" s="51" t="str">
        <f t="shared" si="1046"/>
        <v/>
      </c>
      <c r="G1045" s="51" t="str">
        <f t="shared" si="1046"/>
        <v/>
      </c>
      <c r="H1045" s="51" t="str">
        <f t="shared" si="1046"/>
        <v/>
      </c>
      <c r="I1045" s="51" t="str">
        <f t="shared" si="1046"/>
        <v/>
      </c>
      <c r="J1045" s="51" t="str">
        <f t="shared" si="1046"/>
        <v/>
      </c>
      <c r="K1045" s="51" t="str">
        <f t="shared" si="1046"/>
        <v/>
      </c>
      <c r="L1045" s="51" t="str">
        <f t="shared" si="1046"/>
        <v/>
      </c>
      <c r="M1045" s="51" t="str">
        <f t="shared" si="1046"/>
        <v/>
      </c>
      <c r="N1045" s="51" t="str">
        <f t="shared" si="1046"/>
        <v/>
      </c>
      <c r="O1045" s="51" t="str">
        <f t="shared" si="1046"/>
        <v/>
      </c>
      <c r="P1045" s="51" t="str">
        <f t="shared" si="1046"/>
        <v/>
      </c>
      <c r="Q1045" s="51" t="str">
        <f t="shared" si="1046"/>
        <v/>
      </c>
      <c r="R1045" s="51" t="str">
        <f t="shared" si="1046"/>
        <v/>
      </c>
      <c r="S1045" s="51" t="str">
        <f t="shared" si="1046"/>
        <v/>
      </c>
      <c r="T1045" s="51" t="str">
        <f t="shared" si="1046"/>
        <v/>
      </c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2"/>
      <c r="AM1045" s="52"/>
      <c r="AN1045" s="52"/>
      <c r="AO1045" s="52"/>
      <c r="AP1045" s="52"/>
      <c r="AQ1045" s="52"/>
      <c r="AR1045" s="52"/>
      <c r="AS1045" s="52"/>
      <c r="AT1045" s="52"/>
      <c r="AU1045" s="52"/>
      <c r="AV1045" s="52"/>
      <c r="AW1045" s="52"/>
      <c r="AX1045" s="52"/>
      <c r="AY1045" s="52"/>
      <c r="AZ1045" s="52"/>
      <c r="BA1045" s="52"/>
      <c r="BB1045" s="52"/>
      <c r="BC1045" s="52"/>
      <c r="BD1045" s="52"/>
      <c r="BE1045" s="52"/>
      <c r="BF1045" s="52"/>
      <c r="BG1045" s="52"/>
      <c r="BH1045" s="52"/>
      <c r="BI1045" s="52"/>
      <c r="BJ1045" s="52"/>
      <c r="BK1045" s="52"/>
      <c r="BL1045" s="52"/>
      <c r="BM1045" s="52"/>
      <c r="BN1045" s="52"/>
      <c r="BO1045" s="52"/>
    </row>
    <row r="1046">
      <c r="B1046" s="49"/>
      <c r="C1046" s="49" t="str">
        <f t="shared" si="2"/>
        <v/>
      </c>
      <c r="D1046" s="50" t="str">
        <f t="shared" si="3"/>
        <v/>
      </c>
      <c r="E1046" s="51" t="str">
        <f t="shared" ref="E1046:T1046" si="1047">IFERROR(VLOOKUP($A1046,INDIRECT("'" &amp; E$1 &amp; "'!$C:$G"), 5, FALSE),"")</f>
        <v/>
      </c>
      <c r="F1046" s="51" t="str">
        <f t="shared" si="1047"/>
        <v/>
      </c>
      <c r="G1046" s="51" t="str">
        <f t="shared" si="1047"/>
        <v/>
      </c>
      <c r="H1046" s="51" t="str">
        <f t="shared" si="1047"/>
        <v/>
      </c>
      <c r="I1046" s="51" t="str">
        <f t="shared" si="1047"/>
        <v/>
      </c>
      <c r="J1046" s="51" t="str">
        <f t="shared" si="1047"/>
        <v/>
      </c>
      <c r="K1046" s="51" t="str">
        <f t="shared" si="1047"/>
        <v/>
      </c>
      <c r="L1046" s="51" t="str">
        <f t="shared" si="1047"/>
        <v/>
      </c>
      <c r="M1046" s="51" t="str">
        <f t="shared" si="1047"/>
        <v/>
      </c>
      <c r="N1046" s="51" t="str">
        <f t="shared" si="1047"/>
        <v/>
      </c>
      <c r="O1046" s="51" t="str">
        <f t="shared" si="1047"/>
        <v/>
      </c>
      <c r="P1046" s="51" t="str">
        <f t="shared" si="1047"/>
        <v/>
      </c>
      <c r="Q1046" s="51" t="str">
        <f t="shared" si="1047"/>
        <v/>
      </c>
      <c r="R1046" s="51" t="str">
        <f t="shared" si="1047"/>
        <v/>
      </c>
      <c r="S1046" s="51" t="str">
        <f t="shared" si="1047"/>
        <v/>
      </c>
      <c r="T1046" s="51" t="str">
        <f t="shared" si="1047"/>
        <v/>
      </c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2"/>
      <c r="AJ1046" s="52"/>
      <c r="AK1046" s="52"/>
      <c r="AL1046" s="52"/>
      <c r="AM1046" s="52"/>
      <c r="AN1046" s="52"/>
      <c r="AO1046" s="52"/>
      <c r="AP1046" s="52"/>
      <c r="AQ1046" s="52"/>
      <c r="AR1046" s="52"/>
      <c r="AS1046" s="52"/>
      <c r="AT1046" s="52"/>
      <c r="AU1046" s="52"/>
      <c r="AV1046" s="52"/>
      <c r="AW1046" s="52"/>
      <c r="AX1046" s="52"/>
      <c r="AY1046" s="52"/>
      <c r="AZ1046" s="52"/>
      <c r="BA1046" s="52"/>
      <c r="BB1046" s="52"/>
      <c r="BC1046" s="52"/>
      <c r="BD1046" s="52"/>
      <c r="BE1046" s="52"/>
      <c r="BF1046" s="52"/>
      <c r="BG1046" s="52"/>
      <c r="BH1046" s="52"/>
      <c r="BI1046" s="52"/>
      <c r="BJ1046" s="52"/>
      <c r="BK1046" s="52"/>
      <c r="BL1046" s="52"/>
      <c r="BM1046" s="52"/>
      <c r="BN1046" s="52"/>
      <c r="BO1046" s="52"/>
    </row>
    <row r="1047">
      <c r="B1047" s="49"/>
      <c r="C1047" s="49" t="str">
        <f t="shared" si="2"/>
        <v/>
      </c>
      <c r="D1047" s="50" t="str">
        <f t="shared" si="3"/>
        <v/>
      </c>
      <c r="E1047" s="51" t="str">
        <f t="shared" ref="E1047:T1047" si="1048">IFERROR(VLOOKUP($A1047,INDIRECT("'" &amp; E$1 &amp; "'!$C:$G"), 5, FALSE),"")</f>
        <v/>
      </c>
      <c r="F1047" s="51" t="str">
        <f t="shared" si="1048"/>
        <v/>
      </c>
      <c r="G1047" s="51" t="str">
        <f t="shared" si="1048"/>
        <v/>
      </c>
      <c r="H1047" s="51" t="str">
        <f t="shared" si="1048"/>
        <v/>
      </c>
      <c r="I1047" s="51" t="str">
        <f t="shared" si="1048"/>
        <v/>
      </c>
      <c r="J1047" s="51" t="str">
        <f t="shared" si="1048"/>
        <v/>
      </c>
      <c r="K1047" s="51" t="str">
        <f t="shared" si="1048"/>
        <v/>
      </c>
      <c r="L1047" s="51" t="str">
        <f t="shared" si="1048"/>
        <v/>
      </c>
      <c r="M1047" s="51" t="str">
        <f t="shared" si="1048"/>
        <v/>
      </c>
      <c r="N1047" s="51" t="str">
        <f t="shared" si="1048"/>
        <v/>
      </c>
      <c r="O1047" s="51" t="str">
        <f t="shared" si="1048"/>
        <v/>
      </c>
      <c r="P1047" s="51" t="str">
        <f t="shared" si="1048"/>
        <v/>
      </c>
      <c r="Q1047" s="51" t="str">
        <f t="shared" si="1048"/>
        <v/>
      </c>
      <c r="R1047" s="51" t="str">
        <f t="shared" si="1048"/>
        <v/>
      </c>
      <c r="S1047" s="51" t="str">
        <f t="shared" si="1048"/>
        <v/>
      </c>
      <c r="T1047" s="51" t="str">
        <f t="shared" si="1048"/>
        <v/>
      </c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2"/>
      <c r="AJ1047" s="52"/>
      <c r="AK1047" s="52"/>
      <c r="AL1047" s="52"/>
      <c r="AM1047" s="52"/>
      <c r="AN1047" s="52"/>
      <c r="AO1047" s="52"/>
      <c r="AP1047" s="52"/>
      <c r="AQ1047" s="52"/>
      <c r="AR1047" s="52"/>
      <c r="AS1047" s="52"/>
      <c r="AT1047" s="52"/>
      <c r="AU1047" s="52"/>
      <c r="AV1047" s="52"/>
      <c r="AW1047" s="52"/>
      <c r="AX1047" s="52"/>
      <c r="AY1047" s="52"/>
      <c r="AZ1047" s="52"/>
      <c r="BA1047" s="52"/>
      <c r="BB1047" s="52"/>
      <c r="BC1047" s="52"/>
      <c r="BD1047" s="52"/>
      <c r="BE1047" s="52"/>
      <c r="BF1047" s="52"/>
      <c r="BG1047" s="52"/>
      <c r="BH1047" s="52"/>
      <c r="BI1047" s="52"/>
      <c r="BJ1047" s="52"/>
      <c r="BK1047" s="52"/>
      <c r="BL1047" s="52"/>
      <c r="BM1047" s="52"/>
      <c r="BN1047" s="52"/>
      <c r="BO1047" s="52"/>
    </row>
    <row r="1048">
      <c r="B1048" s="49"/>
      <c r="C1048" s="49" t="str">
        <f t="shared" si="2"/>
        <v/>
      </c>
      <c r="D1048" s="50" t="str">
        <f t="shared" si="3"/>
        <v/>
      </c>
      <c r="E1048" s="51" t="str">
        <f t="shared" ref="E1048:T1048" si="1049">IFERROR(VLOOKUP($A1048,INDIRECT("'" &amp; E$1 &amp; "'!$C:$G"), 5, FALSE),"")</f>
        <v/>
      </c>
      <c r="F1048" s="51" t="str">
        <f t="shared" si="1049"/>
        <v/>
      </c>
      <c r="G1048" s="51" t="str">
        <f t="shared" si="1049"/>
        <v/>
      </c>
      <c r="H1048" s="51" t="str">
        <f t="shared" si="1049"/>
        <v/>
      </c>
      <c r="I1048" s="51" t="str">
        <f t="shared" si="1049"/>
        <v/>
      </c>
      <c r="J1048" s="51" t="str">
        <f t="shared" si="1049"/>
        <v/>
      </c>
      <c r="K1048" s="51" t="str">
        <f t="shared" si="1049"/>
        <v/>
      </c>
      <c r="L1048" s="51" t="str">
        <f t="shared" si="1049"/>
        <v/>
      </c>
      <c r="M1048" s="51" t="str">
        <f t="shared" si="1049"/>
        <v/>
      </c>
      <c r="N1048" s="51" t="str">
        <f t="shared" si="1049"/>
        <v/>
      </c>
      <c r="O1048" s="51" t="str">
        <f t="shared" si="1049"/>
        <v/>
      </c>
      <c r="P1048" s="51" t="str">
        <f t="shared" si="1049"/>
        <v/>
      </c>
      <c r="Q1048" s="51" t="str">
        <f t="shared" si="1049"/>
        <v/>
      </c>
      <c r="R1048" s="51" t="str">
        <f t="shared" si="1049"/>
        <v/>
      </c>
      <c r="S1048" s="51" t="str">
        <f t="shared" si="1049"/>
        <v/>
      </c>
      <c r="T1048" s="51" t="str">
        <f t="shared" si="1049"/>
        <v/>
      </c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52"/>
      <c r="AN1048" s="52"/>
      <c r="AO1048" s="52"/>
      <c r="AP1048" s="52"/>
      <c r="AQ1048" s="52"/>
      <c r="AR1048" s="52"/>
      <c r="AS1048" s="52"/>
      <c r="AT1048" s="52"/>
      <c r="AU1048" s="52"/>
      <c r="AV1048" s="52"/>
      <c r="AW1048" s="52"/>
      <c r="AX1048" s="52"/>
      <c r="AY1048" s="52"/>
      <c r="AZ1048" s="52"/>
      <c r="BA1048" s="52"/>
      <c r="BB1048" s="52"/>
      <c r="BC1048" s="52"/>
      <c r="BD1048" s="52"/>
      <c r="BE1048" s="52"/>
      <c r="BF1048" s="52"/>
      <c r="BG1048" s="52"/>
      <c r="BH1048" s="52"/>
      <c r="BI1048" s="52"/>
      <c r="BJ1048" s="52"/>
      <c r="BK1048" s="52"/>
      <c r="BL1048" s="52"/>
      <c r="BM1048" s="52"/>
      <c r="BN1048" s="52"/>
      <c r="BO1048" s="52"/>
    </row>
    <row r="1049">
      <c r="B1049" s="49"/>
      <c r="C1049" s="49" t="str">
        <f t="shared" si="2"/>
        <v/>
      </c>
      <c r="D1049" s="50" t="str">
        <f t="shared" si="3"/>
        <v/>
      </c>
      <c r="E1049" s="51" t="str">
        <f t="shared" ref="E1049:T1049" si="1050">IFERROR(VLOOKUP($A1049,INDIRECT("'" &amp; E$1 &amp; "'!$C:$G"), 5, FALSE),"")</f>
        <v/>
      </c>
      <c r="F1049" s="51" t="str">
        <f t="shared" si="1050"/>
        <v/>
      </c>
      <c r="G1049" s="51" t="str">
        <f t="shared" si="1050"/>
        <v/>
      </c>
      <c r="H1049" s="51" t="str">
        <f t="shared" si="1050"/>
        <v/>
      </c>
      <c r="I1049" s="51" t="str">
        <f t="shared" si="1050"/>
        <v/>
      </c>
      <c r="J1049" s="51" t="str">
        <f t="shared" si="1050"/>
        <v/>
      </c>
      <c r="K1049" s="51" t="str">
        <f t="shared" si="1050"/>
        <v/>
      </c>
      <c r="L1049" s="51" t="str">
        <f t="shared" si="1050"/>
        <v/>
      </c>
      <c r="M1049" s="51" t="str">
        <f t="shared" si="1050"/>
        <v/>
      </c>
      <c r="N1049" s="51" t="str">
        <f t="shared" si="1050"/>
        <v/>
      </c>
      <c r="O1049" s="51" t="str">
        <f t="shared" si="1050"/>
        <v/>
      </c>
      <c r="P1049" s="51" t="str">
        <f t="shared" si="1050"/>
        <v/>
      </c>
      <c r="Q1049" s="51" t="str">
        <f t="shared" si="1050"/>
        <v/>
      </c>
      <c r="R1049" s="51" t="str">
        <f t="shared" si="1050"/>
        <v/>
      </c>
      <c r="S1049" s="51" t="str">
        <f t="shared" si="1050"/>
        <v/>
      </c>
      <c r="T1049" s="51" t="str">
        <f t="shared" si="1050"/>
        <v/>
      </c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2"/>
      <c r="AJ1049" s="52"/>
      <c r="AK1049" s="52"/>
      <c r="AL1049" s="52"/>
      <c r="AM1049" s="52"/>
      <c r="AN1049" s="52"/>
      <c r="AO1049" s="52"/>
      <c r="AP1049" s="52"/>
      <c r="AQ1049" s="52"/>
      <c r="AR1049" s="52"/>
      <c r="AS1049" s="52"/>
      <c r="AT1049" s="52"/>
      <c r="AU1049" s="52"/>
      <c r="AV1049" s="52"/>
      <c r="AW1049" s="52"/>
      <c r="AX1049" s="52"/>
      <c r="AY1049" s="52"/>
      <c r="AZ1049" s="52"/>
      <c r="BA1049" s="52"/>
      <c r="BB1049" s="52"/>
      <c r="BC1049" s="52"/>
      <c r="BD1049" s="52"/>
      <c r="BE1049" s="52"/>
      <c r="BF1049" s="52"/>
      <c r="BG1049" s="52"/>
      <c r="BH1049" s="52"/>
      <c r="BI1049" s="52"/>
      <c r="BJ1049" s="52"/>
      <c r="BK1049" s="52"/>
      <c r="BL1049" s="52"/>
      <c r="BM1049" s="52"/>
      <c r="BN1049" s="52"/>
      <c r="BO1049" s="52"/>
    </row>
    <row r="1050">
      <c r="B1050" s="49"/>
      <c r="C1050" s="49" t="str">
        <f t="shared" si="2"/>
        <v/>
      </c>
      <c r="D1050" s="50" t="str">
        <f t="shared" si="3"/>
        <v/>
      </c>
      <c r="E1050" s="51" t="str">
        <f t="shared" ref="E1050:T1050" si="1051">IFERROR(VLOOKUP($A1050,INDIRECT("'" &amp; E$1 &amp; "'!$C:$G"), 5, FALSE),"")</f>
        <v/>
      </c>
      <c r="F1050" s="51" t="str">
        <f t="shared" si="1051"/>
        <v/>
      </c>
      <c r="G1050" s="51" t="str">
        <f t="shared" si="1051"/>
        <v/>
      </c>
      <c r="H1050" s="51" t="str">
        <f t="shared" si="1051"/>
        <v/>
      </c>
      <c r="I1050" s="51" t="str">
        <f t="shared" si="1051"/>
        <v/>
      </c>
      <c r="J1050" s="51" t="str">
        <f t="shared" si="1051"/>
        <v/>
      </c>
      <c r="K1050" s="51" t="str">
        <f t="shared" si="1051"/>
        <v/>
      </c>
      <c r="L1050" s="51" t="str">
        <f t="shared" si="1051"/>
        <v/>
      </c>
      <c r="M1050" s="51" t="str">
        <f t="shared" si="1051"/>
        <v/>
      </c>
      <c r="N1050" s="51" t="str">
        <f t="shared" si="1051"/>
        <v/>
      </c>
      <c r="O1050" s="51" t="str">
        <f t="shared" si="1051"/>
        <v/>
      </c>
      <c r="P1050" s="51" t="str">
        <f t="shared" si="1051"/>
        <v/>
      </c>
      <c r="Q1050" s="51" t="str">
        <f t="shared" si="1051"/>
        <v/>
      </c>
      <c r="R1050" s="51" t="str">
        <f t="shared" si="1051"/>
        <v/>
      </c>
      <c r="S1050" s="51" t="str">
        <f t="shared" si="1051"/>
        <v/>
      </c>
      <c r="T1050" s="51" t="str">
        <f t="shared" si="1051"/>
        <v/>
      </c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2"/>
      <c r="AJ1050" s="52"/>
      <c r="AK1050" s="52"/>
      <c r="AL1050" s="52"/>
      <c r="AM1050" s="52"/>
      <c r="AN1050" s="52"/>
      <c r="AO1050" s="52"/>
      <c r="AP1050" s="52"/>
      <c r="AQ1050" s="52"/>
      <c r="AR1050" s="52"/>
      <c r="AS1050" s="52"/>
      <c r="AT1050" s="52"/>
      <c r="AU1050" s="52"/>
      <c r="AV1050" s="52"/>
      <c r="AW1050" s="52"/>
      <c r="AX1050" s="52"/>
      <c r="AY1050" s="52"/>
      <c r="AZ1050" s="52"/>
      <c r="BA1050" s="52"/>
      <c r="BB1050" s="52"/>
      <c r="BC1050" s="52"/>
      <c r="BD1050" s="52"/>
      <c r="BE1050" s="52"/>
      <c r="BF1050" s="52"/>
      <c r="BG1050" s="52"/>
      <c r="BH1050" s="52"/>
      <c r="BI1050" s="52"/>
      <c r="BJ1050" s="52"/>
      <c r="BK1050" s="52"/>
      <c r="BL1050" s="52"/>
      <c r="BM1050" s="52"/>
      <c r="BN1050" s="52"/>
      <c r="BO1050" s="52"/>
    </row>
    <row r="1051">
      <c r="B1051" s="49"/>
      <c r="C1051" s="49" t="str">
        <f t="shared" si="2"/>
        <v/>
      </c>
      <c r="D1051" s="50" t="str">
        <f t="shared" si="3"/>
        <v/>
      </c>
      <c r="E1051" s="51" t="str">
        <f t="shared" ref="E1051:T1051" si="1052">IFERROR(VLOOKUP($A1051,INDIRECT("'" &amp; E$1 &amp; "'!$C:$G"), 5, FALSE),"")</f>
        <v/>
      </c>
      <c r="F1051" s="51" t="str">
        <f t="shared" si="1052"/>
        <v/>
      </c>
      <c r="G1051" s="51" t="str">
        <f t="shared" si="1052"/>
        <v/>
      </c>
      <c r="H1051" s="51" t="str">
        <f t="shared" si="1052"/>
        <v/>
      </c>
      <c r="I1051" s="51" t="str">
        <f t="shared" si="1052"/>
        <v/>
      </c>
      <c r="J1051" s="51" t="str">
        <f t="shared" si="1052"/>
        <v/>
      </c>
      <c r="K1051" s="51" t="str">
        <f t="shared" si="1052"/>
        <v/>
      </c>
      <c r="L1051" s="51" t="str">
        <f t="shared" si="1052"/>
        <v/>
      </c>
      <c r="M1051" s="51" t="str">
        <f t="shared" si="1052"/>
        <v/>
      </c>
      <c r="N1051" s="51" t="str">
        <f t="shared" si="1052"/>
        <v/>
      </c>
      <c r="O1051" s="51" t="str">
        <f t="shared" si="1052"/>
        <v/>
      </c>
      <c r="P1051" s="51" t="str">
        <f t="shared" si="1052"/>
        <v/>
      </c>
      <c r="Q1051" s="51" t="str">
        <f t="shared" si="1052"/>
        <v/>
      </c>
      <c r="R1051" s="51" t="str">
        <f t="shared" si="1052"/>
        <v/>
      </c>
      <c r="S1051" s="51" t="str">
        <f t="shared" si="1052"/>
        <v/>
      </c>
      <c r="T1051" s="51" t="str">
        <f t="shared" si="1052"/>
        <v/>
      </c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2"/>
      <c r="AM1051" s="52"/>
      <c r="AN1051" s="52"/>
      <c r="AO1051" s="52"/>
      <c r="AP1051" s="52"/>
      <c r="AQ1051" s="52"/>
      <c r="AR1051" s="52"/>
      <c r="AS1051" s="52"/>
      <c r="AT1051" s="52"/>
      <c r="AU1051" s="52"/>
      <c r="AV1051" s="52"/>
      <c r="AW1051" s="52"/>
      <c r="AX1051" s="52"/>
      <c r="AY1051" s="52"/>
      <c r="AZ1051" s="52"/>
      <c r="BA1051" s="52"/>
      <c r="BB1051" s="52"/>
      <c r="BC1051" s="52"/>
      <c r="BD1051" s="52"/>
      <c r="BE1051" s="52"/>
      <c r="BF1051" s="52"/>
      <c r="BG1051" s="52"/>
      <c r="BH1051" s="52"/>
      <c r="BI1051" s="52"/>
      <c r="BJ1051" s="52"/>
      <c r="BK1051" s="52"/>
      <c r="BL1051" s="52"/>
      <c r="BM1051" s="52"/>
      <c r="BN1051" s="52"/>
      <c r="BO1051" s="52"/>
    </row>
    <row r="1052">
      <c r="B1052" s="49"/>
      <c r="C1052" s="49" t="str">
        <f t="shared" si="2"/>
        <v/>
      </c>
      <c r="D1052" s="50" t="str">
        <f t="shared" si="3"/>
        <v/>
      </c>
      <c r="E1052" s="51" t="str">
        <f t="shared" ref="E1052:T1052" si="1053">IFERROR(VLOOKUP($A1052,INDIRECT("'" &amp; E$1 &amp; "'!$C:$G"), 5, FALSE),"")</f>
        <v/>
      </c>
      <c r="F1052" s="51" t="str">
        <f t="shared" si="1053"/>
        <v/>
      </c>
      <c r="G1052" s="51" t="str">
        <f t="shared" si="1053"/>
        <v/>
      </c>
      <c r="H1052" s="51" t="str">
        <f t="shared" si="1053"/>
        <v/>
      </c>
      <c r="I1052" s="51" t="str">
        <f t="shared" si="1053"/>
        <v/>
      </c>
      <c r="J1052" s="51" t="str">
        <f t="shared" si="1053"/>
        <v/>
      </c>
      <c r="K1052" s="51" t="str">
        <f t="shared" si="1053"/>
        <v/>
      </c>
      <c r="L1052" s="51" t="str">
        <f t="shared" si="1053"/>
        <v/>
      </c>
      <c r="M1052" s="51" t="str">
        <f t="shared" si="1053"/>
        <v/>
      </c>
      <c r="N1052" s="51" t="str">
        <f t="shared" si="1053"/>
        <v/>
      </c>
      <c r="O1052" s="51" t="str">
        <f t="shared" si="1053"/>
        <v/>
      </c>
      <c r="P1052" s="51" t="str">
        <f t="shared" si="1053"/>
        <v/>
      </c>
      <c r="Q1052" s="51" t="str">
        <f t="shared" si="1053"/>
        <v/>
      </c>
      <c r="R1052" s="51" t="str">
        <f t="shared" si="1053"/>
        <v/>
      </c>
      <c r="S1052" s="51" t="str">
        <f t="shared" si="1053"/>
        <v/>
      </c>
      <c r="T1052" s="51" t="str">
        <f t="shared" si="1053"/>
        <v/>
      </c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52"/>
      <c r="AQ1052" s="52"/>
      <c r="AR1052" s="52"/>
      <c r="AS1052" s="52"/>
      <c r="AT1052" s="52"/>
      <c r="AU1052" s="52"/>
      <c r="AV1052" s="52"/>
      <c r="AW1052" s="52"/>
      <c r="AX1052" s="52"/>
      <c r="AY1052" s="52"/>
      <c r="AZ1052" s="52"/>
      <c r="BA1052" s="52"/>
      <c r="BB1052" s="52"/>
      <c r="BC1052" s="52"/>
      <c r="BD1052" s="52"/>
      <c r="BE1052" s="52"/>
      <c r="BF1052" s="52"/>
      <c r="BG1052" s="52"/>
      <c r="BH1052" s="52"/>
      <c r="BI1052" s="52"/>
      <c r="BJ1052" s="52"/>
      <c r="BK1052" s="52"/>
      <c r="BL1052" s="52"/>
      <c r="BM1052" s="52"/>
      <c r="BN1052" s="52"/>
      <c r="BO1052" s="52"/>
    </row>
    <row r="1053">
      <c r="B1053" s="49"/>
      <c r="C1053" s="49" t="str">
        <f t="shared" si="2"/>
        <v/>
      </c>
      <c r="D1053" s="50" t="str">
        <f t="shared" si="3"/>
        <v/>
      </c>
      <c r="E1053" s="51" t="str">
        <f t="shared" ref="E1053:T1053" si="1054">IFERROR(VLOOKUP($A1053,INDIRECT("'" &amp; E$1 &amp; "'!$C:$G"), 5, FALSE),"")</f>
        <v/>
      </c>
      <c r="F1053" s="51" t="str">
        <f t="shared" si="1054"/>
        <v/>
      </c>
      <c r="G1053" s="51" t="str">
        <f t="shared" si="1054"/>
        <v/>
      </c>
      <c r="H1053" s="51" t="str">
        <f t="shared" si="1054"/>
        <v/>
      </c>
      <c r="I1053" s="51" t="str">
        <f t="shared" si="1054"/>
        <v/>
      </c>
      <c r="J1053" s="51" t="str">
        <f t="shared" si="1054"/>
        <v/>
      </c>
      <c r="K1053" s="51" t="str">
        <f t="shared" si="1054"/>
        <v/>
      </c>
      <c r="L1053" s="51" t="str">
        <f t="shared" si="1054"/>
        <v/>
      </c>
      <c r="M1053" s="51" t="str">
        <f t="shared" si="1054"/>
        <v/>
      </c>
      <c r="N1053" s="51" t="str">
        <f t="shared" si="1054"/>
        <v/>
      </c>
      <c r="O1053" s="51" t="str">
        <f t="shared" si="1054"/>
        <v/>
      </c>
      <c r="P1053" s="51" t="str">
        <f t="shared" si="1054"/>
        <v/>
      </c>
      <c r="Q1053" s="51" t="str">
        <f t="shared" si="1054"/>
        <v/>
      </c>
      <c r="R1053" s="51" t="str">
        <f t="shared" si="1054"/>
        <v/>
      </c>
      <c r="S1053" s="51" t="str">
        <f t="shared" si="1054"/>
        <v/>
      </c>
      <c r="T1053" s="51" t="str">
        <f t="shared" si="1054"/>
        <v/>
      </c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2"/>
      <c r="AJ1053" s="52"/>
      <c r="AK1053" s="52"/>
      <c r="AL1053" s="52"/>
      <c r="AM1053" s="52"/>
      <c r="AN1053" s="52"/>
      <c r="AO1053" s="52"/>
      <c r="AP1053" s="52"/>
      <c r="AQ1053" s="52"/>
      <c r="AR1053" s="52"/>
      <c r="AS1053" s="52"/>
      <c r="AT1053" s="52"/>
      <c r="AU1053" s="52"/>
      <c r="AV1053" s="52"/>
      <c r="AW1053" s="52"/>
      <c r="AX1053" s="52"/>
      <c r="AY1053" s="52"/>
      <c r="AZ1053" s="52"/>
      <c r="BA1053" s="52"/>
      <c r="BB1053" s="52"/>
      <c r="BC1053" s="52"/>
      <c r="BD1053" s="52"/>
      <c r="BE1053" s="52"/>
      <c r="BF1053" s="52"/>
      <c r="BG1053" s="52"/>
      <c r="BH1053" s="52"/>
      <c r="BI1053" s="52"/>
      <c r="BJ1053" s="52"/>
      <c r="BK1053" s="52"/>
      <c r="BL1053" s="52"/>
      <c r="BM1053" s="52"/>
      <c r="BN1053" s="52"/>
      <c r="BO1053" s="52"/>
    </row>
    <row r="1054">
      <c r="B1054" s="49"/>
      <c r="C1054" s="49" t="str">
        <f t="shared" si="2"/>
        <v/>
      </c>
      <c r="D1054" s="50" t="str">
        <f t="shared" si="3"/>
        <v/>
      </c>
      <c r="E1054" s="51" t="str">
        <f t="shared" ref="E1054:T1054" si="1055">IFERROR(VLOOKUP($A1054,INDIRECT("'" &amp; E$1 &amp; "'!$C:$G"), 5, FALSE),"")</f>
        <v/>
      </c>
      <c r="F1054" s="51" t="str">
        <f t="shared" si="1055"/>
        <v/>
      </c>
      <c r="G1054" s="51" t="str">
        <f t="shared" si="1055"/>
        <v/>
      </c>
      <c r="H1054" s="51" t="str">
        <f t="shared" si="1055"/>
        <v/>
      </c>
      <c r="I1054" s="51" t="str">
        <f t="shared" si="1055"/>
        <v/>
      </c>
      <c r="J1054" s="51" t="str">
        <f t="shared" si="1055"/>
        <v/>
      </c>
      <c r="K1054" s="51" t="str">
        <f t="shared" si="1055"/>
        <v/>
      </c>
      <c r="L1054" s="51" t="str">
        <f t="shared" si="1055"/>
        <v/>
      </c>
      <c r="M1054" s="51" t="str">
        <f t="shared" si="1055"/>
        <v/>
      </c>
      <c r="N1054" s="51" t="str">
        <f t="shared" si="1055"/>
        <v/>
      </c>
      <c r="O1054" s="51" t="str">
        <f t="shared" si="1055"/>
        <v/>
      </c>
      <c r="P1054" s="51" t="str">
        <f t="shared" si="1055"/>
        <v/>
      </c>
      <c r="Q1054" s="51" t="str">
        <f t="shared" si="1055"/>
        <v/>
      </c>
      <c r="R1054" s="51" t="str">
        <f t="shared" si="1055"/>
        <v/>
      </c>
      <c r="S1054" s="51" t="str">
        <f t="shared" si="1055"/>
        <v/>
      </c>
      <c r="T1054" s="51" t="str">
        <f t="shared" si="1055"/>
        <v/>
      </c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52"/>
      <c r="AQ1054" s="52"/>
      <c r="AR1054" s="52"/>
      <c r="AS1054" s="52"/>
      <c r="AT1054" s="52"/>
      <c r="AU1054" s="52"/>
      <c r="AV1054" s="52"/>
      <c r="AW1054" s="52"/>
      <c r="AX1054" s="52"/>
      <c r="AY1054" s="52"/>
      <c r="AZ1054" s="52"/>
      <c r="BA1054" s="52"/>
      <c r="BB1054" s="52"/>
      <c r="BC1054" s="52"/>
      <c r="BD1054" s="52"/>
      <c r="BE1054" s="52"/>
      <c r="BF1054" s="52"/>
      <c r="BG1054" s="52"/>
      <c r="BH1054" s="52"/>
      <c r="BI1054" s="52"/>
      <c r="BJ1054" s="52"/>
      <c r="BK1054" s="52"/>
      <c r="BL1054" s="52"/>
      <c r="BM1054" s="52"/>
      <c r="BN1054" s="52"/>
      <c r="BO1054" s="52"/>
    </row>
    <row r="1055">
      <c r="B1055" s="49"/>
      <c r="C1055" s="49" t="str">
        <f t="shared" si="2"/>
        <v/>
      </c>
      <c r="D1055" s="50" t="str">
        <f t="shared" si="3"/>
        <v/>
      </c>
      <c r="E1055" s="51" t="str">
        <f t="shared" ref="E1055:T1055" si="1056">IFERROR(VLOOKUP($A1055,INDIRECT("'" &amp; E$1 &amp; "'!$C:$G"), 5, FALSE),"")</f>
        <v/>
      </c>
      <c r="F1055" s="51" t="str">
        <f t="shared" si="1056"/>
        <v/>
      </c>
      <c r="G1055" s="51" t="str">
        <f t="shared" si="1056"/>
        <v/>
      </c>
      <c r="H1055" s="51" t="str">
        <f t="shared" si="1056"/>
        <v/>
      </c>
      <c r="I1055" s="51" t="str">
        <f t="shared" si="1056"/>
        <v/>
      </c>
      <c r="J1055" s="51" t="str">
        <f t="shared" si="1056"/>
        <v/>
      </c>
      <c r="K1055" s="51" t="str">
        <f t="shared" si="1056"/>
        <v/>
      </c>
      <c r="L1055" s="51" t="str">
        <f t="shared" si="1056"/>
        <v/>
      </c>
      <c r="M1055" s="51" t="str">
        <f t="shared" si="1056"/>
        <v/>
      </c>
      <c r="N1055" s="51" t="str">
        <f t="shared" si="1056"/>
        <v/>
      </c>
      <c r="O1055" s="51" t="str">
        <f t="shared" si="1056"/>
        <v/>
      </c>
      <c r="P1055" s="51" t="str">
        <f t="shared" si="1056"/>
        <v/>
      </c>
      <c r="Q1055" s="51" t="str">
        <f t="shared" si="1056"/>
        <v/>
      </c>
      <c r="R1055" s="51" t="str">
        <f t="shared" si="1056"/>
        <v/>
      </c>
      <c r="S1055" s="51" t="str">
        <f t="shared" si="1056"/>
        <v/>
      </c>
      <c r="T1055" s="51" t="str">
        <f t="shared" si="1056"/>
        <v/>
      </c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  <c r="AQ1055" s="52"/>
      <c r="AR1055" s="52"/>
      <c r="AS1055" s="52"/>
      <c r="AT1055" s="52"/>
      <c r="AU1055" s="52"/>
      <c r="AV1055" s="52"/>
      <c r="AW1055" s="52"/>
      <c r="AX1055" s="52"/>
      <c r="AY1055" s="52"/>
      <c r="AZ1055" s="52"/>
      <c r="BA1055" s="52"/>
      <c r="BB1055" s="52"/>
      <c r="BC1055" s="52"/>
      <c r="BD1055" s="52"/>
      <c r="BE1055" s="52"/>
      <c r="BF1055" s="52"/>
      <c r="BG1055" s="52"/>
      <c r="BH1055" s="52"/>
      <c r="BI1055" s="52"/>
      <c r="BJ1055" s="52"/>
      <c r="BK1055" s="52"/>
      <c r="BL1055" s="52"/>
      <c r="BM1055" s="52"/>
      <c r="BN1055" s="52"/>
      <c r="BO1055" s="52"/>
    </row>
    <row r="1056">
      <c r="B1056" s="49"/>
      <c r="C1056" s="49" t="str">
        <f t="shared" si="2"/>
        <v/>
      </c>
      <c r="D1056" s="50" t="str">
        <f t="shared" si="3"/>
        <v/>
      </c>
      <c r="E1056" s="51" t="str">
        <f t="shared" ref="E1056:T1056" si="1057">IFERROR(VLOOKUP($A1056,INDIRECT("'" &amp; E$1 &amp; "'!$C:$G"), 5, FALSE),"")</f>
        <v/>
      </c>
      <c r="F1056" s="51" t="str">
        <f t="shared" si="1057"/>
        <v/>
      </c>
      <c r="G1056" s="51" t="str">
        <f t="shared" si="1057"/>
        <v/>
      </c>
      <c r="H1056" s="51" t="str">
        <f t="shared" si="1057"/>
        <v/>
      </c>
      <c r="I1056" s="51" t="str">
        <f t="shared" si="1057"/>
        <v/>
      </c>
      <c r="J1056" s="51" t="str">
        <f t="shared" si="1057"/>
        <v/>
      </c>
      <c r="K1056" s="51" t="str">
        <f t="shared" si="1057"/>
        <v/>
      </c>
      <c r="L1056" s="51" t="str">
        <f t="shared" si="1057"/>
        <v/>
      </c>
      <c r="M1056" s="51" t="str">
        <f t="shared" si="1057"/>
        <v/>
      </c>
      <c r="N1056" s="51" t="str">
        <f t="shared" si="1057"/>
        <v/>
      </c>
      <c r="O1056" s="51" t="str">
        <f t="shared" si="1057"/>
        <v/>
      </c>
      <c r="P1056" s="51" t="str">
        <f t="shared" si="1057"/>
        <v/>
      </c>
      <c r="Q1056" s="51" t="str">
        <f t="shared" si="1057"/>
        <v/>
      </c>
      <c r="R1056" s="51" t="str">
        <f t="shared" si="1057"/>
        <v/>
      </c>
      <c r="S1056" s="51" t="str">
        <f t="shared" si="1057"/>
        <v/>
      </c>
      <c r="T1056" s="51" t="str">
        <f t="shared" si="1057"/>
        <v/>
      </c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2"/>
      <c r="AJ1056" s="52"/>
      <c r="AK1056" s="52"/>
      <c r="AL1056" s="52"/>
      <c r="AM1056" s="52"/>
      <c r="AN1056" s="52"/>
      <c r="AO1056" s="52"/>
      <c r="AP1056" s="52"/>
      <c r="AQ1056" s="52"/>
      <c r="AR1056" s="52"/>
      <c r="AS1056" s="52"/>
      <c r="AT1056" s="52"/>
      <c r="AU1056" s="52"/>
      <c r="AV1056" s="52"/>
      <c r="AW1056" s="52"/>
      <c r="AX1056" s="52"/>
      <c r="AY1056" s="52"/>
      <c r="AZ1056" s="52"/>
      <c r="BA1056" s="52"/>
      <c r="BB1056" s="52"/>
      <c r="BC1056" s="52"/>
      <c r="BD1056" s="52"/>
      <c r="BE1056" s="52"/>
      <c r="BF1056" s="52"/>
      <c r="BG1056" s="52"/>
      <c r="BH1056" s="52"/>
      <c r="BI1056" s="52"/>
      <c r="BJ1056" s="52"/>
      <c r="BK1056" s="52"/>
      <c r="BL1056" s="52"/>
      <c r="BM1056" s="52"/>
      <c r="BN1056" s="52"/>
      <c r="BO1056" s="52"/>
    </row>
    <row r="1057">
      <c r="B1057" s="49"/>
      <c r="C1057" s="49" t="str">
        <f t="shared" si="2"/>
        <v/>
      </c>
      <c r="D1057" s="50" t="str">
        <f t="shared" si="3"/>
        <v/>
      </c>
      <c r="E1057" s="51" t="str">
        <f t="shared" ref="E1057:T1057" si="1058">IFERROR(VLOOKUP($A1057,INDIRECT("'" &amp; E$1 &amp; "'!$C:$G"), 5, FALSE),"")</f>
        <v/>
      </c>
      <c r="F1057" s="51" t="str">
        <f t="shared" si="1058"/>
        <v/>
      </c>
      <c r="G1057" s="51" t="str">
        <f t="shared" si="1058"/>
        <v/>
      </c>
      <c r="H1057" s="51" t="str">
        <f t="shared" si="1058"/>
        <v/>
      </c>
      <c r="I1057" s="51" t="str">
        <f t="shared" si="1058"/>
        <v/>
      </c>
      <c r="J1057" s="51" t="str">
        <f t="shared" si="1058"/>
        <v/>
      </c>
      <c r="K1057" s="51" t="str">
        <f t="shared" si="1058"/>
        <v/>
      </c>
      <c r="L1057" s="51" t="str">
        <f t="shared" si="1058"/>
        <v/>
      </c>
      <c r="M1057" s="51" t="str">
        <f t="shared" si="1058"/>
        <v/>
      </c>
      <c r="N1057" s="51" t="str">
        <f t="shared" si="1058"/>
        <v/>
      </c>
      <c r="O1057" s="51" t="str">
        <f t="shared" si="1058"/>
        <v/>
      </c>
      <c r="P1057" s="51" t="str">
        <f t="shared" si="1058"/>
        <v/>
      </c>
      <c r="Q1057" s="51" t="str">
        <f t="shared" si="1058"/>
        <v/>
      </c>
      <c r="R1057" s="51" t="str">
        <f t="shared" si="1058"/>
        <v/>
      </c>
      <c r="S1057" s="51" t="str">
        <f t="shared" si="1058"/>
        <v/>
      </c>
      <c r="T1057" s="51" t="str">
        <f t="shared" si="1058"/>
        <v/>
      </c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  <c r="AQ1057" s="52"/>
      <c r="AR1057" s="52"/>
      <c r="AS1057" s="52"/>
      <c r="AT1057" s="52"/>
      <c r="AU1057" s="52"/>
      <c r="AV1057" s="52"/>
      <c r="AW1057" s="52"/>
      <c r="AX1057" s="52"/>
      <c r="AY1057" s="52"/>
      <c r="AZ1057" s="52"/>
      <c r="BA1057" s="52"/>
      <c r="BB1057" s="52"/>
      <c r="BC1057" s="52"/>
      <c r="BD1057" s="52"/>
      <c r="BE1057" s="52"/>
      <c r="BF1057" s="52"/>
      <c r="BG1057" s="52"/>
      <c r="BH1057" s="52"/>
      <c r="BI1057" s="52"/>
      <c r="BJ1057" s="52"/>
      <c r="BK1057" s="52"/>
      <c r="BL1057" s="52"/>
      <c r="BM1057" s="52"/>
      <c r="BN1057" s="52"/>
      <c r="BO1057" s="52"/>
    </row>
    <row r="1058">
      <c r="B1058" s="49"/>
      <c r="C1058" s="49" t="str">
        <f t="shared" si="2"/>
        <v/>
      </c>
      <c r="D1058" s="50" t="str">
        <f t="shared" si="3"/>
        <v/>
      </c>
      <c r="E1058" s="51" t="str">
        <f t="shared" ref="E1058:T1058" si="1059">IFERROR(VLOOKUP($A1058,INDIRECT("'" &amp; E$1 &amp; "'!$C:$G"), 5, FALSE),"")</f>
        <v/>
      </c>
      <c r="F1058" s="51" t="str">
        <f t="shared" si="1059"/>
        <v/>
      </c>
      <c r="G1058" s="51" t="str">
        <f t="shared" si="1059"/>
        <v/>
      </c>
      <c r="H1058" s="51" t="str">
        <f t="shared" si="1059"/>
        <v/>
      </c>
      <c r="I1058" s="51" t="str">
        <f t="shared" si="1059"/>
        <v/>
      </c>
      <c r="J1058" s="51" t="str">
        <f t="shared" si="1059"/>
        <v/>
      </c>
      <c r="K1058" s="51" t="str">
        <f t="shared" si="1059"/>
        <v/>
      </c>
      <c r="L1058" s="51" t="str">
        <f t="shared" si="1059"/>
        <v/>
      </c>
      <c r="M1058" s="51" t="str">
        <f t="shared" si="1059"/>
        <v/>
      </c>
      <c r="N1058" s="51" t="str">
        <f t="shared" si="1059"/>
        <v/>
      </c>
      <c r="O1058" s="51" t="str">
        <f t="shared" si="1059"/>
        <v/>
      </c>
      <c r="P1058" s="51" t="str">
        <f t="shared" si="1059"/>
        <v/>
      </c>
      <c r="Q1058" s="51" t="str">
        <f t="shared" si="1059"/>
        <v/>
      </c>
      <c r="R1058" s="51" t="str">
        <f t="shared" si="1059"/>
        <v/>
      </c>
      <c r="S1058" s="51" t="str">
        <f t="shared" si="1059"/>
        <v/>
      </c>
      <c r="T1058" s="51" t="str">
        <f t="shared" si="1059"/>
        <v/>
      </c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  <c r="AX1058" s="52"/>
      <c r="AY1058" s="52"/>
      <c r="AZ1058" s="52"/>
      <c r="BA1058" s="52"/>
      <c r="BB1058" s="52"/>
      <c r="BC1058" s="52"/>
      <c r="BD1058" s="52"/>
      <c r="BE1058" s="52"/>
      <c r="BF1058" s="52"/>
      <c r="BG1058" s="52"/>
      <c r="BH1058" s="52"/>
      <c r="BI1058" s="52"/>
      <c r="BJ1058" s="52"/>
      <c r="BK1058" s="52"/>
      <c r="BL1058" s="52"/>
      <c r="BM1058" s="52"/>
      <c r="BN1058" s="52"/>
      <c r="BO1058" s="52"/>
    </row>
    <row r="1059">
      <c r="B1059" s="49"/>
      <c r="C1059" s="49" t="str">
        <f t="shared" si="2"/>
        <v/>
      </c>
      <c r="D1059" s="50" t="str">
        <f t="shared" si="3"/>
        <v/>
      </c>
      <c r="E1059" s="51" t="str">
        <f t="shared" ref="E1059:T1059" si="1060">IFERROR(VLOOKUP($A1059,INDIRECT("'" &amp; E$1 &amp; "'!$C:$G"), 5, FALSE),"")</f>
        <v/>
      </c>
      <c r="F1059" s="51" t="str">
        <f t="shared" si="1060"/>
        <v/>
      </c>
      <c r="G1059" s="51" t="str">
        <f t="shared" si="1060"/>
        <v/>
      </c>
      <c r="H1059" s="51" t="str">
        <f t="shared" si="1060"/>
        <v/>
      </c>
      <c r="I1059" s="51" t="str">
        <f t="shared" si="1060"/>
        <v/>
      </c>
      <c r="J1059" s="51" t="str">
        <f t="shared" si="1060"/>
        <v/>
      </c>
      <c r="K1059" s="51" t="str">
        <f t="shared" si="1060"/>
        <v/>
      </c>
      <c r="L1059" s="51" t="str">
        <f t="shared" si="1060"/>
        <v/>
      </c>
      <c r="M1059" s="51" t="str">
        <f t="shared" si="1060"/>
        <v/>
      </c>
      <c r="N1059" s="51" t="str">
        <f t="shared" si="1060"/>
        <v/>
      </c>
      <c r="O1059" s="51" t="str">
        <f t="shared" si="1060"/>
        <v/>
      </c>
      <c r="P1059" s="51" t="str">
        <f t="shared" si="1060"/>
        <v/>
      </c>
      <c r="Q1059" s="51" t="str">
        <f t="shared" si="1060"/>
        <v/>
      </c>
      <c r="R1059" s="51" t="str">
        <f t="shared" si="1060"/>
        <v/>
      </c>
      <c r="S1059" s="51" t="str">
        <f t="shared" si="1060"/>
        <v/>
      </c>
      <c r="T1059" s="51" t="str">
        <f t="shared" si="1060"/>
        <v/>
      </c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  <c r="AX1059" s="52"/>
      <c r="AY1059" s="52"/>
      <c r="AZ1059" s="52"/>
      <c r="BA1059" s="52"/>
      <c r="BB1059" s="52"/>
      <c r="BC1059" s="52"/>
      <c r="BD1059" s="52"/>
      <c r="BE1059" s="52"/>
      <c r="BF1059" s="52"/>
      <c r="BG1059" s="52"/>
      <c r="BH1059" s="52"/>
      <c r="BI1059" s="52"/>
      <c r="BJ1059" s="52"/>
      <c r="BK1059" s="52"/>
      <c r="BL1059" s="52"/>
      <c r="BM1059" s="52"/>
      <c r="BN1059" s="52"/>
      <c r="BO1059" s="52"/>
    </row>
    <row r="1060">
      <c r="B1060" s="49"/>
      <c r="C1060" s="49" t="str">
        <f t="shared" si="2"/>
        <v/>
      </c>
      <c r="D1060" s="50" t="str">
        <f t="shared" si="3"/>
        <v/>
      </c>
      <c r="E1060" s="51" t="str">
        <f t="shared" ref="E1060:T1060" si="1061">IFERROR(VLOOKUP($A1060,INDIRECT("'" &amp; E$1 &amp; "'!$C:$G"), 5, FALSE),"")</f>
        <v/>
      </c>
      <c r="F1060" s="51" t="str">
        <f t="shared" si="1061"/>
        <v/>
      </c>
      <c r="G1060" s="51" t="str">
        <f t="shared" si="1061"/>
        <v/>
      </c>
      <c r="H1060" s="51" t="str">
        <f t="shared" si="1061"/>
        <v/>
      </c>
      <c r="I1060" s="51" t="str">
        <f t="shared" si="1061"/>
        <v/>
      </c>
      <c r="J1060" s="51" t="str">
        <f t="shared" si="1061"/>
        <v/>
      </c>
      <c r="K1060" s="51" t="str">
        <f t="shared" si="1061"/>
        <v/>
      </c>
      <c r="L1060" s="51" t="str">
        <f t="shared" si="1061"/>
        <v/>
      </c>
      <c r="M1060" s="51" t="str">
        <f t="shared" si="1061"/>
        <v/>
      </c>
      <c r="N1060" s="51" t="str">
        <f t="shared" si="1061"/>
        <v/>
      </c>
      <c r="O1060" s="51" t="str">
        <f t="shared" si="1061"/>
        <v/>
      </c>
      <c r="P1060" s="51" t="str">
        <f t="shared" si="1061"/>
        <v/>
      </c>
      <c r="Q1060" s="51" t="str">
        <f t="shared" si="1061"/>
        <v/>
      </c>
      <c r="R1060" s="51" t="str">
        <f t="shared" si="1061"/>
        <v/>
      </c>
      <c r="S1060" s="51" t="str">
        <f t="shared" si="1061"/>
        <v/>
      </c>
      <c r="T1060" s="51" t="str">
        <f t="shared" si="1061"/>
        <v/>
      </c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I1060" s="52"/>
      <c r="AJ1060" s="52"/>
      <c r="AK1060" s="52"/>
      <c r="AL1060" s="52"/>
      <c r="AM1060" s="52"/>
      <c r="AN1060" s="52"/>
      <c r="AO1060" s="52"/>
      <c r="AP1060" s="52"/>
      <c r="AQ1060" s="52"/>
      <c r="AR1060" s="52"/>
      <c r="AS1060" s="52"/>
      <c r="AT1060" s="52"/>
      <c r="AU1060" s="52"/>
      <c r="AV1060" s="52"/>
      <c r="AW1060" s="52"/>
      <c r="AX1060" s="52"/>
      <c r="AY1060" s="52"/>
      <c r="AZ1060" s="52"/>
      <c r="BA1060" s="52"/>
      <c r="BB1060" s="52"/>
      <c r="BC1060" s="52"/>
      <c r="BD1060" s="52"/>
      <c r="BE1060" s="52"/>
      <c r="BF1060" s="52"/>
      <c r="BG1060" s="52"/>
      <c r="BH1060" s="52"/>
      <c r="BI1060" s="52"/>
      <c r="BJ1060" s="52"/>
      <c r="BK1060" s="52"/>
      <c r="BL1060" s="52"/>
      <c r="BM1060" s="52"/>
      <c r="BN1060" s="52"/>
      <c r="BO1060" s="52"/>
    </row>
    <row r="1061">
      <c r="B1061" s="49"/>
      <c r="C1061" s="49" t="str">
        <f t="shared" si="2"/>
        <v/>
      </c>
      <c r="D1061" s="50" t="str">
        <f t="shared" si="3"/>
        <v/>
      </c>
      <c r="E1061" s="51" t="str">
        <f t="shared" ref="E1061:T1061" si="1062">IFERROR(VLOOKUP($A1061,INDIRECT("'" &amp; E$1 &amp; "'!$C:$G"), 5, FALSE),"")</f>
        <v/>
      </c>
      <c r="F1061" s="51" t="str">
        <f t="shared" si="1062"/>
        <v/>
      </c>
      <c r="G1061" s="51" t="str">
        <f t="shared" si="1062"/>
        <v/>
      </c>
      <c r="H1061" s="51" t="str">
        <f t="shared" si="1062"/>
        <v/>
      </c>
      <c r="I1061" s="51" t="str">
        <f t="shared" si="1062"/>
        <v/>
      </c>
      <c r="J1061" s="51" t="str">
        <f t="shared" si="1062"/>
        <v/>
      </c>
      <c r="K1061" s="51" t="str">
        <f t="shared" si="1062"/>
        <v/>
      </c>
      <c r="L1061" s="51" t="str">
        <f t="shared" si="1062"/>
        <v/>
      </c>
      <c r="M1061" s="51" t="str">
        <f t="shared" si="1062"/>
        <v/>
      </c>
      <c r="N1061" s="51" t="str">
        <f t="shared" si="1062"/>
        <v/>
      </c>
      <c r="O1061" s="51" t="str">
        <f t="shared" si="1062"/>
        <v/>
      </c>
      <c r="P1061" s="51" t="str">
        <f t="shared" si="1062"/>
        <v/>
      </c>
      <c r="Q1061" s="51" t="str">
        <f t="shared" si="1062"/>
        <v/>
      </c>
      <c r="R1061" s="51" t="str">
        <f t="shared" si="1062"/>
        <v/>
      </c>
      <c r="S1061" s="51" t="str">
        <f t="shared" si="1062"/>
        <v/>
      </c>
      <c r="T1061" s="51" t="str">
        <f t="shared" si="1062"/>
        <v/>
      </c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2"/>
      <c r="AJ1061" s="52"/>
      <c r="AK1061" s="52"/>
      <c r="AL1061" s="52"/>
      <c r="AM1061" s="52"/>
      <c r="AN1061" s="52"/>
      <c r="AO1061" s="52"/>
      <c r="AP1061" s="52"/>
      <c r="AQ1061" s="52"/>
      <c r="AR1061" s="52"/>
      <c r="AS1061" s="52"/>
      <c r="AT1061" s="52"/>
      <c r="AU1061" s="52"/>
      <c r="AV1061" s="52"/>
      <c r="AW1061" s="52"/>
      <c r="AX1061" s="52"/>
      <c r="AY1061" s="52"/>
      <c r="AZ1061" s="52"/>
      <c r="BA1061" s="52"/>
      <c r="BB1061" s="52"/>
      <c r="BC1061" s="52"/>
      <c r="BD1061" s="52"/>
      <c r="BE1061" s="52"/>
      <c r="BF1061" s="52"/>
      <c r="BG1061" s="52"/>
      <c r="BH1061" s="52"/>
      <c r="BI1061" s="52"/>
      <c r="BJ1061" s="52"/>
      <c r="BK1061" s="52"/>
      <c r="BL1061" s="52"/>
      <c r="BM1061" s="52"/>
      <c r="BN1061" s="52"/>
      <c r="BO1061" s="52"/>
    </row>
    <row r="1062">
      <c r="B1062" s="49"/>
      <c r="C1062" s="49" t="str">
        <f t="shared" si="2"/>
        <v/>
      </c>
      <c r="D1062" s="50" t="str">
        <f t="shared" si="3"/>
        <v/>
      </c>
      <c r="E1062" s="51" t="str">
        <f t="shared" ref="E1062:T1062" si="1063">IFERROR(VLOOKUP($A1062,INDIRECT("'" &amp; E$1 &amp; "'!$C:$G"), 5, FALSE),"")</f>
        <v/>
      </c>
      <c r="F1062" s="51" t="str">
        <f t="shared" si="1063"/>
        <v/>
      </c>
      <c r="G1062" s="51" t="str">
        <f t="shared" si="1063"/>
        <v/>
      </c>
      <c r="H1062" s="51" t="str">
        <f t="shared" si="1063"/>
        <v/>
      </c>
      <c r="I1062" s="51" t="str">
        <f t="shared" si="1063"/>
        <v/>
      </c>
      <c r="J1062" s="51" t="str">
        <f t="shared" si="1063"/>
        <v/>
      </c>
      <c r="K1062" s="51" t="str">
        <f t="shared" si="1063"/>
        <v/>
      </c>
      <c r="L1062" s="51" t="str">
        <f t="shared" si="1063"/>
        <v/>
      </c>
      <c r="M1062" s="51" t="str">
        <f t="shared" si="1063"/>
        <v/>
      </c>
      <c r="N1062" s="51" t="str">
        <f t="shared" si="1063"/>
        <v/>
      </c>
      <c r="O1062" s="51" t="str">
        <f t="shared" si="1063"/>
        <v/>
      </c>
      <c r="P1062" s="51" t="str">
        <f t="shared" si="1063"/>
        <v/>
      </c>
      <c r="Q1062" s="51" t="str">
        <f t="shared" si="1063"/>
        <v/>
      </c>
      <c r="R1062" s="51" t="str">
        <f t="shared" si="1063"/>
        <v/>
      </c>
      <c r="S1062" s="51" t="str">
        <f t="shared" si="1063"/>
        <v/>
      </c>
      <c r="T1062" s="51" t="str">
        <f t="shared" si="1063"/>
        <v/>
      </c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52"/>
      <c r="AS1062" s="52"/>
      <c r="AT1062" s="52"/>
      <c r="AU1062" s="52"/>
      <c r="AV1062" s="52"/>
      <c r="AW1062" s="52"/>
      <c r="AX1062" s="52"/>
      <c r="AY1062" s="52"/>
      <c r="AZ1062" s="52"/>
      <c r="BA1062" s="52"/>
      <c r="BB1062" s="52"/>
      <c r="BC1062" s="52"/>
      <c r="BD1062" s="52"/>
      <c r="BE1062" s="52"/>
      <c r="BF1062" s="52"/>
      <c r="BG1062" s="52"/>
      <c r="BH1062" s="52"/>
      <c r="BI1062" s="52"/>
      <c r="BJ1062" s="52"/>
      <c r="BK1062" s="52"/>
      <c r="BL1062" s="52"/>
      <c r="BM1062" s="52"/>
      <c r="BN1062" s="52"/>
      <c r="BO1062" s="52"/>
    </row>
    <row r="1063">
      <c r="B1063" s="49"/>
      <c r="C1063" s="49" t="str">
        <f t="shared" si="2"/>
        <v/>
      </c>
      <c r="D1063" s="50" t="str">
        <f t="shared" si="3"/>
        <v/>
      </c>
      <c r="E1063" s="51" t="str">
        <f t="shared" ref="E1063:T1063" si="1064">IFERROR(VLOOKUP($A1063,INDIRECT("'" &amp; E$1 &amp; "'!$C:$G"), 5, FALSE),"")</f>
        <v/>
      </c>
      <c r="F1063" s="51" t="str">
        <f t="shared" si="1064"/>
        <v/>
      </c>
      <c r="G1063" s="51" t="str">
        <f t="shared" si="1064"/>
        <v/>
      </c>
      <c r="H1063" s="51" t="str">
        <f t="shared" si="1064"/>
        <v/>
      </c>
      <c r="I1063" s="51" t="str">
        <f t="shared" si="1064"/>
        <v/>
      </c>
      <c r="J1063" s="51" t="str">
        <f t="shared" si="1064"/>
        <v/>
      </c>
      <c r="K1063" s="51" t="str">
        <f t="shared" si="1064"/>
        <v/>
      </c>
      <c r="L1063" s="51" t="str">
        <f t="shared" si="1064"/>
        <v/>
      </c>
      <c r="M1063" s="51" t="str">
        <f t="shared" si="1064"/>
        <v/>
      </c>
      <c r="N1063" s="51" t="str">
        <f t="shared" si="1064"/>
        <v/>
      </c>
      <c r="O1063" s="51" t="str">
        <f t="shared" si="1064"/>
        <v/>
      </c>
      <c r="P1063" s="51" t="str">
        <f t="shared" si="1064"/>
        <v/>
      </c>
      <c r="Q1063" s="51" t="str">
        <f t="shared" si="1064"/>
        <v/>
      </c>
      <c r="R1063" s="51" t="str">
        <f t="shared" si="1064"/>
        <v/>
      </c>
      <c r="S1063" s="51" t="str">
        <f t="shared" si="1064"/>
        <v/>
      </c>
      <c r="T1063" s="51" t="str">
        <f t="shared" si="1064"/>
        <v/>
      </c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I1063" s="52"/>
      <c r="AJ1063" s="52"/>
      <c r="AK1063" s="52"/>
      <c r="AL1063" s="52"/>
      <c r="AM1063" s="52"/>
      <c r="AN1063" s="52"/>
      <c r="AO1063" s="52"/>
      <c r="AP1063" s="52"/>
      <c r="AQ1063" s="52"/>
      <c r="AR1063" s="52"/>
      <c r="AS1063" s="52"/>
      <c r="AT1063" s="52"/>
      <c r="AU1063" s="52"/>
      <c r="AV1063" s="52"/>
      <c r="AW1063" s="52"/>
      <c r="AX1063" s="52"/>
      <c r="AY1063" s="52"/>
      <c r="AZ1063" s="52"/>
      <c r="BA1063" s="52"/>
      <c r="BB1063" s="52"/>
      <c r="BC1063" s="52"/>
      <c r="BD1063" s="52"/>
      <c r="BE1063" s="52"/>
      <c r="BF1063" s="52"/>
      <c r="BG1063" s="52"/>
      <c r="BH1063" s="52"/>
      <c r="BI1063" s="52"/>
      <c r="BJ1063" s="52"/>
      <c r="BK1063" s="52"/>
      <c r="BL1063" s="52"/>
      <c r="BM1063" s="52"/>
      <c r="BN1063" s="52"/>
      <c r="BO1063" s="52"/>
    </row>
    <row r="1064">
      <c r="B1064" s="49"/>
      <c r="C1064" s="49" t="str">
        <f t="shared" si="2"/>
        <v/>
      </c>
      <c r="D1064" s="50" t="str">
        <f t="shared" si="3"/>
        <v/>
      </c>
      <c r="E1064" s="51" t="str">
        <f t="shared" ref="E1064:T1064" si="1065">IFERROR(VLOOKUP($A1064,INDIRECT("'" &amp; E$1 &amp; "'!$C:$G"), 5, FALSE),"")</f>
        <v/>
      </c>
      <c r="F1064" s="51" t="str">
        <f t="shared" si="1065"/>
        <v/>
      </c>
      <c r="G1064" s="51" t="str">
        <f t="shared" si="1065"/>
        <v/>
      </c>
      <c r="H1064" s="51" t="str">
        <f t="shared" si="1065"/>
        <v/>
      </c>
      <c r="I1064" s="51" t="str">
        <f t="shared" si="1065"/>
        <v/>
      </c>
      <c r="J1064" s="51" t="str">
        <f t="shared" si="1065"/>
        <v/>
      </c>
      <c r="K1064" s="51" t="str">
        <f t="shared" si="1065"/>
        <v/>
      </c>
      <c r="L1064" s="51" t="str">
        <f t="shared" si="1065"/>
        <v/>
      </c>
      <c r="M1064" s="51" t="str">
        <f t="shared" si="1065"/>
        <v/>
      </c>
      <c r="N1064" s="51" t="str">
        <f t="shared" si="1065"/>
        <v/>
      </c>
      <c r="O1064" s="51" t="str">
        <f t="shared" si="1065"/>
        <v/>
      </c>
      <c r="P1064" s="51" t="str">
        <f t="shared" si="1065"/>
        <v/>
      </c>
      <c r="Q1064" s="51" t="str">
        <f t="shared" si="1065"/>
        <v/>
      </c>
      <c r="R1064" s="51" t="str">
        <f t="shared" si="1065"/>
        <v/>
      </c>
      <c r="S1064" s="51" t="str">
        <f t="shared" si="1065"/>
        <v/>
      </c>
      <c r="T1064" s="51" t="str">
        <f t="shared" si="1065"/>
        <v/>
      </c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52"/>
      <c r="AS1064" s="52"/>
      <c r="AT1064" s="52"/>
      <c r="AU1064" s="52"/>
      <c r="AV1064" s="52"/>
      <c r="AW1064" s="52"/>
      <c r="AX1064" s="52"/>
      <c r="AY1064" s="52"/>
      <c r="AZ1064" s="52"/>
      <c r="BA1064" s="52"/>
      <c r="BB1064" s="52"/>
      <c r="BC1064" s="52"/>
      <c r="BD1064" s="52"/>
      <c r="BE1064" s="52"/>
      <c r="BF1064" s="52"/>
      <c r="BG1064" s="52"/>
      <c r="BH1064" s="52"/>
      <c r="BI1064" s="52"/>
      <c r="BJ1064" s="52"/>
      <c r="BK1064" s="52"/>
      <c r="BL1064" s="52"/>
      <c r="BM1064" s="52"/>
      <c r="BN1064" s="52"/>
      <c r="BO1064" s="52"/>
    </row>
    <row r="1065">
      <c r="B1065" s="49"/>
      <c r="C1065" s="49" t="str">
        <f t="shared" si="2"/>
        <v/>
      </c>
      <c r="D1065" s="50" t="str">
        <f t="shared" si="3"/>
        <v/>
      </c>
      <c r="E1065" s="51" t="str">
        <f t="shared" ref="E1065:T1065" si="1066">IFERROR(VLOOKUP($A1065,INDIRECT("'" &amp; E$1 &amp; "'!$C:$G"), 5, FALSE),"")</f>
        <v/>
      </c>
      <c r="F1065" s="51" t="str">
        <f t="shared" si="1066"/>
        <v/>
      </c>
      <c r="G1065" s="51" t="str">
        <f t="shared" si="1066"/>
        <v/>
      </c>
      <c r="H1065" s="51" t="str">
        <f t="shared" si="1066"/>
        <v/>
      </c>
      <c r="I1065" s="51" t="str">
        <f t="shared" si="1066"/>
        <v/>
      </c>
      <c r="J1065" s="51" t="str">
        <f t="shared" si="1066"/>
        <v/>
      </c>
      <c r="K1065" s="51" t="str">
        <f t="shared" si="1066"/>
        <v/>
      </c>
      <c r="L1065" s="51" t="str">
        <f t="shared" si="1066"/>
        <v/>
      </c>
      <c r="M1065" s="51" t="str">
        <f t="shared" si="1066"/>
        <v/>
      </c>
      <c r="N1065" s="51" t="str">
        <f t="shared" si="1066"/>
        <v/>
      </c>
      <c r="O1065" s="51" t="str">
        <f t="shared" si="1066"/>
        <v/>
      </c>
      <c r="P1065" s="51" t="str">
        <f t="shared" si="1066"/>
        <v/>
      </c>
      <c r="Q1065" s="51" t="str">
        <f t="shared" si="1066"/>
        <v/>
      </c>
      <c r="R1065" s="51" t="str">
        <f t="shared" si="1066"/>
        <v/>
      </c>
      <c r="S1065" s="51" t="str">
        <f t="shared" si="1066"/>
        <v/>
      </c>
      <c r="T1065" s="51" t="str">
        <f t="shared" si="1066"/>
        <v/>
      </c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I1065" s="52"/>
      <c r="AJ1065" s="52"/>
      <c r="AK1065" s="52"/>
      <c r="AL1065" s="52"/>
      <c r="AM1065" s="52"/>
      <c r="AN1065" s="52"/>
      <c r="AO1065" s="52"/>
      <c r="AP1065" s="52"/>
      <c r="AQ1065" s="52"/>
      <c r="AR1065" s="52"/>
      <c r="AS1065" s="52"/>
      <c r="AT1065" s="52"/>
      <c r="AU1065" s="52"/>
      <c r="AV1065" s="52"/>
      <c r="AW1065" s="52"/>
      <c r="AX1065" s="52"/>
      <c r="AY1065" s="52"/>
      <c r="AZ1065" s="52"/>
      <c r="BA1065" s="52"/>
      <c r="BB1065" s="52"/>
      <c r="BC1065" s="52"/>
      <c r="BD1065" s="52"/>
      <c r="BE1065" s="52"/>
      <c r="BF1065" s="52"/>
      <c r="BG1065" s="52"/>
      <c r="BH1065" s="52"/>
      <c r="BI1065" s="52"/>
      <c r="BJ1065" s="52"/>
      <c r="BK1065" s="52"/>
      <c r="BL1065" s="52"/>
      <c r="BM1065" s="52"/>
      <c r="BN1065" s="52"/>
      <c r="BO1065" s="52"/>
    </row>
    <row r="1066">
      <c r="B1066" s="49"/>
      <c r="C1066" s="49" t="str">
        <f t="shared" si="2"/>
        <v/>
      </c>
      <c r="D1066" s="50" t="str">
        <f t="shared" si="3"/>
        <v/>
      </c>
      <c r="E1066" s="51" t="str">
        <f t="shared" ref="E1066:T1066" si="1067">IFERROR(VLOOKUP($A1066,INDIRECT("'" &amp; E$1 &amp; "'!$C:$G"), 5, FALSE),"")</f>
        <v/>
      </c>
      <c r="F1066" s="51" t="str">
        <f t="shared" si="1067"/>
        <v/>
      </c>
      <c r="G1066" s="51" t="str">
        <f t="shared" si="1067"/>
        <v/>
      </c>
      <c r="H1066" s="51" t="str">
        <f t="shared" si="1067"/>
        <v/>
      </c>
      <c r="I1066" s="51" t="str">
        <f t="shared" si="1067"/>
        <v/>
      </c>
      <c r="J1066" s="51" t="str">
        <f t="shared" si="1067"/>
        <v/>
      </c>
      <c r="K1066" s="51" t="str">
        <f t="shared" si="1067"/>
        <v/>
      </c>
      <c r="L1066" s="51" t="str">
        <f t="shared" si="1067"/>
        <v/>
      </c>
      <c r="M1066" s="51" t="str">
        <f t="shared" si="1067"/>
        <v/>
      </c>
      <c r="N1066" s="51" t="str">
        <f t="shared" si="1067"/>
        <v/>
      </c>
      <c r="O1066" s="51" t="str">
        <f t="shared" si="1067"/>
        <v/>
      </c>
      <c r="P1066" s="51" t="str">
        <f t="shared" si="1067"/>
        <v/>
      </c>
      <c r="Q1066" s="51" t="str">
        <f t="shared" si="1067"/>
        <v/>
      </c>
      <c r="R1066" s="51" t="str">
        <f t="shared" si="1067"/>
        <v/>
      </c>
      <c r="S1066" s="51" t="str">
        <f t="shared" si="1067"/>
        <v/>
      </c>
      <c r="T1066" s="51" t="str">
        <f t="shared" si="1067"/>
        <v/>
      </c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2"/>
      <c r="AJ1066" s="52"/>
      <c r="AK1066" s="52"/>
      <c r="AL1066" s="52"/>
      <c r="AM1066" s="52"/>
      <c r="AN1066" s="52"/>
      <c r="AO1066" s="52"/>
      <c r="AP1066" s="52"/>
      <c r="AQ1066" s="52"/>
      <c r="AR1066" s="52"/>
      <c r="AS1066" s="52"/>
      <c r="AT1066" s="52"/>
      <c r="AU1066" s="52"/>
      <c r="AV1066" s="52"/>
      <c r="AW1066" s="52"/>
      <c r="AX1066" s="52"/>
      <c r="AY1066" s="52"/>
      <c r="AZ1066" s="52"/>
      <c r="BA1066" s="52"/>
      <c r="BB1066" s="52"/>
      <c r="BC1066" s="52"/>
      <c r="BD1066" s="52"/>
      <c r="BE1066" s="52"/>
      <c r="BF1066" s="52"/>
      <c r="BG1066" s="52"/>
      <c r="BH1066" s="52"/>
      <c r="BI1066" s="52"/>
      <c r="BJ1066" s="52"/>
      <c r="BK1066" s="52"/>
      <c r="BL1066" s="52"/>
      <c r="BM1066" s="52"/>
      <c r="BN1066" s="52"/>
      <c r="BO1066" s="52"/>
    </row>
    <row r="1067">
      <c r="B1067" s="49"/>
      <c r="C1067" s="49" t="str">
        <f t="shared" si="2"/>
        <v/>
      </c>
      <c r="D1067" s="50" t="str">
        <f t="shared" si="3"/>
        <v/>
      </c>
      <c r="E1067" s="51" t="str">
        <f t="shared" ref="E1067:T1067" si="1068">IFERROR(VLOOKUP($A1067,INDIRECT("'" &amp; E$1 &amp; "'!$C:$G"), 5, FALSE),"")</f>
        <v/>
      </c>
      <c r="F1067" s="51" t="str">
        <f t="shared" si="1068"/>
        <v/>
      </c>
      <c r="G1067" s="51" t="str">
        <f t="shared" si="1068"/>
        <v/>
      </c>
      <c r="H1067" s="51" t="str">
        <f t="shared" si="1068"/>
        <v/>
      </c>
      <c r="I1067" s="51" t="str">
        <f t="shared" si="1068"/>
        <v/>
      </c>
      <c r="J1067" s="51" t="str">
        <f t="shared" si="1068"/>
        <v/>
      </c>
      <c r="K1067" s="51" t="str">
        <f t="shared" si="1068"/>
        <v/>
      </c>
      <c r="L1067" s="51" t="str">
        <f t="shared" si="1068"/>
        <v/>
      </c>
      <c r="M1067" s="51" t="str">
        <f t="shared" si="1068"/>
        <v/>
      </c>
      <c r="N1067" s="51" t="str">
        <f t="shared" si="1068"/>
        <v/>
      </c>
      <c r="O1067" s="51" t="str">
        <f t="shared" si="1068"/>
        <v/>
      </c>
      <c r="P1067" s="51" t="str">
        <f t="shared" si="1068"/>
        <v/>
      </c>
      <c r="Q1067" s="51" t="str">
        <f t="shared" si="1068"/>
        <v/>
      </c>
      <c r="R1067" s="51" t="str">
        <f t="shared" si="1068"/>
        <v/>
      </c>
      <c r="S1067" s="51" t="str">
        <f t="shared" si="1068"/>
        <v/>
      </c>
      <c r="T1067" s="51" t="str">
        <f t="shared" si="1068"/>
        <v/>
      </c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2"/>
      <c r="AJ1067" s="52"/>
      <c r="AK1067" s="52"/>
      <c r="AL1067" s="52"/>
      <c r="AM1067" s="52"/>
      <c r="AN1067" s="52"/>
      <c r="AO1067" s="52"/>
      <c r="AP1067" s="52"/>
      <c r="AQ1067" s="52"/>
      <c r="AR1067" s="52"/>
      <c r="AS1067" s="52"/>
      <c r="AT1067" s="52"/>
      <c r="AU1067" s="52"/>
      <c r="AV1067" s="52"/>
      <c r="AW1067" s="52"/>
      <c r="AX1067" s="52"/>
      <c r="AY1067" s="52"/>
      <c r="AZ1067" s="52"/>
      <c r="BA1067" s="52"/>
      <c r="BB1067" s="52"/>
      <c r="BC1067" s="52"/>
      <c r="BD1067" s="52"/>
      <c r="BE1067" s="52"/>
      <c r="BF1067" s="52"/>
      <c r="BG1067" s="52"/>
      <c r="BH1067" s="52"/>
      <c r="BI1067" s="52"/>
      <c r="BJ1067" s="52"/>
      <c r="BK1067" s="52"/>
      <c r="BL1067" s="52"/>
      <c r="BM1067" s="52"/>
      <c r="BN1067" s="52"/>
      <c r="BO1067" s="52"/>
    </row>
    <row r="1068">
      <c r="B1068" s="49"/>
      <c r="C1068" s="49" t="str">
        <f t="shared" si="2"/>
        <v/>
      </c>
      <c r="D1068" s="50" t="str">
        <f t="shared" si="3"/>
        <v/>
      </c>
      <c r="E1068" s="51" t="str">
        <f t="shared" ref="E1068:T1068" si="1069">IFERROR(VLOOKUP($A1068,INDIRECT("'" &amp; E$1 &amp; "'!$C:$G"), 5, FALSE),"")</f>
        <v/>
      </c>
      <c r="F1068" s="51" t="str">
        <f t="shared" si="1069"/>
        <v/>
      </c>
      <c r="G1068" s="51" t="str">
        <f t="shared" si="1069"/>
        <v/>
      </c>
      <c r="H1068" s="51" t="str">
        <f t="shared" si="1069"/>
        <v/>
      </c>
      <c r="I1068" s="51" t="str">
        <f t="shared" si="1069"/>
        <v/>
      </c>
      <c r="J1068" s="51" t="str">
        <f t="shared" si="1069"/>
        <v/>
      </c>
      <c r="K1068" s="51" t="str">
        <f t="shared" si="1069"/>
        <v/>
      </c>
      <c r="L1068" s="51" t="str">
        <f t="shared" si="1069"/>
        <v/>
      </c>
      <c r="M1068" s="51" t="str">
        <f t="shared" si="1069"/>
        <v/>
      </c>
      <c r="N1068" s="51" t="str">
        <f t="shared" si="1069"/>
        <v/>
      </c>
      <c r="O1068" s="51" t="str">
        <f t="shared" si="1069"/>
        <v/>
      </c>
      <c r="P1068" s="51" t="str">
        <f t="shared" si="1069"/>
        <v/>
      </c>
      <c r="Q1068" s="51" t="str">
        <f t="shared" si="1069"/>
        <v/>
      </c>
      <c r="R1068" s="51" t="str">
        <f t="shared" si="1069"/>
        <v/>
      </c>
      <c r="S1068" s="51" t="str">
        <f t="shared" si="1069"/>
        <v/>
      </c>
      <c r="T1068" s="51" t="str">
        <f t="shared" si="1069"/>
        <v/>
      </c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2"/>
      <c r="AJ1068" s="52"/>
      <c r="AK1068" s="52"/>
      <c r="AL1068" s="52"/>
      <c r="AM1068" s="52"/>
      <c r="AN1068" s="52"/>
      <c r="AO1068" s="52"/>
      <c r="AP1068" s="52"/>
      <c r="AQ1068" s="52"/>
      <c r="AR1068" s="52"/>
      <c r="AS1068" s="52"/>
      <c r="AT1068" s="52"/>
      <c r="AU1068" s="52"/>
      <c r="AV1068" s="52"/>
      <c r="AW1068" s="52"/>
      <c r="AX1068" s="52"/>
      <c r="AY1068" s="52"/>
      <c r="AZ1068" s="52"/>
      <c r="BA1068" s="52"/>
      <c r="BB1068" s="52"/>
      <c r="BC1068" s="52"/>
      <c r="BD1068" s="52"/>
      <c r="BE1068" s="52"/>
      <c r="BF1068" s="52"/>
      <c r="BG1068" s="52"/>
      <c r="BH1068" s="52"/>
      <c r="BI1068" s="52"/>
      <c r="BJ1068" s="52"/>
      <c r="BK1068" s="52"/>
      <c r="BL1068" s="52"/>
      <c r="BM1068" s="52"/>
      <c r="BN1068" s="52"/>
      <c r="BO1068" s="52"/>
    </row>
    <row r="1069">
      <c r="B1069" s="49"/>
      <c r="C1069" s="49" t="str">
        <f t="shared" si="2"/>
        <v/>
      </c>
      <c r="D1069" s="50" t="str">
        <f t="shared" si="3"/>
        <v/>
      </c>
      <c r="E1069" s="51" t="str">
        <f t="shared" ref="E1069:T1069" si="1070">IFERROR(VLOOKUP($A1069,INDIRECT("'" &amp; E$1 &amp; "'!$C:$G"), 5, FALSE),"")</f>
        <v/>
      </c>
      <c r="F1069" s="51" t="str">
        <f t="shared" si="1070"/>
        <v/>
      </c>
      <c r="G1069" s="51" t="str">
        <f t="shared" si="1070"/>
        <v/>
      </c>
      <c r="H1069" s="51" t="str">
        <f t="shared" si="1070"/>
        <v/>
      </c>
      <c r="I1069" s="51" t="str">
        <f t="shared" si="1070"/>
        <v/>
      </c>
      <c r="J1069" s="51" t="str">
        <f t="shared" si="1070"/>
        <v/>
      </c>
      <c r="K1069" s="51" t="str">
        <f t="shared" si="1070"/>
        <v/>
      </c>
      <c r="L1069" s="51" t="str">
        <f t="shared" si="1070"/>
        <v/>
      </c>
      <c r="M1069" s="51" t="str">
        <f t="shared" si="1070"/>
        <v/>
      </c>
      <c r="N1069" s="51" t="str">
        <f t="shared" si="1070"/>
        <v/>
      </c>
      <c r="O1069" s="51" t="str">
        <f t="shared" si="1070"/>
        <v/>
      </c>
      <c r="P1069" s="51" t="str">
        <f t="shared" si="1070"/>
        <v/>
      </c>
      <c r="Q1069" s="51" t="str">
        <f t="shared" si="1070"/>
        <v/>
      </c>
      <c r="R1069" s="51" t="str">
        <f t="shared" si="1070"/>
        <v/>
      </c>
      <c r="S1069" s="51" t="str">
        <f t="shared" si="1070"/>
        <v/>
      </c>
      <c r="T1069" s="51" t="str">
        <f t="shared" si="1070"/>
        <v/>
      </c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2"/>
      <c r="AJ1069" s="52"/>
      <c r="AK1069" s="52"/>
      <c r="AL1069" s="52"/>
      <c r="AM1069" s="52"/>
      <c r="AN1069" s="52"/>
      <c r="AO1069" s="52"/>
      <c r="AP1069" s="52"/>
      <c r="AQ1069" s="52"/>
      <c r="AR1069" s="52"/>
      <c r="AS1069" s="52"/>
      <c r="AT1069" s="52"/>
      <c r="AU1069" s="52"/>
      <c r="AV1069" s="52"/>
      <c r="AW1069" s="52"/>
      <c r="AX1069" s="52"/>
      <c r="AY1069" s="52"/>
      <c r="AZ1069" s="52"/>
      <c r="BA1069" s="52"/>
      <c r="BB1069" s="52"/>
      <c r="BC1069" s="52"/>
      <c r="BD1069" s="52"/>
      <c r="BE1069" s="52"/>
      <c r="BF1069" s="52"/>
      <c r="BG1069" s="52"/>
      <c r="BH1069" s="52"/>
      <c r="BI1069" s="52"/>
      <c r="BJ1069" s="52"/>
      <c r="BK1069" s="52"/>
      <c r="BL1069" s="52"/>
      <c r="BM1069" s="52"/>
      <c r="BN1069" s="52"/>
      <c r="BO1069" s="52"/>
    </row>
    <row r="1070">
      <c r="B1070" s="49"/>
      <c r="C1070" s="49" t="str">
        <f t="shared" si="2"/>
        <v/>
      </c>
      <c r="D1070" s="50" t="str">
        <f t="shared" si="3"/>
        <v/>
      </c>
      <c r="E1070" s="51" t="str">
        <f t="shared" ref="E1070:T1070" si="1071">IFERROR(VLOOKUP($A1070,INDIRECT("'" &amp; E$1 &amp; "'!$C:$G"), 5, FALSE),"")</f>
        <v/>
      </c>
      <c r="F1070" s="51" t="str">
        <f t="shared" si="1071"/>
        <v/>
      </c>
      <c r="G1070" s="51" t="str">
        <f t="shared" si="1071"/>
        <v/>
      </c>
      <c r="H1070" s="51" t="str">
        <f t="shared" si="1071"/>
        <v/>
      </c>
      <c r="I1070" s="51" t="str">
        <f t="shared" si="1071"/>
        <v/>
      </c>
      <c r="J1070" s="51" t="str">
        <f t="shared" si="1071"/>
        <v/>
      </c>
      <c r="K1070" s="51" t="str">
        <f t="shared" si="1071"/>
        <v/>
      </c>
      <c r="L1070" s="51" t="str">
        <f t="shared" si="1071"/>
        <v/>
      </c>
      <c r="M1070" s="51" t="str">
        <f t="shared" si="1071"/>
        <v/>
      </c>
      <c r="N1070" s="51" t="str">
        <f t="shared" si="1071"/>
        <v/>
      </c>
      <c r="O1070" s="51" t="str">
        <f t="shared" si="1071"/>
        <v/>
      </c>
      <c r="P1070" s="51" t="str">
        <f t="shared" si="1071"/>
        <v/>
      </c>
      <c r="Q1070" s="51" t="str">
        <f t="shared" si="1071"/>
        <v/>
      </c>
      <c r="R1070" s="51" t="str">
        <f t="shared" si="1071"/>
        <v/>
      </c>
      <c r="S1070" s="51" t="str">
        <f t="shared" si="1071"/>
        <v/>
      </c>
      <c r="T1070" s="51" t="str">
        <f t="shared" si="1071"/>
        <v/>
      </c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2"/>
      <c r="AM1070" s="52"/>
      <c r="AN1070" s="52"/>
      <c r="AO1070" s="52"/>
      <c r="AP1070" s="52"/>
      <c r="AQ1070" s="52"/>
      <c r="AR1070" s="52"/>
      <c r="AS1070" s="52"/>
      <c r="AT1070" s="52"/>
      <c r="AU1070" s="52"/>
      <c r="AV1070" s="52"/>
      <c r="AW1070" s="52"/>
      <c r="AX1070" s="52"/>
      <c r="AY1070" s="52"/>
      <c r="AZ1070" s="52"/>
      <c r="BA1070" s="52"/>
      <c r="BB1070" s="52"/>
      <c r="BC1070" s="52"/>
      <c r="BD1070" s="52"/>
      <c r="BE1070" s="52"/>
      <c r="BF1070" s="52"/>
      <c r="BG1070" s="52"/>
      <c r="BH1070" s="52"/>
      <c r="BI1070" s="52"/>
      <c r="BJ1070" s="52"/>
      <c r="BK1070" s="52"/>
      <c r="BL1070" s="52"/>
      <c r="BM1070" s="52"/>
      <c r="BN1070" s="52"/>
      <c r="BO1070" s="52"/>
    </row>
    <row r="1071">
      <c r="B1071" s="49"/>
      <c r="C1071" s="49" t="str">
        <f t="shared" si="2"/>
        <v/>
      </c>
      <c r="D1071" s="50" t="str">
        <f t="shared" si="3"/>
        <v/>
      </c>
      <c r="E1071" s="51" t="str">
        <f t="shared" ref="E1071:T1071" si="1072">IFERROR(VLOOKUP($A1071,INDIRECT("'" &amp; E$1 &amp; "'!$C:$G"), 5, FALSE),"")</f>
        <v/>
      </c>
      <c r="F1071" s="51" t="str">
        <f t="shared" si="1072"/>
        <v/>
      </c>
      <c r="G1071" s="51" t="str">
        <f t="shared" si="1072"/>
        <v/>
      </c>
      <c r="H1071" s="51" t="str">
        <f t="shared" si="1072"/>
        <v/>
      </c>
      <c r="I1071" s="51" t="str">
        <f t="shared" si="1072"/>
        <v/>
      </c>
      <c r="J1071" s="51" t="str">
        <f t="shared" si="1072"/>
        <v/>
      </c>
      <c r="K1071" s="51" t="str">
        <f t="shared" si="1072"/>
        <v/>
      </c>
      <c r="L1071" s="51" t="str">
        <f t="shared" si="1072"/>
        <v/>
      </c>
      <c r="M1071" s="51" t="str">
        <f t="shared" si="1072"/>
        <v/>
      </c>
      <c r="N1071" s="51" t="str">
        <f t="shared" si="1072"/>
        <v/>
      </c>
      <c r="O1071" s="51" t="str">
        <f t="shared" si="1072"/>
        <v/>
      </c>
      <c r="P1071" s="51" t="str">
        <f t="shared" si="1072"/>
        <v/>
      </c>
      <c r="Q1071" s="51" t="str">
        <f t="shared" si="1072"/>
        <v/>
      </c>
      <c r="R1071" s="51" t="str">
        <f t="shared" si="1072"/>
        <v/>
      </c>
      <c r="S1071" s="51" t="str">
        <f t="shared" si="1072"/>
        <v/>
      </c>
      <c r="T1071" s="51" t="str">
        <f t="shared" si="1072"/>
        <v/>
      </c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I1071" s="52"/>
      <c r="AJ1071" s="52"/>
      <c r="AK1071" s="52"/>
      <c r="AL1071" s="52"/>
      <c r="AM1071" s="52"/>
      <c r="AN1071" s="52"/>
      <c r="AO1071" s="52"/>
      <c r="AP1071" s="52"/>
      <c r="AQ1071" s="52"/>
      <c r="AR1071" s="52"/>
      <c r="AS1071" s="52"/>
      <c r="AT1071" s="52"/>
      <c r="AU1071" s="52"/>
      <c r="AV1071" s="52"/>
      <c r="AW1071" s="52"/>
      <c r="AX1071" s="52"/>
      <c r="AY1071" s="52"/>
      <c r="AZ1071" s="52"/>
      <c r="BA1071" s="52"/>
      <c r="BB1071" s="52"/>
      <c r="BC1071" s="52"/>
      <c r="BD1071" s="52"/>
      <c r="BE1071" s="52"/>
      <c r="BF1071" s="52"/>
      <c r="BG1071" s="52"/>
      <c r="BH1071" s="52"/>
      <c r="BI1071" s="52"/>
      <c r="BJ1071" s="52"/>
      <c r="BK1071" s="52"/>
      <c r="BL1071" s="52"/>
      <c r="BM1071" s="52"/>
      <c r="BN1071" s="52"/>
      <c r="BO1071" s="52"/>
    </row>
    <row r="1072">
      <c r="B1072" s="49"/>
      <c r="C1072" s="49" t="str">
        <f t="shared" si="2"/>
        <v/>
      </c>
      <c r="D1072" s="50" t="str">
        <f t="shared" si="3"/>
        <v/>
      </c>
      <c r="E1072" s="51" t="str">
        <f t="shared" ref="E1072:T1072" si="1073">IFERROR(VLOOKUP($A1072,INDIRECT("'" &amp; E$1 &amp; "'!$C:$G"), 5, FALSE),"")</f>
        <v/>
      </c>
      <c r="F1072" s="51" t="str">
        <f t="shared" si="1073"/>
        <v/>
      </c>
      <c r="G1072" s="51" t="str">
        <f t="shared" si="1073"/>
        <v/>
      </c>
      <c r="H1072" s="51" t="str">
        <f t="shared" si="1073"/>
        <v/>
      </c>
      <c r="I1072" s="51" t="str">
        <f t="shared" si="1073"/>
        <v/>
      </c>
      <c r="J1072" s="51" t="str">
        <f t="shared" si="1073"/>
        <v/>
      </c>
      <c r="K1072" s="51" t="str">
        <f t="shared" si="1073"/>
        <v/>
      </c>
      <c r="L1072" s="51" t="str">
        <f t="shared" si="1073"/>
        <v/>
      </c>
      <c r="M1072" s="51" t="str">
        <f t="shared" si="1073"/>
        <v/>
      </c>
      <c r="N1072" s="51" t="str">
        <f t="shared" si="1073"/>
        <v/>
      </c>
      <c r="O1072" s="51" t="str">
        <f t="shared" si="1073"/>
        <v/>
      </c>
      <c r="P1072" s="51" t="str">
        <f t="shared" si="1073"/>
        <v/>
      </c>
      <c r="Q1072" s="51" t="str">
        <f t="shared" si="1073"/>
        <v/>
      </c>
      <c r="R1072" s="51" t="str">
        <f t="shared" si="1073"/>
        <v/>
      </c>
      <c r="S1072" s="51" t="str">
        <f t="shared" si="1073"/>
        <v/>
      </c>
      <c r="T1072" s="51" t="str">
        <f t="shared" si="1073"/>
        <v/>
      </c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2"/>
      <c r="AJ1072" s="52"/>
      <c r="AK1072" s="52"/>
      <c r="AL1072" s="52"/>
      <c r="AM1072" s="52"/>
      <c r="AN1072" s="52"/>
      <c r="AO1072" s="52"/>
      <c r="AP1072" s="52"/>
      <c r="AQ1072" s="52"/>
      <c r="AR1072" s="52"/>
      <c r="AS1072" s="52"/>
      <c r="AT1072" s="52"/>
      <c r="AU1072" s="52"/>
      <c r="AV1072" s="52"/>
      <c r="AW1072" s="52"/>
      <c r="AX1072" s="52"/>
      <c r="AY1072" s="52"/>
      <c r="AZ1072" s="52"/>
      <c r="BA1072" s="52"/>
      <c r="BB1072" s="52"/>
      <c r="BC1072" s="52"/>
      <c r="BD1072" s="52"/>
      <c r="BE1072" s="52"/>
      <c r="BF1072" s="52"/>
      <c r="BG1072" s="52"/>
      <c r="BH1072" s="52"/>
      <c r="BI1072" s="52"/>
      <c r="BJ1072" s="52"/>
      <c r="BK1072" s="52"/>
      <c r="BL1072" s="52"/>
      <c r="BM1072" s="52"/>
      <c r="BN1072" s="52"/>
      <c r="BO1072" s="52"/>
    </row>
    <row r="1073">
      <c r="B1073" s="49"/>
      <c r="C1073" s="49" t="str">
        <f t="shared" si="2"/>
        <v/>
      </c>
      <c r="D1073" s="50" t="str">
        <f t="shared" si="3"/>
        <v/>
      </c>
      <c r="E1073" s="51" t="str">
        <f t="shared" ref="E1073:T1073" si="1074">IFERROR(VLOOKUP($A1073,INDIRECT("'" &amp; E$1 &amp; "'!$C:$G"), 5, FALSE),"")</f>
        <v/>
      </c>
      <c r="F1073" s="51" t="str">
        <f t="shared" si="1074"/>
        <v/>
      </c>
      <c r="G1073" s="51" t="str">
        <f t="shared" si="1074"/>
        <v/>
      </c>
      <c r="H1073" s="51" t="str">
        <f t="shared" si="1074"/>
        <v/>
      </c>
      <c r="I1073" s="51" t="str">
        <f t="shared" si="1074"/>
        <v/>
      </c>
      <c r="J1073" s="51" t="str">
        <f t="shared" si="1074"/>
        <v/>
      </c>
      <c r="K1073" s="51" t="str">
        <f t="shared" si="1074"/>
        <v/>
      </c>
      <c r="L1073" s="51" t="str">
        <f t="shared" si="1074"/>
        <v/>
      </c>
      <c r="M1073" s="51" t="str">
        <f t="shared" si="1074"/>
        <v/>
      </c>
      <c r="N1073" s="51" t="str">
        <f t="shared" si="1074"/>
        <v/>
      </c>
      <c r="O1073" s="51" t="str">
        <f t="shared" si="1074"/>
        <v/>
      </c>
      <c r="P1073" s="51" t="str">
        <f t="shared" si="1074"/>
        <v/>
      </c>
      <c r="Q1073" s="51" t="str">
        <f t="shared" si="1074"/>
        <v/>
      </c>
      <c r="R1073" s="51" t="str">
        <f t="shared" si="1074"/>
        <v/>
      </c>
      <c r="S1073" s="51" t="str">
        <f t="shared" si="1074"/>
        <v/>
      </c>
      <c r="T1073" s="51" t="str">
        <f t="shared" si="1074"/>
        <v/>
      </c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2"/>
      <c r="AJ1073" s="52"/>
      <c r="AK1073" s="52"/>
      <c r="AL1073" s="52"/>
      <c r="AM1073" s="52"/>
      <c r="AN1073" s="52"/>
      <c r="AO1073" s="52"/>
      <c r="AP1073" s="52"/>
      <c r="AQ1073" s="52"/>
      <c r="AR1073" s="52"/>
      <c r="AS1073" s="52"/>
      <c r="AT1073" s="52"/>
      <c r="AU1073" s="52"/>
      <c r="AV1073" s="52"/>
      <c r="AW1073" s="52"/>
      <c r="AX1073" s="52"/>
      <c r="AY1073" s="52"/>
      <c r="AZ1073" s="52"/>
      <c r="BA1073" s="52"/>
      <c r="BB1073" s="52"/>
      <c r="BC1073" s="52"/>
      <c r="BD1073" s="52"/>
      <c r="BE1073" s="52"/>
      <c r="BF1073" s="52"/>
      <c r="BG1073" s="52"/>
      <c r="BH1073" s="52"/>
      <c r="BI1073" s="52"/>
      <c r="BJ1073" s="52"/>
      <c r="BK1073" s="52"/>
      <c r="BL1073" s="52"/>
      <c r="BM1073" s="52"/>
      <c r="BN1073" s="52"/>
      <c r="BO1073" s="52"/>
    </row>
    <row r="1074">
      <c r="B1074" s="49"/>
      <c r="C1074" s="49" t="str">
        <f t="shared" si="2"/>
        <v/>
      </c>
      <c r="D1074" s="50" t="str">
        <f t="shared" si="3"/>
        <v/>
      </c>
      <c r="E1074" s="51" t="str">
        <f t="shared" ref="E1074:T1074" si="1075">IFERROR(VLOOKUP($A1074,INDIRECT("'" &amp; E$1 &amp; "'!$C:$G"), 5, FALSE),"")</f>
        <v/>
      </c>
      <c r="F1074" s="51" t="str">
        <f t="shared" si="1075"/>
        <v/>
      </c>
      <c r="G1074" s="51" t="str">
        <f t="shared" si="1075"/>
        <v/>
      </c>
      <c r="H1074" s="51" t="str">
        <f t="shared" si="1075"/>
        <v/>
      </c>
      <c r="I1074" s="51" t="str">
        <f t="shared" si="1075"/>
        <v/>
      </c>
      <c r="J1074" s="51" t="str">
        <f t="shared" si="1075"/>
        <v/>
      </c>
      <c r="K1074" s="51" t="str">
        <f t="shared" si="1075"/>
        <v/>
      </c>
      <c r="L1074" s="51" t="str">
        <f t="shared" si="1075"/>
        <v/>
      </c>
      <c r="M1074" s="51" t="str">
        <f t="shared" si="1075"/>
        <v/>
      </c>
      <c r="N1074" s="51" t="str">
        <f t="shared" si="1075"/>
        <v/>
      </c>
      <c r="O1074" s="51" t="str">
        <f t="shared" si="1075"/>
        <v/>
      </c>
      <c r="P1074" s="51" t="str">
        <f t="shared" si="1075"/>
        <v/>
      </c>
      <c r="Q1074" s="51" t="str">
        <f t="shared" si="1075"/>
        <v/>
      </c>
      <c r="R1074" s="51" t="str">
        <f t="shared" si="1075"/>
        <v/>
      </c>
      <c r="S1074" s="51" t="str">
        <f t="shared" si="1075"/>
        <v/>
      </c>
      <c r="T1074" s="51" t="str">
        <f t="shared" si="1075"/>
        <v/>
      </c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2"/>
      <c r="AJ1074" s="52"/>
      <c r="AK1074" s="52"/>
      <c r="AL1074" s="52"/>
      <c r="AM1074" s="52"/>
      <c r="AN1074" s="52"/>
      <c r="AO1074" s="52"/>
      <c r="AP1074" s="52"/>
      <c r="AQ1074" s="52"/>
      <c r="AR1074" s="52"/>
      <c r="AS1074" s="52"/>
      <c r="AT1074" s="52"/>
      <c r="AU1074" s="52"/>
      <c r="AV1074" s="52"/>
      <c r="AW1074" s="52"/>
      <c r="AX1074" s="52"/>
      <c r="AY1074" s="52"/>
      <c r="AZ1074" s="52"/>
      <c r="BA1074" s="52"/>
      <c r="BB1074" s="52"/>
      <c r="BC1074" s="52"/>
      <c r="BD1074" s="52"/>
      <c r="BE1074" s="52"/>
      <c r="BF1074" s="52"/>
      <c r="BG1074" s="52"/>
      <c r="BH1074" s="52"/>
      <c r="BI1074" s="52"/>
      <c r="BJ1074" s="52"/>
      <c r="BK1074" s="52"/>
      <c r="BL1074" s="52"/>
      <c r="BM1074" s="52"/>
      <c r="BN1074" s="52"/>
      <c r="BO1074" s="52"/>
    </row>
    <row r="1075">
      <c r="B1075" s="49"/>
      <c r="C1075" s="49" t="str">
        <f t="shared" si="2"/>
        <v/>
      </c>
      <c r="D1075" s="50" t="str">
        <f t="shared" si="3"/>
        <v/>
      </c>
      <c r="E1075" s="51" t="str">
        <f t="shared" ref="E1075:T1075" si="1076">IFERROR(VLOOKUP($A1075,INDIRECT("'" &amp; E$1 &amp; "'!$C:$G"), 5, FALSE),"")</f>
        <v/>
      </c>
      <c r="F1075" s="51" t="str">
        <f t="shared" si="1076"/>
        <v/>
      </c>
      <c r="G1075" s="51" t="str">
        <f t="shared" si="1076"/>
        <v/>
      </c>
      <c r="H1075" s="51" t="str">
        <f t="shared" si="1076"/>
        <v/>
      </c>
      <c r="I1075" s="51" t="str">
        <f t="shared" si="1076"/>
        <v/>
      </c>
      <c r="J1075" s="51" t="str">
        <f t="shared" si="1076"/>
        <v/>
      </c>
      <c r="K1075" s="51" t="str">
        <f t="shared" si="1076"/>
        <v/>
      </c>
      <c r="L1075" s="51" t="str">
        <f t="shared" si="1076"/>
        <v/>
      </c>
      <c r="M1075" s="51" t="str">
        <f t="shared" si="1076"/>
        <v/>
      </c>
      <c r="N1075" s="51" t="str">
        <f t="shared" si="1076"/>
        <v/>
      </c>
      <c r="O1075" s="51" t="str">
        <f t="shared" si="1076"/>
        <v/>
      </c>
      <c r="P1075" s="51" t="str">
        <f t="shared" si="1076"/>
        <v/>
      </c>
      <c r="Q1075" s="51" t="str">
        <f t="shared" si="1076"/>
        <v/>
      </c>
      <c r="R1075" s="51" t="str">
        <f t="shared" si="1076"/>
        <v/>
      </c>
      <c r="S1075" s="51" t="str">
        <f t="shared" si="1076"/>
        <v/>
      </c>
      <c r="T1075" s="51" t="str">
        <f t="shared" si="1076"/>
        <v/>
      </c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2"/>
      <c r="AM1075" s="52"/>
      <c r="AN1075" s="52"/>
      <c r="AO1075" s="52"/>
      <c r="AP1075" s="52"/>
      <c r="AQ1075" s="52"/>
      <c r="AR1075" s="52"/>
      <c r="AS1075" s="52"/>
      <c r="AT1075" s="52"/>
      <c r="AU1075" s="52"/>
      <c r="AV1075" s="52"/>
      <c r="AW1075" s="52"/>
      <c r="AX1075" s="52"/>
      <c r="AY1075" s="52"/>
      <c r="AZ1075" s="52"/>
      <c r="BA1075" s="52"/>
      <c r="BB1075" s="52"/>
      <c r="BC1075" s="52"/>
      <c r="BD1075" s="52"/>
      <c r="BE1075" s="52"/>
      <c r="BF1075" s="52"/>
      <c r="BG1075" s="52"/>
      <c r="BH1075" s="52"/>
      <c r="BI1075" s="52"/>
      <c r="BJ1075" s="52"/>
      <c r="BK1075" s="52"/>
      <c r="BL1075" s="52"/>
      <c r="BM1075" s="52"/>
      <c r="BN1075" s="52"/>
      <c r="BO1075" s="52"/>
    </row>
    <row r="1076">
      <c r="B1076" s="49"/>
      <c r="C1076" s="49" t="str">
        <f t="shared" si="2"/>
        <v/>
      </c>
      <c r="D1076" s="50" t="str">
        <f t="shared" si="3"/>
        <v/>
      </c>
      <c r="E1076" s="51" t="str">
        <f t="shared" ref="E1076:T1076" si="1077">IFERROR(VLOOKUP($A1076,INDIRECT("'" &amp; E$1 &amp; "'!$C:$G"), 5, FALSE),"")</f>
        <v/>
      </c>
      <c r="F1076" s="51" t="str">
        <f t="shared" si="1077"/>
        <v/>
      </c>
      <c r="G1076" s="51" t="str">
        <f t="shared" si="1077"/>
        <v/>
      </c>
      <c r="H1076" s="51" t="str">
        <f t="shared" si="1077"/>
        <v/>
      </c>
      <c r="I1076" s="51" t="str">
        <f t="shared" si="1077"/>
        <v/>
      </c>
      <c r="J1076" s="51" t="str">
        <f t="shared" si="1077"/>
        <v/>
      </c>
      <c r="K1076" s="51" t="str">
        <f t="shared" si="1077"/>
        <v/>
      </c>
      <c r="L1076" s="51" t="str">
        <f t="shared" si="1077"/>
        <v/>
      </c>
      <c r="M1076" s="51" t="str">
        <f t="shared" si="1077"/>
        <v/>
      </c>
      <c r="N1076" s="51" t="str">
        <f t="shared" si="1077"/>
        <v/>
      </c>
      <c r="O1076" s="51" t="str">
        <f t="shared" si="1077"/>
        <v/>
      </c>
      <c r="P1076" s="51" t="str">
        <f t="shared" si="1077"/>
        <v/>
      </c>
      <c r="Q1076" s="51" t="str">
        <f t="shared" si="1077"/>
        <v/>
      </c>
      <c r="R1076" s="51" t="str">
        <f t="shared" si="1077"/>
        <v/>
      </c>
      <c r="S1076" s="51" t="str">
        <f t="shared" si="1077"/>
        <v/>
      </c>
      <c r="T1076" s="51" t="str">
        <f t="shared" si="1077"/>
        <v/>
      </c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2"/>
      <c r="AJ1076" s="52"/>
      <c r="AK1076" s="52"/>
      <c r="AL1076" s="52"/>
      <c r="AM1076" s="52"/>
      <c r="AN1076" s="52"/>
      <c r="AO1076" s="52"/>
      <c r="AP1076" s="52"/>
      <c r="AQ1076" s="52"/>
      <c r="AR1076" s="52"/>
      <c r="AS1076" s="52"/>
      <c r="AT1076" s="52"/>
      <c r="AU1076" s="52"/>
      <c r="AV1076" s="52"/>
      <c r="AW1076" s="52"/>
      <c r="AX1076" s="52"/>
      <c r="AY1076" s="52"/>
      <c r="AZ1076" s="52"/>
      <c r="BA1076" s="52"/>
      <c r="BB1076" s="52"/>
      <c r="BC1076" s="52"/>
      <c r="BD1076" s="52"/>
      <c r="BE1076" s="52"/>
      <c r="BF1076" s="52"/>
      <c r="BG1076" s="52"/>
      <c r="BH1076" s="52"/>
      <c r="BI1076" s="52"/>
      <c r="BJ1076" s="52"/>
      <c r="BK1076" s="52"/>
      <c r="BL1076" s="52"/>
      <c r="BM1076" s="52"/>
      <c r="BN1076" s="52"/>
      <c r="BO1076" s="52"/>
    </row>
    <row r="1077">
      <c r="B1077" s="49"/>
      <c r="C1077" s="49" t="str">
        <f t="shared" si="2"/>
        <v/>
      </c>
      <c r="D1077" s="50" t="str">
        <f t="shared" si="3"/>
        <v/>
      </c>
      <c r="E1077" s="51" t="str">
        <f t="shared" ref="E1077:T1077" si="1078">IFERROR(VLOOKUP($A1077,INDIRECT("'" &amp; E$1 &amp; "'!$C:$G"), 5, FALSE),"")</f>
        <v/>
      </c>
      <c r="F1077" s="51" t="str">
        <f t="shared" si="1078"/>
        <v/>
      </c>
      <c r="G1077" s="51" t="str">
        <f t="shared" si="1078"/>
        <v/>
      </c>
      <c r="H1077" s="51" t="str">
        <f t="shared" si="1078"/>
        <v/>
      </c>
      <c r="I1077" s="51" t="str">
        <f t="shared" si="1078"/>
        <v/>
      </c>
      <c r="J1077" s="51" t="str">
        <f t="shared" si="1078"/>
        <v/>
      </c>
      <c r="K1077" s="51" t="str">
        <f t="shared" si="1078"/>
        <v/>
      </c>
      <c r="L1077" s="51" t="str">
        <f t="shared" si="1078"/>
        <v/>
      </c>
      <c r="M1077" s="51" t="str">
        <f t="shared" si="1078"/>
        <v/>
      </c>
      <c r="N1077" s="51" t="str">
        <f t="shared" si="1078"/>
        <v/>
      </c>
      <c r="O1077" s="51" t="str">
        <f t="shared" si="1078"/>
        <v/>
      </c>
      <c r="P1077" s="51" t="str">
        <f t="shared" si="1078"/>
        <v/>
      </c>
      <c r="Q1077" s="51" t="str">
        <f t="shared" si="1078"/>
        <v/>
      </c>
      <c r="R1077" s="51" t="str">
        <f t="shared" si="1078"/>
        <v/>
      </c>
      <c r="S1077" s="51" t="str">
        <f t="shared" si="1078"/>
        <v/>
      </c>
      <c r="T1077" s="51" t="str">
        <f t="shared" si="1078"/>
        <v/>
      </c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I1077" s="52"/>
      <c r="AJ1077" s="52"/>
      <c r="AK1077" s="52"/>
      <c r="AL1077" s="52"/>
      <c r="AM1077" s="52"/>
      <c r="AN1077" s="52"/>
      <c r="AO1077" s="52"/>
      <c r="AP1077" s="52"/>
      <c r="AQ1077" s="52"/>
      <c r="AR1077" s="52"/>
      <c r="AS1077" s="52"/>
      <c r="AT1077" s="52"/>
      <c r="AU1077" s="52"/>
      <c r="AV1077" s="52"/>
      <c r="AW1077" s="52"/>
      <c r="AX1077" s="52"/>
      <c r="AY1077" s="52"/>
      <c r="AZ1077" s="52"/>
      <c r="BA1077" s="52"/>
      <c r="BB1077" s="52"/>
      <c r="BC1077" s="52"/>
      <c r="BD1077" s="52"/>
      <c r="BE1077" s="52"/>
      <c r="BF1077" s="52"/>
      <c r="BG1077" s="52"/>
      <c r="BH1077" s="52"/>
      <c r="BI1077" s="52"/>
      <c r="BJ1077" s="52"/>
      <c r="BK1077" s="52"/>
      <c r="BL1077" s="52"/>
      <c r="BM1077" s="52"/>
      <c r="BN1077" s="52"/>
      <c r="BO1077" s="52"/>
    </row>
    <row r="1078">
      <c r="B1078" s="49"/>
      <c r="C1078" s="49" t="str">
        <f t="shared" si="2"/>
        <v/>
      </c>
      <c r="D1078" s="50" t="str">
        <f t="shared" si="3"/>
        <v/>
      </c>
      <c r="E1078" s="51" t="str">
        <f t="shared" ref="E1078:T1078" si="1079">IFERROR(VLOOKUP($A1078,INDIRECT("'" &amp; E$1 &amp; "'!$C:$G"), 5, FALSE),"")</f>
        <v/>
      </c>
      <c r="F1078" s="51" t="str">
        <f t="shared" si="1079"/>
        <v/>
      </c>
      <c r="G1078" s="51" t="str">
        <f t="shared" si="1079"/>
        <v/>
      </c>
      <c r="H1078" s="51" t="str">
        <f t="shared" si="1079"/>
        <v/>
      </c>
      <c r="I1078" s="51" t="str">
        <f t="shared" si="1079"/>
        <v/>
      </c>
      <c r="J1078" s="51" t="str">
        <f t="shared" si="1079"/>
        <v/>
      </c>
      <c r="K1078" s="51" t="str">
        <f t="shared" si="1079"/>
        <v/>
      </c>
      <c r="L1078" s="51" t="str">
        <f t="shared" si="1079"/>
        <v/>
      </c>
      <c r="M1078" s="51" t="str">
        <f t="shared" si="1079"/>
        <v/>
      </c>
      <c r="N1078" s="51" t="str">
        <f t="shared" si="1079"/>
        <v/>
      </c>
      <c r="O1078" s="51" t="str">
        <f t="shared" si="1079"/>
        <v/>
      </c>
      <c r="P1078" s="51" t="str">
        <f t="shared" si="1079"/>
        <v/>
      </c>
      <c r="Q1078" s="51" t="str">
        <f t="shared" si="1079"/>
        <v/>
      </c>
      <c r="R1078" s="51" t="str">
        <f t="shared" si="1079"/>
        <v/>
      </c>
      <c r="S1078" s="51" t="str">
        <f t="shared" si="1079"/>
        <v/>
      </c>
      <c r="T1078" s="51" t="str">
        <f t="shared" si="1079"/>
        <v/>
      </c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I1078" s="52"/>
      <c r="AJ1078" s="52"/>
      <c r="AK1078" s="52"/>
      <c r="AL1078" s="52"/>
      <c r="AM1078" s="52"/>
      <c r="AN1078" s="52"/>
      <c r="AO1078" s="52"/>
      <c r="AP1078" s="52"/>
      <c r="AQ1078" s="52"/>
      <c r="AR1078" s="52"/>
      <c r="AS1078" s="52"/>
      <c r="AT1078" s="52"/>
      <c r="AU1078" s="52"/>
      <c r="AV1078" s="52"/>
      <c r="AW1078" s="52"/>
      <c r="AX1078" s="52"/>
      <c r="AY1078" s="52"/>
      <c r="AZ1078" s="52"/>
      <c r="BA1078" s="52"/>
      <c r="BB1078" s="52"/>
      <c r="BC1078" s="52"/>
      <c r="BD1078" s="52"/>
      <c r="BE1078" s="52"/>
      <c r="BF1078" s="52"/>
      <c r="BG1078" s="52"/>
      <c r="BH1078" s="52"/>
      <c r="BI1078" s="52"/>
      <c r="BJ1078" s="52"/>
      <c r="BK1078" s="52"/>
      <c r="BL1078" s="52"/>
      <c r="BM1078" s="52"/>
      <c r="BN1078" s="52"/>
      <c r="BO1078" s="52"/>
    </row>
    <row r="1079">
      <c r="B1079" s="49"/>
      <c r="C1079" s="49" t="str">
        <f t="shared" si="2"/>
        <v/>
      </c>
      <c r="D1079" s="50" t="str">
        <f t="shared" si="3"/>
        <v/>
      </c>
      <c r="E1079" s="51" t="str">
        <f t="shared" ref="E1079:T1079" si="1080">IFERROR(VLOOKUP($A1079,INDIRECT("'" &amp; E$1 &amp; "'!$C:$G"), 5, FALSE),"")</f>
        <v/>
      </c>
      <c r="F1079" s="51" t="str">
        <f t="shared" si="1080"/>
        <v/>
      </c>
      <c r="G1079" s="51" t="str">
        <f t="shared" si="1080"/>
        <v/>
      </c>
      <c r="H1079" s="51" t="str">
        <f t="shared" si="1080"/>
        <v/>
      </c>
      <c r="I1079" s="51" t="str">
        <f t="shared" si="1080"/>
        <v/>
      </c>
      <c r="J1079" s="51" t="str">
        <f t="shared" si="1080"/>
        <v/>
      </c>
      <c r="K1079" s="51" t="str">
        <f t="shared" si="1080"/>
        <v/>
      </c>
      <c r="L1079" s="51" t="str">
        <f t="shared" si="1080"/>
        <v/>
      </c>
      <c r="M1079" s="51" t="str">
        <f t="shared" si="1080"/>
        <v/>
      </c>
      <c r="N1079" s="51" t="str">
        <f t="shared" si="1080"/>
        <v/>
      </c>
      <c r="O1079" s="51" t="str">
        <f t="shared" si="1080"/>
        <v/>
      </c>
      <c r="P1079" s="51" t="str">
        <f t="shared" si="1080"/>
        <v/>
      </c>
      <c r="Q1079" s="51" t="str">
        <f t="shared" si="1080"/>
        <v/>
      </c>
      <c r="R1079" s="51" t="str">
        <f t="shared" si="1080"/>
        <v/>
      </c>
      <c r="S1079" s="51" t="str">
        <f t="shared" si="1080"/>
        <v/>
      </c>
      <c r="T1079" s="51" t="str">
        <f t="shared" si="1080"/>
        <v/>
      </c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2"/>
      <c r="AJ1079" s="52"/>
      <c r="AK1079" s="52"/>
      <c r="AL1079" s="52"/>
      <c r="AM1079" s="52"/>
      <c r="AN1079" s="52"/>
      <c r="AO1079" s="52"/>
      <c r="AP1079" s="52"/>
      <c r="AQ1079" s="52"/>
      <c r="AR1079" s="52"/>
      <c r="AS1079" s="52"/>
      <c r="AT1079" s="52"/>
      <c r="AU1079" s="52"/>
      <c r="AV1079" s="52"/>
      <c r="AW1079" s="52"/>
      <c r="AX1079" s="52"/>
      <c r="AY1079" s="52"/>
      <c r="AZ1079" s="52"/>
      <c r="BA1079" s="52"/>
      <c r="BB1079" s="52"/>
      <c r="BC1079" s="52"/>
      <c r="BD1079" s="52"/>
      <c r="BE1079" s="52"/>
      <c r="BF1079" s="52"/>
      <c r="BG1079" s="52"/>
      <c r="BH1079" s="52"/>
      <c r="BI1079" s="52"/>
      <c r="BJ1079" s="52"/>
      <c r="BK1079" s="52"/>
      <c r="BL1079" s="52"/>
      <c r="BM1079" s="52"/>
      <c r="BN1079" s="52"/>
      <c r="BO1079" s="52"/>
    </row>
    <row r="1080">
      <c r="B1080" s="49"/>
      <c r="C1080" s="49" t="str">
        <f t="shared" si="2"/>
        <v/>
      </c>
      <c r="D1080" s="50" t="str">
        <f t="shared" si="3"/>
        <v/>
      </c>
      <c r="E1080" s="51" t="str">
        <f t="shared" ref="E1080:T1080" si="1081">IFERROR(VLOOKUP($A1080,INDIRECT("'" &amp; E$1 &amp; "'!$C:$G"), 5, FALSE),"")</f>
        <v/>
      </c>
      <c r="F1080" s="51" t="str">
        <f t="shared" si="1081"/>
        <v/>
      </c>
      <c r="G1080" s="51" t="str">
        <f t="shared" si="1081"/>
        <v/>
      </c>
      <c r="H1080" s="51" t="str">
        <f t="shared" si="1081"/>
        <v/>
      </c>
      <c r="I1080" s="51" t="str">
        <f t="shared" si="1081"/>
        <v/>
      </c>
      <c r="J1080" s="51" t="str">
        <f t="shared" si="1081"/>
        <v/>
      </c>
      <c r="K1080" s="51" t="str">
        <f t="shared" si="1081"/>
        <v/>
      </c>
      <c r="L1080" s="51" t="str">
        <f t="shared" si="1081"/>
        <v/>
      </c>
      <c r="M1080" s="51" t="str">
        <f t="shared" si="1081"/>
        <v/>
      </c>
      <c r="N1080" s="51" t="str">
        <f t="shared" si="1081"/>
        <v/>
      </c>
      <c r="O1080" s="51" t="str">
        <f t="shared" si="1081"/>
        <v/>
      </c>
      <c r="P1080" s="51" t="str">
        <f t="shared" si="1081"/>
        <v/>
      </c>
      <c r="Q1080" s="51" t="str">
        <f t="shared" si="1081"/>
        <v/>
      </c>
      <c r="R1080" s="51" t="str">
        <f t="shared" si="1081"/>
        <v/>
      </c>
      <c r="S1080" s="51" t="str">
        <f t="shared" si="1081"/>
        <v/>
      </c>
      <c r="T1080" s="51" t="str">
        <f t="shared" si="1081"/>
        <v/>
      </c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I1080" s="52"/>
      <c r="AJ1080" s="52"/>
      <c r="AK1080" s="52"/>
      <c r="AL1080" s="52"/>
      <c r="AM1080" s="52"/>
      <c r="AN1080" s="52"/>
      <c r="AO1080" s="52"/>
      <c r="AP1080" s="52"/>
      <c r="AQ1080" s="52"/>
      <c r="AR1080" s="52"/>
      <c r="AS1080" s="52"/>
      <c r="AT1080" s="52"/>
      <c r="AU1080" s="52"/>
      <c r="AV1080" s="52"/>
      <c r="AW1080" s="52"/>
      <c r="AX1080" s="52"/>
      <c r="AY1080" s="52"/>
      <c r="AZ1080" s="52"/>
      <c r="BA1080" s="52"/>
      <c r="BB1080" s="52"/>
      <c r="BC1080" s="52"/>
      <c r="BD1080" s="52"/>
      <c r="BE1080" s="52"/>
      <c r="BF1080" s="52"/>
      <c r="BG1080" s="52"/>
      <c r="BH1080" s="52"/>
      <c r="BI1080" s="52"/>
      <c r="BJ1080" s="52"/>
      <c r="BK1080" s="52"/>
      <c r="BL1080" s="52"/>
      <c r="BM1080" s="52"/>
      <c r="BN1080" s="52"/>
      <c r="BO1080" s="52"/>
    </row>
    <row r="1081">
      <c r="B1081" s="49"/>
      <c r="C1081" s="49" t="str">
        <f t="shared" si="2"/>
        <v/>
      </c>
      <c r="D1081" s="50" t="str">
        <f t="shared" si="3"/>
        <v/>
      </c>
      <c r="E1081" s="51" t="str">
        <f t="shared" ref="E1081:T1081" si="1082">IFERROR(VLOOKUP($A1081,INDIRECT("'" &amp; E$1 &amp; "'!$C:$G"), 5, FALSE),"")</f>
        <v/>
      </c>
      <c r="F1081" s="51" t="str">
        <f t="shared" si="1082"/>
        <v/>
      </c>
      <c r="G1081" s="51" t="str">
        <f t="shared" si="1082"/>
        <v/>
      </c>
      <c r="H1081" s="51" t="str">
        <f t="shared" si="1082"/>
        <v/>
      </c>
      <c r="I1081" s="51" t="str">
        <f t="shared" si="1082"/>
        <v/>
      </c>
      <c r="J1081" s="51" t="str">
        <f t="shared" si="1082"/>
        <v/>
      </c>
      <c r="K1081" s="51" t="str">
        <f t="shared" si="1082"/>
        <v/>
      </c>
      <c r="L1081" s="51" t="str">
        <f t="shared" si="1082"/>
        <v/>
      </c>
      <c r="M1081" s="51" t="str">
        <f t="shared" si="1082"/>
        <v/>
      </c>
      <c r="N1081" s="51" t="str">
        <f t="shared" si="1082"/>
        <v/>
      </c>
      <c r="O1081" s="51" t="str">
        <f t="shared" si="1082"/>
        <v/>
      </c>
      <c r="P1081" s="51" t="str">
        <f t="shared" si="1082"/>
        <v/>
      </c>
      <c r="Q1081" s="51" t="str">
        <f t="shared" si="1082"/>
        <v/>
      </c>
      <c r="R1081" s="51" t="str">
        <f t="shared" si="1082"/>
        <v/>
      </c>
      <c r="S1081" s="51" t="str">
        <f t="shared" si="1082"/>
        <v/>
      </c>
      <c r="T1081" s="51" t="str">
        <f t="shared" si="1082"/>
        <v/>
      </c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2"/>
      <c r="AM1081" s="52"/>
      <c r="AN1081" s="52"/>
      <c r="AO1081" s="52"/>
      <c r="AP1081" s="52"/>
      <c r="AQ1081" s="52"/>
      <c r="AR1081" s="52"/>
      <c r="AS1081" s="52"/>
      <c r="AT1081" s="52"/>
      <c r="AU1081" s="52"/>
      <c r="AV1081" s="52"/>
      <c r="AW1081" s="52"/>
      <c r="AX1081" s="52"/>
      <c r="AY1081" s="52"/>
      <c r="AZ1081" s="52"/>
      <c r="BA1081" s="52"/>
      <c r="BB1081" s="52"/>
      <c r="BC1081" s="52"/>
      <c r="BD1081" s="52"/>
      <c r="BE1081" s="52"/>
      <c r="BF1081" s="52"/>
      <c r="BG1081" s="52"/>
      <c r="BH1081" s="52"/>
      <c r="BI1081" s="52"/>
      <c r="BJ1081" s="52"/>
      <c r="BK1081" s="52"/>
      <c r="BL1081" s="52"/>
      <c r="BM1081" s="52"/>
      <c r="BN1081" s="52"/>
      <c r="BO1081" s="52"/>
    </row>
    <row r="1082">
      <c r="B1082" s="49"/>
      <c r="C1082" s="49" t="str">
        <f t="shared" si="2"/>
        <v/>
      </c>
      <c r="D1082" s="50" t="str">
        <f t="shared" si="3"/>
        <v/>
      </c>
      <c r="E1082" s="51" t="str">
        <f t="shared" ref="E1082:T1082" si="1083">IFERROR(VLOOKUP($A1082,INDIRECT("'" &amp; E$1 &amp; "'!$C:$G"), 5, FALSE),"")</f>
        <v/>
      </c>
      <c r="F1082" s="51" t="str">
        <f t="shared" si="1083"/>
        <v/>
      </c>
      <c r="G1082" s="51" t="str">
        <f t="shared" si="1083"/>
        <v/>
      </c>
      <c r="H1082" s="51" t="str">
        <f t="shared" si="1083"/>
        <v/>
      </c>
      <c r="I1082" s="51" t="str">
        <f t="shared" si="1083"/>
        <v/>
      </c>
      <c r="J1082" s="51" t="str">
        <f t="shared" si="1083"/>
        <v/>
      </c>
      <c r="K1082" s="51" t="str">
        <f t="shared" si="1083"/>
        <v/>
      </c>
      <c r="L1082" s="51" t="str">
        <f t="shared" si="1083"/>
        <v/>
      </c>
      <c r="M1082" s="51" t="str">
        <f t="shared" si="1083"/>
        <v/>
      </c>
      <c r="N1082" s="51" t="str">
        <f t="shared" si="1083"/>
        <v/>
      </c>
      <c r="O1082" s="51" t="str">
        <f t="shared" si="1083"/>
        <v/>
      </c>
      <c r="P1082" s="51" t="str">
        <f t="shared" si="1083"/>
        <v/>
      </c>
      <c r="Q1082" s="51" t="str">
        <f t="shared" si="1083"/>
        <v/>
      </c>
      <c r="R1082" s="51" t="str">
        <f t="shared" si="1083"/>
        <v/>
      </c>
      <c r="S1082" s="51" t="str">
        <f t="shared" si="1083"/>
        <v/>
      </c>
      <c r="T1082" s="51" t="str">
        <f t="shared" si="1083"/>
        <v/>
      </c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2"/>
      <c r="AM1082" s="52"/>
      <c r="AN1082" s="52"/>
      <c r="AO1082" s="52"/>
      <c r="AP1082" s="52"/>
      <c r="AQ1082" s="52"/>
      <c r="AR1082" s="52"/>
      <c r="AS1082" s="52"/>
      <c r="AT1082" s="52"/>
      <c r="AU1082" s="52"/>
      <c r="AV1082" s="52"/>
      <c r="AW1082" s="52"/>
      <c r="AX1082" s="52"/>
      <c r="AY1082" s="52"/>
      <c r="AZ1082" s="52"/>
      <c r="BA1082" s="52"/>
      <c r="BB1082" s="52"/>
      <c r="BC1082" s="52"/>
      <c r="BD1082" s="52"/>
      <c r="BE1082" s="52"/>
      <c r="BF1082" s="52"/>
      <c r="BG1082" s="52"/>
      <c r="BH1082" s="52"/>
      <c r="BI1082" s="52"/>
      <c r="BJ1082" s="52"/>
      <c r="BK1082" s="52"/>
      <c r="BL1082" s="52"/>
      <c r="BM1082" s="52"/>
      <c r="BN1082" s="52"/>
      <c r="BO1082" s="52"/>
    </row>
    <row r="1083">
      <c r="B1083" s="49"/>
      <c r="C1083" s="49" t="str">
        <f t="shared" si="2"/>
        <v/>
      </c>
      <c r="D1083" s="50" t="str">
        <f t="shared" si="3"/>
        <v/>
      </c>
      <c r="E1083" s="51" t="str">
        <f t="shared" ref="E1083:T1083" si="1084">IFERROR(VLOOKUP($A1083,INDIRECT("'" &amp; E$1 &amp; "'!$C:$G"), 5, FALSE),"")</f>
        <v/>
      </c>
      <c r="F1083" s="51" t="str">
        <f t="shared" si="1084"/>
        <v/>
      </c>
      <c r="G1083" s="51" t="str">
        <f t="shared" si="1084"/>
        <v/>
      </c>
      <c r="H1083" s="51" t="str">
        <f t="shared" si="1084"/>
        <v/>
      </c>
      <c r="I1083" s="51" t="str">
        <f t="shared" si="1084"/>
        <v/>
      </c>
      <c r="J1083" s="51" t="str">
        <f t="shared" si="1084"/>
        <v/>
      </c>
      <c r="K1083" s="51" t="str">
        <f t="shared" si="1084"/>
        <v/>
      </c>
      <c r="L1083" s="51" t="str">
        <f t="shared" si="1084"/>
        <v/>
      </c>
      <c r="M1083" s="51" t="str">
        <f t="shared" si="1084"/>
        <v/>
      </c>
      <c r="N1083" s="51" t="str">
        <f t="shared" si="1084"/>
        <v/>
      </c>
      <c r="O1083" s="51" t="str">
        <f t="shared" si="1084"/>
        <v/>
      </c>
      <c r="P1083" s="51" t="str">
        <f t="shared" si="1084"/>
        <v/>
      </c>
      <c r="Q1083" s="51" t="str">
        <f t="shared" si="1084"/>
        <v/>
      </c>
      <c r="R1083" s="51" t="str">
        <f t="shared" si="1084"/>
        <v/>
      </c>
      <c r="S1083" s="51" t="str">
        <f t="shared" si="1084"/>
        <v/>
      </c>
      <c r="T1083" s="51" t="str">
        <f t="shared" si="1084"/>
        <v/>
      </c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52"/>
      <c r="AS1083" s="52"/>
      <c r="AT1083" s="52"/>
      <c r="AU1083" s="52"/>
      <c r="AV1083" s="52"/>
      <c r="AW1083" s="52"/>
      <c r="AX1083" s="52"/>
      <c r="AY1083" s="52"/>
      <c r="AZ1083" s="52"/>
      <c r="BA1083" s="52"/>
      <c r="BB1083" s="52"/>
      <c r="BC1083" s="52"/>
      <c r="BD1083" s="52"/>
      <c r="BE1083" s="52"/>
      <c r="BF1083" s="52"/>
      <c r="BG1083" s="52"/>
      <c r="BH1083" s="52"/>
      <c r="BI1083" s="52"/>
      <c r="BJ1083" s="52"/>
      <c r="BK1083" s="52"/>
      <c r="BL1083" s="52"/>
      <c r="BM1083" s="52"/>
      <c r="BN1083" s="52"/>
      <c r="BO1083" s="52"/>
    </row>
    <row r="1084">
      <c r="B1084" s="49"/>
      <c r="C1084" s="49" t="str">
        <f t="shared" si="2"/>
        <v/>
      </c>
      <c r="D1084" s="50" t="str">
        <f t="shared" si="3"/>
        <v/>
      </c>
      <c r="E1084" s="51" t="str">
        <f t="shared" ref="E1084:T1084" si="1085">IFERROR(VLOOKUP($A1084,INDIRECT("'" &amp; E$1 &amp; "'!$C:$G"), 5, FALSE),"")</f>
        <v/>
      </c>
      <c r="F1084" s="51" t="str">
        <f t="shared" si="1085"/>
        <v/>
      </c>
      <c r="G1084" s="51" t="str">
        <f t="shared" si="1085"/>
        <v/>
      </c>
      <c r="H1084" s="51" t="str">
        <f t="shared" si="1085"/>
        <v/>
      </c>
      <c r="I1084" s="51" t="str">
        <f t="shared" si="1085"/>
        <v/>
      </c>
      <c r="J1084" s="51" t="str">
        <f t="shared" si="1085"/>
        <v/>
      </c>
      <c r="K1084" s="51" t="str">
        <f t="shared" si="1085"/>
        <v/>
      </c>
      <c r="L1084" s="51" t="str">
        <f t="shared" si="1085"/>
        <v/>
      </c>
      <c r="M1084" s="51" t="str">
        <f t="shared" si="1085"/>
        <v/>
      </c>
      <c r="N1084" s="51" t="str">
        <f t="shared" si="1085"/>
        <v/>
      </c>
      <c r="O1084" s="51" t="str">
        <f t="shared" si="1085"/>
        <v/>
      </c>
      <c r="P1084" s="51" t="str">
        <f t="shared" si="1085"/>
        <v/>
      </c>
      <c r="Q1084" s="51" t="str">
        <f t="shared" si="1085"/>
        <v/>
      </c>
      <c r="R1084" s="51" t="str">
        <f t="shared" si="1085"/>
        <v/>
      </c>
      <c r="S1084" s="51" t="str">
        <f t="shared" si="1085"/>
        <v/>
      </c>
      <c r="T1084" s="51" t="str">
        <f t="shared" si="1085"/>
        <v/>
      </c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I1084" s="52"/>
      <c r="AJ1084" s="52"/>
      <c r="AK1084" s="52"/>
      <c r="AL1084" s="52"/>
      <c r="AM1084" s="52"/>
      <c r="AN1084" s="52"/>
      <c r="AO1084" s="52"/>
      <c r="AP1084" s="52"/>
      <c r="AQ1084" s="52"/>
      <c r="AR1084" s="52"/>
      <c r="AS1084" s="52"/>
      <c r="AT1084" s="52"/>
      <c r="AU1084" s="52"/>
      <c r="AV1084" s="52"/>
      <c r="AW1084" s="52"/>
      <c r="AX1084" s="52"/>
      <c r="AY1084" s="52"/>
      <c r="AZ1084" s="52"/>
      <c r="BA1084" s="52"/>
      <c r="BB1084" s="52"/>
      <c r="BC1084" s="52"/>
      <c r="BD1084" s="52"/>
      <c r="BE1084" s="52"/>
      <c r="BF1084" s="52"/>
      <c r="BG1084" s="52"/>
      <c r="BH1084" s="52"/>
      <c r="BI1084" s="52"/>
      <c r="BJ1084" s="52"/>
      <c r="BK1084" s="52"/>
      <c r="BL1084" s="52"/>
      <c r="BM1084" s="52"/>
      <c r="BN1084" s="52"/>
      <c r="BO1084" s="52"/>
    </row>
    <row r="1085">
      <c r="B1085" s="49"/>
      <c r="C1085" s="49" t="str">
        <f t="shared" si="2"/>
        <v/>
      </c>
      <c r="D1085" s="50" t="str">
        <f t="shared" si="3"/>
        <v/>
      </c>
      <c r="E1085" s="51" t="str">
        <f t="shared" ref="E1085:T1085" si="1086">IFERROR(VLOOKUP($A1085,INDIRECT("'" &amp; E$1 &amp; "'!$C:$G"), 5, FALSE),"")</f>
        <v/>
      </c>
      <c r="F1085" s="51" t="str">
        <f t="shared" si="1086"/>
        <v/>
      </c>
      <c r="G1085" s="51" t="str">
        <f t="shared" si="1086"/>
        <v/>
      </c>
      <c r="H1085" s="51" t="str">
        <f t="shared" si="1086"/>
        <v/>
      </c>
      <c r="I1085" s="51" t="str">
        <f t="shared" si="1086"/>
        <v/>
      </c>
      <c r="J1085" s="51" t="str">
        <f t="shared" si="1086"/>
        <v/>
      </c>
      <c r="K1085" s="51" t="str">
        <f t="shared" si="1086"/>
        <v/>
      </c>
      <c r="L1085" s="51" t="str">
        <f t="shared" si="1086"/>
        <v/>
      </c>
      <c r="M1085" s="51" t="str">
        <f t="shared" si="1086"/>
        <v/>
      </c>
      <c r="N1085" s="51" t="str">
        <f t="shared" si="1086"/>
        <v/>
      </c>
      <c r="O1085" s="51" t="str">
        <f t="shared" si="1086"/>
        <v/>
      </c>
      <c r="P1085" s="51" t="str">
        <f t="shared" si="1086"/>
        <v/>
      </c>
      <c r="Q1085" s="51" t="str">
        <f t="shared" si="1086"/>
        <v/>
      </c>
      <c r="R1085" s="51" t="str">
        <f t="shared" si="1086"/>
        <v/>
      </c>
      <c r="S1085" s="51" t="str">
        <f t="shared" si="1086"/>
        <v/>
      </c>
      <c r="T1085" s="51" t="str">
        <f t="shared" si="1086"/>
        <v/>
      </c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52"/>
      <c r="AU1085" s="52"/>
      <c r="AV1085" s="52"/>
      <c r="AW1085" s="52"/>
      <c r="AX1085" s="52"/>
      <c r="AY1085" s="52"/>
      <c r="AZ1085" s="52"/>
      <c r="BA1085" s="52"/>
      <c r="BB1085" s="52"/>
      <c r="BC1085" s="52"/>
      <c r="BD1085" s="52"/>
      <c r="BE1085" s="52"/>
      <c r="BF1085" s="52"/>
      <c r="BG1085" s="52"/>
      <c r="BH1085" s="52"/>
      <c r="BI1085" s="52"/>
      <c r="BJ1085" s="52"/>
      <c r="BK1085" s="52"/>
      <c r="BL1085" s="52"/>
      <c r="BM1085" s="52"/>
      <c r="BN1085" s="52"/>
      <c r="BO1085" s="52"/>
    </row>
    <row r="1086">
      <c r="B1086" s="49"/>
      <c r="C1086" s="49" t="str">
        <f t="shared" si="2"/>
        <v/>
      </c>
      <c r="D1086" s="50" t="str">
        <f t="shared" si="3"/>
        <v/>
      </c>
      <c r="E1086" s="51" t="str">
        <f t="shared" ref="E1086:T1086" si="1087">IFERROR(VLOOKUP($A1086,INDIRECT("'" &amp; E$1 &amp; "'!$C:$G"), 5, FALSE),"")</f>
        <v/>
      </c>
      <c r="F1086" s="51" t="str">
        <f t="shared" si="1087"/>
        <v/>
      </c>
      <c r="G1086" s="51" t="str">
        <f t="shared" si="1087"/>
        <v/>
      </c>
      <c r="H1086" s="51" t="str">
        <f t="shared" si="1087"/>
        <v/>
      </c>
      <c r="I1086" s="51" t="str">
        <f t="shared" si="1087"/>
        <v/>
      </c>
      <c r="J1086" s="51" t="str">
        <f t="shared" si="1087"/>
        <v/>
      </c>
      <c r="K1086" s="51" t="str">
        <f t="shared" si="1087"/>
        <v/>
      </c>
      <c r="L1086" s="51" t="str">
        <f t="shared" si="1087"/>
        <v/>
      </c>
      <c r="M1086" s="51" t="str">
        <f t="shared" si="1087"/>
        <v/>
      </c>
      <c r="N1086" s="51" t="str">
        <f t="shared" si="1087"/>
        <v/>
      </c>
      <c r="O1086" s="51" t="str">
        <f t="shared" si="1087"/>
        <v/>
      </c>
      <c r="P1086" s="51" t="str">
        <f t="shared" si="1087"/>
        <v/>
      </c>
      <c r="Q1086" s="51" t="str">
        <f t="shared" si="1087"/>
        <v/>
      </c>
      <c r="R1086" s="51" t="str">
        <f t="shared" si="1087"/>
        <v/>
      </c>
      <c r="S1086" s="51" t="str">
        <f t="shared" si="1087"/>
        <v/>
      </c>
      <c r="T1086" s="51" t="str">
        <f t="shared" si="1087"/>
        <v/>
      </c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52"/>
      <c r="AN1086" s="52"/>
      <c r="AO1086" s="52"/>
      <c r="AP1086" s="52"/>
      <c r="AQ1086" s="52"/>
      <c r="AR1086" s="52"/>
      <c r="AS1086" s="52"/>
      <c r="AT1086" s="52"/>
      <c r="AU1086" s="52"/>
      <c r="AV1086" s="52"/>
      <c r="AW1086" s="52"/>
      <c r="AX1086" s="52"/>
      <c r="AY1086" s="52"/>
      <c r="AZ1086" s="52"/>
      <c r="BA1086" s="52"/>
      <c r="BB1086" s="52"/>
      <c r="BC1086" s="52"/>
      <c r="BD1086" s="52"/>
      <c r="BE1086" s="52"/>
      <c r="BF1086" s="52"/>
      <c r="BG1086" s="52"/>
      <c r="BH1086" s="52"/>
      <c r="BI1086" s="52"/>
      <c r="BJ1086" s="52"/>
      <c r="BK1086" s="52"/>
      <c r="BL1086" s="52"/>
      <c r="BM1086" s="52"/>
      <c r="BN1086" s="52"/>
      <c r="BO1086" s="52"/>
    </row>
    <row r="1087">
      <c r="B1087" s="49"/>
      <c r="C1087" s="49" t="str">
        <f t="shared" si="2"/>
        <v/>
      </c>
      <c r="D1087" s="50" t="str">
        <f t="shared" si="3"/>
        <v/>
      </c>
      <c r="E1087" s="51" t="str">
        <f t="shared" ref="E1087:T1087" si="1088">IFERROR(VLOOKUP($A1087,INDIRECT("'" &amp; E$1 &amp; "'!$C:$G"), 5, FALSE),"")</f>
        <v/>
      </c>
      <c r="F1087" s="51" t="str">
        <f t="shared" si="1088"/>
        <v/>
      </c>
      <c r="G1087" s="51" t="str">
        <f t="shared" si="1088"/>
        <v/>
      </c>
      <c r="H1087" s="51" t="str">
        <f t="shared" si="1088"/>
        <v/>
      </c>
      <c r="I1087" s="51" t="str">
        <f t="shared" si="1088"/>
        <v/>
      </c>
      <c r="J1087" s="51" t="str">
        <f t="shared" si="1088"/>
        <v/>
      </c>
      <c r="K1087" s="51" t="str">
        <f t="shared" si="1088"/>
        <v/>
      </c>
      <c r="L1087" s="51" t="str">
        <f t="shared" si="1088"/>
        <v/>
      </c>
      <c r="M1087" s="51" t="str">
        <f t="shared" si="1088"/>
        <v/>
      </c>
      <c r="N1087" s="51" t="str">
        <f t="shared" si="1088"/>
        <v/>
      </c>
      <c r="O1087" s="51" t="str">
        <f t="shared" si="1088"/>
        <v/>
      </c>
      <c r="P1087" s="51" t="str">
        <f t="shared" si="1088"/>
        <v/>
      </c>
      <c r="Q1087" s="51" t="str">
        <f t="shared" si="1088"/>
        <v/>
      </c>
      <c r="R1087" s="51" t="str">
        <f t="shared" si="1088"/>
        <v/>
      </c>
      <c r="S1087" s="51" t="str">
        <f t="shared" si="1088"/>
        <v/>
      </c>
      <c r="T1087" s="51" t="str">
        <f t="shared" si="1088"/>
        <v/>
      </c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52"/>
      <c r="AS1087" s="52"/>
      <c r="AT1087" s="52"/>
      <c r="AU1087" s="52"/>
      <c r="AV1087" s="52"/>
      <c r="AW1087" s="52"/>
      <c r="AX1087" s="52"/>
      <c r="AY1087" s="52"/>
      <c r="AZ1087" s="52"/>
      <c r="BA1087" s="52"/>
      <c r="BB1087" s="52"/>
      <c r="BC1087" s="52"/>
      <c r="BD1087" s="52"/>
      <c r="BE1087" s="52"/>
      <c r="BF1087" s="52"/>
      <c r="BG1087" s="52"/>
      <c r="BH1087" s="52"/>
      <c r="BI1087" s="52"/>
      <c r="BJ1087" s="52"/>
      <c r="BK1087" s="52"/>
      <c r="BL1087" s="52"/>
      <c r="BM1087" s="52"/>
      <c r="BN1087" s="52"/>
      <c r="BO1087" s="52"/>
    </row>
    <row r="1088">
      <c r="B1088" s="49"/>
      <c r="C1088" s="49" t="str">
        <f t="shared" si="2"/>
        <v/>
      </c>
      <c r="D1088" s="50" t="str">
        <f t="shared" si="3"/>
        <v/>
      </c>
      <c r="E1088" s="51" t="str">
        <f t="shared" ref="E1088:T1088" si="1089">IFERROR(VLOOKUP($A1088,INDIRECT("'" &amp; E$1 &amp; "'!$C:$G"), 5, FALSE),"")</f>
        <v/>
      </c>
      <c r="F1088" s="51" t="str">
        <f t="shared" si="1089"/>
        <v/>
      </c>
      <c r="G1088" s="51" t="str">
        <f t="shared" si="1089"/>
        <v/>
      </c>
      <c r="H1088" s="51" t="str">
        <f t="shared" si="1089"/>
        <v/>
      </c>
      <c r="I1088" s="51" t="str">
        <f t="shared" si="1089"/>
        <v/>
      </c>
      <c r="J1088" s="51" t="str">
        <f t="shared" si="1089"/>
        <v/>
      </c>
      <c r="K1088" s="51" t="str">
        <f t="shared" si="1089"/>
        <v/>
      </c>
      <c r="L1088" s="51" t="str">
        <f t="shared" si="1089"/>
        <v/>
      </c>
      <c r="M1088" s="51" t="str">
        <f t="shared" si="1089"/>
        <v/>
      </c>
      <c r="N1088" s="51" t="str">
        <f t="shared" si="1089"/>
        <v/>
      </c>
      <c r="O1088" s="51" t="str">
        <f t="shared" si="1089"/>
        <v/>
      </c>
      <c r="P1088" s="51" t="str">
        <f t="shared" si="1089"/>
        <v/>
      </c>
      <c r="Q1088" s="51" t="str">
        <f t="shared" si="1089"/>
        <v/>
      </c>
      <c r="R1088" s="51" t="str">
        <f t="shared" si="1089"/>
        <v/>
      </c>
      <c r="S1088" s="51" t="str">
        <f t="shared" si="1089"/>
        <v/>
      </c>
      <c r="T1088" s="51" t="str">
        <f t="shared" si="1089"/>
        <v/>
      </c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52"/>
      <c r="AS1088" s="52"/>
      <c r="AT1088" s="52"/>
      <c r="AU1088" s="52"/>
      <c r="AV1088" s="52"/>
      <c r="AW1088" s="52"/>
      <c r="AX1088" s="52"/>
      <c r="AY1088" s="52"/>
      <c r="AZ1088" s="52"/>
      <c r="BA1088" s="52"/>
      <c r="BB1088" s="52"/>
      <c r="BC1088" s="52"/>
      <c r="BD1088" s="52"/>
      <c r="BE1088" s="52"/>
      <c r="BF1088" s="52"/>
      <c r="BG1088" s="52"/>
      <c r="BH1088" s="52"/>
      <c r="BI1088" s="52"/>
      <c r="BJ1088" s="52"/>
      <c r="BK1088" s="52"/>
      <c r="BL1088" s="52"/>
      <c r="BM1088" s="52"/>
      <c r="BN1088" s="52"/>
      <c r="BO1088" s="52"/>
    </row>
    <row r="1089">
      <c r="B1089" s="49"/>
      <c r="C1089" s="49" t="str">
        <f t="shared" si="2"/>
        <v/>
      </c>
      <c r="D1089" s="50" t="str">
        <f t="shared" si="3"/>
        <v/>
      </c>
      <c r="E1089" s="51" t="str">
        <f t="shared" ref="E1089:T1089" si="1090">IFERROR(VLOOKUP($A1089,INDIRECT("'" &amp; E$1 &amp; "'!$C:$G"), 5, FALSE),"")</f>
        <v/>
      </c>
      <c r="F1089" s="51" t="str">
        <f t="shared" si="1090"/>
        <v/>
      </c>
      <c r="G1089" s="51" t="str">
        <f t="shared" si="1090"/>
        <v/>
      </c>
      <c r="H1089" s="51" t="str">
        <f t="shared" si="1090"/>
        <v/>
      </c>
      <c r="I1089" s="51" t="str">
        <f t="shared" si="1090"/>
        <v/>
      </c>
      <c r="J1089" s="51" t="str">
        <f t="shared" si="1090"/>
        <v/>
      </c>
      <c r="K1089" s="51" t="str">
        <f t="shared" si="1090"/>
        <v/>
      </c>
      <c r="L1089" s="51" t="str">
        <f t="shared" si="1090"/>
        <v/>
      </c>
      <c r="M1089" s="51" t="str">
        <f t="shared" si="1090"/>
        <v/>
      </c>
      <c r="N1089" s="51" t="str">
        <f t="shared" si="1090"/>
        <v/>
      </c>
      <c r="O1089" s="51" t="str">
        <f t="shared" si="1090"/>
        <v/>
      </c>
      <c r="P1089" s="51" t="str">
        <f t="shared" si="1090"/>
        <v/>
      </c>
      <c r="Q1089" s="51" t="str">
        <f t="shared" si="1090"/>
        <v/>
      </c>
      <c r="R1089" s="51" t="str">
        <f t="shared" si="1090"/>
        <v/>
      </c>
      <c r="S1089" s="51" t="str">
        <f t="shared" si="1090"/>
        <v/>
      </c>
      <c r="T1089" s="51" t="str">
        <f t="shared" si="1090"/>
        <v/>
      </c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  <c r="AQ1089" s="52"/>
      <c r="AR1089" s="52"/>
      <c r="AS1089" s="52"/>
      <c r="AT1089" s="52"/>
      <c r="AU1089" s="52"/>
      <c r="AV1089" s="52"/>
      <c r="AW1089" s="52"/>
      <c r="AX1089" s="52"/>
      <c r="AY1089" s="52"/>
      <c r="AZ1089" s="52"/>
      <c r="BA1089" s="52"/>
      <c r="BB1089" s="52"/>
      <c r="BC1089" s="52"/>
      <c r="BD1089" s="52"/>
      <c r="BE1089" s="52"/>
      <c r="BF1089" s="52"/>
      <c r="BG1089" s="52"/>
      <c r="BH1089" s="52"/>
      <c r="BI1089" s="52"/>
      <c r="BJ1089" s="52"/>
      <c r="BK1089" s="52"/>
      <c r="BL1089" s="52"/>
      <c r="BM1089" s="52"/>
      <c r="BN1089" s="52"/>
      <c r="BO1089" s="52"/>
    </row>
    <row r="1090">
      <c r="B1090" s="49"/>
      <c r="C1090" s="49" t="str">
        <f t="shared" si="2"/>
        <v/>
      </c>
      <c r="D1090" s="50" t="str">
        <f t="shared" si="3"/>
        <v/>
      </c>
      <c r="E1090" s="51" t="str">
        <f t="shared" ref="E1090:T1090" si="1091">IFERROR(VLOOKUP($A1090,INDIRECT("'" &amp; E$1 &amp; "'!$C:$G"), 5, FALSE),"")</f>
        <v/>
      </c>
      <c r="F1090" s="51" t="str">
        <f t="shared" si="1091"/>
        <v/>
      </c>
      <c r="G1090" s="51" t="str">
        <f t="shared" si="1091"/>
        <v/>
      </c>
      <c r="H1090" s="51" t="str">
        <f t="shared" si="1091"/>
        <v/>
      </c>
      <c r="I1090" s="51" t="str">
        <f t="shared" si="1091"/>
        <v/>
      </c>
      <c r="J1090" s="51" t="str">
        <f t="shared" si="1091"/>
        <v/>
      </c>
      <c r="K1090" s="51" t="str">
        <f t="shared" si="1091"/>
        <v/>
      </c>
      <c r="L1090" s="51" t="str">
        <f t="shared" si="1091"/>
        <v/>
      </c>
      <c r="M1090" s="51" t="str">
        <f t="shared" si="1091"/>
        <v/>
      </c>
      <c r="N1090" s="51" t="str">
        <f t="shared" si="1091"/>
        <v/>
      </c>
      <c r="O1090" s="51" t="str">
        <f t="shared" si="1091"/>
        <v/>
      </c>
      <c r="P1090" s="51" t="str">
        <f t="shared" si="1091"/>
        <v/>
      </c>
      <c r="Q1090" s="51" t="str">
        <f t="shared" si="1091"/>
        <v/>
      </c>
      <c r="R1090" s="51" t="str">
        <f t="shared" si="1091"/>
        <v/>
      </c>
      <c r="S1090" s="51" t="str">
        <f t="shared" si="1091"/>
        <v/>
      </c>
      <c r="T1090" s="51" t="str">
        <f t="shared" si="1091"/>
        <v/>
      </c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  <c r="AQ1090" s="52"/>
      <c r="AR1090" s="52"/>
      <c r="AS1090" s="52"/>
      <c r="AT1090" s="52"/>
      <c r="AU1090" s="52"/>
      <c r="AV1090" s="52"/>
      <c r="AW1090" s="52"/>
      <c r="AX1090" s="52"/>
      <c r="AY1090" s="52"/>
      <c r="AZ1090" s="52"/>
      <c r="BA1090" s="52"/>
      <c r="BB1090" s="52"/>
      <c r="BC1090" s="52"/>
      <c r="BD1090" s="52"/>
      <c r="BE1090" s="52"/>
      <c r="BF1090" s="52"/>
      <c r="BG1090" s="52"/>
      <c r="BH1090" s="52"/>
      <c r="BI1090" s="52"/>
      <c r="BJ1090" s="52"/>
      <c r="BK1090" s="52"/>
      <c r="BL1090" s="52"/>
      <c r="BM1090" s="52"/>
      <c r="BN1090" s="52"/>
      <c r="BO1090" s="52"/>
    </row>
    <row r="1091">
      <c r="B1091" s="49"/>
      <c r="C1091" s="49" t="str">
        <f t="shared" si="2"/>
        <v/>
      </c>
      <c r="D1091" s="50" t="str">
        <f t="shared" si="3"/>
        <v/>
      </c>
      <c r="E1091" s="51" t="str">
        <f t="shared" ref="E1091:T1091" si="1092">IFERROR(VLOOKUP($A1091,INDIRECT("'" &amp; E$1 &amp; "'!$C:$G"), 5, FALSE),"")</f>
        <v/>
      </c>
      <c r="F1091" s="51" t="str">
        <f t="shared" si="1092"/>
        <v/>
      </c>
      <c r="G1091" s="51" t="str">
        <f t="shared" si="1092"/>
        <v/>
      </c>
      <c r="H1091" s="51" t="str">
        <f t="shared" si="1092"/>
        <v/>
      </c>
      <c r="I1091" s="51" t="str">
        <f t="shared" si="1092"/>
        <v/>
      </c>
      <c r="J1091" s="51" t="str">
        <f t="shared" si="1092"/>
        <v/>
      </c>
      <c r="K1091" s="51" t="str">
        <f t="shared" si="1092"/>
        <v/>
      </c>
      <c r="L1091" s="51" t="str">
        <f t="shared" si="1092"/>
        <v/>
      </c>
      <c r="M1091" s="51" t="str">
        <f t="shared" si="1092"/>
        <v/>
      </c>
      <c r="N1091" s="51" t="str">
        <f t="shared" si="1092"/>
        <v/>
      </c>
      <c r="O1091" s="51" t="str">
        <f t="shared" si="1092"/>
        <v/>
      </c>
      <c r="P1091" s="51" t="str">
        <f t="shared" si="1092"/>
        <v/>
      </c>
      <c r="Q1091" s="51" t="str">
        <f t="shared" si="1092"/>
        <v/>
      </c>
      <c r="R1091" s="51" t="str">
        <f t="shared" si="1092"/>
        <v/>
      </c>
      <c r="S1091" s="51" t="str">
        <f t="shared" si="1092"/>
        <v/>
      </c>
      <c r="T1091" s="51" t="str">
        <f t="shared" si="1092"/>
        <v/>
      </c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52"/>
      <c r="AU1091" s="52"/>
      <c r="AV1091" s="52"/>
      <c r="AW1091" s="52"/>
      <c r="AX1091" s="52"/>
      <c r="AY1091" s="52"/>
      <c r="AZ1091" s="52"/>
      <c r="BA1091" s="52"/>
      <c r="BB1091" s="52"/>
      <c r="BC1091" s="52"/>
      <c r="BD1091" s="52"/>
      <c r="BE1091" s="52"/>
      <c r="BF1091" s="52"/>
      <c r="BG1091" s="52"/>
      <c r="BH1091" s="52"/>
      <c r="BI1091" s="52"/>
      <c r="BJ1091" s="52"/>
      <c r="BK1091" s="52"/>
      <c r="BL1091" s="52"/>
      <c r="BM1091" s="52"/>
      <c r="BN1091" s="52"/>
      <c r="BO1091" s="52"/>
    </row>
    <row r="1092">
      <c r="B1092" s="49"/>
      <c r="C1092" s="49" t="str">
        <f t="shared" si="2"/>
        <v/>
      </c>
      <c r="D1092" s="50" t="str">
        <f t="shared" si="3"/>
        <v/>
      </c>
      <c r="E1092" s="51" t="str">
        <f t="shared" ref="E1092:T1092" si="1093">IFERROR(VLOOKUP($A1092,INDIRECT("'" &amp; E$1 &amp; "'!$C:$G"), 5, FALSE),"")</f>
        <v/>
      </c>
      <c r="F1092" s="51" t="str">
        <f t="shared" si="1093"/>
        <v/>
      </c>
      <c r="G1092" s="51" t="str">
        <f t="shared" si="1093"/>
        <v/>
      </c>
      <c r="H1092" s="51" t="str">
        <f t="shared" si="1093"/>
        <v/>
      </c>
      <c r="I1092" s="51" t="str">
        <f t="shared" si="1093"/>
        <v/>
      </c>
      <c r="J1092" s="51" t="str">
        <f t="shared" si="1093"/>
        <v/>
      </c>
      <c r="K1092" s="51" t="str">
        <f t="shared" si="1093"/>
        <v/>
      </c>
      <c r="L1092" s="51" t="str">
        <f t="shared" si="1093"/>
        <v/>
      </c>
      <c r="M1092" s="51" t="str">
        <f t="shared" si="1093"/>
        <v/>
      </c>
      <c r="N1092" s="51" t="str">
        <f t="shared" si="1093"/>
        <v/>
      </c>
      <c r="O1092" s="51" t="str">
        <f t="shared" si="1093"/>
        <v/>
      </c>
      <c r="P1092" s="51" t="str">
        <f t="shared" si="1093"/>
        <v/>
      </c>
      <c r="Q1092" s="51" t="str">
        <f t="shared" si="1093"/>
        <v/>
      </c>
      <c r="R1092" s="51" t="str">
        <f t="shared" si="1093"/>
        <v/>
      </c>
      <c r="S1092" s="51" t="str">
        <f t="shared" si="1093"/>
        <v/>
      </c>
      <c r="T1092" s="51" t="str">
        <f t="shared" si="1093"/>
        <v/>
      </c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2"/>
      <c r="AS1092" s="52"/>
      <c r="AT1092" s="52"/>
      <c r="AU1092" s="52"/>
      <c r="AV1092" s="52"/>
      <c r="AW1092" s="52"/>
      <c r="AX1092" s="52"/>
      <c r="AY1092" s="52"/>
      <c r="AZ1092" s="52"/>
      <c r="BA1092" s="52"/>
      <c r="BB1092" s="52"/>
      <c r="BC1092" s="52"/>
      <c r="BD1092" s="52"/>
      <c r="BE1092" s="52"/>
      <c r="BF1092" s="52"/>
      <c r="BG1092" s="52"/>
      <c r="BH1092" s="52"/>
      <c r="BI1092" s="52"/>
      <c r="BJ1092" s="52"/>
      <c r="BK1092" s="52"/>
      <c r="BL1092" s="52"/>
      <c r="BM1092" s="52"/>
      <c r="BN1092" s="52"/>
      <c r="BO1092" s="52"/>
    </row>
    <row r="1093">
      <c r="B1093" s="49"/>
      <c r="C1093" s="49" t="str">
        <f t="shared" si="2"/>
        <v/>
      </c>
      <c r="D1093" s="50" t="str">
        <f t="shared" si="3"/>
        <v/>
      </c>
      <c r="E1093" s="51" t="str">
        <f t="shared" ref="E1093:T1093" si="1094">IFERROR(VLOOKUP($A1093,INDIRECT("'" &amp; E$1 &amp; "'!$C:$G"), 5, FALSE),"")</f>
        <v/>
      </c>
      <c r="F1093" s="51" t="str">
        <f t="shared" si="1094"/>
        <v/>
      </c>
      <c r="G1093" s="51" t="str">
        <f t="shared" si="1094"/>
        <v/>
      </c>
      <c r="H1093" s="51" t="str">
        <f t="shared" si="1094"/>
        <v/>
      </c>
      <c r="I1093" s="51" t="str">
        <f t="shared" si="1094"/>
        <v/>
      </c>
      <c r="J1093" s="51" t="str">
        <f t="shared" si="1094"/>
        <v/>
      </c>
      <c r="K1093" s="51" t="str">
        <f t="shared" si="1094"/>
        <v/>
      </c>
      <c r="L1093" s="51" t="str">
        <f t="shared" si="1094"/>
        <v/>
      </c>
      <c r="M1093" s="51" t="str">
        <f t="shared" si="1094"/>
        <v/>
      </c>
      <c r="N1093" s="51" t="str">
        <f t="shared" si="1094"/>
        <v/>
      </c>
      <c r="O1093" s="51" t="str">
        <f t="shared" si="1094"/>
        <v/>
      </c>
      <c r="P1093" s="51" t="str">
        <f t="shared" si="1094"/>
        <v/>
      </c>
      <c r="Q1093" s="51" t="str">
        <f t="shared" si="1094"/>
        <v/>
      </c>
      <c r="R1093" s="51" t="str">
        <f t="shared" si="1094"/>
        <v/>
      </c>
      <c r="S1093" s="51" t="str">
        <f t="shared" si="1094"/>
        <v/>
      </c>
      <c r="T1093" s="51" t="str">
        <f t="shared" si="1094"/>
        <v/>
      </c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2"/>
      <c r="AM1093" s="52"/>
      <c r="AN1093" s="52"/>
      <c r="AO1093" s="52"/>
      <c r="AP1093" s="52"/>
      <c r="AQ1093" s="52"/>
      <c r="AR1093" s="52"/>
      <c r="AS1093" s="52"/>
      <c r="AT1093" s="52"/>
      <c r="AU1093" s="52"/>
      <c r="AV1093" s="52"/>
      <c r="AW1093" s="52"/>
      <c r="AX1093" s="52"/>
      <c r="AY1093" s="52"/>
      <c r="AZ1093" s="52"/>
      <c r="BA1093" s="52"/>
      <c r="BB1093" s="52"/>
      <c r="BC1093" s="52"/>
      <c r="BD1093" s="52"/>
      <c r="BE1093" s="52"/>
      <c r="BF1093" s="52"/>
      <c r="BG1093" s="52"/>
      <c r="BH1093" s="52"/>
      <c r="BI1093" s="52"/>
      <c r="BJ1093" s="52"/>
      <c r="BK1093" s="52"/>
      <c r="BL1093" s="52"/>
      <c r="BM1093" s="52"/>
      <c r="BN1093" s="52"/>
      <c r="BO1093" s="52"/>
    </row>
    <row r="1094">
      <c r="B1094" s="49"/>
      <c r="C1094" s="49" t="str">
        <f t="shared" si="2"/>
        <v/>
      </c>
      <c r="D1094" s="50" t="str">
        <f t="shared" si="3"/>
        <v/>
      </c>
      <c r="E1094" s="51" t="str">
        <f t="shared" ref="E1094:T1094" si="1095">IFERROR(VLOOKUP($A1094,INDIRECT("'" &amp; E$1 &amp; "'!$C:$G"), 5, FALSE),"")</f>
        <v/>
      </c>
      <c r="F1094" s="51" t="str">
        <f t="shared" si="1095"/>
        <v/>
      </c>
      <c r="G1094" s="51" t="str">
        <f t="shared" si="1095"/>
        <v/>
      </c>
      <c r="H1094" s="51" t="str">
        <f t="shared" si="1095"/>
        <v/>
      </c>
      <c r="I1094" s="51" t="str">
        <f t="shared" si="1095"/>
        <v/>
      </c>
      <c r="J1094" s="51" t="str">
        <f t="shared" si="1095"/>
        <v/>
      </c>
      <c r="K1094" s="51" t="str">
        <f t="shared" si="1095"/>
        <v/>
      </c>
      <c r="L1094" s="51" t="str">
        <f t="shared" si="1095"/>
        <v/>
      </c>
      <c r="M1094" s="51" t="str">
        <f t="shared" si="1095"/>
        <v/>
      </c>
      <c r="N1094" s="51" t="str">
        <f t="shared" si="1095"/>
        <v/>
      </c>
      <c r="O1094" s="51" t="str">
        <f t="shared" si="1095"/>
        <v/>
      </c>
      <c r="P1094" s="51" t="str">
        <f t="shared" si="1095"/>
        <v/>
      </c>
      <c r="Q1094" s="51" t="str">
        <f t="shared" si="1095"/>
        <v/>
      </c>
      <c r="R1094" s="51" t="str">
        <f t="shared" si="1095"/>
        <v/>
      </c>
      <c r="S1094" s="51" t="str">
        <f t="shared" si="1095"/>
        <v/>
      </c>
      <c r="T1094" s="51" t="str">
        <f t="shared" si="1095"/>
        <v/>
      </c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2"/>
      <c r="AJ1094" s="52"/>
      <c r="AK1094" s="52"/>
      <c r="AL1094" s="52"/>
      <c r="AM1094" s="52"/>
      <c r="AN1094" s="52"/>
      <c r="AO1094" s="52"/>
      <c r="AP1094" s="52"/>
      <c r="AQ1094" s="52"/>
      <c r="AR1094" s="52"/>
      <c r="AS1094" s="52"/>
      <c r="AT1094" s="52"/>
      <c r="AU1094" s="52"/>
      <c r="AV1094" s="52"/>
      <c r="AW1094" s="52"/>
      <c r="AX1094" s="52"/>
      <c r="AY1094" s="52"/>
      <c r="AZ1094" s="52"/>
      <c r="BA1094" s="52"/>
      <c r="BB1094" s="52"/>
      <c r="BC1094" s="52"/>
      <c r="BD1094" s="52"/>
      <c r="BE1094" s="52"/>
      <c r="BF1094" s="52"/>
      <c r="BG1094" s="52"/>
      <c r="BH1094" s="52"/>
      <c r="BI1094" s="52"/>
      <c r="BJ1094" s="52"/>
      <c r="BK1094" s="52"/>
      <c r="BL1094" s="52"/>
      <c r="BM1094" s="52"/>
      <c r="BN1094" s="52"/>
      <c r="BO1094" s="52"/>
    </row>
    <row r="1095">
      <c r="B1095" s="49"/>
      <c r="C1095" s="49" t="str">
        <f t="shared" si="2"/>
        <v/>
      </c>
      <c r="D1095" s="50" t="str">
        <f t="shared" si="3"/>
        <v/>
      </c>
      <c r="E1095" s="51" t="str">
        <f t="shared" ref="E1095:T1095" si="1096">IFERROR(VLOOKUP($A1095,INDIRECT("'" &amp; E$1 &amp; "'!$C:$G"), 5, FALSE),"")</f>
        <v/>
      </c>
      <c r="F1095" s="51" t="str">
        <f t="shared" si="1096"/>
        <v/>
      </c>
      <c r="G1095" s="51" t="str">
        <f t="shared" si="1096"/>
        <v/>
      </c>
      <c r="H1095" s="51" t="str">
        <f t="shared" si="1096"/>
        <v/>
      </c>
      <c r="I1095" s="51" t="str">
        <f t="shared" si="1096"/>
        <v/>
      </c>
      <c r="J1095" s="51" t="str">
        <f t="shared" si="1096"/>
        <v/>
      </c>
      <c r="K1095" s="51" t="str">
        <f t="shared" si="1096"/>
        <v/>
      </c>
      <c r="L1095" s="51" t="str">
        <f t="shared" si="1096"/>
        <v/>
      </c>
      <c r="M1095" s="51" t="str">
        <f t="shared" si="1096"/>
        <v/>
      </c>
      <c r="N1095" s="51" t="str">
        <f t="shared" si="1096"/>
        <v/>
      </c>
      <c r="O1095" s="51" t="str">
        <f t="shared" si="1096"/>
        <v/>
      </c>
      <c r="P1095" s="51" t="str">
        <f t="shared" si="1096"/>
        <v/>
      </c>
      <c r="Q1095" s="51" t="str">
        <f t="shared" si="1096"/>
        <v/>
      </c>
      <c r="R1095" s="51" t="str">
        <f t="shared" si="1096"/>
        <v/>
      </c>
      <c r="S1095" s="51" t="str">
        <f t="shared" si="1096"/>
        <v/>
      </c>
      <c r="T1095" s="51" t="str">
        <f t="shared" si="1096"/>
        <v/>
      </c>
      <c r="U1095" s="52"/>
      <c r="V1095" s="52"/>
      <c r="W1095" s="52"/>
      <c r="X1095" s="52"/>
      <c r="Y1095" s="52"/>
      <c r="Z1095" s="52"/>
      <c r="AA1095" s="52"/>
      <c r="AB1095" s="52"/>
      <c r="AC1095" s="52"/>
      <c r="AD1095" s="52"/>
      <c r="AE1095" s="52"/>
      <c r="AF1095" s="52"/>
      <c r="AG1095" s="52"/>
      <c r="AH1095" s="52"/>
      <c r="AI1095" s="52"/>
      <c r="AJ1095" s="52"/>
      <c r="AK1095" s="52"/>
      <c r="AL1095" s="52"/>
      <c r="AM1095" s="52"/>
      <c r="AN1095" s="52"/>
      <c r="AO1095" s="52"/>
      <c r="AP1095" s="52"/>
      <c r="AQ1095" s="52"/>
      <c r="AR1095" s="52"/>
      <c r="AS1095" s="52"/>
      <c r="AT1095" s="52"/>
      <c r="AU1095" s="52"/>
      <c r="AV1095" s="52"/>
      <c r="AW1095" s="52"/>
      <c r="AX1095" s="52"/>
      <c r="AY1095" s="52"/>
      <c r="AZ1095" s="52"/>
      <c r="BA1095" s="52"/>
      <c r="BB1095" s="52"/>
      <c r="BC1095" s="52"/>
      <c r="BD1095" s="52"/>
      <c r="BE1095" s="52"/>
      <c r="BF1095" s="52"/>
      <c r="BG1095" s="52"/>
      <c r="BH1095" s="52"/>
      <c r="BI1095" s="52"/>
      <c r="BJ1095" s="52"/>
      <c r="BK1095" s="52"/>
      <c r="BL1095" s="52"/>
      <c r="BM1095" s="52"/>
      <c r="BN1095" s="52"/>
      <c r="BO1095" s="52"/>
    </row>
    <row r="1096">
      <c r="B1096" s="49"/>
      <c r="C1096" s="49" t="str">
        <f t="shared" si="2"/>
        <v/>
      </c>
      <c r="D1096" s="50" t="str">
        <f t="shared" si="3"/>
        <v/>
      </c>
      <c r="E1096" s="51" t="str">
        <f t="shared" ref="E1096:T1096" si="1097">IFERROR(VLOOKUP($A1096,INDIRECT("'" &amp; E$1 &amp; "'!$C:$G"), 5, FALSE),"")</f>
        <v/>
      </c>
      <c r="F1096" s="51" t="str">
        <f t="shared" si="1097"/>
        <v/>
      </c>
      <c r="G1096" s="51" t="str">
        <f t="shared" si="1097"/>
        <v/>
      </c>
      <c r="H1096" s="51" t="str">
        <f t="shared" si="1097"/>
        <v/>
      </c>
      <c r="I1096" s="51" t="str">
        <f t="shared" si="1097"/>
        <v/>
      </c>
      <c r="J1096" s="51" t="str">
        <f t="shared" si="1097"/>
        <v/>
      </c>
      <c r="K1096" s="51" t="str">
        <f t="shared" si="1097"/>
        <v/>
      </c>
      <c r="L1096" s="51" t="str">
        <f t="shared" si="1097"/>
        <v/>
      </c>
      <c r="M1096" s="51" t="str">
        <f t="shared" si="1097"/>
        <v/>
      </c>
      <c r="N1096" s="51" t="str">
        <f t="shared" si="1097"/>
        <v/>
      </c>
      <c r="O1096" s="51" t="str">
        <f t="shared" si="1097"/>
        <v/>
      </c>
      <c r="P1096" s="51" t="str">
        <f t="shared" si="1097"/>
        <v/>
      </c>
      <c r="Q1096" s="51" t="str">
        <f t="shared" si="1097"/>
        <v/>
      </c>
      <c r="R1096" s="51" t="str">
        <f t="shared" si="1097"/>
        <v/>
      </c>
      <c r="S1096" s="51" t="str">
        <f t="shared" si="1097"/>
        <v/>
      </c>
      <c r="T1096" s="51" t="str">
        <f t="shared" si="1097"/>
        <v/>
      </c>
      <c r="U1096" s="52"/>
      <c r="V1096" s="52"/>
      <c r="W1096" s="52"/>
      <c r="X1096" s="52"/>
      <c r="Y1096" s="52"/>
      <c r="Z1096" s="52"/>
      <c r="AA1096" s="52"/>
      <c r="AB1096" s="52"/>
      <c r="AC1096" s="52"/>
      <c r="AD1096" s="52"/>
      <c r="AE1096" s="52"/>
      <c r="AF1096" s="52"/>
      <c r="AG1096" s="52"/>
      <c r="AH1096" s="52"/>
      <c r="AI1096" s="52"/>
      <c r="AJ1096" s="52"/>
      <c r="AK1096" s="52"/>
      <c r="AL1096" s="52"/>
      <c r="AM1096" s="52"/>
      <c r="AN1096" s="52"/>
      <c r="AO1096" s="52"/>
      <c r="AP1096" s="52"/>
      <c r="AQ1096" s="52"/>
      <c r="AR1096" s="52"/>
      <c r="AS1096" s="52"/>
      <c r="AT1096" s="52"/>
      <c r="AU1096" s="52"/>
      <c r="AV1096" s="52"/>
      <c r="AW1096" s="52"/>
      <c r="AX1096" s="52"/>
      <c r="AY1096" s="52"/>
      <c r="AZ1096" s="52"/>
      <c r="BA1096" s="52"/>
      <c r="BB1096" s="52"/>
      <c r="BC1096" s="52"/>
      <c r="BD1096" s="52"/>
      <c r="BE1096" s="52"/>
      <c r="BF1096" s="52"/>
      <c r="BG1096" s="52"/>
      <c r="BH1096" s="52"/>
      <c r="BI1096" s="52"/>
      <c r="BJ1096" s="52"/>
      <c r="BK1096" s="52"/>
      <c r="BL1096" s="52"/>
      <c r="BM1096" s="52"/>
      <c r="BN1096" s="52"/>
      <c r="BO1096" s="52"/>
    </row>
    <row r="1097">
      <c r="B1097" s="49"/>
      <c r="C1097" s="49" t="str">
        <f t="shared" si="2"/>
        <v/>
      </c>
      <c r="D1097" s="50" t="str">
        <f t="shared" si="3"/>
        <v/>
      </c>
      <c r="E1097" s="51" t="str">
        <f t="shared" ref="E1097:T1097" si="1098">IFERROR(VLOOKUP($A1097,INDIRECT("'" &amp; E$1 &amp; "'!$C:$G"), 5, FALSE),"")</f>
        <v/>
      </c>
      <c r="F1097" s="51" t="str">
        <f t="shared" si="1098"/>
        <v/>
      </c>
      <c r="G1097" s="51" t="str">
        <f t="shared" si="1098"/>
        <v/>
      </c>
      <c r="H1097" s="51" t="str">
        <f t="shared" si="1098"/>
        <v/>
      </c>
      <c r="I1097" s="51" t="str">
        <f t="shared" si="1098"/>
        <v/>
      </c>
      <c r="J1097" s="51" t="str">
        <f t="shared" si="1098"/>
        <v/>
      </c>
      <c r="K1097" s="51" t="str">
        <f t="shared" si="1098"/>
        <v/>
      </c>
      <c r="L1097" s="51" t="str">
        <f t="shared" si="1098"/>
        <v/>
      </c>
      <c r="M1097" s="51" t="str">
        <f t="shared" si="1098"/>
        <v/>
      </c>
      <c r="N1097" s="51" t="str">
        <f t="shared" si="1098"/>
        <v/>
      </c>
      <c r="O1097" s="51" t="str">
        <f t="shared" si="1098"/>
        <v/>
      </c>
      <c r="P1097" s="51" t="str">
        <f t="shared" si="1098"/>
        <v/>
      </c>
      <c r="Q1097" s="51" t="str">
        <f t="shared" si="1098"/>
        <v/>
      </c>
      <c r="R1097" s="51" t="str">
        <f t="shared" si="1098"/>
        <v/>
      </c>
      <c r="S1097" s="51" t="str">
        <f t="shared" si="1098"/>
        <v/>
      </c>
      <c r="T1097" s="51" t="str">
        <f t="shared" si="1098"/>
        <v/>
      </c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2"/>
      <c r="AJ1097" s="52"/>
      <c r="AK1097" s="52"/>
      <c r="AL1097" s="52"/>
      <c r="AM1097" s="52"/>
      <c r="AN1097" s="52"/>
      <c r="AO1097" s="52"/>
      <c r="AP1097" s="52"/>
      <c r="AQ1097" s="52"/>
      <c r="AR1097" s="52"/>
      <c r="AS1097" s="52"/>
      <c r="AT1097" s="52"/>
      <c r="AU1097" s="52"/>
      <c r="AV1097" s="52"/>
      <c r="AW1097" s="52"/>
      <c r="AX1097" s="52"/>
      <c r="AY1097" s="52"/>
      <c r="AZ1097" s="52"/>
      <c r="BA1097" s="52"/>
      <c r="BB1097" s="52"/>
      <c r="BC1097" s="52"/>
      <c r="BD1097" s="52"/>
      <c r="BE1097" s="52"/>
      <c r="BF1097" s="52"/>
      <c r="BG1097" s="52"/>
      <c r="BH1097" s="52"/>
      <c r="BI1097" s="52"/>
      <c r="BJ1097" s="52"/>
      <c r="BK1097" s="52"/>
      <c r="BL1097" s="52"/>
      <c r="BM1097" s="52"/>
      <c r="BN1097" s="52"/>
      <c r="BO1097" s="52"/>
    </row>
    <row r="1098">
      <c r="B1098" s="49"/>
      <c r="C1098" s="49" t="str">
        <f t="shared" si="2"/>
        <v/>
      </c>
      <c r="D1098" s="50" t="str">
        <f t="shared" si="3"/>
        <v/>
      </c>
      <c r="E1098" s="51" t="str">
        <f t="shared" ref="E1098:T1098" si="1099">IFERROR(VLOOKUP($A1098,INDIRECT("'" &amp; E$1 &amp; "'!$C:$G"), 5, FALSE),"")</f>
        <v/>
      </c>
      <c r="F1098" s="51" t="str">
        <f t="shared" si="1099"/>
        <v/>
      </c>
      <c r="G1098" s="51" t="str">
        <f t="shared" si="1099"/>
        <v/>
      </c>
      <c r="H1098" s="51" t="str">
        <f t="shared" si="1099"/>
        <v/>
      </c>
      <c r="I1098" s="51" t="str">
        <f t="shared" si="1099"/>
        <v/>
      </c>
      <c r="J1098" s="51" t="str">
        <f t="shared" si="1099"/>
        <v/>
      </c>
      <c r="K1098" s="51" t="str">
        <f t="shared" si="1099"/>
        <v/>
      </c>
      <c r="L1098" s="51" t="str">
        <f t="shared" si="1099"/>
        <v/>
      </c>
      <c r="M1098" s="51" t="str">
        <f t="shared" si="1099"/>
        <v/>
      </c>
      <c r="N1098" s="51" t="str">
        <f t="shared" si="1099"/>
        <v/>
      </c>
      <c r="O1098" s="51" t="str">
        <f t="shared" si="1099"/>
        <v/>
      </c>
      <c r="P1098" s="51" t="str">
        <f t="shared" si="1099"/>
        <v/>
      </c>
      <c r="Q1098" s="51" t="str">
        <f t="shared" si="1099"/>
        <v/>
      </c>
      <c r="R1098" s="51" t="str">
        <f t="shared" si="1099"/>
        <v/>
      </c>
      <c r="S1098" s="51" t="str">
        <f t="shared" si="1099"/>
        <v/>
      </c>
      <c r="T1098" s="51" t="str">
        <f t="shared" si="1099"/>
        <v/>
      </c>
      <c r="U1098" s="52"/>
      <c r="V1098" s="52"/>
      <c r="W1098" s="52"/>
      <c r="X1098" s="52"/>
      <c r="Y1098" s="52"/>
      <c r="Z1098" s="52"/>
      <c r="AA1098" s="52"/>
      <c r="AB1098" s="52"/>
      <c r="AC1098" s="52"/>
      <c r="AD1098" s="52"/>
      <c r="AE1098" s="52"/>
      <c r="AF1098" s="52"/>
      <c r="AG1098" s="52"/>
      <c r="AH1098" s="52"/>
      <c r="AI1098" s="52"/>
      <c r="AJ1098" s="52"/>
      <c r="AK1098" s="52"/>
      <c r="AL1098" s="52"/>
      <c r="AM1098" s="52"/>
      <c r="AN1098" s="52"/>
      <c r="AO1098" s="52"/>
      <c r="AP1098" s="52"/>
      <c r="AQ1098" s="52"/>
      <c r="AR1098" s="52"/>
      <c r="AS1098" s="52"/>
      <c r="AT1098" s="52"/>
      <c r="AU1098" s="52"/>
      <c r="AV1098" s="52"/>
      <c r="AW1098" s="52"/>
      <c r="AX1098" s="52"/>
      <c r="AY1098" s="52"/>
      <c r="AZ1098" s="52"/>
      <c r="BA1098" s="52"/>
      <c r="BB1098" s="52"/>
      <c r="BC1098" s="52"/>
      <c r="BD1098" s="52"/>
      <c r="BE1098" s="52"/>
      <c r="BF1098" s="52"/>
      <c r="BG1098" s="52"/>
      <c r="BH1098" s="52"/>
      <c r="BI1098" s="52"/>
      <c r="BJ1098" s="52"/>
      <c r="BK1098" s="52"/>
      <c r="BL1098" s="52"/>
      <c r="BM1098" s="52"/>
      <c r="BN1098" s="52"/>
      <c r="BO1098" s="52"/>
    </row>
    <row r="1099">
      <c r="B1099" s="49"/>
      <c r="C1099" s="49" t="str">
        <f t="shared" si="2"/>
        <v/>
      </c>
      <c r="D1099" s="50" t="str">
        <f t="shared" si="3"/>
        <v/>
      </c>
      <c r="E1099" s="51" t="str">
        <f t="shared" ref="E1099:T1099" si="1100">IFERROR(VLOOKUP($A1099,INDIRECT("'" &amp; E$1 &amp; "'!$C:$G"), 5, FALSE),"")</f>
        <v/>
      </c>
      <c r="F1099" s="51" t="str">
        <f t="shared" si="1100"/>
        <v/>
      </c>
      <c r="G1099" s="51" t="str">
        <f t="shared" si="1100"/>
        <v/>
      </c>
      <c r="H1099" s="51" t="str">
        <f t="shared" si="1100"/>
        <v/>
      </c>
      <c r="I1099" s="51" t="str">
        <f t="shared" si="1100"/>
        <v/>
      </c>
      <c r="J1099" s="51" t="str">
        <f t="shared" si="1100"/>
        <v/>
      </c>
      <c r="K1099" s="51" t="str">
        <f t="shared" si="1100"/>
        <v/>
      </c>
      <c r="L1099" s="51" t="str">
        <f t="shared" si="1100"/>
        <v/>
      </c>
      <c r="M1099" s="51" t="str">
        <f t="shared" si="1100"/>
        <v/>
      </c>
      <c r="N1099" s="51" t="str">
        <f t="shared" si="1100"/>
        <v/>
      </c>
      <c r="O1099" s="51" t="str">
        <f t="shared" si="1100"/>
        <v/>
      </c>
      <c r="P1099" s="51" t="str">
        <f t="shared" si="1100"/>
        <v/>
      </c>
      <c r="Q1099" s="51" t="str">
        <f t="shared" si="1100"/>
        <v/>
      </c>
      <c r="R1099" s="51" t="str">
        <f t="shared" si="1100"/>
        <v/>
      </c>
      <c r="S1099" s="51" t="str">
        <f t="shared" si="1100"/>
        <v/>
      </c>
      <c r="T1099" s="51" t="str">
        <f t="shared" si="1100"/>
        <v/>
      </c>
      <c r="U1099" s="52"/>
      <c r="V1099" s="52"/>
      <c r="W1099" s="52"/>
      <c r="X1099" s="52"/>
      <c r="Y1099" s="52"/>
      <c r="Z1099" s="52"/>
      <c r="AA1099" s="52"/>
      <c r="AB1099" s="52"/>
      <c r="AC1099" s="52"/>
      <c r="AD1099" s="52"/>
      <c r="AE1099" s="52"/>
      <c r="AF1099" s="52"/>
      <c r="AG1099" s="52"/>
      <c r="AH1099" s="52"/>
      <c r="AI1099" s="52"/>
      <c r="AJ1099" s="52"/>
      <c r="AK1099" s="52"/>
      <c r="AL1099" s="52"/>
      <c r="AM1099" s="52"/>
      <c r="AN1099" s="52"/>
      <c r="AO1099" s="52"/>
      <c r="AP1099" s="52"/>
      <c r="AQ1099" s="52"/>
      <c r="AR1099" s="52"/>
      <c r="AS1099" s="52"/>
      <c r="AT1099" s="52"/>
      <c r="AU1099" s="52"/>
      <c r="AV1099" s="52"/>
      <c r="AW1099" s="52"/>
      <c r="AX1099" s="52"/>
      <c r="AY1099" s="52"/>
      <c r="AZ1099" s="52"/>
      <c r="BA1099" s="52"/>
      <c r="BB1099" s="52"/>
      <c r="BC1099" s="52"/>
      <c r="BD1099" s="52"/>
      <c r="BE1099" s="52"/>
      <c r="BF1099" s="52"/>
      <c r="BG1099" s="52"/>
      <c r="BH1099" s="52"/>
      <c r="BI1099" s="52"/>
      <c r="BJ1099" s="52"/>
      <c r="BK1099" s="52"/>
      <c r="BL1099" s="52"/>
      <c r="BM1099" s="52"/>
      <c r="BN1099" s="52"/>
      <c r="BO1099" s="52"/>
    </row>
    <row r="1100">
      <c r="B1100" s="49"/>
      <c r="C1100" s="49" t="str">
        <f t="shared" si="2"/>
        <v/>
      </c>
      <c r="D1100" s="50" t="str">
        <f t="shared" si="3"/>
        <v/>
      </c>
      <c r="E1100" s="51" t="str">
        <f t="shared" ref="E1100:T1100" si="1101">IFERROR(VLOOKUP($A1100,INDIRECT("'" &amp; E$1 &amp; "'!$C:$G"), 5, FALSE),"")</f>
        <v/>
      </c>
      <c r="F1100" s="51" t="str">
        <f t="shared" si="1101"/>
        <v/>
      </c>
      <c r="G1100" s="51" t="str">
        <f t="shared" si="1101"/>
        <v/>
      </c>
      <c r="H1100" s="51" t="str">
        <f t="shared" si="1101"/>
        <v/>
      </c>
      <c r="I1100" s="51" t="str">
        <f t="shared" si="1101"/>
        <v/>
      </c>
      <c r="J1100" s="51" t="str">
        <f t="shared" si="1101"/>
        <v/>
      </c>
      <c r="K1100" s="51" t="str">
        <f t="shared" si="1101"/>
        <v/>
      </c>
      <c r="L1100" s="51" t="str">
        <f t="shared" si="1101"/>
        <v/>
      </c>
      <c r="M1100" s="51" t="str">
        <f t="shared" si="1101"/>
        <v/>
      </c>
      <c r="N1100" s="51" t="str">
        <f t="shared" si="1101"/>
        <v/>
      </c>
      <c r="O1100" s="51" t="str">
        <f t="shared" si="1101"/>
        <v/>
      </c>
      <c r="P1100" s="51" t="str">
        <f t="shared" si="1101"/>
        <v/>
      </c>
      <c r="Q1100" s="51" t="str">
        <f t="shared" si="1101"/>
        <v/>
      </c>
      <c r="R1100" s="51" t="str">
        <f t="shared" si="1101"/>
        <v/>
      </c>
      <c r="S1100" s="51" t="str">
        <f t="shared" si="1101"/>
        <v/>
      </c>
      <c r="T1100" s="51" t="str">
        <f t="shared" si="1101"/>
        <v/>
      </c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I1100" s="52"/>
      <c r="AJ1100" s="52"/>
      <c r="AK1100" s="52"/>
      <c r="AL1100" s="52"/>
      <c r="AM1100" s="52"/>
      <c r="AN1100" s="52"/>
      <c r="AO1100" s="52"/>
      <c r="AP1100" s="52"/>
      <c r="AQ1100" s="52"/>
      <c r="AR1100" s="52"/>
      <c r="AS1100" s="52"/>
      <c r="AT1100" s="52"/>
      <c r="AU1100" s="52"/>
      <c r="AV1100" s="52"/>
      <c r="AW1100" s="52"/>
      <c r="AX1100" s="52"/>
      <c r="AY1100" s="52"/>
      <c r="AZ1100" s="52"/>
      <c r="BA1100" s="52"/>
      <c r="BB1100" s="52"/>
      <c r="BC1100" s="52"/>
      <c r="BD1100" s="52"/>
      <c r="BE1100" s="52"/>
      <c r="BF1100" s="52"/>
      <c r="BG1100" s="52"/>
      <c r="BH1100" s="52"/>
      <c r="BI1100" s="52"/>
      <c r="BJ1100" s="52"/>
      <c r="BK1100" s="52"/>
      <c r="BL1100" s="52"/>
      <c r="BM1100" s="52"/>
      <c r="BN1100" s="52"/>
      <c r="BO1100" s="52"/>
    </row>
    <row r="1101">
      <c r="B1101" s="49"/>
      <c r="C1101" s="49" t="str">
        <f t="shared" si="2"/>
        <v/>
      </c>
      <c r="D1101" s="50" t="str">
        <f t="shared" si="3"/>
        <v/>
      </c>
      <c r="E1101" s="51" t="str">
        <f t="shared" ref="E1101:T1101" si="1102">IFERROR(VLOOKUP($A1101,INDIRECT("'" &amp; E$1 &amp; "'!$C:$G"), 5, FALSE),"")</f>
        <v/>
      </c>
      <c r="F1101" s="51" t="str">
        <f t="shared" si="1102"/>
        <v/>
      </c>
      <c r="G1101" s="51" t="str">
        <f t="shared" si="1102"/>
        <v/>
      </c>
      <c r="H1101" s="51" t="str">
        <f t="shared" si="1102"/>
        <v/>
      </c>
      <c r="I1101" s="51" t="str">
        <f t="shared" si="1102"/>
        <v/>
      </c>
      <c r="J1101" s="51" t="str">
        <f t="shared" si="1102"/>
        <v/>
      </c>
      <c r="K1101" s="51" t="str">
        <f t="shared" si="1102"/>
        <v/>
      </c>
      <c r="L1101" s="51" t="str">
        <f t="shared" si="1102"/>
        <v/>
      </c>
      <c r="M1101" s="51" t="str">
        <f t="shared" si="1102"/>
        <v/>
      </c>
      <c r="N1101" s="51" t="str">
        <f t="shared" si="1102"/>
        <v/>
      </c>
      <c r="O1101" s="51" t="str">
        <f t="shared" si="1102"/>
        <v/>
      </c>
      <c r="P1101" s="51" t="str">
        <f t="shared" si="1102"/>
        <v/>
      </c>
      <c r="Q1101" s="51" t="str">
        <f t="shared" si="1102"/>
        <v/>
      </c>
      <c r="R1101" s="51" t="str">
        <f t="shared" si="1102"/>
        <v/>
      </c>
      <c r="S1101" s="51" t="str">
        <f t="shared" si="1102"/>
        <v/>
      </c>
      <c r="T1101" s="51" t="str">
        <f t="shared" si="1102"/>
        <v/>
      </c>
      <c r="U1101" s="52"/>
      <c r="V1101" s="52"/>
      <c r="W1101" s="52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  <c r="AH1101" s="52"/>
      <c r="AI1101" s="52"/>
      <c r="AJ1101" s="52"/>
      <c r="AK1101" s="52"/>
      <c r="AL1101" s="52"/>
      <c r="AM1101" s="52"/>
      <c r="AN1101" s="52"/>
      <c r="AO1101" s="52"/>
      <c r="AP1101" s="52"/>
      <c r="AQ1101" s="52"/>
      <c r="AR1101" s="52"/>
      <c r="AS1101" s="52"/>
      <c r="AT1101" s="52"/>
      <c r="AU1101" s="52"/>
      <c r="AV1101" s="52"/>
      <c r="AW1101" s="52"/>
      <c r="AX1101" s="52"/>
      <c r="AY1101" s="52"/>
      <c r="AZ1101" s="52"/>
      <c r="BA1101" s="52"/>
      <c r="BB1101" s="52"/>
      <c r="BC1101" s="52"/>
      <c r="BD1101" s="52"/>
      <c r="BE1101" s="52"/>
      <c r="BF1101" s="52"/>
      <c r="BG1101" s="52"/>
      <c r="BH1101" s="52"/>
      <c r="BI1101" s="52"/>
      <c r="BJ1101" s="52"/>
      <c r="BK1101" s="52"/>
      <c r="BL1101" s="52"/>
      <c r="BM1101" s="52"/>
      <c r="BN1101" s="52"/>
      <c r="BO1101" s="52"/>
    </row>
    <row r="1102">
      <c r="B1102" s="49"/>
      <c r="C1102" s="49" t="str">
        <f t="shared" si="2"/>
        <v/>
      </c>
      <c r="D1102" s="50" t="str">
        <f t="shared" si="3"/>
        <v/>
      </c>
      <c r="E1102" s="51" t="str">
        <f t="shared" ref="E1102:T1102" si="1103">IFERROR(VLOOKUP($A1102,INDIRECT("'" &amp; E$1 &amp; "'!$C:$G"), 5, FALSE),"")</f>
        <v/>
      </c>
      <c r="F1102" s="51" t="str">
        <f t="shared" si="1103"/>
        <v/>
      </c>
      <c r="G1102" s="51" t="str">
        <f t="shared" si="1103"/>
        <v/>
      </c>
      <c r="H1102" s="51" t="str">
        <f t="shared" si="1103"/>
        <v/>
      </c>
      <c r="I1102" s="51" t="str">
        <f t="shared" si="1103"/>
        <v/>
      </c>
      <c r="J1102" s="51" t="str">
        <f t="shared" si="1103"/>
        <v/>
      </c>
      <c r="K1102" s="51" t="str">
        <f t="shared" si="1103"/>
        <v/>
      </c>
      <c r="L1102" s="51" t="str">
        <f t="shared" si="1103"/>
        <v/>
      </c>
      <c r="M1102" s="51" t="str">
        <f t="shared" si="1103"/>
        <v/>
      </c>
      <c r="N1102" s="51" t="str">
        <f t="shared" si="1103"/>
        <v/>
      </c>
      <c r="O1102" s="51" t="str">
        <f t="shared" si="1103"/>
        <v/>
      </c>
      <c r="P1102" s="51" t="str">
        <f t="shared" si="1103"/>
        <v/>
      </c>
      <c r="Q1102" s="51" t="str">
        <f t="shared" si="1103"/>
        <v/>
      </c>
      <c r="R1102" s="51" t="str">
        <f t="shared" si="1103"/>
        <v/>
      </c>
      <c r="S1102" s="51" t="str">
        <f t="shared" si="1103"/>
        <v/>
      </c>
      <c r="T1102" s="51" t="str">
        <f t="shared" si="1103"/>
        <v/>
      </c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52"/>
      <c r="AI1102" s="52"/>
      <c r="AJ1102" s="52"/>
      <c r="AK1102" s="52"/>
      <c r="AL1102" s="52"/>
      <c r="AM1102" s="52"/>
      <c r="AN1102" s="52"/>
      <c r="AO1102" s="52"/>
      <c r="AP1102" s="52"/>
      <c r="AQ1102" s="52"/>
      <c r="AR1102" s="52"/>
      <c r="AS1102" s="52"/>
      <c r="AT1102" s="52"/>
      <c r="AU1102" s="52"/>
      <c r="AV1102" s="52"/>
      <c r="AW1102" s="52"/>
      <c r="AX1102" s="52"/>
      <c r="AY1102" s="52"/>
      <c r="AZ1102" s="52"/>
      <c r="BA1102" s="52"/>
      <c r="BB1102" s="52"/>
      <c r="BC1102" s="52"/>
      <c r="BD1102" s="52"/>
      <c r="BE1102" s="52"/>
      <c r="BF1102" s="52"/>
      <c r="BG1102" s="52"/>
      <c r="BH1102" s="52"/>
      <c r="BI1102" s="52"/>
      <c r="BJ1102" s="52"/>
      <c r="BK1102" s="52"/>
      <c r="BL1102" s="52"/>
      <c r="BM1102" s="52"/>
      <c r="BN1102" s="52"/>
      <c r="BO1102" s="52"/>
    </row>
    <row r="1103">
      <c r="B1103" s="49"/>
      <c r="C1103" s="49" t="str">
        <f t="shared" si="2"/>
        <v/>
      </c>
      <c r="D1103" s="50" t="str">
        <f t="shared" si="3"/>
        <v/>
      </c>
      <c r="E1103" s="51" t="str">
        <f t="shared" ref="E1103:T1103" si="1104">IFERROR(VLOOKUP($A1103,INDIRECT("'" &amp; E$1 &amp; "'!$C:$G"), 5, FALSE),"")</f>
        <v/>
      </c>
      <c r="F1103" s="51" t="str">
        <f t="shared" si="1104"/>
        <v/>
      </c>
      <c r="G1103" s="51" t="str">
        <f t="shared" si="1104"/>
        <v/>
      </c>
      <c r="H1103" s="51" t="str">
        <f t="shared" si="1104"/>
        <v/>
      </c>
      <c r="I1103" s="51" t="str">
        <f t="shared" si="1104"/>
        <v/>
      </c>
      <c r="J1103" s="51" t="str">
        <f t="shared" si="1104"/>
        <v/>
      </c>
      <c r="K1103" s="51" t="str">
        <f t="shared" si="1104"/>
        <v/>
      </c>
      <c r="L1103" s="51" t="str">
        <f t="shared" si="1104"/>
        <v/>
      </c>
      <c r="M1103" s="51" t="str">
        <f t="shared" si="1104"/>
        <v/>
      </c>
      <c r="N1103" s="51" t="str">
        <f t="shared" si="1104"/>
        <v/>
      </c>
      <c r="O1103" s="51" t="str">
        <f t="shared" si="1104"/>
        <v/>
      </c>
      <c r="P1103" s="51" t="str">
        <f t="shared" si="1104"/>
        <v/>
      </c>
      <c r="Q1103" s="51" t="str">
        <f t="shared" si="1104"/>
        <v/>
      </c>
      <c r="R1103" s="51" t="str">
        <f t="shared" si="1104"/>
        <v/>
      </c>
      <c r="S1103" s="51" t="str">
        <f t="shared" si="1104"/>
        <v/>
      </c>
      <c r="T1103" s="51" t="str">
        <f t="shared" si="1104"/>
        <v/>
      </c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2"/>
      <c r="AM1103" s="52"/>
      <c r="AN1103" s="52"/>
      <c r="AO1103" s="52"/>
      <c r="AP1103" s="52"/>
      <c r="AQ1103" s="52"/>
      <c r="AR1103" s="52"/>
      <c r="AS1103" s="52"/>
      <c r="AT1103" s="52"/>
      <c r="AU1103" s="52"/>
      <c r="AV1103" s="52"/>
      <c r="AW1103" s="52"/>
      <c r="AX1103" s="52"/>
      <c r="AY1103" s="52"/>
      <c r="AZ1103" s="52"/>
      <c r="BA1103" s="52"/>
      <c r="BB1103" s="52"/>
      <c r="BC1103" s="52"/>
      <c r="BD1103" s="52"/>
      <c r="BE1103" s="52"/>
      <c r="BF1103" s="52"/>
      <c r="BG1103" s="52"/>
      <c r="BH1103" s="52"/>
      <c r="BI1103" s="52"/>
      <c r="BJ1103" s="52"/>
      <c r="BK1103" s="52"/>
      <c r="BL1103" s="52"/>
      <c r="BM1103" s="52"/>
      <c r="BN1103" s="52"/>
      <c r="BO1103" s="52"/>
    </row>
    <row r="1104">
      <c r="B1104" s="49"/>
      <c r="C1104" s="49" t="str">
        <f t="shared" si="2"/>
        <v/>
      </c>
      <c r="D1104" s="50" t="str">
        <f t="shared" si="3"/>
        <v/>
      </c>
      <c r="E1104" s="51" t="str">
        <f t="shared" ref="E1104:T1104" si="1105">IFERROR(VLOOKUP($A1104,INDIRECT("'" &amp; E$1 &amp; "'!$C:$G"), 5, FALSE),"")</f>
        <v/>
      </c>
      <c r="F1104" s="51" t="str">
        <f t="shared" si="1105"/>
        <v/>
      </c>
      <c r="G1104" s="51" t="str">
        <f t="shared" si="1105"/>
        <v/>
      </c>
      <c r="H1104" s="51" t="str">
        <f t="shared" si="1105"/>
        <v/>
      </c>
      <c r="I1104" s="51" t="str">
        <f t="shared" si="1105"/>
        <v/>
      </c>
      <c r="J1104" s="51" t="str">
        <f t="shared" si="1105"/>
        <v/>
      </c>
      <c r="K1104" s="51" t="str">
        <f t="shared" si="1105"/>
        <v/>
      </c>
      <c r="L1104" s="51" t="str">
        <f t="shared" si="1105"/>
        <v/>
      </c>
      <c r="M1104" s="51" t="str">
        <f t="shared" si="1105"/>
        <v/>
      </c>
      <c r="N1104" s="51" t="str">
        <f t="shared" si="1105"/>
        <v/>
      </c>
      <c r="O1104" s="51" t="str">
        <f t="shared" si="1105"/>
        <v/>
      </c>
      <c r="P1104" s="51" t="str">
        <f t="shared" si="1105"/>
        <v/>
      </c>
      <c r="Q1104" s="51" t="str">
        <f t="shared" si="1105"/>
        <v/>
      </c>
      <c r="R1104" s="51" t="str">
        <f t="shared" si="1105"/>
        <v/>
      </c>
      <c r="S1104" s="51" t="str">
        <f t="shared" si="1105"/>
        <v/>
      </c>
      <c r="T1104" s="51" t="str">
        <f t="shared" si="1105"/>
        <v/>
      </c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52"/>
      <c r="AI1104" s="52"/>
      <c r="AJ1104" s="52"/>
      <c r="AK1104" s="52"/>
      <c r="AL1104" s="52"/>
      <c r="AM1104" s="52"/>
      <c r="AN1104" s="52"/>
      <c r="AO1104" s="52"/>
      <c r="AP1104" s="52"/>
      <c r="AQ1104" s="52"/>
      <c r="AR1104" s="52"/>
      <c r="AS1104" s="52"/>
      <c r="AT1104" s="52"/>
      <c r="AU1104" s="52"/>
      <c r="AV1104" s="52"/>
      <c r="AW1104" s="52"/>
      <c r="AX1104" s="52"/>
      <c r="AY1104" s="52"/>
      <c r="AZ1104" s="52"/>
      <c r="BA1104" s="52"/>
      <c r="BB1104" s="52"/>
      <c r="BC1104" s="52"/>
      <c r="BD1104" s="52"/>
      <c r="BE1104" s="52"/>
      <c r="BF1104" s="52"/>
      <c r="BG1104" s="52"/>
      <c r="BH1104" s="52"/>
      <c r="BI1104" s="52"/>
      <c r="BJ1104" s="52"/>
      <c r="BK1104" s="52"/>
      <c r="BL1104" s="52"/>
      <c r="BM1104" s="52"/>
      <c r="BN1104" s="52"/>
      <c r="BO1104" s="52"/>
    </row>
    <row r="1105">
      <c r="B1105" s="49"/>
      <c r="C1105" s="49" t="str">
        <f t="shared" si="2"/>
        <v/>
      </c>
      <c r="D1105" s="50" t="str">
        <f t="shared" si="3"/>
        <v/>
      </c>
      <c r="E1105" s="51" t="str">
        <f t="shared" ref="E1105:T1105" si="1106">IFERROR(VLOOKUP($A1105,INDIRECT("'" &amp; E$1 &amp; "'!$C:$G"), 5, FALSE),"")</f>
        <v/>
      </c>
      <c r="F1105" s="51" t="str">
        <f t="shared" si="1106"/>
        <v/>
      </c>
      <c r="G1105" s="51" t="str">
        <f t="shared" si="1106"/>
        <v/>
      </c>
      <c r="H1105" s="51" t="str">
        <f t="shared" si="1106"/>
        <v/>
      </c>
      <c r="I1105" s="51" t="str">
        <f t="shared" si="1106"/>
        <v/>
      </c>
      <c r="J1105" s="51" t="str">
        <f t="shared" si="1106"/>
        <v/>
      </c>
      <c r="K1105" s="51" t="str">
        <f t="shared" si="1106"/>
        <v/>
      </c>
      <c r="L1105" s="51" t="str">
        <f t="shared" si="1106"/>
        <v/>
      </c>
      <c r="M1105" s="51" t="str">
        <f t="shared" si="1106"/>
        <v/>
      </c>
      <c r="N1105" s="51" t="str">
        <f t="shared" si="1106"/>
        <v/>
      </c>
      <c r="O1105" s="51" t="str">
        <f t="shared" si="1106"/>
        <v/>
      </c>
      <c r="P1105" s="51" t="str">
        <f t="shared" si="1106"/>
        <v/>
      </c>
      <c r="Q1105" s="51" t="str">
        <f t="shared" si="1106"/>
        <v/>
      </c>
      <c r="R1105" s="51" t="str">
        <f t="shared" si="1106"/>
        <v/>
      </c>
      <c r="S1105" s="51" t="str">
        <f t="shared" si="1106"/>
        <v/>
      </c>
      <c r="T1105" s="51" t="str">
        <f t="shared" si="1106"/>
        <v/>
      </c>
      <c r="U1105" s="52"/>
      <c r="V1105" s="52"/>
      <c r="W1105" s="52"/>
      <c r="X1105" s="52"/>
      <c r="Y1105" s="52"/>
      <c r="Z1105" s="52"/>
      <c r="AA1105" s="52"/>
      <c r="AB1105" s="52"/>
      <c r="AC1105" s="52"/>
      <c r="AD1105" s="52"/>
      <c r="AE1105" s="52"/>
      <c r="AF1105" s="52"/>
      <c r="AG1105" s="52"/>
      <c r="AH1105" s="52"/>
      <c r="AI1105" s="52"/>
      <c r="AJ1105" s="52"/>
      <c r="AK1105" s="52"/>
      <c r="AL1105" s="52"/>
      <c r="AM1105" s="52"/>
      <c r="AN1105" s="52"/>
      <c r="AO1105" s="52"/>
      <c r="AP1105" s="52"/>
      <c r="AQ1105" s="52"/>
      <c r="AR1105" s="52"/>
      <c r="AS1105" s="52"/>
      <c r="AT1105" s="52"/>
      <c r="AU1105" s="52"/>
      <c r="AV1105" s="52"/>
      <c r="AW1105" s="52"/>
      <c r="AX1105" s="52"/>
      <c r="AY1105" s="52"/>
      <c r="AZ1105" s="52"/>
      <c r="BA1105" s="52"/>
      <c r="BB1105" s="52"/>
      <c r="BC1105" s="52"/>
      <c r="BD1105" s="52"/>
      <c r="BE1105" s="52"/>
      <c r="BF1105" s="52"/>
      <c r="BG1105" s="52"/>
      <c r="BH1105" s="52"/>
      <c r="BI1105" s="52"/>
      <c r="BJ1105" s="52"/>
      <c r="BK1105" s="52"/>
      <c r="BL1105" s="52"/>
      <c r="BM1105" s="52"/>
      <c r="BN1105" s="52"/>
      <c r="BO1105" s="52"/>
    </row>
    <row r="1106">
      <c r="B1106" s="49"/>
      <c r="C1106" s="49" t="str">
        <f t="shared" si="2"/>
        <v/>
      </c>
      <c r="D1106" s="50" t="str">
        <f t="shared" si="3"/>
        <v/>
      </c>
      <c r="E1106" s="51" t="str">
        <f t="shared" ref="E1106:T1106" si="1107">IFERROR(VLOOKUP($A1106,INDIRECT("'" &amp; E$1 &amp; "'!$C:$G"), 5, FALSE),"")</f>
        <v/>
      </c>
      <c r="F1106" s="51" t="str">
        <f t="shared" si="1107"/>
        <v/>
      </c>
      <c r="G1106" s="51" t="str">
        <f t="shared" si="1107"/>
        <v/>
      </c>
      <c r="H1106" s="51" t="str">
        <f t="shared" si="1107"/>
        <v/>
      </c>
      <c r="I1106" s="51" t="str">
        <f t="shared" si="1107"/>
        <v/>
      </c>
      <c r="J1106" s="51" t="str">
        <f t="shared" si="1107"/>
        <v/>
      </c>
      <c r="K1106" s="51" t="str">
        <f t="shared" si="1107"/>
        <v/>
      </c>
      <c r="L1106" s="51" t="str">
        <f t="shared" si="1107"/>
        <v/>
      </c>
      <c r="M1106" s="51" t="str">
        <f t="shared" si="1107"/>
        <v/>
      </c>
      <c r="N1106" s="51" t="str">
        <f t="shared" si="1107"/>
        <v/>
      </c>
      <c r="O1106" s="51" t="str">
        <f t="shared" si="1107"/>
        <v/>
      </c>
      <c r="P1106" s="51" t="str">
        <f t="shared" si="1107"/>
        <v/>
      </c>
      <c r="Q1106" s="51" t="str">
        <f t="shared" si="1107"/>
        <v/>
      </c>
      <c r="R1106" s="51" t="str">
        <f t="shared" si="1107"/>
        <v/>
      </c>
      <c r="S1106" s="51" t="str">
        <f t="shared" si="1107"/>
        <v/>
      </c>
      <c r="T1106" s="51" t="str">
        <f t="shared" si="1107"/>
        <v/>
      </c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I1106" s="52"/>
      <c r="AJ1106" s="52"/>
      <c r="AK1106" s="52"/>
      <c r="AL1106" s="52"/>
      <c r="AM1106" s="52"/>
      <c r="AN1106" s="52"/>
      <c r="AO1106" s="52"/>
      <c r="AP1106" s="52"/>
      <c r="AQ1106" s="52"/>
      <c r="AR1106" s="52"/>
      <c r="AS1106" s="52"/>
      <c r="AT1106" s="52"/>
      <c r="AU1106" s="52"/>
      <c r="AV1106" s="52"/>
      <c r="AW1106" s="52"/>
      <c r="AX1106" s="52"/>
      <c r="AY1106" s="52"/>
      <c r="AZ1106" s="52"/>
      <c r="BA1106" s="52"/>
      <c r="BB1106" s="52"/>
      <c r="BC1106" s="52"/>
      <c r="BD1106" s="52"/>
      <c r="BE1106" s="52"/>
      <c r="BF1106" s="52"/>
      <c r="BG1106" s="52"/>
      <c r="BH1106" s="52"/>
      <c r="BI1106" s="52"/>
      <c r="BJ1106" s="52"/>
      <c r="BK1106" s="52"/>
      <c r="BL1106" s="52"/>
      <c r="BM1106" s="52"/>
      <c r="BN1106" s="52"/>
      <c r="BO1106" s="52"/>
    </row>
    <row r="1107">
      <c r="B1107" s="49"/>
      <c r="C1107" s="49" t="str">
        <f t="shared" si="2"/>
        <v/>
      </c>
      <c r="D1107" s="50" t="str">
        <f t="shared" si="3"/>
        <v/>
      </c>
      <c r="E1107" s="51" t="str">
        <f t="shared" ref="E1107:T1107" si="1108">IFERROR(VLOOKUP($A1107,INDIRECT("'" &amp; E$1 &amp; "'!$C:$G"), 5, FALSE),"")</f>
        <v/>
      </c>
      <c r="F1107" s="51" t="str">
        <f t="shared" si="1108"/>
        <v/>
      </c>
      <c r="G1107" s="51" t="str">
        <f t="shared" si="1108"/>
        <v/>
      </c>
      <c r="H1107" s="51" t="str">
        <f t="shared" si="1108"/>
        <v/>
      </c>
      <c r="I1107" s="51" t="str">
        <f t="shared" si="1108"/>
        <v/>
      </c>
      <c r="J1107" s="51" t="str">
        <f t="shared" si="1108"/>
        <v/>
      </c>
      <c r="K1107" s="51" t="str">
        <f t="shared" si="1108"/>
        <v/>
      </c>
      <c r="L1107" s="51" t="str">
        <f t="shared" si="1108"/>
        <v/>
      </c>
      <c r="M1107" s="51" t="str">
        <f t="shared" si="1108"/>
        <v/>
      </c>
      <c r="N1107" s="51" t="str">
        <f t="shared" si="1108"/>
        <v/>
      </c>
      <c r="O1107" s="51" t="str">
        <f t="shared" si="1108"/>
        <v/>
      </c>
      <c r="P1107" s="51" t="str">
        <f t="shared" si="1108"/>
        <v/>
      </c>
      <c r="Q1107" s="51" t="str">
        <f t="shared" si="1108"/>
        <v/>
      </c>
      <c r="R1107" s="51" t="str">
        <f t="shared" si="1108"/>
        <v/>
      </c>
      <c r="S1107" s="51" t="str">
        <f t="shared" si="1108"/>
        <v/>
      </c>
      <c r="T1107" s="51" t="str">
        <f t="shared" si="1108"/>
        <v/>
      </c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I1107" s="52"/>
      <c r="AJ1107" s="52"/>
      <c r="AK1107" s="52"/>
      <c r="AL1107" s="52"/>
      <c r="AM1107" s="52"/>
      <c r="AN1107" s="52"/>
      <c r="AO1107" s="52"/>
      <c r="AP1107" s="52"/>
      <c r="AQ1107" s="52"/>
      <c r="AR1107" s="52"/>
      <c r="AS1107" s="52"/>
      <c r="AT1107" s="52"/>
      <c r="AU1107" s="52"/>
      <c r="AV1107" s="52"/>
      <c r="AW1107" s="52"/>
      <c r="AX1107" s="52"/>
      <c r="AY1107" s="52"/>
      <c r="AZ1107" s="52"/>
      <c r="BA1107" s="52"/>
      <c r="BB1107" s="52"/>
      <c r="BC1107" s="52"/>
      <c r="BD1107" s="52"/>
      <c r="BE1107" s="52"/>
      <c r="BF1107" s="52"/>
      <c r="BG1107" s="52"/>
      <c r="BH1107" s="52"/>
      <c r="BI1107" s="52"/>
      <c r="BJ1107" s="52"/>
      <c r="BK1107" s="52"/>
      <c r="BL1107" s="52"/>
      <c r="BM1107" s="52"/>
      <c r="BN1107" s="52"/>
      <c r="BO1107" s="52"/>
    </row>
    <row r="1108">
      <c r="B1108" s="49"/>
      <c r="C1108" s="49" t="str">
        <f t="shared" si="2"/>
        <v/>
      </c>
      <c r="D1108" s="50" t="str">
        <f t="shared" si="3"/>
        <v/>
      </c>
      <c r="E1108" s="51" t="str">
        <f t="shared" ref="E1108:T1108" si="1109">IFERROR(VLOOKUP($A1108,INDIRECT("'" &amp; E$1 &amp; "'!$C:$G"), 5, FALSE),"")</f>
        <v/>
      </c>
      <c r="F1108" s="51" t="str">
        <f t="shared" si="1109"/>
        <v/>
      </c>
      <c r="G1108" s="51" t="str">
        <f t="shared" si="1109"/>
        <v/>
      </c>
      <c r="H1108" s="51" t="str">
        <f t="shared" si="1109"/>
        <v/>
      </c>
      <c r="I1108" s="51" t="str">
        <f t="shared" si="1109"/>
        <v/>
      </c>
      <c r="J1108" s="51" t="str">
        <f t="shared" si="1109"/>
        <v/>
      </c>
      <c r="K1108" s="51" t="str">
        <f t="shared" si="1109"/>
        <v/>
      </c>
      <c r="L1108" s="51" t="str">
        <f t="shared" si="1109"/>
        <v/>
      </c>
      <c r="M1108" s="51" t="str">
        <f t="shared" si="1109"/>
        <v/>
      </c>
      <c r="N1108" s="51" t="str">
        <f t="shared" si="1109"/>
        <v/>
      </c>
      <c r="O1108" s="51" t="str">
        <f t="shared" si="1109"/>
        <v/>
      </c>
      <c r="P1108" s="51" t="str">
        <f t="shared" si="1109"/>
        <v/>
      </c>
      <c r="Q1108" s="51" t="str">
        <f t="shared" si="1109"/>
        <v/>
      </c>
      <c r="R1108" s="51" t="str">
        <f t="shared" si="1109"/>
        <v/>
      </c>
      <c r="S1108" s="51" t="str">
        <f t="shared" si="1109"/>
        <v/>
      </c>
      <c r="T1108" s="51" t="str">
        <f t="shared" si="1109"/>
        <v/>
      </c>
      <c r="U1108" s="52"/>
      <c r="V1108" s="52"/>
      <c r="W1108" s="52"/>
      <c r="X1108" s="52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I1108" s="52"/>
      <c r="AJ1108" s="52"/>
      <c r="AK1108" s="52"/>
      <c r="AL1108" s="52"/>
      <c r="AM1108" s="52"/>
      <c r="AN1108" s="52"/>
      <c r="AO1108" s="52"/>
      <c r="AP1108" s="52"/>
      <c r="AQ1108" s="52"/>
      <c r="AR1108" s="52"/>
      <c r="AS1108" s="52"/>
      <c r="AT1108" s="52"/>
      <c r="AU1108" s="52"/>
      <c r="AV1108" s="52"/>
      <c r="AW1108" s="52"/>
      <c r="AX1108" s="52"/>
      <c r="AY1108" s="52"/>
      <c r="AZ1108" s="52"/>
      <c r="BA1108" s="52"/>
      <c r="BB1108" s="52"/>
      <c r="BC1108" s="52"/>
      <c r="BD1108" s="52"/>
      <c r="BE1108" s="52"/>
      <c r="BF1108" s="52"/>
      <c r="BG1108" s="52"/>
      <c r="BH1108" s="52"/>
      <c r="BI1108" s="52"/>
      <c r="BJ1108" s="52"/>
      <c r="BK1108" s="52"/>
      <c r="BL1108" s="52"/>
      <c r="BM1108" s="52"/>
      <c r="BN1108" s="52"/>
      <c r="BO1108" s="52"/>
    </row>
    <row r="1109">
      <c r="B1109" s="49"/>
      <c r="C1109" s="49" t="str">
        <f t="shared" si="2"/>
        <v/>
      </c>
      <c r="D1109" s="50" t="str">
        <f t="shared" si="3"/>
        <v/>
      </c>
      <c r="E1109" s="51" t="str">
        <f t="shared" ref="E1109:T1109" si="1110">IFERROR(VLOOKUP($A1109,INDIRECT("'" &amp; E$1 &amp; "'!$C:$G"), 5, FALSE),"")</f>
        <v/>
      </c>
      <c r="F1109" s="51" t="str">
        <f t="shared" si="1110"/>
        <v/>
      </c>
      <c r="G1109" s="51" t="str">
        <f t="shared" si="1110"/>
        <v/>
      </c>
      <c r="H1109" s="51" t="str">
        <f t="shared" si="1110"/>
        <v/>
      </c>
      <c r="I1109" s="51" t="str">
        <f t="shared" si="1110"/>
        <v/>
      </c>
      <c r="J1109" s="51" t="str">
        <f t="shared" si="1110"/>
        <v/>
      </c>
      <c r="K1109" s="51" t="str">
        <f t="shared" si="1110"/>
        <v/>
      </c>
      <c r="L1109" s="51" t="str">
        <f t="shared" si="1110"/>
        <v/>
      </c>
      <c r="M1109" s="51" t="str">
        <f t="shared" si="1110"/>
        <v/>
      </c>
      <c r="N1109" s="51" t="str">
        <f t="shared" si="1110"/>
        <v/>
      </c>
      <c r="O1109" s="51" t="str">
        <f t="shared" si="1110"/>
        <v/>
      </c>
      <c r="P1109" s="51" t="str">
        <f t="shared" si="1110"/>
        <v/>
      </c>
      <c r="Q1109" s="51" t="str">
        <f t="shared" si="1110"/>
        <v/>
      </c>
      <c r="R1109" s="51" t="str">
        <f t="shared" si="1110"/>
        <v/>
      </c>
      <c r="S1109" s="51" t="str">
        <f t="shared" si="1110"/>
        <v/>
      </c>
      <c r="T1109" s="51" t="str">
        <f t="shared" si="1110"/>
        <v/>
      </c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2"/>
      <c r="AS1109" s="52"/>
      <c r="AT1109" s="52"/>
      <c r="AU1109" s="52"/>
      <c r="AV1109" s="52"/>
      <c r="AW1109" s="52"/>
      <c r="AX1109" s="52"/>
      <c r="AY1109" s="52"/>
      <c r="AZ1109" s="52"/>
      <c r="BA1109" s="52"/>
      <c r="BB1109" s="52"/>
      <c r="BC1109" s="52"/>
      <c r="BD1109" s="52"/>
      <c r="BE1109" s="52"/>
      <c r="BF1109" s="52"/>
      <c r="BG1109" s="52"/>
      <c r="BH1109" s="52"/>
      <c r="BI1109" s="52"/>
      <c r="BJ1109" s="52"/>
      <c r="BK1109" s="52"/>
      <c r="BL1109" s="52"/>
      <c r="BM1109" s="52"/>
      <c r="BN1109" s="52"/>
      <c r="BO1109" s="52"/>
    </row>
    <row r="1110">
      <c r="B1110" s="49"/>
      <c r="C1110" s="49" t="str">
        <f t="shared" si="2"/>
        <v/>
      </c>
      <c r="D1110" s="50" t="str">
        <f t="shared" si="3"/>
        <v/>
      </c>
      <c r="E1110" s="51" t="str">
        <f t="shared" ref="E1110:T1110" si="1111">IFERROR(VLOOKUP($A1110,INDIRECT("'" &amp; E$1 &amp; "'!$C:$G"), 5, FALSE),"")</f>
        <v/>
      </c>
      <c r="F1110" s="51" t="str">
        <f t="shared" si="1111"/>
        <v/>
      </c>
      <c r="G1110" s="51" t="str">
        <f t="shared" si="1111"/>
        <v/>
      </c>
      <c r="H1110" s="51" t="str">
        <f t="shared" si="1111"/>
        <v/>
      </c>
      <c r="I1110" s="51" t="str">
        <f t="shared" si="1111"/>
        <v/>
      </c>
      <c r="J1110" s="51" t="str">
        <f t="shared" si="1111"/>
        <v/>
      </c>
      <c r="K1110" s="51" t="str">
        <f t="shared" si="1111"/>
        <v/>
      </c>
      <c r="L1110" s="51" t="str">
        <f t="shared" si="1111"/>
        <v/>
      </c>
      <c r="M1110" s="51" t="str">
        <f t="shared" si="1111"/>
        <v/>
      </c>
      <c r="N1110" s="51" t="str">
        <f t="shared" si="1111"/>
        <v/>
      </c>
      <c r="O1110" s="51" t="str">
        <f t="shared" si="1111"/>
        <v/>
      </c>
      <c r="P1110" s="51" t="str">
        <f t="shared" si="1111"/>
        <v/>
      </c>
      <c r="Q1110" s="51" t="str">
        <f t="shared" si="1111"/>
        <v/>
      </c>
      <c r="R1110" s="51" t="str">
        <f t="shared" si="1111"/>
        <v/>
      </c>
      <c r="S1110" s="51" t="str">
        <f t="shared" si="1111"/>
        <v/>
      </c>
      <c r="T1110" s="51" t="str">
        <f t="shared" si="1111"/>
        <v/>
      </c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I1110" s="52"/>
      <c r="AJ1110" s="52"/>
      <c r="AK1110" s="52"/>
      <c r="AL1110" s="52"/>
      <c r="AM1110" s="52"/>
      <c r="AN1110" s="52"/>
      <c r="AO1110" s="52"/>
      <c r="AP1110" s="52"/>
      <c r="AQ1110" s="52"/>
      <c r="AR1110" s="52"/>
      <c r="AS1110" s="52"/>
      <c r="AT1110" s="52"/>
      <c r="AU1110" s="52"/>
      <c r="AV1110" s="52"/>
      <c r="AW1110" s="52"/>
      <c r="AX1110" s="52"/>
      <c r="AY1110" s="52"/>
      <c r="AZ1110" s="52"/>
      <c r="BA1110" s="52"/>
      <c r="BB1110" s="52"/>
      <c r="BC1110" s="52"/>
      <c r="BD1110" s="52"/>
      <c r="BE1110" s="52"/>
      <c r="BF1110" s="52"/>
      <c r="BG1110" s="52"/>
      <c r="BH1110" s="52"/>
      <c r="BI1110" s="52"/>
      <c r="BJ1110" s="52"/>
      <c r="BK1110" s="52"/>
      <c r="BL1110" s="52"/>
      <c r="BM1110" s="52"/>
      <c r="BN1110" s="52"/>
      <c r="BO1110" s="52"/>
    </row>
    <row r="1111">
      <c r="B1111" s="49"/>
      <c r="C1111" s="49" t="str">
        <f t="shared" si="2"/>
        <v/>
      </c>
      <c r="D1111" s="50" t="str">
        <f t="shared" si="3"/>
        <v/>
      </c>
      <c r="E1111" s="51" t="str">
        <f t="shared" ref="E1111:T1111" si="1112">IFERROR(VLOOKUP($A1111,INDIRECT("'" &amp; E$1 &amp; "'!$C:$G"), 5, FALSE),"")</f>
        <v/>
      </c>
      <c r="F1111" s="51" t="str">
        <f t="shared" si="1112"/>
        <v/>
      </c>
      <c r="G1111" s="51" t="str">
        <f t="shared" si="1112"/>
        <v/>
      </c>
      <c r="H1111" s="51" t="str">
        <f t="shared" si="1112"/>
        <v/>
      </c>
      <c r="I1111" s="51" t="str">
        <f t="shared" si="1112"/>
        <v/>
      </c>
      <c r="J1111" s="51" t="str">
        <f t="shared" si="1112"/>
        <v/>
      </c>
      <c r="K1111" s="51" t="str">
        <f t="shared" si="1112"/>
        <v/>
      </c>
      <c r="L1111" s="51" t="str">
        <f t="shared" si="1112"/>
        <v/>
      </c>
      <c r="M1111" s="51" t="str">
        <f t="shared" si="1112"/>
        <v/>
      </c>
      <c r="N1111" s="51" t="str">
        <f t="shared" si="1112"/>
        <v/>
      </c>
      <c r="O1111" s="51" t="str">
        <f t="shared" si="1112"/>
        <v/>
      </c>
      <c r="P1111" s="51" t="str">
        <f t="shared" si="1112"/>
        <v/>
      </c>
      <c r="Q1111" s="51" t="str">
        <f t="shared" si="1112"/>
        <v/>
      </c>
      <c r="R1111" s="51" t="str">
        <f t="shared" si="1112"/>
        <v/>
      </c>
      <c r="S1111" s="51" t="str">
        <f t="shared" si="1112"/>
        <v/>
      </c>
      <c r="T1111" s="51" t="str">
        <f t="shared" si="1112"/>
        <v/>
      </c>
      <c r="U1111" s="52"/>
      <c r="V1111" s="52"/>
      <c r="W1111" s="52"/>
      <c r="X1111" s="52"/>
      <c r="Y1111" s="52"/>
      <c r="Z1111" s="52"/>
      <c r="AA1111" s="52"/>
      <c r="AB1111" s="52"/>
      <c r="AC1111" s="52"/>
      <c r="AD1111" s="52"/>
      <c r="AE1111" s="52"/>
      <c r="AF1111" s="52"/>
      <c r="AG1111" s="52"/>
      <c r="AH1111" s="52"/>
      <c r="AI1111" s="52"/>
      <c r="AJ1111" s="52"/>
      <c r="AK1111" s="52"/>
      <c r="AL1111" s="52"/>
      <c r="AM1111" s="52"/>
      <c r="AN1111" s="52"/>
      <c r="AO1111" s="52"/>
      <c r="AP1111" s="52"/>
      <c r="AQ1111" s="52"/>
      <c r="AR1111" s="52"/>
      <c r="AS1111" s="52"/>
      <c r="AT1111" s="52"/>
      <c r="AU1111" s="52"/>
      <c r="AV1111" s="52"/>
      <c r="AW1111" s="52"/>
      <c r="AX1111" s="52"/>
      <c r="AY1111" s="52"/>
      <c r="AZ1111" s="52"/>
      <c r="BA1111" s="52"/>
      <c r="BB1111" s="52"/>
      <c r="BC1111" s="52"/>
      <c r="BD1111" s="52"/>
      <c r="BE1111" s="52"/>
      <c r="BF1111" s="52"/>
      <c r="BG1111" s="52"/>
      <c r="BH1111" s="52"/>
      <c r="BI1111" s="52"/>
      <c r="BJ1111" s="52"/>
      <c r="BK1111" s="52"/>
      <c r="BL1111" s="52"/>
      <c r="BM1111" s="52"/>
      <c r="BN1111" s="52"/>
      <c r="BO1111" s="52"/>
    </row>
    <row r="1112">
      <c r="B1112" s="49"/>
      <c r="C1112" s="49" t="str">
        <f t="shared" si="2"/>
        <v/>
      </c>
      <c r="D1112" s="50" t="str">
        <f t="shared" si="3"/>
        <v/>
      </c>
      <c r="E1112" s="51" t="str">
        <f t="shared" ref="E1112:T1112" si="1113">IFERROR(VLOOKUP($A1112,INDIRECT("'" &amp; E$1 &amp; "'!$C:$G"), 5, FALSE),"")</f>
        <v/>
      </c>
      <c r="F1112" s="51" t="str">
        <f t="shared" si="1113"/>
        <v/>
      </c>
      <c r="G1112" s="51" t="str">
        <f t="shared" si="1113"/>
        <v/>
      </c>
      <c r="H1112" s="51" t="str">
        <f t="shared" si="1113"/>
        <v/>
      </c>
      <c r="I1112" s="51" t="str">
        <f t="shared" si="1113"/>
        <v/>
      </c>
      <c r="J1112" s="51" t="str">
        <f t="shared" si="1113"/>
        <v/>
      </c>
      <c r="K1112" s="51" t="str">
        <f t="shared" si="1113"/>
        <v/>
      </c>
      <c r="L1112" s="51" t="str">
        <f t="shared" si="1113"/>
        <v/>
      </c>
      <c r="M1112" s="51" t="str">
        <f t="shared" si="1113"/>
        <v/>
      </c>
      <c r="N1112" s="51" t="str">
        <f t="shared" si="1113"/>
        <v/>
      </c>
      <c r="O1112" s="51" t="str">
        <f t="shared" si="1113"/>
        <v/>
      </c>
      <c r="P1112" s="51" t="str">
        <f t="shared" si="1113"/>
        <v/>
      </c>
      <c r="Q1112" s="51" t="str">
        <f t="shared" si="1113"/>
        <v/>
      </c>
      <c r="R1112" s="51" t="str">
        <f t="shared" si="1113"/>
        <v/>
      </c>
      <c r="S1112" s="51" t="str">
        <f t="shared" si="1113"/>
        <v/>
      </c>
      <c r="T1112" s="51" t="str">
        <f t="shared" si="1113"/>
        <v/>
      </c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I1112" s="52"/>
      <c r="AJ1112" s="52"/>
      <c r="AK1112" s="52"/>
      <c r="AL1112" s="52"/>
      <c r="AM1112" s="52"/>
      <c r="AN1112" s="52"/>
      <c r="AO1112" s="52"/>
      <c r="AP1112" s="52"/>
      <c r="AQ1112" s="52"/>
      <c r="AR1112" s="52"/>
      <c r="AS1112" s="52"/>
      <c r="AT1112" s="52"/>
      <c r="AU1112" s="52"/>
      <c r="AV1112" s="52"/>
      <c r="AW1112" s="52"/>
      <c r="AX1112" s="52"/>
      <c r="AY1112" s="52"/>
      <c r="AZ1112" s="52"/>
      <c r="BA1112" s="52"/>
      <c r="BB1112" s="52"/>
      <c r="BC1112" s="52"/>
      <c r="BD1112" s="52"/>
      <c r="BE1112" s="52"/>
      <c r="BF1112" s="52"/>
      <c r="BG1112" s="52"/>
      <c r="BH1112" s="52"/>
      <c r="BI1112" s="52"/>
      <c r="BJ1112" s="52"/>
      <c r="BK1112" s="52"/>
      <c r="BL1112" s="52"/>
      <c r="BM1112" s="52"/>
      <c r="BN1112" s="52"/>
      <c r="BO1112" s="52"/>
    </row>
    <row r="1113">
      <c r="B1113" s="49"/>
      <c r="C1113" s="49" t="str">
        <f t="shared" si="2"/>
        <v/>
      </c>
      <c r="D1113" s="50" t="str">
        <f t="shared" si="3"/>
        <v/>
      </c>
      <c r="E1113" s="51" t="str">
        <f t="shared" ref="E1113:T1113" si="1114">IFERROR(VLOOKUP($A1113,INDIRECT("'" &amp; E$1 &amp; "'!$C:$G"), 5, FALSE),"")</f>
        <v/>
      </c>
      <c r="F1113" s="51" t="str">
        <f t="shared" si="1114"/>
        <v/>
      </c>
      <c r="G1113" s="51" t="str">
        <f t="shared" si="1114"/>
        <v/>
      </c>
      <c r="H1113" s="51" t="str">
        <f t="shared" si="1114"/>
        <v/>
      </c>
      <c r="I1113" s="51" t="str">
        <f t="shared" si="1114"/>
        <v/>
      </c>
      <c r="J1113" s="51" t="str">
        <f t="shared" si="1114"/>
        <v/>
      </c>
      <c r="K1113" s="51" t="str">
        <f t="shared" si="1114"/>
        <v/>
      </c>
      <c r="L1113" s="51" t="str">
        <f t="shared" si="1114"/>
        <v/>
      </c>
      <c r="M1113" s="51" t="str">
        <f t="shared" si="1114"/>
        <v/>
      </c>
      <c r="N1113" s="51" t="str">
        <f t="shared" si="1114"/>
        <v/>
      </c>
      <c r="O1113" s="51" t="str">
        <f t="shared" si="1114"/>
        <v/>
      </c>
      <c r="P1113" s="51" t="str">
        <f t="shared" si="1114"/>
        <v/>
      </c>
      <c r="Q1113" s="51" t="str">
        <f t="shared" si="1114"/>
        <v/>
      </c>
      <c r="R1113" s="51" t="str">
        <f t="shared" si="1114"/>
        <v/>
      </c>
      <c r="S1113" s="51" t="str">
        <f t="shared" si="1114"/>
        <v/>
      </c>
      <c r="T1113" s="51" t="str">
        <f t="shared" si="1114"/>
        <v/>
      </c>
      <c r="U1113" s="52"/>
      <c r="V1113" s="52"/>
      <c r="W1113" s="52"/>
      <c r="X1113" s="52"/>
      <c r="Y1113" s="52"/>
      <c r="Z1113" s="52"/>
      <c r="AA1113" s="52"/>
      <c r="AB1113" s="52"/>
      <c r="AC1113" s="52"/>
      <c r="AD1113" s="52"/>
      <c r="AE1113" s="52"/>
      <c r="AF1113" s="52"/>
      <c r="AG1113" s="52"/>
      <c r="AH1113" s="52"/>
      <c r="AI1113" s="52"/>
      <c r="AJ1113" s="52"/>
      <c r="AK1113" s="52"/>
      <c r="AL1113" s="52"/>
      <c r="AM1113" s="52"/>
      <c r="AN1113" s="52"/>
      <c r="AO1113" s="52"/>
      <c r="AP1113" s="52"/>
      <c r="AQ1113" s="52"/>
      <c r="AR1113" s="52"/>
      <c r="AS1113" s="52"/>
      <c r="AT1113" s="52"/>
      <c r="AU1113" s="52"/>
      <c r="AV1113" s="52"/>
      <c r="AW1113" s="52"/>
      <c r="AX1113" s="52"/>
      <c r="AY1113" s="52"/>
      <c r="AZ1113" s="52"/>
      <c r="BA1113" s="52"/>
      <c r="BB1113" s="52"/>
      <c r="BC1113" s="52"/>
      <c r="BD1113" s="52"/>
      <c r="BE1113" s="52"/>
      <c r="BF1113" s="52"/>
      <c r="BG1113" s="52"/>
      <c r="BH1113" s="52"/>
      <c r="BI1113" s="52"/>
      <c r="BJ1113" s="52"/>
      <c r="BK1113" s="52"/>
      <c r="BL1113" s="52"/>
      <c r="BM1113" s="52"/>
      <c r="BN1113" s="52"/>
      <c r="BO1113" s="52"/>
    </row>
    <row r="1114">
      <c r="B1114" s="49"/>
      <c r="C1114" s="49" t="str">
        <f t="shared" si="2"/>
        <v/>
      </c>
      <c r="D1114" s="50" t="str">
        <f t="shared" si="3"/>
        <v/>
      </c>
      <c r="E1114" s="51" t="str">
        <f t="shared" ref="E1114:T1114" si="1115">IFERROR(VLOOKUP($A1114,INDIRECT("'" &amp; E$1 &amp; "'!$C:$G"), 5, FALSE),"")</f>
        <v/>
      </c>
      <c r="F1114" s="51" t="str">
        <f t="shared" si="1115"/>
        <v/>
      </c>
      <c r="G1114" s="51" t="str">
        <f t="shared" si="1115"/>
        <v/>
      </c>
      <c r="H1114" s="51" t="str">
        <f t="shared" si="1115"/>
        <v/>
      </c>
      <c r="I1114" s="51" t="str">
        <f t="shared" si="1115"/>
        <v/>
      </c>
      <c r="J1114" s="51" t="str">
        <f t="shared" si="1115"/>
        <v/>
      </c>
      <c r="K1114" s="51" t="str">
        <f t="shared" si="1115"/>
        <v/>
      </c>
      <c r="L1114" s="51" t="str">
        <f t="shared" si="1115"/>
        <v/>
      </c>
      <c r="M1114" s="51" t="str">
        <f t="shared" si="1115"/>
        <v/>
      </c>
      <c r="N1114" s="51" t="str">
        <f t="shared" si="1115"/>
        <v/>
      </c>
      <c r="O1114" s="51" t="str">
        <f t="shared" si="1115"/>
        <v/>
      </c>
      <c r="P1114" s="51" t="str">
        <f t="shared" si="1115"/>
        <v/>
      </c>
      <c r="Q1114" s="51" t="str">
        <f t="shared" si="1115"/>
        <v/>
      </c>
      <c r="R1114" s="51" t="str">
        <f t="shared" si="1115"/>
        <v/>
      </c>
      <c r="S1114" s="51" t="str">
        <f t="shared" si="1115"/>
        <v/>
      </c>
      <c r="T1114" s="51" t="str">
        <f t="shared" si="1115"/>
        <v/>
      </c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  <c r="AH1114" s="52"/>
      <c r="AI1114" s="52"/>
      <c r="AJ1114" s="52"/>
      <c r="AK1114" s="52"/>
      <c r="AL1114" s="52"/>
      <c r="AM1114" s="52"/>
      <c r="AN1114" s="52"/>
      <c r="AO1114" s="52"/>
      <c r="AP1114" s="52"/>
      <c r="AQ1114" s="52"/>
      <c r="AR1114" s="52"/>
      <c r="AS1114" s="52"/>
      <c r="AT1114" s="52"/>
      <c r="AU1114" s="52"/>
      <c r="AV1114" s="52"/>
      <c r="AW1114" s="52"/>
      <c r="AX1114" s="52"/>
      <c r="AY1114" s="52"/>
      <c r="AZ1114" s="52"/>
      <c r="BA1114" s="52"/>
      <c r="BB1114" s="52"/>
      <c r="BC1114" s="52"/>
      <c r="BD1114" s="52"/>
      <c r="BE1114" s="52"/>
      <c r="BF1114" s="52"/>
      <c r="BG1114" s="52"/>
      <c r="BH1114" s="52"/>
      <c r="BI1114" s="52"/>
      <c r="BJ1114" s="52"/>
      <c r="BK1114" s="52"/>
      <c r="BL1114" s="52"/>
      <c r="BM1114" s="52"/>
      <c r="BN1114" s="52"/>
      <c r="BO1114" s="52"/>
    </row>
    <row r="1115">
      <c r="B1115" s="49"/>
      <c r="C1115" s="49" t="str">
        <f t="shared" si="2"/>
        <v/>
      </c>
      <c r="D1115" s="50" t="str">
        <f t="shared" si="3"/>
        <v/>
      </c>
      <c r="E1115" s="51" t="str">
        <f t="shared" ref="E1115:T1115" si="1116">IFERROR(VLOOKUP($A1115,INDIRECT("'" &amp; E$1 &amp; "'!$C:$G"), 5, FALSE),"")</f>
        <v/>
      </c>
      <c r="F1115" s="51" t="str">
        <f t="shared" si="1116"/>
        <v/>
      </c>
      <c r="G1115" s="51" t="str">
        <f t="shared" si="1116"/>
        <v/>
      </c>
      <c r="H1115" s="51" t="str">
        <f t="shared" si="1116"/>
        <v/>
      </c>
      <c r="I1115" s="51" t="str">
        <f t="shared" si="1116"/>
        <v/>
      </c>
      <c r="J1115" s="51" t="str">
        <f t="shared" si="1116"/>
        <v/>
      </c>
      <c r="K1115" s="51" t="str">
        <f t="shared" si="1116"/>
        <v/>
      </c>
      <c r="L1115" s="51" t="str">
        <f t="shared" si="1116"/>
        <v/>
      </c>
      <c r="M1115" s="51" t="str">
        <f t="shared" si="1116"/>
        <v/>
      </c>
      <c r="N1115" s="51" t="str">
        <f t="shared" si="1116"/>
        <v/>
      </c>
      <c r="O1115" s="51" t="str">
        <f t="shared" si="1116"/>
        <v/>
      </c>
      <c r="P1115" s="51" t="str">
        <f t="shared" si="1116"/>
        <v/>
      </c>
      <c r="Q1115" s="51" t="str">
        <f t="shared" si="1116"/>
        <v/>
      </c>
      <c r="R1115" s="51" t="str">
        <f t="shared" si="1116"/>
        <v/>
      </c>
      <c r="S1115" s="51" t="str">
        <f t="shared" si="1116"/>
        <v/>
      </c>
      <c r="T1115" s="51" t="str">
        <f t="shared" si="1116"/>
        <v/>
      </c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52"/>
      <c r="AU1115" s="52"/>
      <c r="AV1115" s="52"/>
      <c r="AW1115" s="52"/>
      <c r="AX1115" s="52"/>
      <c r="AY1115" s="52"/>
      <c r="AZ1115" s="52"/>
      <c r="BA1115" s="52"/>
      <c r="BB1115" s="52"/>
      <c r="BC1115" s="52"/>
      <c r="BD1115" s="52"/>
      <c r="BE1115" s="52"/>
      <c r="BF1115" s="52"/>
      <c r="BG1115" s="52"/>
      <c r="BH1115" s="52"/>
      <c r="BI1115" s="52"/>
      <c r="BJ1115" s="52"/>
      <c r="BK1115" s="52"/>
      <c r="BL1115" s="52"/>
      <c r="BM1115" s="52"/>
      <c r="BN1115" s="52"/>
      <c r="BO1115" s="52"/>
    </row>
    <row r="1116">
      <c r="B1116" s="49"/>
      <c r="C1116" s="49" t="str">
        <f t="shared" si="2"/>
        <v/>
      </c>
      <c r="D1116" s="50" t="str">
        <f t="shared" si="3"/>
        <v/>
      </c>
      <c r="E1116" s="51" t="str">
        <f t="shared" ref="E1116:T1116" si="1117">IFERROR(VLOOKUP($A1116,INDIRECT("'" &amp; E$1 &amp; "'!$C:$G"), 5, FALSE),"")</f>
        <v/>
      </c>
      <c r="F1116" s="51" t="str">
        <f t="shared" si="1117"/>
        <v/>
      </c>
      <c r="G1116" s="51" t="str">
        <f t="shared" si="1117"/>
        <v/>
      </c>
      <c r="H1116" s="51" t="str">
        <f t="shared" si="1117"/>
        <v/>
      </c>
      <c r="I1116" s="51" t="str">
        <f t="shared" si="1117"/>
        <v/>
      </c>
      <c r="J1116" s="51" t="str">
        <f t="shared" si="1117"/>
        <v/>
      </c>
      <c r="K1116" s="51" t="str">
        <f t="shared" si="1117"/>
        <v/>
      </c>
      <c r="L1116" s="51" t="str">
        <f t="shared" si="1117"/>
        <v/>
      </c>
      <c r="M1116" s="51" t="str">
        <f t="shared" si="1117"/>
        <v/>
      </c>
      <c r="N1116" s="51" t="str">
        <f t="shared" si="1117"/>
        <v/>
      </c>
      <c r="O1116" s="51" t="str">
        <f t="shared" si="1117"/>
        <v/>
      </c>
      <c r="P1116" s="51" t="str">
        <f t="shared" si="1117"/>
        <v/>
      </c>
      <c r="Q1116" s="51" t="str">
        <f t="shared" si="1117"/>
        <v/>
      </c>
      <c r="R1116" s="51" t="str">
        <f t="shared" si="1117"/>
        <v/>
      </c>
      <c r="S1116" s="51" t="str">
        <f t="shared" si="1117"/>
        <v/>
      </c>
      <c r="T1116" s="51" t="str">
        <f t="shared" si="1117"/>
        <v/>
      </c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I1116" s="52"/>
      <c r="AJ1116" s="52"/>
      <c r="AK1116" s="52"/>
      <c r="AL1116" s="52"/>
      <c r="AM1116" s="52"/>
      <c r="AN1116" s="52"/>
      <c r="AO1116" s="52"/>
      <c r="AP1116" s="52"/>
      <c r="AQ1116" s="52"/>
      <c r="AR1116" s="52"/>
      <c r="AS1116" s="52"/>
      <c r="AT1116" s="52"/>
      <c r="AU1116" s="52"/>
      <c r="AV1116" s="52"/>
      <c r="AW1116" s="52"/>
      <c r="AX1116" s="52"/>
      <c r="AY1116" s="52"/>
      <c r="AZ1116" s="52"/>
      <c r="BA1116" s="52"/>
      <c r="BB1116" s="52"/>
      <c r="BC1116" s="52"/>
      <c r="BD1116" s="52"/>
      <c r="BE1116" s="52"/>
      <c r="BF1116" s="52"/>
      <c r="BG1116" s="52"/>
      <c r="BH1116" s="52"/>
      <c r="BI1116" s="52"/>
      <c r="BJ1116" s="52"/>
      <c r="BK1116" s="52"/>
      <c r="BL1116" s="52"/>
      <c r="BM1116" s="52"/>
      <c r="BN1116" s="52"/>
      <c r="BO1116" s="52"/>
    </row>
    <row r="1117">
      <c r="B1117" s="49"/>
      <c r="C1117" s="49" t="str">
        <f t="shared" si="2"/>
        <v/>
      </c>
      <c r="D1117" s="50" t="str">
        <f t="shared" si="3"/>
        <v/>
      </c>
      <c r="E1117" s="51" t="str">
        <f t="shared" ref="E1117:T1117" si="1118">IFERROR(VLOOKUP($A1117,INDIRECT("'" &amp; E$1 &amp; "'!$C:$G"), 5, FALSE),"")</f>
        <v/>
      </c>
      <c r="F1117" s="51" t="str">
        <f t="shared" si="1118"/>
        <v/>
      </c>
      <c r="G1117" s="51" t="str">
        <f t="shared" si="1118"/>
        <v/>
      </c>
      <c r="H1117" s="51" t="str">
        <f t="shared" si="1118"/>
        <v/>
      </c>
      <c r="I1117" s="51" t="str">
        <f t="shared" si="1118"/>
        <v/>
      </c>
      <c r="J1117" s="51" t="str">
        <f t="shared" si="1118"/>
        <v/>
      </c>
      <c r="K1117" s="51" t="str">
        <f t="shared" si="1118"/>
        <v/>
      </c>
      <c r="L1117" s="51" t="str">
        <f t="shared" si="1118"/>
        <v/>
      </c>
      <c r="M1117" s="51" t="str">
        <f t="shared" si="1118"/>
        <v/>
      </c>
      <c r="N1117" s="51" t="str">
        <f t="shared" si="1118"/>
        <v/>
      </c>
      <c r="O1117" s="51" t="str">
        <f t="shared" si="1118"/>
        <v/>
      </c>
      <c r="P1117" s="51" t="str">
        <f t="shared" si="1118"/>
        <v/>
      </c>
      <c r="Q1117" s="51" t="str">
        <f t="shared" si="1118"/>
        <v/>
      </c>
      <c r="R1117" s="51" t="str">
        <f t="shared" si="1118"/>
        <v/>
      </c>
      <c r="S1117" s="51" t="str">
        <f t="shared" si="1118"/>
        <v/>
      </c>
      <c r="T1117" s="51" t="str">
        <f t="shared" si="1118"/>
        <v/>
      </c>
      <c r="U1117" s="52"/>
      <c r="V1117" s="52"/>
      <c r="W1117" s="52"/>
      <c r="X1117" s="52"/>
      <c r="Y1117" s="52"/>
      <c r="Z1117" s="52"/>
      <c r="AA1117" s="52"/>
      <c r="AB1117" s="52"/>
      <c r="AC1117" s="52"/>
      <c r="AD1117" s="52"/>
      <c r="AE1117" s="52"/>
      <c r="AF1117" s="52"/>
      <c r="AG1117" s="52"/>
      <c r="AH1117" s="52"/>
      <c r="AI1117" s="52"/>
      <c r="AJ1117" s="52"/>
      <c r="AK1117" s="52"/>
      <c r="AL1117" s="52"/>
      <c r="AM1117" s="52"/>
      <c r="AN1117" s="52"/>
      <c r="AO1117" s="52"/>
      <c r="AP1117" s="52"/>
      <c r="AQ1117" s="52"/>
      <c r="AR1117" s="52"/>
      <c r="AS1117" s="52"/>
      <c r="AT1117" s="52"/>
      <c r="AU1117" s="52"/>
      <c r="AV1117" s="52"/>
      <c r="AW1117" s="52"/>
      <c r="AX1117" s="52"/>
      <c r="AY1117" s="52"/>
      <c r="AZ1117" s="52"/>
      <c r="BA1117" s="52"/>
      <c r="BB1117" s="52"/>
      <c r="BC1117" s="52"/>
      <c r="BD1117" s="52"/>
      <c r="BE1117" s="52"/>
      <c r="BF1117" s="52"/>
      <c r="BG1117" s="52"/>
      <c r="BH1117" s="52"/>
      <c r="BI1117" s="52"/>
      <c r="BJ1117" s="52"/>
      <c r="BK1117" s="52"/>
      <c r="BL1117" s="52"/>
      <c r="BM1117" s="52"/>
      <c r="BN1117" s="52"/>
      <c r="BO1117" s="52"/>
    </row>
    <row r="1118">
      <c r="B1118" s="49"/>
      <c r="C1118" s="49" t="str">
        <f t="shared" si="2"/>
        <v/>
      </c>
      <c r="D1118" s="50" t="str">
        <f t="shared" si="3"/>
        <v/>
      </c>
      <c r="E1118" s="51" t="str">
        <f t="shared" ref="E1118:T1118" si="1119">IFERROR(VLOOKUP($A1118,INDIRECT("'" &amp; E$1 &amp; "'!$C:$G"), 5, FALSE),"")</f>
        <v/>
      </c>
      <c r="F1118" s="51" t="str">
        <f t="shared" si="1119"/>
        <v/>
      </c>
      <c r="G1118" s="51" t="str">
        <f t="shared" si="1119"/>
        <v/>
      </c>
      <c r="H1118" s="51" t="str">
        <f t="shared" si="1119"/>
        <v/>
      </c>
      <c r="I1118" s="51" t="str">
        <f t="shared" si="1119"/>
        <v/>
      </c>
      <c r="J1118" s="51" t="str">
        <f t="shared" si="1119"/>
        <v/>
      </c>
      <c r="K1118" s="51" t="str">
        <f t="shared" si="1119"/>
        <v/>
      </c>
      <c r="L1118" s="51" t="str">
        <f t="shared" si="1119"/>
        <v/>
      </c>
      <c r="M1118" s="51" t="str">
        <f t="shared" si="1119"/>
        <v/>
      </c>
      <c r="N1118" s="51" t="str">
        <f t="shared" si="1119"/>
        <v/>
      </c>
      <c r="O1118" s="51" t="str">
        <f t="shared" si="1119"/>
        <v/>
      </c>
      <c r="P1118" s="51" t="str">
        <f t="shared" si="1119"/>
        <v/>
      </c>
      <c r="Q1118" s="51" t="str">
        <f t="shared" si="1119"/>
        <v/>
      </c>
      <c r="R1118" s="51" t="str">
        <f t="shared" si="1119"/>
        <v/>
      </c>
      <c r="S1118" s="51" t="str">
        <f t="shared" si="1119"/>
        <v/>
      </c>
      <c r="T1118" s="51" t="str">
        <f t="shared" si="1119"/>
        <v/>
      </c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I1118" s="52"/>
      <c r="AJ1118" s="52"/>
      <c r="AK1118" s="52"/>
      <c r="AL1118" s="52"/>
      <c r="AM1118" s="52"/>
      <c r="AN1118" s="52"/>
      <c r="AO1118" s="52"/>
      <c r="AP1118" s="52"/>
      <c r="AQ1118" s="52"/>
      <c r="AR1118" s="52"/>
      <c r="AS1118" s="52"/>
      <c r="AT1118" s="52"/>
      <c r="AU1118" s="52"/>
      <c r="AV1118" s="52"/>
      <c r="AW1118" s="52"/>
      <c r="AX1118" s="52"/>
      <c r="AY1118" s="52"/>
      <c r="AZ1118" s="52"/>
      <c r="BA1118" s="52"/>
      <c r="BB1118" s="52"/>
      <c r="BC1118" s="52"/>
      <c r="BD1118" s="52"/>
      <c r="BE1118" s="52"/>
      <c r="BF1118" s="52"/>
      <c r="BG1118" s="52"/>
      <c r="BH1118" s="52"/>
      <c r="BI1118" s="52"/>
      <c r="BJ1118" s="52"/>
      <c r="BK1118" s="52"/>
      <c r="BL1118" s="52"/>
      <c r="BM1118" s="52"/>
      <c r="BN1118" s="52"/>
      <c r="BO1118" s="52"/>
    </row>
    <row r="1119">
      <c r="B1119" s="49"/>
      <c r="C1119" s="49" t="str">
        <f t="shared" si="2"/>
        <v/>
      </c>
      <c r="D1119" s="50" t="str">
        <f t="shared" si="3"/>
        <v/>
      </c>
      <c r="E1119" s="51" t="str">
        <f t="shared" ref="E1119:T1119" si="1120">IFERROR(VLOOKUP($A1119,INDIRECT("'" &amp; E$1 &amp; "'!$C:$G"), 5, FALSE),"")</f>
        <v/>
      </c>
      <c r="F1119" s="51" t="str">
        <f t="shared" si="1120"/>
        <v/>
      </c>
      <c r="G1119" s="51" t="str">
        <f t="shared" si="1120"/>
        <v/>
      </c>
      <c r="H1119" s="51" t="str">
        <f t="shared" si="1120"/>
        <v/>
      </c>
      <c r="I1119" s="51" t="str">
        <f t="shared" si="1120"/>
        <v/>
      </c>
      <c r="J1119" s="51" t="str">
        <f t="shared" si="1120"/>
        <v/>
      </c>
      <c r="K1119" s="51" t="str">
        <f t="shared" si="1120"/>
        <v/>
      </c>
      <c r="L1119" s="51" t="str">
        <f t="shared" si="1120"/>
        <v/>
      </c>
      <c r="M1119" s="51" t="str">
        <f t="shared" si="1120"/>
        <v/>
      </c>
      <c r="N1119" s="51" t="str">
        <f t="shared" si="1120"/>
        <v/>
      </c>
      <c r="O1119" s="51" t="str">
        <f t="shared" si="1120"/>
        <v/>
      </c>
      <c r="P1119" s="51" t="str">
        <f t="shared" si="1120"/>
        <v/>
      </c>
      <c r="Q1119" s="51" t="str">
        <f t="shared" si="1120"/>
        <v/>
      </c>
      <c r="R1119" s="51" t="str">
        <f t="shared" si="1120"/>
        <v/>
      </c>
      <c r="S1119" s="51" t="str">
        <f t="shared" si="1120"/>
        <v/>
      </c>
      <c r="T1119" s="51" t="str">
        <f t="shared" si="1120"/>
        <v/>
      </c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2"/>
      <c r="AJ1119" s="52"/>
      <c r="AK1119" s="52"/>
      <c r="AL1119" s="52"/>
      <c r="AM1119" s="52"/>
      <c r="AN1119" s="52"/>
      <c r="AO1119" s="52"/>
      <c r="AP1119" s="52"/>
      <c r="AQ1119" s="52"/>
      <c r="AR1119" s="52"/>
      <c r="AS1119" s="52"/>
      <c r="AT1119" s="52"/>
      <c r="AU1119" s="52"/>
      <c r="AV1119" s="52"/>
      <c r="AW1119" s="52"/>
      <c r="AX1119" s="52"/>
      <c r="AY1119" s="52"/>
      <c r="AZ1119" s="52"/>
      <c r="BA1119" s="52"/>
      <c r="BB1119" s="52"/>
      <c r="BC1119" s="52"/>
      <c r="BD1119" s="52"/>
      <c r="BE1119" s="52"/>
      <c r="BF1119" s="52"/>
      <c r="BG1119" s="52"/>
      <c r="BH1119" s="52"/>
      <c r="BI1119" s="52"/>
      <c r="BJ1119" s="52"/>
      <c r="BK1119" s="52"/>
      <c r="BL1119" s="52"/>
      <c r="BM1119" s="52"/>
      <c r="BN1119" s="52"/>
      <c r="BO1119" s="52"/>
    </row>
    <row r="1120">
      <c r="B1120" s="49"/>
      <c r="C1120" s="49" t="str">
        <f t="shared" si="2"/>
        <v/>
      </c>
      <c r="D1120" s="50" t="str">
        <f t="shared" si="3"/>
        <v/>
      </c>
      <c r="E1120" s="51" t="str">
        <f t="shared" ref="E1120:T1120" si="1121">IFERROR(VLOOKUP($A1120,INDIRECT("'" &amp; E$1 &amp; "'!$C:$G"), 5, FALSE),"")</f>
        <v/>
      </c>
      <c r="F1120" s="51" t="str">
        <f t="shared" si="1121"/>
        <v/>
      </c>
      <c r="G1120" s="51" t="str">
        <f t="shared" si="1121"/>
        <v/>
      </c>
      <c r="H1120" s="51" t="str">
        <f t="shared" si="1121"/>
        <v/>
      </c>
      <c r="I1120" s="51" t="str">
        <f t="shared" si="1121"/>
        <v/>
      </c>
      <c r="J1120" s="51" t="str">
        <f t="shared" si="1121"/>
        <v/>
      </c>
      <c r="K1120" s="51" t="str">
        <f t="shared" si="1121"/>
        <v/>
      </c>
      <c r="L1120" s="51" t="str">
        <f t="shared" si="1121"/>
        <v/>
      </c>
      <c r="M1120" s="51" t="str">
        <f t="shared" si="1121"/>
        <v/>
      </c>
      <c r="N1120" s="51" t="str">
        <f t="shared" si="1121"/>
        <v/>
      </c>
      <c r="O1120" s="51" t="str">
        <f t="shared" si="1121"/>
        <v/>
      </c>
      <c r="P1120" s="51" t="str">
        <f t="shared" si="1121"/>
        <v/>
      </c>
      <c r="Q1120" s="51" t="str">
        <f t="shared" si="1121"/>
        <v/>
      </c>
      <c r="R1120" s="51" t="str">
        <f t="shared" si="1121"/>
        <v/>
      </c>
      <c r="S1120" s="51" t="str">
        <f t="shared" si="1121"/>
        <v/>
      </c>
      <c r="T1120" s="51" t="str">
        <f t="shared" si="1121"/>
        <v/>
      </c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I1120" s="52"/>
      <c r="AJ1120" s="52"/>
      <c r="AK1120" s="52"/>
      <c r="AL1120" s="52"/>
      <c r="AM1120" s="52"/>
      <c r="AN1120" s="52"/>
      <c r="AO1120" s="52"/>
      <c r="AP1120" s="52"/>
      <c r="AQ1120" s="52"/>
      <c r="AR1120" s="52"/>
      <c r="AS1120" s="52"/>
      <c r="AT1120" s="52"/>
      <c r="AU1120" s="52"/>
      <c r="AV1120" s="52"/>
      <c r="AW1120" s="52"/>
      <c r="AX1120" s="52"/>
      <c r="AY1120" s="52"/>
      <c r="AZ1120" s="52"/>
      <c r="BA1120" s="52"/>
      <c r="BB1120" s="52"/>
      <c r="BC1120" s="52"/>
      <c r="BD1120" s="52"/>
      <c r="BE1120" s="52"/>
      <c r="BF1120" s="52"/>
      <c r="BG1120" s="52"/>
      <c r="BH1120" s="52"/>
      <c r="BI1120" s="52"/>
      <c r="BJ1120" s="52"/>
      <c r="BK1120" s="52"/>
      <c r="BL1120" s="52"/>
      <c r="BM1120" s="52"/>
      <c r="BN1120" s="52"/>
      <c r="BO1120" s="52"/>
    </row>
    <row r="1121">
      <c r="B1121" s="49"/>
      <c r="C1121" s="49" t="str">
        <f t="shared" si="2"/>
        <v/>
      </c>
      <c r="D1121" s="50" t="str">
        <f t="shared" si="3"/>
        <v/>
      </c>
      <c r="E1121" s="51" t="str">
        <f t="shared" ref="E1121:T1121" si="1122">IFERROR(VLOOKUP($A1121,INDIRECT("'" &amp; E$1 &amp; "'!$C:$G"), 5, FALSE),"")</f>
        <v/>
      </c>
      <c r="F1121" s="51" t="str">
        <f t="shared" si="1122"/>
        <v/>
      </c>
      <c r="G1121" s="51" t="str">
        <f t="shared" si="1122"/>
        <v/>
      </c>
      <c r="H1121" s="51" t="str">
        <f t="shared" si="1122"/>
        <v/>
      </c>
      <c r="I1121" s="51" t="str">
        <f t="shared" si="1122"/>
        <v/>
      </c>
      <c r="J1121" s="51" t="str">
        <f t="shared" si="1122"/>
        <v/>
      </c>
      <c r="K1121" s="51" t="str">
        <f t="shared" si="1122"/>
        <v/>
      </c>
      <c r="L1121" s="51" t="str">
        <f t="shared" si="1122"/>
        <v/>
      </c>
      <c r="M1121" s="51" t="str">
        <f t="shared" si="1122"/>
        <v/>
      </c>
      <c r="N1121" s="51" t="str">
        <f t="shared" si="1122"/>
        <v/>
      </c>
      <c r="O1121" s="51" t="str">
        <f t="shared" si="1122"/>
        <v/>
      </c>
      <c r="P1121" s="51" t="str">
        <f t="shared" si="1122"/>
        <v/>
      </c>
      <c r="Q1121" s="51" t="str">
        <f t="shared" si="1122"/>
        <v/>
      </c>
      <c r="R1121" s="51" t="str">
        <f t="shared" si="1122"/>
        <v/>
      </c>
      <c r="S1121" s="51" t="str">
        <f t="shared" si="1122"/>
        <v/>
      </c>
      <c r="T1121" s="51" t="str">
        <f t="shared" si="1122"/>
        <v/>
      </c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2"/>
      <c r="AM1121" s="52"/>
      <c r="AN1121" s="52"/>
      <c r="AO1121" s="52"/>
      <c r="AP1121" s="52"/>
      <c r="AQ1121" s="52"/>
      <c r="AR1121" s="52"/>
      <c r="AS1121" s="52"/>
      <c r="AT1121" s="52"/>
      <c r="AU1121" s="52"/>
      <c r="AV1121" s="52"/>
      <c r="AW1121" s="52"/>
      <c r="AX1121" s="52"/>
      <c r="AY1121" s="52"/>
      <c r="AZ1121" s="52"/>
      <c r="BA1121" s="52"/>
      <c r="BB1121" s="52"/>
      <c r="BC1121" s="52"/>
      <c r="BD1121" s="52"/>
      <c r="BE1121" s="52"/>
      <c r="BF1121" s="52"/>
      <c r="BG1121" s="52"/>
      <c r="BH1121" s="52"/>
      <c r="BI1121" s="52"/>
      <c r="BJ1121" s="52"/>
      <c r="BK1121" s="52"/>
      <c r="BL1121" s="52"/>
      <c r="BM1121" s="52"/>
      <c r="BN1121" s="52"/>
      <c r="BO1121" s="52"/>
    </row>
    <row r="1122">
      <c r="B1122" s="49"/>
      <c r="C1122" s="49" t="str">
        <f t="shared" si="2"/>
        <v/>
      </c>
      <c r="D1122" s="50" t="str">
        <f t="shared" si="3"/>
        <v/>
      </c>
      <c r="E1122" s="51" t="str">
        <f t="shared" ref="E1122:T1122" si="1123">IFERROR(VLOOKUP($A1122,INDIRECT("'" &amp; E$1 &amp; "'!$C:$G"), 5, FALSE),"")</f>
        <v/>
      </c>
      <c r="F1122" s="51" t="str">
        <f t="shared" si="1123"/>
        <v/>
      </c>
      <c r="G1122" s="51" t="str">
        <f t="shared" si="1123"/>
        <v/>
      </c>
      <c r="H1122" s="51" t="str">
        <f t="shared" si="1123"/>
        <v/>
      </c>
      <c r="I1122" s="51" t="str">
        <f t="shared" si="1123"/>
        <v/>
      </c>
      <c r="J1122" s="51" t="str">
        <f t="shared" si="1123"/>
        <v/>
      </c>
      <c r="K1122" s="51" t="str">
        <f t="shared" si="1123"/>
        <v/>
      </c>
      <c r="L1122" s="51" t="str">
        <f t="shared" si="1123"/>
        <v/>
      </c>
      <c r="M1122" s="51" t="str">
        <f t="shared" si="1123"/>
        <v/>
      </c>
      <c r="N1122" s="51" t="str">
        <f t="shared" si="1123"/>
        <v/>
      </c>
      <c r="O1122" s="51" t="str">
        <f t="shared" si="1123"/>
        <v/>
      </c>
      <c r="P1122" s="51" t="str">
        <f t="shared" si="1123"/>
        <v/>
      </c>
      <c r="Q1122" s="51" t="str">
        <f t="shared" si="1123"/>
        <v/>
      </c>
      <c r="R1122" s="51" t="str">
        <f t="shared" si="1123"/>
        <v/>
      </c>
      <c r="S1122" s="51" t="str">
        <f t="shared" si="1123"/>
        <v/>
      </c>
      <c r="T1122" s="51" t="str">
        <f t="shared" si="1123"/>
        <v/>
      </c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52"/>
      <c r="AI1122" s="52"/>
      <c r="AJ1122" s="52"/>
      <c r="AK1122" s="52"/>
      <c r="AL1122" s="52"/>
      <c r="AM1122" s="52"/>
      <c r="AN1122" s="52"/>
      <c r="AO1122" s="52"/>
      <c r="AP1122" s="52"/>
      <c r="AQ1122" s="52"/>
      <c r="AR1122" s="52"/>
      <c r="AS1122" s="52"/>
      <c r="AT1122" s="52"/>
      <c r="AU1122" s="52"/>
      <c r="AV1122" s="52"/>
      <c r="AW1122" s="52"/>
      <c r="AX1122" s="52"/>
      <c r="AY1122" s="52"/>
      <c r="AZ1122" s="52"/>
      <c r="BA1122" s="52"/>
      <c r="BB1122" s="52"/>
      <c r="BC1122" s="52"/>
      <c r="BD1122" s="52"/>
      <c r="BE1122" s="52"/>
      <c r="BF1122" s="52"/>
      <c r="BG1122" s="52"/>
      <c r="BH1122" s="52"/>
      <c r="BI1122" s="52"/>
      <c r="BJ1122" s="52"/>
      <c r="BK1122" s="52"/>
      <c r="BL1122" s="52"/>
      <c r="BM1122" s="52"/>
      <c r="BN1122" s="52"/>
      <c r="BO1122" s="52"/>
    </row>
    <row r="1123">
      <c r="B1123" s="49"/>
      <c r="C1123" s="49" t="str">
        <f t="shared" si="2"/>
        <v/>
      </c>
      <c r="D1123" s="50" t="str">
        <f t="shared" si="3"/>
        <v/>
      </c>
      <c r="E1123" s="51" t="str">
        <f t="shared" ref="E1123:T1123" si="1124">IFERROR(VLOOKUP($A1123,INDIRECT("'" &amp; E$1 &amp; "'!$C:$G"), 5, FALSE),"")</f>
        <v/>
      </c>
      <c r="F1123" s="51" t="str">
        <f t="shared" si="1124"/>
        <v/>
      </c>
      <c r="G1123" s="51" t="str">
        <f t="shared" si="1124"/>
        <v/>
      </c>
      <c r="H1123" s="51" t="str">
        <f t="shared" si="1124"/>
        <v/>
      </c>
      <c r="I1123" s="51" t="str">
        <f t="shared" si="1124"/>
        <v/>
      </c>
      <c r="J1123" s="51" t="str">
        <f t="shared" si="1124"/>
        <v/>
      </c>
      <c r="K1123" s="51" t="str">
        <f t="shared" si="1124"/>
        <v/>
      </c>
      <c r="L1123" s="51" t="str">
        <f t="shared" si="1124"/>
        <v/>
      </c>
      <c r="M1123" s="51" t="str">
        <f t="shared" si="1124"/>
        <v/>
      </c>
      <c r="N1123" s="51" t="str">
        <f t="shared" si="1124"/>
        <v/>
      </c>
      <c r="O1123" s="51" t="str">
        <f t="shared" si="1124"/>
        <v/>
      </c>
      <c r="P1123" s="51" t="str">
        <f t="shared" si="1124"/>
        <v/>
      </c>
      <c r="Q1123" s="51" t="str">
        <f t="shared" si="1124"/>
        <v/>
      </c>
      <c r="R1123" s="51" t="str">
        <f t="shared" si="1124"/>
        <v/>
      </c>
      <c r="S1123" s="51" t="str">
        <f t="shared" si="1124"/>
        <v/>
      </c>
      <c r="T1123" s="51" t="str">
        <f t="shared" si="1124"/>
        <v/>
      </c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2"/>
      <c r="AJ1123" s="52"/>
      <c r="AK1123" s="52"/>
      <c r="AL1123" s="52"/>
      <c r="AM1123" s="52"/>
      <c r="AN1123" s="52"/>
      <c r="AO1123" s="52"/>
      <c r="AP1123" s="52"/>
      <c r="AQ1123" s="52"/>
      <c r="AR1123" s="52"/>
      <c r="AS1123" s="52"/>
      <c r="AT1123" s="52"/>
      <c r="AU1123" s="52"/>
      <c r="AV1123" s="52"/>
      <c r="AW1123" s="52"/>
      <c r="AX1123" s="52"/>
      <c r="AY1123" s="52"/>
      <c r="AZ1123" s="52"/>
      <c r="BA1123" s="52"/>
      <c r="BB1123" s="52"/>
      <c r="BC1123" s="52"/>
      <c r="BD1123" s="52"/>
      <c r="BE1123" s="52"/>
      <c r="BF1123" s="52"/>
      <c r="BG1123" s="52"/>
      <c r="BH1123" s="52"/>
      <c r="BI1123" s="52"/>
      <c r="BJ1123" s="52"/>
      <c r="BK1123" s="52"/>
      <c r="BL1123" s="52"/>
      <c r="BM1123" s="52"/>
      <c r="BN1123" s="52"/>
      <c r="BO1123" s="52"/>
    </row>
    <row r="1124">
      <c r="B1124" s="49"/>
      <c r="C1124" s="49" t="str">
        <f t="shared" si="2"/>
        <v/>
      </c>
      <c r="D1124" s="50" t="str">
        <f t="shared" si="3"/>
        <v/>
      </c>
      <c r="E1124" s="51" t="str">
        <f t="shared" ref="E1124:T1124" si="1125">IFERROR(VLOOKUP($A1124,INDIRECT("'" &amp; E$1 &amp; "'!$C:$G"), 5, FALSE),"")</f>
        <v/>
      </c>
      <c r="F1124" s="51" t="str">
        <f t="shared" si="1125"/>
        <v/>
      </c>
      <c r="G1124" s="51" t="str">
        <f t="shared" si="1125"/>
        <v/>
      </c>
      <c r="H1124" s="51" t="str">
        <f t="shared" si="1125"/>
        <v/>
      </c>
      <c r="I1124" s="51" t="str">
        <f t="shared" si="1125"/>
        <v/>
      </c>
      <c r="J1124" s="51" t="str">
        <f t="shared" si="1125"/>
        <v/>
      </c>
      <c r="K1124" s="51" t="str">
        <f t="shared" si="1125"/>
        <v/>
      </c>
      <c r="L1124" s="51" t="str">
        <f t="shared" si="1125"/>
        <v/>
      </c>
      <c r="M1124" s="51" t="str">
        <f t="shared" si="1125"/>
        <v/>
      </c>
      <c r="N1124" s="51" t="str">
        <f t="shared" si="1125"/>
        <v/>
      </c>
      <c r="O1124" s="51" t="str">
        <f t="shared" si="1125"/>
        <v/>
      </c>
      <c r="P1124" s="51" t="str">
        <f t="shared" si="1125"/>
        <v/>
      </c>
      <c r="Q1124" s="51" t="str">
        <f t="shared" si="1125"/>
        <v/>
      </c>
      <c r="R1124" s="51" t="str">
        <f t="shared" si="1125"/>
        <v/>
      </c>
      <c r="S1124" s="51" t="str">
        <f t="shared" si="1125"/>
        <v/>
      </c>
      <c r="T1124" s="51" t="str">
        <f t="shared" si="1125"/>
        <v/>
      </c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52"/>
      <c r="AN1124" s="52"/>
      <c r="AO1124" s="52"/>
      <c r="AP1124" s="52"/>
      <c r="AQ1124" s="52"/>
      <c r="AR1124" s="52"/>
      <c r="AS1124" s="52"/>
      <c r="AT1124" s="52"/>
      <c r="AU1124" s="52"/>
      <c r="AV1124" s="52"/>
      <c r="AW1124" s="52"/>
      <c r="AX1124" s="52"/>
      <c r="AY1124" s="52"/>
      <c r="AZ1124" s="52"/>
      <c r="BA1124" s="52"/>
      <c r="BB1124" s="52"/>
      <c r="BC1124" s="52"/>
      <c r="BD1124" s="52"/>
      <c r="BE1124" s="52"/>
      <c r="BF1124" s="52"/>
      <c r="BG1124" s="52"/>
      <c r="BH1124" s="52"/>
      <c r="BI1124" s="52"/>
      <c r="BJ1124" s="52"/>
      <c r="BK1124" s="52"/>
      <c r="BL1124" s="52"/>
      <c r="BM1124" s="52"/>
      <c r="BN1124" s="52"/>
      <c r="BO1124" s="52"/>
    </row>
    <row r="1125">
      <c r="B1125" s="49"/>
      <c r="C1125" s="49" t="str">
        <f t="shared" si="2"/>
        <v/>
      </c>
      <c r="D1125" s="50" t="str">
        <f t="shared" si="3"/>
        <v/>
      </c>
      <c r="E1125" s="51" t="str">
        <f t="shared" ref="E1125:T1125" si="1126">IFERROR(VLOOKUP($A1125,INDIRECT("'" &amp; E$1 &amp; "'!$C:$G"), 5, FALSE),"")</f>
        <v/>
      </c>
      <c r="F1125" s="51" t="str">
        <f t="shared" si="1126"/>
        <v/>
      </c>
      <c r="G1125" s="51" t="str">
        <f t="shared" si="1126"/>
        <v/>
      </c>
      <c r="H1125" s="51" t="str">
        <f t="shared" si="1126"/>
        <v/>
      </c>
      <c r="I1125" s="51" t="str">
        <f t="shared" si="1126"/>
        <v/>
      </c>
      <c r="J1125" s="51" t="str">
        <f t="shared" si="1126"/>
        <v/>
      </c>
      <c r="K1125" s="51" t="str">
        <f t="shared" si="1126"/>
        <v/>
      </c>
      <c r="L1125" s="51" t="str">
        <f t="shared" si="1126"/>
        <v/>
      </c>
      <c r="M1125" s="51" t="str">
        <f t="shared" si="1126"/>
        <v/>
      </c>
      <c r="N1125" s="51" t="str">
        <f t="shared" si="1126"/>
        <v/>
      </c>
      <c r="O1125" s="51" t="str">
        <f t="shared" si="1126"/>
        <v/>
      </c>
      <c r="P1125" s="51" t="str">
        <f t="shared" si="1126"/>
        <v/>
      </c>
      <c r="Q1125" s="51" t="str">
        <f t="shared" si="1126"/>
        <v/>
      </c>
      <c r="R1125" s="51" t="str">
        <f t="shared" si="1126"/>
        <v/>
      </c>
      <c r="S1125" s="51" t="str">
        <f t="shared" si="1126"/>
        <v/>
      </c>
      <c r="T1125" s="51" t="str">
        <f t="shared" si="1126"/>
        <v/>
      </c>
      <c r="U1125" s="52"/>
      <c r="V1125" s="52"/>
      <c r="W1125" s="52"/>
      <c r="X1125" s="52"/>
      <c r="Y1125" s="52"/>
      <c r="Z1125" s="52"/>
      <c r="AA1125" s="52"/>
      <c r="AB1125" s="52"/>
      <c r="AC1125" s="52"/>
      <c r="AD1125" s="52"/>
      <c r="AE1125" s="52"/>
      <c r="AF1125" s="52"/>
      <c r="AG1125" s="52"/>
      <c r="AH1125" s="52"/>
      <c r="AI1125" s="52"/>
      <c r="AJ1125" s="52"/>
      <c r="AK1125" s="52"/>
      <c r="AL1125" s="52"/>
      <c r="AM1125" s="52"/>
      <c r="AN1125" s="52"/>
      <c r="AO1125" s="52"/>
      <c r="AP1125" s="52"/>
      <c r="AQ1125" s="52"/>
      <c r="AR1125" s="52"/>
      <c r="AS1125" s="52"/>
      <c r="AT1125" s="52"/>
      <c r="AU1125" s="52"/>
      <c r="AV1125" s="52"/>
      <c r="AW1125" s="52"/>
      <c r="AX1125" s="52"/>
      <c r="AY1125" s="52"/>
      <c r="AZ1125" s="52"/>
      <c r="BA1125" s="52"/>
      <c r="BB1125" s="52"/>
      <c r="BC1125" s="52"/>
      <c r="BD1125" s="52"/>
      <c r="BE1125" s="52"/>
      <c r="BF1125" s="52"/>
      <c r="BG1125" s="52"/>
      <c r="BH1125" s="52"/>
      <c r="BI1125" s="52"/>
      <c r="BJ1125" s="52"/>
      <c r="BK1125" s="52"/>
      <c r="BL1125" s="52"/>
      <c r="BM1125" s="52"/>
      <c r="BN1125" s="52"/>
      <c r="BO1125" s="52"/>
    </row>
    <row r="1126">
      <c r="B1126" s="49"/>
      <c r="C1126" s="49" t="str">
        <f t="shared" si="2"/>
        <v/>
      </c>
      <c r="D1126" s="50" t="str">
        <f t="shared" si="3"/>
        <v/>
      </c>
      <c r="E1126" s="51" t="str">
        <f t="shared" ref="E1126:T1126" si="1127">IFERROR(VLOOKUP($A1126,INDIRECT("'" &amp; E$1 &amp; "'!$C:$G"), 5, FALSE),"")</f>
        <v/>
      </c>
      <c r="F1126" s="51" t="str">
        <f t="shared" si="1127"/>
        <v/>
      </c>
      <c r="G1126" s="51" t="str">
        <f t="shared" si="1127"/>
        <v/>
      </c>
      <c r="H1126" s="51" t="str">
        <f t="shared" si="1127"/>
        <v/>
      </c>
      <c r="I1126" s="51" t="str">
        <f t="shared" si="1127"/>
        <v/>
      </c>
      <c r="J1126" s="51" t="str">
        <f t="shared" si="1127"/>
        <v/>
      </c>
      <c r="K1126" s="51" t="str">
        <f t="shared" si="1127"/>
        <v/>
      </c>
      <c r="L1126" s="51" t="str">
        <f t="shared" si="1127"/>
        <v/>
      </c>
      <c r="M1126" s="51" t="str">
        <f t="shared" si="1127"/>
        <v/>
      </c>
      <c r="N1126" s="51" t="str">
        <f t="shared" si="1127"/>
        <v/>
      </c>
      <c r="O1126" s="51" t="str">
        <f t="shared" si="1127"/>
        <v/>
      </c>
      <c r="P1126" s="51" t="str">
        <f t="shared" si="1127"/>
        <v/>
      </c>
      <c r="Q1126" s="51" t="str">
        <f t="shared" si="1127"/>
        <v/>
      </c>
      <c r="R1126" s="51" t="str">
        <f t="shared" si="1127"/>
        <v/>
      </c>
      <c r="S1126" s="51" t="str">
        <f t="shared" si="1127"/>
        <v/>
      </c>
      <c r="T1126" s="51" t="str">
        <f t="shared" si="1127"/>
        <v/>
      </c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2"/>
      <c r="AJ1126" s="52"/>
      <c r="AK1126" s="52"/>
      <c r="AL1126" s="52"/>
      <c r="AM1126" s="52"/>
      <c r="AN1126" s="52"/>
      <c r="AO1126" s="52"/>
      <c r="AP1126" s="52"/>
      <c r="AQ1126" s="52"/>
      <c r="AR1126" s="52"/>
      <c r="AS1126" s="52"/>
      <c r="AT1126" s="52"/>
      <c r="AU1126" s="52"/>
      <c r="AV1126" s="52"/>
      <c r="AW1126" s="52"/>
      <c r="AX1126" s="52"/>
      <c r="AY1126" s="52"/>
      <c r="AZ1126" s="52"/>
      <c r="BA1126" s="52"/>
      <c r="BB1126" s="52"/>
      <c r="BC1126" s="52"/>
      <c r="BD1126" s="52"/>
      <c r="BE1126" s="52"/>
      <c r="BF1126" s="52"/>
      <c r="BG1126" s="52"/>
      <c r="BH1126" s="52"/>
      <c r="BI1126" s="52"/>
      <c r="BJ1126" s="52"/>
      <c r="BK1126" s="52"/>
      <c r="BL1126" s="52"/>
      <c r="BM1126" s="52"/>
      <c r="BN1126" s="52"/>
      <c r="BO1126" s="52"/>
    </row>
    <row r="1127">
      <c r="B1127" s="49"/>
      <c r="C1127" s="49" t="str">
        <f t="shared" si="2"/>
        <v/>
      </c>
      <c r="D1127" s="50" t="str">
        <f t="shared" si="3"/>
        <v/>
      </c>
      <c r="E1127" s="51" t="str">
        <f t="shared" ref="E1127:T1127" si="1128">IFERROR(VLOOKUP($A1127,INDIRECT("'" &amp; E$1 &amp; "'!$C:$G"), 5, FALSE),"")</f>
        <v/>
      </c>
      <c r="F1127" s="51" t="str">
        <f t="shared" si="1128"/>
        <v/>
      </c>
      <c r="G1127" s="51" t="str">
        <f t="shared" si="1128"/>
        <v/>
      </c>
      <c r="H1127" s="51" t="str">
        <f t="shared" si="1128"/>
        <v/>
      </c>
      <c r="I1127" s="51" t="str">
        <f t="shared" si="1128"/>
        <v/>
      </c>
      <c r="J1127" s="51" t="str">
        <f t="shared" si="1128"/>
        <v/>
      </c>
      <c r="K1127" s="51" t="str">
        <f t="shared" si="1128"/>
        <v/>
      </c>
      <c r="L1127" s="51" t="str">
        <f t="shared" si="1128"/>
        <v/>
      </c>
      <c r="M1127" s="51" t="str">
        <f t="shared" si="1128"/>
        <v/>
      </c>
      <c r="N1127" s="51" t="str">
        <f t="shared" si="1128"/>
        <v/>
      </c>
      <c r="O1127" s="51" t="str">
        <f t="shared" si="1128"/>
        <v/>
      </c>
      <c r="P1127" s="51" t="str">
        <f t="shared" si="1128"/>
        <v/>
      </c>
      <c r="Q1127" s="51" t="str">
        <f t="shared" si="1128"/>
        <v/>
      </c>
      <c r="R1127" s="51" t="str">
        <f t="shared" si="1128"/>
        <v/>
      </c>
      <c r="S1127" s="51" t="str">
        <f t="shared" si="1128"/>
        <v/>
      </c>
      <c r="T1127" s="51" t="str">
        <f t="shared" si="1128"/>
        <v/>
      </c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2"/>
      <c r="AJ1127" s="52"/>
      <c r="AK1127" s="52"/>
      <c r="AL1127" s="52"/>
      <c r="AM1127" s="52"/>
      <c r="AN1127" s="52"/>
      <c r="AO1127" s="52"/>
      <c r="AP1127" s="52"/>
      <c r="AQ1127" s="52"/>
      <c r="AR1127" s="52"/>
      <c r="AS1127" s="52"/>
      <c r="AT1127" s="52"/>
      <c r="AU1127" s="52"/>
      <c r="AV1127" s="52"/>
      <c r="AW1127" s="52"/>
      <c r="AX1127" s="52"/>
      <c r="AY1127" s="52"/>
      <c r="AZ1127" s="52"/>
      <c r="BA1127" s="52"/>
      <c r="BB1127" s="52"/>
      <c r="BC1127" s="52"/>
      <c r="BD1127" s="52"/>
      <c r="BE1127" s="52"/>
      <c r="BF1127" s="52"/>
      <c r="BG1127" s="52"/>
      <c r="BH1127" s="52"/>
      <c r="BI1127" s="52"/>
      <c r="BJ1127" s="52"/>
      <c r="BK1127" s="52"/>
      <c r="BL1127" s="52"/>
      <c r="BM1127" s="52"/>
      <c r="BN1127" s="52"/>
      <c r="BO1127" s="52"/>
    </row>
    <row r="1128">
      <c r="B1128" s="49"/>
      <c r="C1128" s="49" t="str">
        <f t="shared" si="2"/>
        <v/>
      </c>
      <c r="D1128" s="50" t="str">
        <f t="shared" si="3"/>
        <v/>
      </c>
      <c r="E1128" s="51" t="str">
        <f t="shared" ref="E1128:T1128" si="1129">IFERROR(VLOOKUP($A1128,INDIRECT("'" &amp; E$1 &amp; "'!$C:$G"), 5, FALSE),"")</f>
        <v/>
      </c>
      <c r="F1128" s="51" t="str">
        <f t="shared" si="1129"/>
        <v/>
      </c>
      <c r="G1128" s="51" t="str">
        <f t="shared" si="1129"/>
        <v/>
      </c>
      <c r="H1128" s="51" t="str">
        <f t="shared" si="1129"/>
        <v/>
      </c>
      <c r="I1128" s="51" t="str">
        <f t="shared" si="1129"/>
        <v/>
      </c>
      <c r="J1128" s="51" t="str">
        <f t="shared" si="1129"/>
        <v/>
      </c>
      <c r="K1128" s="51" t="str">
        <f t="shared" si="1129"/>
        <v/>
      </c>
      <c r="L1128" s="51" t="str">
        <f t="shared" si="1129"/>
        <v/>
      </c>
      <c r="M1128" s="51" t="str">
        <f t="shared" si="1129"/>
        <v/>
      </c>
      <c r="N1128" s="51" t="str">
        <f t="shared" si="1129"/>
        <v/>
      </c>
      <c r="O1128" s="51" t="str">
        <f t="shared" si="1129"/>
        <v/>
      </c>
      <c r="P1128" s="51" t="str">
        <f t="shared" si="1129"/>
        <v/>
      </c>
      <c r="Q1128" s="51" t="str">
        <f t="shared" si="1129"/>
        <v/>
      </c>
      <c r="R1128" s="51" t="str">
        <f t="shared" si="1129"/>
        <v/>
      </c>
      <c r="S1128" s="51" t="str">
        <f t="shared" si="1129"/>
        <v/>
      </c>
      <c r="T1128" s="51" t="str">
        <f t="shared" si="1129"/>
        <v/>
      </c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2"/>
      <c r="AM1128" s="52"/>
      <c r="AN1128" s="52"/>
      <c r="AO1128" s="52"/>
      <c r="AP1128" s="52"/>
      <c r="AQ1128" s="52"/>
      <c r="AR1128" s="52"/>
      <c r="AS1128" s="52"/>
      <c r="AT1128" s="52"/>
      <c r="AU1128" s="52"/>
      <c r="AV1128" s="52"/>
      <c r="AW1128" s="52"/>
      <c r="AX1128" s="52"/>
      <c r="AY1128" s="52"/>
      <c r="AZ1128" s="52"/>
      <c r="BA1128" s="52"/>
      <c r="BB1128" s="52"/>
      <c r="BC1128" s="52"/>
      <c r="BD1128" s="52"/>
      <c r="BE1128" s="52"/>
      <c r="BF1128" s="52"/>
      <c r="BG1128" s="52"/>
      <c r="BH1128" s="52"/>
      <c r="BI1128" s="52"/>
      <c r="BJ1128" s="52"/>
      <c r="BK1128" s="52"/>
      <c r="BL1128" s="52"/>
      <c r="BM1128" s="52"/>
      <c r="BN1128" s="52"/>
      <c r="BO1128" s="52"/>
    </row>
    <row r="1129">
      <c r="B1129" s="49"/>
      <c r="C1129" s="49" t="str">
        <f t="shared" si="2"/>
        <v/>
      </c>
      <c r="D1129" s="50" t="str">
        <f t="shared" si="3"/>
        <v/>
      </c>
      <c r="E1129" s="51" t="str">
        <f t="shared" ref="E1129:T1129" si="1130">IFERROR(VLOOKUP($A1129,INDIRECT("'" &amp; E$1 &amp; "'!$C:$G"), 5, FALSE),"")</f>
        <v/>
      </c>
      <c r="F1129" s="51" t="str">
        <f t="shared" si="1130"/>
        <v/>
      </c>
      <c r="G1129" s="51" t="str">
        <f t="shared" si="1130"/>
        <v/>
      </c>
      <c r="H1129" s="51" t="str">
        <f t="shared" si="1130"/>
        <v/>
      </c>
      <c r="I1129" s="51" t="str">
        <f t="shared" si="1130"/>
        <v/>
      </c>
      <c r="J1129" s="51" t="str">
        <f t="shared" si="1130"/>
        <v/>
      </c>
      <c r="K1129" s="51" t="str">
        <f t="shared" si="1130"/>
        <v/>
      </c>
      <c r="L1129" s="51" t="str">
        <f t="shared" si="1130"/>
        <v/>
      </c>
      <c r="M1129" s="51" t="str">
        <f t="shared" si="1130"/>
        <v/>
      </c>
      <c r="N1129" s="51" t="str">
        <f t="shared" si="1130"/>
        <v/>
      </c>
      <c r="O1129" s="51" t="str">
        <f t="shared" si="1130"/>
        <v/>
      </c>
      <c r="P1129" s="51" t="str">
        <f t="shared" si="1130"/>
        <v/>
      </c>
      <c r="Q1129" s="51" t="str">
        <f t="shared" si="1130"/>
        <v/>
      </c>
      <c r="R1129" s="51" t="str">
        <f t="shared" si="1130"/>
        <v/>
      </c>
      <c r="S1129" s="51" t="str">
        <f t="shared" si="1130"/>
        <v/>
      </c>
      <c r="T1129" s="51" t="str">
        <f t="shared" si="1130"/>
        <v/>
      </c>
      <c r="U1129" s="52"/>
      <c r="V1129" s="52"/>
      <c r="W1129" s="52"/>
      <c r="X1129" s="52"/>
      <c r="Y1129" s="52"/>
      <c r="Z1129" s="52"/>
      <c r="AA1129" s="52"/>
      <c r="AB1129" s="52"/>
      <c r="AC1129" s="52"/>
      <c r="AD1129" s="52"/>
      <c r="AE1129" s="52"/>
      <c r="AF1129" s="52"/>
      <c r="AG1129" s="52"/>
      <c r="AH1129" s="52"/>
      <c r="AI1129" s="52"/>
      <c r="AJ1129" s="52"/>
      <c r="AK1129" s="52"/>
      <c r="AL1129" s="52"/>
      <c r="AM1129" s="52"/>
      <c r="AN1129" s="52"/>
      <c r="AO1129" s="52"/>
      <c r="AP1129" s="52"/>
      <c r="AQ1129" s="52"/>
      <c r="AR1129" s="52"/>
      <c r="AS1129" s="52"/>
      <c r="AT1129" s="52"/>
      <c r="AU1129" s="52"/>
      <c r="AV1129" s="52"/>
      <c r="AW1129" s="52"/>
      <c r="AX1129" s="52"/>
      <c r="AY1129" s="52"/>
      <c r="AZ1129" s="52"/>
      <c r="BA1129" s="52"/>
      <c r="BB1129" s="52"/>
      <c r="BC1129" s="52"/>
      <c r="BD1129" s="52"/>
      <c r="BE1129" s="52"/>
      <c r="BF1129" s="52"/>
      <c r="BG1129" s="52"/>
      <c r="BH1129" s="52"/>
      <c r="BI1129" s="52"/>
      <c r="BJ1129" s="52"/>
      <c r="BK1129" s="52"/>
      <c r="BL1129" s="52"/>
      <c r="BM1129" s="52"/>
      <c r="BN1129" s="52"/>
      <c r="BO1129" s="52"/>
    </row>
    <row r="1130">
      <c r="B1130" s="49"/>
      <c r="C1130" s="49" t="str">
        <f t="shared" si="2"/>
        <v/>
      </c>
      <c r="D1130" s="50" t="str">
        <f t="shared" si="3"/>
        <v/>
      </c>
      <c r="E1130" s="51" t="str">
        <f t="shared" ref="E1130:T1130" si="1131">IFERROR(VLOOKUP($A1130,INDIRECT("'" &amp; E$1 &amp; "'!$C:$G"), 5, FALSE),"")</f>
        <v/>
      </c>
      <c r="F1130" s="51" t="str">
        <f t="shared" si="1131"/>
        <v/>
      </c>
      <c r="G1130" s="51" t="str">
        <f t="shared" si="1131"/>
        <v/>
      </c>
      <c r="H1130" s="51" t="str">
        <f t="shared" si="1131"/>
        <v/>
      </c>
      <c r="I1130" s="51" t="str">
        <f t="shared" si="1131"/>
        <v/>
      </c>
      <c r="J1130" s="51" t="str">
        <f t="shared" si="1131"/>
        <v/>
      </c>
      <c r="K1130" s="51" t="str">
        <f t="shared" si="1131"/>
        <v/>
      </c>
      <c r="L1130" s="51" t="str">
        <f t="shared" si="1131"/>
        <v/>
      </c>
      <c r="M1130" s="51" t="str">
        <f t="shared" si="1131"/>
        <v/>
      </c>
      <c r="N1130" s="51" t="str">
        <f t="shared" si="1131"/>
        <v/>
      </c>
      <c r="O1130" s="51" t="str">
        <f t="shared" si="1131"/>
        <v/>
      </c>
      <c r="P1130" s="51" t="str">
        <f t="shared" si="1131"/>
        <v/>
      </c>
      <c r="Q1130" s="51" t="str">
        <f t="shared" si="1131"/>
        <v/>
      </c>
      <c r="R1130" s="51" t="str">
        <f t="shared" si="1131"/>
        <v/>
      </c>
      <c r="S1130" s="51" t="str">
        <f t="shared" si="1131"/>
        <v/>
      </c>
      <c r="T1130" s="51" t="str">
        <f t="shared" si="1131"/>
        <v/>
      </c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I1130" s="52"/>
      <c r="AJ1130" s="52"/>
      <c r="AK1130" s="52"/>
      <c r="AL1130" s="52"/>
      <c r="AM1130" s="52"/>
      <c r="AN1130" s="52"/>
      <c r="AO1130" s="52"/>
      <c r="AP1130" s="52"/>
      <c r="AQ1130" s="52"/>
      <c r="AR1130" s="52"/>
      <c r="AS1130" s="52"/>
      <c r="AT1130" s="52"/>
      <c r="AU1130" s="52"/>
      <c r="AV1130" s="52"/>
      <c r="AW1130" s="52"/>
      <c r="AX1130" s="52"/>
      <c r="AY1130" s="52"/>
      <c r="AZ1130" s="52"/>
      <c r="BA1130" s="52"/>
      <c r="BB1130" s="52"/>
      <c r="BC1130" s="52"/>
      <c r="BD1130" s="52"/>
      <c r="BE1130" s="52"/>
      <c r="BF1130" s="52"/>
      <c r="BG1130" s="52"/>
      <c r="BH1130" s="52"/>
      <c r="BI1130" s="52"/>
      <c r="BJ1130" s="52"/>
      <c r="BK1130" s="52"/>
      <c r="BL1130" s="52"/>
      <c r="BM1130" s="52"/>
      <c r="BN1130" s="52"/>
      <c r="BO1130" s="52"/>
    </row>
    <row r="1131">
      <c r="B1131" s="49"/>
      <c r="C1131" s="49" t="str">
        <f t="shared" si="2"/>
        <v/>
      </c>
      <c r="D1131" s="50" t="str">
        <f t="shared" si="3"/>
        <v/>
      </c>
      <c r="E1131" s="51" t="str">
        <f t="shared" ref="E1131:T1131" si="1132">IFERROR(VLOOKUP($A1131,INDIRECT("'" &amp; E$1 &amp; "'!$C:$G"), 5, FALSE),"")</f>
        <v/>
      </c>
      <c r="F1131" s="51" t="str">
        <f t="shared" si="1132"/>
        <v/>
      </c>
      <c r="G1131" s="51" t="str">
        <f t="shared" si="1132"/>
        <v/>
      </c>
      <c r="H1131" s="51" t="str">
        <f t="shared" si="1132"/>
        <v/>
      </c>
      <c r="I1131" s="51" t="str">
        <f t="shared" si="1132"/>
        <v/>
      </c>
      <c r="J1131" s="51" t="str">
        <f t="shared" si="1132"/>
        <v/>
      </c>
      <c r="K1131" s="51" t="str">
        <f t="shared" si="1132"/>
        <v/>
      </c>
      <c r="L1131" s="51" t="str">
        <f t="shared" si="1132"/>
        <v/>
      </c>
      <c r="M1131" s="51" t="str">
        <f t="shared" si="1132"/>
        <v/>
      </c>
      <c r="N1131" s="51" t="str">
        <f t="shared" si="1132"/>
        <v/>
      </c>
      <c r="O1131" s="51" t="str">
        <f t="shared" si="1132"/>
        <v/>
      </c>
      <c r="P1131" s="51" t="str">
        <f t="shared" si="1132"/>
        <v/>
      </c>
      <c r="Q1131" s="51" t="str">
        <f t="shared" si="1132"/>
        <v/>
      </c>
      <c r="R1131" s="51" t="str">
        <f t="shared" si="1132"/>
        <v/>
      </c>
      <c r="S1131" s="51" t="str">
        <f t="shared" si="1132"/>
        <v/>
      </c>
      <c r="T1131" s="51" t="str">
        <f t="shared" si="1132"/>
        <v/>
      </c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I1131" s="52"/>
      <c r="AJ1131" s="52"/>
      <c r="AK1131" s="52"/>
      <c r="AL1131" s="52"/>
      <c r="AM1131" s="52"/>
      <c r="AN1131" s="52"/>
      <c r="AO1131" s="52"/>
      <c r="AP1131" s="52"/>
      <c r="AQ1131" s="52"/>
      <c r="AR1131" s="52"/>
      <c r="AS1131" s="52"/>
      <c r="AT1131" s="52"/>
      <c r="AU1131" s="52"/>
      <c r="AV1131" s="52"/>
      <c r="AW1131" s="52"/>
      <c r="AX1131" s="52"/>
      <c r="AY1131" s="52"/>
      <c r="AZ1131" s="52"/>
      <c r="BA1131" s="52"/>
      <c r="BB1131" s="52"/>
      <c r="BC1131" s="52"/>
      <c r="BD1131" s="52"/>
      <c r="BE1131" s="52"/>
      <c r="BF1131" s="52"/>
      <c r="BG1131" s="52"/>
      <c r="BH1131" s="52"/>
      <c r="BI1131" s="52"/>
      <c r="BJ1131" s="52"/>
      <c r="BK1131" s="52"/>
      <c r="BL1131" s="52"/>
      <c r="BM1131" s="52"/>
      <c r="BN1131" s="52"/>
      <c r="BO1131" s="52"/>
    </row>
    <row r="1132">
      <c r="B1132" s="49"/>
      <c r="C1132" s="49" t="str">
        <f t="shared" si="2"/>
        <v/>
      </c>
      <c r="D1132" s="50" t="str">
        <f t="shared" si="3"/>
        <v/>
      </c>
      <c r="E1132" s="51" t="str">
        <f t="shared" ref="E1132:T1132" si="1133">IFERROR(VLOOKUP($A1132,INDIRECT("'" &amp; E$1 &amp; "'!$C:$G"), 5, FALSE),"")</f>
        <v/>
      </c>
      <c r="F1132" s="51" t="str">
        <f t="shared" si="1133"/>
        <v/>
      </c>
      <c r="G1132" s="51" t="str">
        <f t="shared" si="1133"/>
        <v/>
      </c>
      <c r="H1132" s="51" t="str">
        <f t="shared" si="1133"/>
        <v/>
      </c>
      <c r="I1132" s="51" t="str">
        <f t="shared" si="1133"/>
        <v/>
      </c>
      <c r="J1132" s="51" t="str">
        <f t="shared" si="1133"/>
        <v/>
      </c>
      <c r="K1132" s="51" t="str">
        <f t="shared" si="1133"/>
        <v/>
      </c>
      <c r="L1132" s="51" t="str">
        <f t="shared" si="1133"/>
        <v/>
      </c>
      <c r="M1132" s="51" t="str">
        <f t="shared" si="1133"/>
        <v/>
      </c>
      <c r="N1132" s="51" t="str">
        <f t="shared" si="1133"/>
        <v/>
      </c>
      <c r="O1132" s="51" t="str">
        <f t="shared" si="1133"/>
        <v/>
      </c>
      <c r="P1132" s="51" t="str">
        <f t="shared" si="1133"/>
        <v/>
      </c>
      <c r="Q1132" s="51" t="str">
        <f t="shared" si="1133"/>
        <v/>
      </c>
      <c r="R1132" s="51" t="str">
        <f t="shared" si="1133"/>
        <v/>
      </c>
      <c r="S1132" s="51" t="str">
        <f t="shared" si="1133"/>
        <v/>
      </c>
      <c r="T1132" s="51" t="str">
        <f t="shared" si="1133"/>
        <v/>
      </c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  <c r="AH1132" s="52"/>
      <c r="AI1132" s="52"/>
      <c r="AJ1132" s="52"/>
      <c r="AK1132" s="52"/>
      <c r="AL1132" s="52"/>
      <c r="AM1132" s="52"/>
      <c r="AN1132" s="52"/>
      <c r="AO1132" s="52"/>
      <c r="AP1132" s="52"/>
      <c r="AQ1132" s="52"/>
      <c r="AR1132" s="52"/>
      <c r="AS1132" s="52"/>
      <c r="AT1132" s="52"/>
      <c r="AU1132" s="52"/>
      <c r="AV1132" s="52"/>
      <c r="AW1132" s="52"/>
      <c r="AX1132" s="52"/>
      <c r="AY1132" s="52"/>
      <c r="AZ1132" s="52"/>
      <c r="BA1132" s="52"/>
      <c r="BB1132" s="52"/>
      <c r="BC1132" s="52"/>
      <c r="BD1132" s="52"/>
      <c r="BE1132" s="52"/>
      <c r="BF1132" s="52"/>
      <c r="BG1132" s="52"/>
      <c r="BH1132" s="52"/>
      <c r="BI1132" s="52"/>
      <c r="BJ1132" s="52"/>
      <c r="BK1132" s="52"/>
      <c r="BL1132" s="52"/>
      <c r="BM1132" s="52"/>
      <c r="BN1132" s="52"/>
      <c r="BO1132" s="52"/>
    </row>
    <row r="1133">
      <c r="B1133" s="49"/>
      <c r="C1133" s="49" t="str">
        <f t="shared" si="2"/>
        <v/>
      </c>
      <c r="D1133" s="50" t="str">
        <f t="shared" si="3"/>
        <v/>
      </c>
      <c r="E1133" s="51" t="str">
        <f t="shared" ref="E1133:T1133" si="1134">IFERROR(VLOOKUP($A1133,INDIRECT("'" &amp; E$1 &amp; "'!$C:$G"), 5, FALSE),"")</f>
        <v/>
      </c>
      <c r="F1133" s="51" t="str">
        <f t="shared" si="1134"/>
        <v/>
      </c>
      <c r="G1133" s="51" t="str">
        <f t="shared" si="1134"/>
        <v/>
      </c>
      <c r="H1133" s="51" t="str">
        <f t="shared" si="1134"/>
        <v/>
      </c>
      <c r="I1133" s="51" t="str">
        <f t="shared" si="1134"/>
        <v/>
      </c>
      <c r="J1133" s="51" t="str">
        <f t="shared" si="1134"/>
        <v/>
      </c>
      <c r="K1133" s="51" t="str">
        <f t="shared" si="1134"/>
        <v/>
      </c>
      <c r="L1133" s="51" t="str">
        <f t="shared" si="1134"/>
        <v/>
      </c>
      <c r="M1133" s="51" t="str">
        <f t="shared" si="1134"/>
        <v/>
      </c>
      <c r="N1133" s="51" t="str">
        <f t="shared" si="1134"/>
        <v/>
      </c>
      <c r="O1133" s="51" t="str">
        <f t="shared" si="1134"/>
        <v/>
      </c>
      <c r="P1133" s="51" t="str">
        <f t="shared" si="1134"/>
        <v/>
      </c>
      <c r="Q1133" s="51" t="str">
        <f t="shared" si="1134"/>
        <v/>
      </c>
      <c r="R1133" s="51" t="str">
        <f t="shared" si="1134"/>
        <v/>
      </c>
      <c r="S1133" s="51" t="str">
        <f t="shared" si="1134"/>
        <v/>
      </c>
      <c r="T1133" s="51" t="str">
        <f t="shared" si="1134"/>
        <v/>
      </c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  <c r="AQ1133" s="52"/>
      <c r="AR1133" s="52"/>
      <c r="AS1133" s="52"/>
      <c r="AT1133" s="52"/>
      <c r="AU1133" s="52"/>
      <c r="AV1133" s="52"/>
      <c r="AW1133" s="52"/>
      <c r="AX1133" s="52"/>
      <c r="AY1133" s="52"/>
      <c r="AZ1133" s="52"/>
      <c r="BA1133" s="52"/>
      <c r="BB1133" s="52"/>
      <c r="BC1133" s="52"/>
      <c r="BD1133" s="52"/>
      <c r="BE1133" s="52"/>
      <c r="BF1133" s="52"/>
      <c r="BG1133" s="52"/>
      <c r="BH1133" s="52"/>
      <c r="BI1133" s="52"/>
      <c r="BJ1133" s="52"/>
      <c r="BK1133" s="52"/>
      <c r="BL1133" s="52"/>
      <c r="BM1133" s="52"/>
      <c r="BN1133" s="52"/>
      <c r="BO1133" s="52"/>
    </row>
    <row r="1134">
      <c r="B1134" s="49"/>
      <c r="C1134" s="49" t="str">
        <f t="shared" si="2"/>
        <v/>
      </c>
      <c r="D1134" s="50" t="str">
        <f t="shared" si="3"/>
        <v/>
      </c>
      <c r="E1134" s="51" t="str">
        <f t="shared" ref="E1134:T1134" si="1135">IFERROR(VLOOKUP($A1134,INDIRECT("'" &amp; E$1 &amp; "'!$C:$G"), 5, FALSE),"")</f>
        <v/>
      </c>
      <c r="F1134" s="51" t="str">
        <f t="shared" si="1135"/>
        <v/>
      </c>
      <c r="G1134" s="51" t="str">
        <f t="shared" si="1135"/>
        <v/>
      </c>
      <c r="H1134" s="51" t="str">
        <f t="shared" si="1135"/>
        <v/>
      </c>
      <c r="I1134" s="51" t="str">
        <f t="shared" si="1135"/>
        <v/>
      </c>
      <c r="J1134" s="51" t="str">
        <f t="shared" si="1135"/>
        <v/>
      </c>
      <c r="K1134" s="51" t="str">
        <f t="shared" si="1135"/>
        <v/>
      </c>
      <c r="L1134" s="51" t="str">
        <f t="shared" si="1135"/>
        <v/>
      </c>
      <c r="M1134" s="51" t="str">
        <f t="shared" si="1135"/>
        <v/>
      </c>
      <c r="N1134" s="51" t="str">
        <f t="shared" si="1135"/>
        <v/>
      </c>
      <c r="O1134" s="51" t="str">
        <f t="shared" si="1135"/>
        <v/>
      </c>
      <c r="P1134" s="51" t="str">
        <f t="shared" si="1135"/>
        <v/>
      </c>
      <c r="Q1134" s="51" t="str">
        <f t="shared" si="1135"/>
        <v/>
      </c>
      <c r="R1134" s="51" t="str">
        <f t="shared" si="1135"/>
        <v/>
      </c>
      <c r="S1134" s="51" t="str">
        <f t="shared" si="1135"/>
        <v/>
      </c>
      <c r="T1134" s="51" t="str">
        <f t="shared" si="1135"/>
        <v/>
      </c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I1134" s="52"/>
      <c r="AJ1134" s="52"/>
      <c r="AK1134" s="52"/>
      <c r="AL1134" s="52"/>
      <c r="AM1134" s="52"/>
      <c r="AN1134" s="52"/>
      <c r="AO1134" s="52"/>
      <c r="AP1134" s="52"/>
      <c r="AQ1134" s="52"/>
      <c r="AR1134" s="52"/>
      <c r="AS1134" s="52"/>
      <c r="AT1134" s="52"/>
      <c r="AU1134" s="52"/>
      <c r="AV1134" s="52"/>
      <c r="AW1134" s="52"/>
      <c r="AX1134" s="52"/>
      <c r="AY1134" s="52"/>
      <c r="AZ1134" s="52"/>
      <c r="BA1134" s="52"/>
      <c r="BB1134" s="52"/>
      <c r="BC1134" s="52"/>
      <c r="BD1134" s="52"/>
      <c r="BE1134" s="52"/>
      <c r="BF1134" s="52"/>
      <c r="BG1134" s="52"/>
      <c r="BH1134" s="52"/>
      <c r="BI1134" s="52"/>
      <c r="BJ1134" s="52"/>
      <c r="BK1134" s="52"/>
      <c r="BL1134" s="52"/>
      <c r="BM1134" s="52"/>
      <c r="BN1134" s="52"/>
      <c r="BO1134" s="52"/>
    </row>
    <row r="1135">
      <c r="B1135" s="49"/>
      <c r="C1135" s="49" t="str">
        <f t="shared" si="2"/>
        <v/>
      </c>
      <c r="D1135" s="50" t="str">
        <f t="shared" si="3"/>
        <v/>
      </c>
      <c r="E1135" s="51" t="str">
        <f t="shared" ref="E1135:T1135" si="1136">IFERROR(VLOOKUP($A1135,INDIRECT("'" &amp; E$1 &amp; "'!$C:$G"), 5, FALSE),"")</f>
        <v/>
      </c>
      <c r="F1135" s="51" t="str">
        <f t="shared" si="1136"/>
        <v/>
      </c>
      <c r="G1135" s="51" t="str">
        <f t="shared" si="1136"/>
        <v/>
      </c>
      <c r="H1135" s="51" t="str">
        <f t="shared" si="1136"/>
        <v/>
      </c>
      <c r="I1135" s="51" t="str">
        <f t="shared" si="1136"/>
        <v/>
      </c>
      <c r="J1135" s="51" t="str">
        <f t="shared" si="1136"/>
        <v/>
      </c>
      <c r="K1135" s="51" t="str">
        <f t="shared" si="1136"/>
        <v/>
      </c>
      <c r="L1135" s="51" t="str">
        <f t="shared" si="1136"/>
        <v/>
      </c>
      <c r="M1135" s="51" t="str">
        <f t="shared" si="1136"/>
        <v/>
      </c>
      <c r="N1135" s="51" t="str">
        <f t="shared" si="1136"/>
        <v/>
      </c>
      <c r="O1135" s="51" t="str">
        <f t="shared" si="1136"/>
        <v/>
      </c>
      <c r="P1135" s="51" t="str">
        <f t="shared" si="1136"/>
        <v/>
      </c>
      <c r="Q1135" s="51" t="str">
        <f t="shared" si="1136"/>
        <v/>
      </c>
      <c r="R1135" s="51" t="str">
        <f t="shared" si="1136"/>
        <v/>
      </c>
      <c r="S1135" s="51" t="str">
        <f t="shared" si="1136"/>
        <v/>
      </c>
      <c r="T1135" s="51" t="str">
        <f t="shared" si="1136"/>
        <v/>
      </c>
      <c r="U1135" s="52"/>
      <c r="V1135" s="52"/>
      <c r="W1135" s="52"/>
      <c r="X1135" s="52"/>
      <c r="Y1135" s="52"/>
      <c r="Z1135" s="52"/>
      <c r="AA1135" s="52"/>
      <c r="AB1135" s="52"/>
      <c r="AC1135" s="52"/>
      <c r="AD1135" s="52"/>
      <c r="AE1135" s="52"/>
      <c r="AF1135" s="52"/>
      <c r="AG1135" s="52"/>
      <c r="AH1135" s="52"/>
      <c r="AI1135" s="52"/>
      <c r="AJ1135" s="52"/>
      <c r="AK1135" s="52"/>
      <c r="AL1135" s="52"/>
      <c r="AM1135" s="52"/>
      <c r="AN1135" s="52"/>
      <c r="AO1135" s="52"/>
      <c r="AP1135" s="52"/>
      <c r="AQ1135" s="52"/>
      <c r="AR1135" s="52"/>
      <c r="AS1135" s="52"/>
      <c r="AT1135" s="52"/>
      <c r="AU1135" s="52"/>
      <c r="AV1135" s="52"/>
      <c r="AW1135" s="52"/>
      <c r="AX1135" s="52"/>
      <c r="AY1135" s="52"/>
      <c r="AZ1135" s="52"/>
      <c r="BA1135" s="52"/>
      <c r="BB1135" s="52"/>
      <c r="BC1135" s="52"/>
      <c r="BD1135" s="52"/>
      <c r="BE1135" s="52"/>
      <c r="BF1135" s="52"/>
      <c r="BG1135" s="52"/>
      <c r="BH1135" s="52"/>
      <c r="BI1135" s="52"/>
      <c r="BJ1135" s="52"/>
      <c r="BK1135" s="52"/>
      <c r="BL1135" s="52"/>
      <c r="BM1135" s="52"/>
      <c r="BN1135" s="52"/>
      <c r="BO1135" s="52"/>
    </row>
    <row r="1136">
      <c r="B1136" s="49"/>
      <c r="C1136" s="49" t="str">
        <f t="shared" si="2"/>
        <v/>
      </c>
      <c r="D1136" s="50" t="str">
        <f t="shared" si="3"/>
        <v/>
      </c>
      <c r="E1136" s="51" t="str">
        <f t="shared" ref="E1136:T1136" si="1137">IFERROR(VLOOKUP($A1136,INDIRECT("'" &amp; E$1 &amp; "'!$C:$G"), 5, FALSE),"")</f>
        <v/>
      </c>
      <c r="F1136" s="51" t="str">
        <f t="shared" si="1137"/>
        <v/>
      </c>
      <c r="G1136" s="51" t="str">
        <f t="shared" si="1137"/>
        <v/>
      </c>
      <c r="H1136" s="51" t="str">
        <f t="shared" si="1137"/>
        <v/>
      </c>
      <c r="I1136" s="51" t="str">
        <f t="shared" si="1137"/>
        <v/>
      </c>
      <c r="J1136" s="51" t="str">
        <f t="shared" si="1137"/>
        <v/>
      </c>
      <c r="K1136" s="51" t="str">
        <f t="shared" si="1137"/>
        <v/>
      </c>
      <c r="L1136" s="51" t="str">
        <f t="shared" si="1137"/>
        <v/>
      </c>
      <c r="M1136" s="51" t="str">
        <f t="shared" si="1137"/>
        <v/>
      </c>
      <c r="N1136" s="51" t="str">
        <f t="shared" si="1137"/>
        <v/>
      </c>
      <c r="O1136" s="51" t="str">
        <f t="shared" si="1137"/>
        <v/>
      </c>
      <c r="P1136" s="51" t="str">
        <f t="shared" si="1137"/>
        <v/>
      </c>
      <c r="Q1136" s="51" t="str">
        <f t="shared" si="1137"/>
        <v/>
      </c>
      <c r="R1136" s="51" t="str">
        <f t="shared" si="1137"/>
        <v/>
      </c>
      <c r="S1136" s="51" t="str">
        <f t="shared" si="1137"/>
        <v/>
      </c>
      <c r="T1136" s="51" t="str">
        <f t="shared" si="1137"/>
        <v/>
      </c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I1136" s="52"/>
      <c r="AJ1136" s="52"/>
      <c r="AK1136" s="52"/>
      <c r="AL1136" s="52"/>
      <c r="AM1136" s="52"/>
      <c r="AN1136" s="52"/>
      <c r="AO1136" s="52"/>
      <c r="AP1136" s="52"/>
      <c r="AQ1136" s="52"/>
      <c r="AR1136" s="52"/>
      <c r="AS1136" s="52"/>
      <c r="AT1136" s="52"/>
      <c r="AU1136" s="52"/>
      <c r="AV1136" s="52"/>
      <c r="AW1136" s="52"/>
      <c r="AX1136" s="52"/>
      <c r="AY1136" s="52"/>
      <c r="AZ1136" s="52"/>
      <c r="BA1136" s="52"/>
      <c r="BB1136" s="52"/>
      <c r="BC1136" s="52"/>
      <c r="BD1136" s="52"/>
      <c r="BE1136" s="52"/>
      <c r="BF1136" s="52"/>
      <c r="BG1136" s="52"/>
      <c r="BH1136" s="52"/>
      <c r="BI1136" s="52"/>
      <c r="BJ1136" s="52"/>
      <c r="BK1136" s="52"/>
      <c r="BL1136" s="52"/>
      <c r="BM1136" s="52"/>
      <c r="BN1136" s="52"/>
      <c r="BO1136" s="52"/>
    </row>
    <row r="1137">
      <c r="B1137" s="49"/>
      <c r="C1137" s="49" t="str">
        <f t="shared" si="2"/>
        <v/>
      </c>
      <c r="D1137" s="50" t="str">
        <f t="shared" si="3"/>
        <v/>
      </c>
      <c r="E1137" s="51" t="str">
        <f t="shared" ref="E1137:T1137" si="1138">IFERROR(VLOOKUP($A1137,INDIRECT("'" &amp; E$1 &amp; "'!$C:$G"), 5, FALSE),"")</f>
        <v/>
      </c>
      <c r="F1137" s="51" t="str">
        <f t="shared" si="1138"/>
        <v/>
      </c>
      <c r="G1137" s="51" t="str">
        <f t="shared" si="1138"/>
        <v/>
      </c>
      <c r="H1137" s="51" t="str">
        <f t="shared" si="1138"/>
        <v/>
      </c>
      <c r="I1137" s="51" t="str">
        <f t="shared" si="1138"/>
        <v/>
      </c>
      <c r="J1137" s="51" t="str">
        <f t="shared" si="1138"/>
        <v/>
      </c>
      <c r="K1137" s="51" t="str">
        <f t="shared" si="1138"/>
        <v/>
      </c>
      <c r="L1137" s="51" t="str">
        <f t="shared" si="1138"/>
        <v/>
      </c>
      <c r="M1137" s="51" t="str">
        <f t="shared" si="1138"/>
        <v/>
      </c>
      <c r="N1137" s="51" t="str">
        <f t="shared" si="1138"/>
        <v/>
      </c>
      <c r="O1137" s="51" t="str">
        <f t="shared" si="1138"/>
        <v/>
      </c>
      <c r="P1137" s="51" t="str">
        <f t="shared" si="1138"/>
        <v/>
      </c>
      <c r="Q1137" s="51" t="str">
        <f t="shared" si="1138"/>
        <v/>
      </c>
      <c r="R1137" s="51" t="str">
        <f t="shared" si="1138"/>
        <v/>
      </c>
      <c r="S1137" s="51" t="str">
        <f t="shared" si="1138"/>
        <v/>
      </c>
      <c r="T1137" s="51" t="str">
        <f t="shared" si="1138"/>
        <v/>
      </c>
      <c r="U1137" s="52"/>
      <c r="V1137" s="52"/>
      <c r="W1137" s="52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  <c r="AH1137" s="52"/>
      <c r="AI1137" s="52"/>
      <c r="AJ1137" s="52"/>
      <c r="AK1137" s="52"/>
      <c r="AL1137" s="52"/>
      <c r="AM1137" s="52"/>
      <c r="AN1137" s="52"/>
      <c r="AO1137" s="52"/>
      <c r="AP1137" s="52"/>
      <c r="AQ1137" s="52"/>
      <c r="AR1137" s="52"/>
      <c r="AS1137" s="52"/>
      <c r="AT1137" s="52"/>
      <c r="AU1137" s="52"/>
      <c r="AV1137" s="52"/>
      <c r="AW1137" s="52"/>
      <c r="AX1137" s="52"/>
      <c r="AY1137" s="52"/>
      <c r="AZ1137" s="52"/>
      <c r="BA1137" s="52"/>
      <c r="BB1137" s="52"/>
      <c r="BC1137" s="52"/>
      <c r="BD1137" s="52"/>
      <c r="BE1137" s="52"/>
      <c r="BF1137" s="52"/>
      <c r="BG1137" s="52"/>
      <c r="BH1137" s="52"/>
      <c r="BI1137" s="52"/>
      <c r="BJ1137" s="52"/>
      <c r="BK1137" s="52"/>
      <c r="BL1137" s="52"/>
      <c r="BM1137" s="52"/>
      <c r="BN1137" s="52"/>
      <c r="BO1137" s="52"/>
    </row>
    <row r="1138">
      <c r="B1138" s="49"/>
      <c r="C1138" s="49" t="str">
        <f t="shared" si="2"/>
        <v/>
      </c>
      <c r="D1138" s="50" t="str">
        <f t="shared" si="3"/>
        <v/>
      </c>
      <c r="E1138" s="51" t="str">
        <f t="shared" ref="E1138:T1138" si="1139">IFERROR(VLOOKUP($A1138,INDIRECT("'" &amp; E$1 &amp; "'!$C:$G"), 5, FALSE),"")</f>
        <v/>
      </c>
      <c r="F1138" s="51" t="str">
        <f t="shared" si="1139"/>
        <v/>
      </c>
      <c r="G1138" s="51" t="str">
        <f t="shared" si="1139"/>
        <v/>
      </c>
      <c r="H1138" s="51" t="str">
        <f t="shared" si="1139"/>
        <v/>
      </c>
      <c r="I1138" s="51" t="str">
        <f t="shared" si="1139"/>
        <v/>
      </c>
      <c r="J1138" s="51" t="str">
        <f t="shared" si="1139"/>
        <v/>
      </c>
      <c r="K1138" s="51" t="str">
        <f t="shared" si="1139"/>
        <v/>
      </c>
      <c r="L1138" s="51" t="str">
        <f t="shared" si="1139"/>
        <v/>
      </c>
      <c r="M1138" s="51" t="str">
        <f t="shared" si="1139"/>
        <v/>
      </c>
      <c r="N1138" s="51" t="str">
        <f t="shared" si="1139"/>
        <v/>
      </c>
      <c r="O1138" s="51" t="str">
        <f t="shared" si="1139"/>
        <v/>
      </c>
      <c r="P1138" s="51" t="str">
        <f t="shared" si="1139"/>
        <v/>
      </c>
      <c r="Q1138" s="51" t="str">
        <f t="shared" si="1139"/>
        <v/>
      </c>
      <c r="R1138" s="51" t="str">
        <f t="shared" si="1139"/>
        <v/>
      </c>
      <c r="S1138" s="51" t="str">
        <f t="shared" si="1139"/>
        <v/>
      </c>
      <c r="T1138" s="51" t="str">
        <f t="shared" si="1139"/>
        <v/>
      </c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I1138" s="52"/>
      <c r="AJ1138" s="52"/>
      <c r="AK1138" s="52"/>
      <c r="AL1138" s="52"/>
      <c r="AM1138" s="52"/>
      <c r="AN1138" s="52"/>
      <c r="AO1138" s="52"/>
      <c r="AP1138" s="52"/>
      <c r="AQ1138" s="52"/>
      <c r="AR1138" s="52"/>
      <c r="AS1138" s="52"/>
      <c r="AT1138" s="52"/>
      <c r="AU1138" s="52"/>
      <c r="AV1138" s="52"/>
      <c r="AW1138" s="52"/>
      <c r="AX1138" s="52"/>
      <c r="AY1138" s="52"/>
      <c r="AZ1138" s="52"/>
      <c r="BA1138" s="52"/>
      <c r="BB1138" s="52"/>
      <c r="BC1138" s="52"/>
      <c r="BD1138" s="52"/>
      <c r="BE1138" s="52"/>
      <c r="BF1138" s="52"/>
      <c r="BG1138" s="52"/>
      <c r="BH1138" s="52"/>
      <c r="BI1138" s="52"/>
      <c r="BJ1138" s="52"/>
      <c r="BK1138" s="52"/>
      <c r="BL1138" s="52"/>
      <c r="BM1138" s="52"/>
      <c r="BN1138" s="52"/>
      <c r="BO1138" s="52"/>
    </row>
    <row r="1139">
      <c r="B1139" s="49"/>
      <c r="C1139" s="49" t="str">
        <f t="shared" si="2"/>
        <v/>
      </c>
      <c r="D1139" s="50" t="str">
        <f t="shared" si="3"/>
        <v/>
      </c>
      <c r="E1139" s="51" t="str">
        <f t="shared" ref="E1139:T1139" si="1140">IFERROR(VLOOKUP($A1139,INDIRECT("'" &amp; E$1 &amp; "'!$C:$G"), 5, FALSE),"")</f>
        <v/>
      </c>
      <c r="F1139" s="51" t="str">
        <f t="shared" si="1140"/>
        <v/>
      </c>
      <c r="G1139" s="51" t="str">
        <f t="shared" si="1140"/>
        <v/>
      </c>
      <c r="H1139" s="51" t="str">
        <f t="shared" si="1140"/>
        <v/>
      </c>
      <c r="I1139" s="51" t="str">
        <f t="shared" si="1140"/>
        <v/>
      </c>
      <c r="J1139" s="51" t="str">
        <f t="shared" si="1140"/>
        <v/>
      </c>
      <c r="K1139" s="51" t="str">
        <f t="shared" si="1140"/>
        <v/>
      </c>
      <c r="L1139" s="51" t="str">
        <f t="shared" si="1140"/>
        <v/>
      </c>
      <c r="M1139" s="51" t="str">
        <f t="shared" si="1140"/>
        <v/>
      </c>
      <c r="N1139" s="51" t="str">
        <f t="shared" si="1140"/>
        <v/>
      </c>
      <c r="O1139" s="51" t="str">
        <f t="shared" si="1140"/>
        <v/>
      </c>
      <c r="P1139" s="51" t="str">
        <f t="shared" si="1140"/>
        <v/>
      </c>
      <c r="Q1139" s="51" t="str">
        <f t="shared" si="1140"/>
        <v/>
      </c>
      <c r="R1139" s="51" t="str">
        <f t="shared" si="1140"/>
        <v/>
      </c>
      <c r="S1139" s="51" t="str">
        <f t="shared" si="1140"/>
        <v/>
      </c>
      <c r="T1139" s="51" t="str">
        <f t="shared" si="1140"/>
        <v/>
      </c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I1139" s="52"/>
      <c r="AJ1139" s="52"/>
      <c r="AK1139" s="52"/>
      <c r="AL1139" s="52"/>
      <c r="AM1139" s="52"/>
      <c r="AN1139" s="52"/>
      <c r="AO1139" s="52"/>
      <c r="AP1139" s="52"/>
      <c r="AQ1139" s="52"/>
      <c r="AR1139" s="52"/>
      <c r="AS1139" s="52"/>
      <c r="AT1139" s="52"/>
      <c r="AU1139" s="52"/>
      <c r="AV1139" s="52"/>
      <c r="AW1139" s="52"/>
      <c r="AX1139" s="52"/>
      <c r="AY1139" s="52"/>
      <c r="AZ1139" s="52"/>
      <c r="BA1139" s="52"/>
      <c r="BB1139" s="52"/>
      <c r="BC1139" s="52"/>
      <c r="BD1139" s="52"/>
      <c r="BE1139" s="52"/>
      <c r="BF1139" s="52"/>
      <c r="BG1139" s="52"/>
      <c r="BH1139" s="52"/>
      <c r="BI1139" s="52"/>
      <c r="BJ1139" s="52"/>
      <c r="BK1139" s="52"/>
      <c r="BL1139" s="52"/>
      <c r="BM1139" s="52"/>
      <c r="BN1139" s="52"/>
      <c r="BO1139" s="52"/>
    </row>
    <row r="1140">
      <c r="B1140" s="49"/>
      <c r="C1140" s="49" t="str">
        <f t="shared" si="2"/>
        <v/>
      </c>
      <c r="D1140" s="50" t="str">
        <f t="shared" si="3"/>
        <v/>
      </c>
      <c r="E1140" s="51" t="str">
        <f t="shared" ref="E1140:T1140" si="1141">IFERROR(VLOOKUP($A1140,INDIRECT("'" &amp; E$1 &amp; "'!$C:$G"), 5, FALSE),"")</f>
        <v/>
      </c>
      <c r="F1140" s="51" t="str">
        <f t="shared" si="1141"/>
        <v/>
      </c>
      <c r="G1140" s="51" t="str">
        <f t="shared" si="1141"/>
        <v/>
      </c>
      <c r="H1140" s="51" t="str">
        <f t="shared" si="1141"/>
        <v/>
      </c>
      <c r="I1140" s="51" t="str">
        <f t="shared" si="1141"/>
        <v/>
      </c>
      <c r="J1140" s="51" t="str">
        <f t="shared" si="1141"/>
        <v/>
      </c>
      <c r="K1140" s="51" t="str">
        <f t="shared" si="1141"/>
        <v/>
      </c>
      <c r="L1140" s="51" t="str">
        <f t="shared" si="1141"/>
        <v/>
      </c>
      <c r="M1140" s="51" t="str">
        <f t="shared" si="1141"/>
        <v/>
      </c>
      <c r="N1140" s="51" t="str">
        <f t="shared" si="1141"/>
        <v/>
      </c>
      <c r="O1140" s="51" t="str">
        <f t="shared" si="1141"/>
        <v/>
      </c>
      <c r="P1140" s="51" t="str">
        <f t="shared" si="1141"/>
        <v/>
      </c>
      <c r="Q1140" s="51" t="str">
        <f t="shared" si="1141"/>
        <v/>
      </c>
      <c r="R1140" s="51" t="str">
        <f t="shared" si="1141"/>
        <v/>
      </c>
      <c r="S1140" s="51" t="str">
        <f t="shared" si="1141"/>
        <v/>
      </c>
      <c r="T1140" s="51" t="str">
        <f t="shared" si="1141"/>
        <v/>
      </c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52"/>
      <c r="AI1140" s="52"/>
      <c r="AJ1140" s="52"/>
      <c r="AK1140" s="52"/>
      <c r="AL1140" s="52"/>
      <c r="AM1140" s="52"/>
      <c r="AN1140" s="52"/>
      <c r="AO1140" s="52"/>
      <c r="AP1140" s="52"/>
      <c r="AQ1140" s="52"/>
      <c r="AR1140" s="52"/>
      <c r="AS1140" s="52"/>
      <c r="AT1140" s="52"/>
      <c r="AU1140" s="52"/>
      <c r="AV1140" s="52"/>
      <c r="AW1140" s="52"/>
      <c r="AX1140" s="52"/>
      <c r="AY1140" s="52"/>
      <c r="AZ1140" s="52"/>
      <c r="BA1140" s="52"/>
      <c r="BB1140" s="52"/>
      <c r="BC1140" s="52"/>
      <c r="BD1140" s="52"/>
      <c r="BE1140" s="52"/>
      <c r="BF1140" s="52"/>
      <c r="BG1140" s="52"/>
      <c r="BH1140" s="52"/>
      <c r="BI1140" s="52"/>
      <c r="BJ1140" s="52"/>
      <c r="BK1140" s="52"/>
      <c r="BL1140" s="52"/>
      <c r="BM1140" s="52"/>
      <c r="BN1140" s="52"/>
      <c r="BO1140" s="52"/>
    </row>
    <row r="1141">
      <c r="B1141" s="49"/>
      <c r="C1141" s="49" t="str">
        <f t="shared" si="2"/>
        <v/>
      </c>
      <c r="D1141" s="50" t="str">
        <f t="shared" si="3"/>
        <v/>
      </c>
      <c r="E1141" s="51" t="str">
        <f t="shared" ref="E1141:T1141" si="1142">IFERROR(VLOOKUP($A1141,INDIRECT("'" &amp; E$1 &amp; "'!$C:$G"), 5, FALSE),"")</f>
        <v/>
      </c>
      <c r="F1141" s="51" t="str">
        <f t="shared" si="1142"/>
        <v/>
      </c>
      <c r="G1141" s="51" t="str">
        <f t="shared" si="1142"/>
        <v/>
      </c>
      <c r="H1141" s="51" t="str">
        <f t="shared" si="1142"/>
        <v/>
      </c>
      <c r="I1141" s="51" t="str">
        <f t="shared" si="1142"/>
        <v/>
      </c>
      <c r="J1141" s="51" t="str">
        <f t="shared" si="1142"/>
        <v/>
      </c>
      <c r="K1141" s="51" t="str">
        <f t="shared" si="1142"/>
        <v/>
      </c>
      <c r="L1141" s="51" t="str">
        <f t="shared" si="1142"/>
        <v/>
      </c>
      <c r="M1141" s="51" t="str">
        <f t="shared" si="1142"/>
        <v/>
      </c>
      <c r="N1141" s="51" t="str">
        <f t="shared" si="1142"/>
        <v/>
      </c>
      <c r="O1141" s="51" t="str">
        <f t="shared" si="1142"/>
        <v/>
      </c>
      <c r="P1141" s="51" t="str">
        <f t="shared" si="1142"/>
        <v/>
      </c>
      <c r="Q1141" s="51" t="str">
        <f t="shared" si="1142"/>
        <v/>
      </c>
      <c r="R1141" s="51" t="str">
        <f t="shared" si="1142"/>
        <v/>
      </c>
      <c r="S1141" s="51" t="str">
        <f t="shared" si="1142"/>
        <v/>
      </c>
      <c r="T1141" s="51" t="str">
        <f t="shared" si="1142"/>
        <v/>
      </c>
      <c r="U1141" s="52"/>
      <c r="V1141" s="52"/>
      <c r="W1141" s="52"/>
      <c r="X1141" s="52"/>
      <c r="Y1141" s="52"/>
      <c r="Z1141" s="52"/>
      <c r="AA1141" s="52"/>
      <c r="AB1141" s="52"/>
      <c r="AC1141" s="52"/>
      <c r="AD1141" s="52"/>
      <c r="AE1141" s="52"/>
      <c r="AF1141" s="52"/>
      <c r="AG1141" s="52"/>
      <c r="AH1141" s="52"/>
      <c r="AI1141" s="52"/>
      <c r="AJ1141" s="52"/>
      <c r="AK1141" s="52"/>
      <c r="AL1141" s="52"/>
      <c r="AM1141" s="52"/>
      <c r="AN1141" s="52"/>
      <c r="AO1141" s="52"/>
      <c r="AP1141" s="52"/>
      <c r="AQ1141" s="52"/>
      <c r="AR1141" s="52"/>
      <c r="AS1141" s="52"/>
      <c r="AT1141" s="52"/>
      <c r="AU1141" s="52"/>
      <c r="AV1141" s="52"/>
      <c r="AW1141" s="52"/>
      <c r="AX1141" s="52"/>
      <c r="AY1141" s="52"/>
      <c r="AZ1141" s="52"/>
      <c r="BA1141" s="52"/>
      <c r="BB1141" s="52"/>
      <c r="BC1141" s="52"/>
      <c r="BD1141" s="52"/>
      <c r="BE1141" s="52"/>
      <c r="BF1141" s="52"/>
      <c r="BG1141" s="52"/>
      <c r="BH1141" s="52"/>
      <c r="BI1141" s="52"/>
      <c r="BJ1141" s="52"/>
      <c r="BK1141" s="52"/>
      <c r="BL1141" s="52"/>
      <c r="BM1141" s="52"/>
      <c r="BN1141" s="52"/>
      <c r="BO1141" s="52"/>
    </row>
    <row r="1142">
      <c r="B1142" s="49"/>
      <c r="C1142" s="49" t="str">
        <f t="shared" si="2"/>
        <v/>
      </c>
      <c r="D1142" s="50" t="str">
        <f t="shared" si="3"/>
        <v/>
      </c>
      <c r="E1142" s="51" t="str">
        <f t="shared" ref="E1142:T1142" si="1143">IFERROR(VLOOKUP($A1142,INDIRECT("'" &amp; E$1 &amp; "'!$C:$G"), 5, FALSE),"")</f>
        <v/>
      </c>
      <c r="F1142" s="51" t="str">
        <f t="shared" si="1143"/>
        <v/>
      </c>
      <c r="G1142" s="51" t="str">
        <f t="shared" si="1143"/>
        <v/>
      </c>
      <c r="H1142" s="51" t="str">
        <f t="shared" si="1143"/>
        <v/>
      </c>
      <c r="I1142" s="51" t="str">
        <f t="shared" si="1143"/>
        <v/>
      </c>
      <c r="J1142" s="51" t="str">
        <f t="shared" si="1143"/>
        <v/>
      </c>
      <c r="K1142" s="51" t="str">
        <f t="shared" si="1143"/>
        <v/>
      </c>
      <c r="L1142" s="51" t="str">
        <f t="shared" si="1143"/>
        <v/>
      </c>
      <c r="M1142" s="51" t="str">
        <f t="shared" si="1143"/>
        <v/>
      </c>
      <c r="N1142" s="51" t="str">
        <f t="shared" si="1143"/>
        <v/>
      </c>
      <c r="O1142" s="51" t="str">
        <f t="shared" si="1143"/>
        <v/>
      </c>
      <c r="P1142" s="51" t="str">
        <f t="shared" si="1143"/>
        <v/>
      </c>
      <c r="Q1142" s="51" t="str">
        <f t="shared" si="1143"/>
        <v/>
      </c>
      <c r="R1142" s="51" t="str">
        <f t="shared" si="1143"/>
        <v/>
      </c>
      <c r="S1142" s="51" t="str">
        <f t="shared" si="1143"/>
        <v/>
      </c>
      <c r="T1142" s="51" t="str">
        <f t="shared" si="1143"/>
        <v/>
      </c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I1142" s="52"/>
      <c r="AJ1142" s="52"/>
      <c r="AK1142" s="52"/>
      <c r="AL1142" s="52"/>
      <c r="AM1142" s="52"/>
      <c r="AN1142" s="52"/>
      <c r="AO1142" s="52"/>
      <c r="AP1142" s="52"/>
      <c r="AQ1142" s="52"/>
      <c r="AR1142" s="52"/>
      <c r="AS1142" s="52"/>
      <c r="AT1142" s="52"/>
      <c r="AU1142" s="52"/>
      <c r="AV1142" s="52"/>
      <c r="AW1142" s="52"/>
      <c r="AX1142" s="52"/>
      <c r="AY1142" s="52"/>
      <c r="AZ1142" s="52"/>
      <c r="BA1142" s="52"/>
      <c r="BB1142" s="52"/>
      <c r="BC1142" s="52"/>
      <c r="BD1142" s="52"/>
      <c r="BE1142" s="52"/>
      <c r="BF1142" s="52"/>
      <c r="BG1142" s="52"/>
      <c r="BH1142" s="52"/>
      <c r="BI1142" s="52"/>
      <c r="BJ1142" s="52"/>
      <c r="BK1142" s="52"/>
      <c r="BL1142" s="52"/>
      <c r="BM1142" s="52"/>
      <c r="BN1142" s="52"/>
      <c r="BO1142" s="52"/>
    </row>
    <row r="1143">
      <c r="B1143" s="49"/>
      <c r="C1143" s="49" t="str">
        <f t="shared" si="2"/>
        <v/>
      </c>
      <c r="D1143" s="50" t="str">
        <f t="shared" si="3"/>
        <v/>
      </c>
      <c r="E1143" s="51" t="str">
        <f t="shared" ref="E1143:T1143" si="1144">IFERROR(VLOOKUP($A1143,INDIRECT("'" &amp; E$1 &amp; "'!$C:$G"), 5, FALSE),"")</f>
        <v/>
      </c>
      <c r="F1143" s="51" t="str">
        <f t="shared" si="1144"/>
        <v/>
      </c>
      <c r="G1143" s="51" t="str">
        <f t="shared" si="1144"/>
        <v/>
      </c>
      <c r="H1143" s="51" t="str">
        <f t="shared" si="1144"/>
        <v/>
      </c>
      <c r="I1143" s="51" t="str">
        <f t="shared" si="1144"/>
        <v/>
      </c>
      <c r="J1143" s="51" t="str">
        <f t="shared" si="1144"/>
        <v/>
      </c>
      <c r="K1143" s="51" t="str">
        <f t="shared" si="1144"/>
        <v/>
      </c>
      <c r="L1143" s="51" t="str">
        <f t="shared" si="1144"/>
        <v/>
      </c>
      <c r="M1143" s="51" t="str">
        <f t="shared" si="1144"/>
        <v/>
      </c>
      <c r="N1143" s="51" t="str">
        <f t="shared" si="1144"/>
        <v/>
      </c>
      <c r="O1143" s="51" t="str">
        <f t="shared" si="1144"/>
        <v/>
      </c>
      <c r="P1143" s="51" t="str">
        <f t="shared" si="1144"/>
        <v/>
      </c>
      <c r="Q1143" s="51" t="str">
        <f t="shared" si="1144"/>
        <v/>
      </c>
      <c r="R1143" s="51" t="str">
        <f t="shared" si="1144"/>
        <v/>
      </c>
      <c r="S1143" s="51" t="str">
        <f t="shared" si="1144"/>
        <v/>
      </c>
      <c r="T1143" s="51" t="str">
        <f t="shared" si="1144"/>
        <v/>
      </c>
      <c r="U1143" s="52"/>
      <c r="V1143" s="52"/>
      <c r="W1143" s="52"/>
      <c r="X1143" s="52"/>
      <c r="Y1143" s="52"/>
      <c r="Z1143" s="52"/>
      <c r="AA1143" s="52"/>
      <c r="AB1143" s="52"/>
      <c r="AC1143" s="52"/>
      <c r="AD1143" s="52"/>
      <c r="AE1143" s="52"/>
      <c r="AF1143" s="52"/>
      <c r="AG1143" s="52"/>
      <c r="AH1143" s="52"/>
      <c r="AI1143" s="52"/>
      <c r="AJ1143" s="52"/>
      <c r="AK1143" s="52"/>
      <c r="AL1143" s="52"/>
      <c r="AM1143" s="52"/>
      <c r="AN1143" s="52"/>
      <c r="AO1143" s="52"/>
      <c r="AP1143" s="52"/>
      <c r="AQ1143" s="52"/>
      <c r="AR1143" s="52"/>
      <c r="AS1143" s="52"/>
      <c r="AT1143" s="52"/>
      <c r="AU1143" s="52"/>
      <c r="AV1143" s="52"/>
      <c r="AW1143" s="52"/>
      <c r="AX1143" s="52"/>
      <c r="AY1143" s="52"/>
      <c r="AZ1143" s="52"/>
      <c r="BA1143" s="52"/>
      <c r="BB1143" s="52"/>
      <c r="BC1143" s="52"/>
      <c r="BD1143" s="52"/>
      <c r="BE1143" s="52"/>
      <c r="BF1143" s="52"/>
      <c r="BG1143" s="52"/>
      <c r="BH1143" s="52"/>
      <c r="BI1143" s="52"/>
      <c r="BJ1143" s="52"/>
      <c r="BK1143" s="52"/>
      <c r="BL1143" s="52"/>
      <c r="BM1143" s="52"/>
      <c r="BN1143" s="52"/>
      <c r="BO1143" s="52"/>
    </row>
    <row r="1144">
      <c r="B1144" s="49"/>
      <c r="C1144" s="49" t="str">
        <f t="shared" si="2"/>
        <v/>
      </c>
      <c r="D1144" s="50" t="str">
        <f t="shared" si="3"/>
        <v/>
      </c>
      <c r="E1144" s="51" t="str">
        <f t="shared" ref="E1144:T1144" si="1145">IFERROR(VLOOKUP($A1144,INDIRECT("'" &amp; E$1 &amp; "'!$C:$G"), 5, FALSE),"")</f>
        <v/>
      </c>
      <c r="F1144" s="51" t="str">
        <f t="shared" si="1145"/>
        <v/>
      </c>
      <c r="G1144" s="51" t="str">
        <f t="shared" si="1145"/>
        <v/>
      </c>
      <c r="H1144" s="51" t="str">
        <f t="shared" si="1145"/>
        <v/>
      </c>
      <c r="I1144" s="51" t="str">
        <f t="shared" si="1145"/>
        <v/>
      </c>
      <c r="J1144" s="51" t="str">
        <f t="shared" si="1145"/>
        <v/>
      </c>
      <c r="K1144" s="51" t="str">
        <f t="shared" si="1145"/>
        <v/>
      </c>
      <c r="L1144" s="51" t="str">
        <f t="shared" si="1145"/>
        <v/>
      </c>
      <c r="M1144" s="51" t="str">
        <f t="shared" si="1145"/>
        <v/>
      </c>
      <c r="N1144" s="51" t="str">
        <f t="shared" si="1145"/>
        <v/>
      </c>
      <c r="O1144" s="51" t="str">
        <f t="shared" si="1145"/>
        <v/>
      </c>
      <c r="P1144" s="51" t="str">
        <f t="shared" si="1145"/>
        <v/>
      </c>
      <c r="Q1144" s="51" t="str">
        <f t="shared" si="1145"/>
        <v/>
      </c>
      <c r="R1144" s="51" t="str">
        <f t="shared" si="1145"/>
        <v/>
      </c>
      <c r="S1144" s="51" t="str">
        <f t="shared" si="1145"/>
        <v/>
      </c>
      <c r="T1144" s="51" t="str">
        <f t="shared" si="1145"/>
        <v/>
      </c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I1144" s="52"/>
      <c r="AJ1144" s="52"/>
      <c r="AK1144" s="52"/>
      <c r="AL1144" s="52"/>
      <c r="AM1144" s="52"/>
      <c r="AN1144" s="52"/>
      <c r="AO1144" s="52"/>
      <c r="AP1144" s="52"/>
      <c r="AQ1144" s="52"/>
      <c r="AR1144" s="52"/>
      <c r="AS1144" s="52"/>
      <c r="AT1144" s="52"/>
      <c r="AU1144" s="52"/>
      <c r="AV1144" s="52"/>
      <c r="AW1144" s="52"/>
      <c r="AX1144" s="52"/>
      <c r="AY1144" s="52"/>
      <c r="AZ1144" s="52"/>
      <c r="BA1144" s="52"/>
      <c r="BB1144" s="52"/>
      <c r="BC1144" s="52"/>
      <c r="BD1144" s="52"/>
      <c r="BE1144" s="52"/>
      <c r="BF1144" s="52"/>
      <c r="BG1144" s="52"/>
      <c r="BH1144" s="52"/>
      <c r="BI1144" s="52"/>
      <c r="BJ1144" s="52"/>
      <c r="BK1144" s="52"/>
      <c r="BL1144" s="52"/>
      <c r="BM1144" s="52"/>
      <c r="BN1144" s="52"/>
      <c r="BO1144" s="52"/>
    </row>
    <row r="1145">
      <c r="B1145" s="49"/>
      <c r="C1145" s="49" t="str">
        <f t="shared" si="2"/>
        <v/>
      </c>
      <c r="D1145" s="50" t="str">
        <f t="shared" si="3"/>
        <v/>
      </c>
      <c r="E1145" s="51" t="str">
        <f t="shared" ref="E1145:T1145" si="1146">IFERROR(VLOOKUP($A1145,INDIRECT("'" &amp; E$1 &amp; "'!$C:$G"), 5, FALSE),"")</f>
        <v/>
      </c>
      <c r="F1145" s="51" t="str">
        <f t="shared" si="1146"/>
        <v/>
      </c>
      <c r="G1145" s="51" t="str">
        <f t="shared" si="1146"/>
        <v/>
      </c>
      <c r="H1145" s="51" t="str">
        <f t="shared" si="1146"/>
        <v/>
      </c>
      <c r="I1145" s="51" t="str">
        <f t="shared" si="1146"/>
        <v/>
      </c>
      <c r="J1145" s="51" t="str">
        <f t="shared" si="1146"/>
        <v/>
      </c>
      <c r="K1145" s="51" t="str">
        <f t="shared" si="1146"/>
        <v/>
      </c>
      <c r="L1145" s="51" t="str">
        <f t="shared" si="1146"/>
        <v/>
      </c>
      <c r="M1145" s="51" t="str">
        <f t="shared" si="1146"/>
        <v/>
      </c>
      <c r="N1145" s="51" t="str">
        <f t="shared" si="1146"/>
        <v/>
      </c>
      <c r="O1145" s="51" t="str">
        <f t="shared" si="1146"/>
        <v/>
      </c>
      <c r="P1145" s="51" t="str">
        <f t="shared" si="1146"/>
        <v/>
      </c>
      <c r="Q1145" s="51" t="str">
        <f t="shared" si="1146"/>
        <v/>
      </c>
      <c r="R1145" s="51" t="str">
        <f t="shared" si="1146"/>
        <v/>
      </c>
      <c r="S1145" s="51" t="str">
        <f t="shared" si="1146"/>
        <v/>
      </c>
      <c r="T1145" s="51" t="str">
        <f t="shared" si="1146"/>
        <v/>
      </c>
      <c r="U1145" s="52"/>
      <c r="V1145" s="52"/>
      <c r="W1145" s="52"/>
      <c r="X1145" s="52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2"/>
      <c r="AM1145" s="52"/>
      <c r="AN1145" s="52"/>
      <c r="AO1145" s="52"/>
      <c r="AP1145" s="52"/>
      <c r="AQ1145" s="52"/>
      <c r="AR1145" s="52"/>
      <c r="AS1145" s="52"/>
      <c r="AT1145" s="52"/>
      <c r="AU1145" s="52"/>
      <c r="AV1145" s="52"/>
      <c r="AW1145" s="52"/>
      <c r="AX1145" s="52"/>
      <c r="AY1145" s="52"/>
      <c r="AZ1145" s="52"/>
      <c r="BA1145" s="52"/>
      <c r="BB1145" s="52"/>
      <c r="BC1145" s="52"/>
      <c r="BD1145" s="52"/>
      <c r="BE1145" s="52"/>
      <c r="BF1145" s="52"/>
      <c r="BG1145" s="52"/>
      <c r="BH1145" s="52"/>
      <c r="BI1145" s="52"/>
      <c r="BJ1145" s="52"/>
      <c r="BK1145" s="52"/>
      <c r="BL1145" s="52"/>
      <c r="BM1145" s="52"/>
      <c r="BN1145" s="52"/>
      <c r="BO1145" s="52"/>
    </row>
    <row r="1146">
      <c r="B1146" s="49"/>
      <c r="C1146" s="49" t="str">
        <f t="shared" si="2"/>
        <v/>
      </c>
      <c r="D1146" s="50" t="str">
        <f t="shared" si="3"/>
        <v/>
      </c>
      <c r="E1146" s="51" t="str">
        <f t="shared" ref="E1146:T1146" si="1147">IFERROR(VLOOKUP($A1146,INDIRECT("'" &amp; E$1 &amp; "'!$C:$G"), 5, FALSE),"")</f>
        <v/>
      </c>
      <c r="F1146" s="51" t="str">
        <f t="shared" si="1147"/>
        <v/>
      </c>
      <c r="G1146" s="51" t="str">
        <f t="shared" si="1147"/>
        <v/>
      </c>
      <c r="H1146" s="51" t="str">
        <f t="shared" si="1147"/>
        <v/>
      </c>
      <c r="I1146" s="51" t="str">
        <f t="shared" si="1147"/>
        <v/>
      </c>
      <c r="J1146" s="51" t="str">
        <f t="shared" si="1147"/>
        <v/>
      </c>
      <c r="K1146" s="51" t="str">
        <f t="shared" si="1147"/>
        <v/>
      </c>
      <c r="L1146" s="51" t="str">
        <f t="shared" si="1147"/>
        <v/>
      </c>
      <c r="M1146" s="51" t="str">
        <f t="shared" si="1147"/>
        <v/>
      </c>
      <c r="N1146" s="51" t="str">
        <f t="shared" si="1147"/>
        <v/>
      </c>
      <c r="O1146" s="51" t="str">
        <f t="shared" si="1147"/>
        <v/>
      </c>
      <c r="P1146" s="51" t="str">
        <f t="shared" si="1147"/>
        <v/>
      </c>
      <c r="Q1146" s="51" t="str">
        <f t="shared" si="1147"/>
        <v/>
      </c>
      <c r="R1146" s="51" t="str">
        <f t="shared" si="1147"/>
        <v/>
      </c>
      <c r="S1146" s="51" t="str">
        <f t="shared" si="1147"/>
        <v/>
      </c>
      <c r="T1146" s="51" t="str">
        <f t="shared" si="1147"/>
        <v/>
      </c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I1146" s="52"/>
      <c r="AJ1146" s="52"/>
      <c r="AK1146" s="52"/>
      <c r="AL1146" s="52"/>
      <c r="AM1146" s="52"/>
      <c r="AN1146" s="52"/>
      <c r="AO1146" s="52"/>
      <c r="AP1146" s="52"/>
      <c r="AQ1146" s="52"/>
      <c r="AR1146" s="52"/>
      <c r="AS1146" s="52"/>
      <c r="AT1146" s="52"/>
      <c r="AU1146" s="52"/>
      <c r="AV1146" s="52"/>
      <c r="AW1146" s="52"/>
      <c r="AX1146" s="52"/>
      <c r="AY1146" s="52"/>
      <c r="AZ1146" s="52"/>
      <c r="BA1146" s="52"/>
      <c r="BB1146" s="52"/>
      <c r="BC1146" s="52"/>
      <c r="BD1146" s="52"/>
      <c r="BE1146" s="52"/>
      <c r="BF1146" s="52"/>
      <c r="BG1146" s="52"/>
      <c r="BH1146" s="52"/>
      <c r="BI1146" s="52"/>
      <c r="BJ1146" s="52"/>
      <c r="BK1146" s="52"/>
      <c r="BL1146" s="52"/>
      <c r="BM1146" s="52"/>
      <c r="BN1146" s="52"/>
      <c r="BO1146" s="52"/>
    </row>
    <row r="1147">
      <c r="B1147" s="49"/>
      <c r="C1147" s="49" t="str">
        <f t="shared" si="2"/>
        <v/>
      </c>
      <c r="D1147" s="50" t="str">
        <f t="shared" si="3"/>
        <v/>
      </c>
      <c r="E1147" s="51" t="str">
        <f t="shared" ref="E1147:T1147" si="1148">IFERROR(VLOOKUP($A1147,INDIRECT("'" &amp; E$1 &amp; "'!$C:$G"), 5, FALSE),"")</f>
        <v/>
      </c>
      <c r="F1147" s="51" t="str">
        <f t="shared" si="1148"/>
        <v/>
      </c>
      <c r="G1147" s="51" t="str">
        <f t="shared" si="1148"/>
        <v/>
      </c>
      <c r="H1147" s="51" t="str">
        <f t="shared" si="1148"/>
        <v/>
      </c>
      <c r="I1147" s="51" t="str">
        <f t="shared" si="1148"/>
        <v/>
      </c>
      <c r="J1147" s="51" t="str">
        <f t="shared" si="1148"/>
        <v/>
      </c>
      <c r="K1147" s="51" t="str">
        <f t="shared" si="1148"/>
        <v/>
      </c>
      <c r="L1147" s="51" t="str">
        <f t="shared" si="1148"/>
        <v/>
      </c>
      <c r="M1147" s="51" t="str">
        <f t="shared" si="1148"/>
        <v/>
      </c>
      <c r="N1147" s="51" t="str">
        <f t="shared" si="1148"/>
        <v/>
      </c>
      <c r="O1147" s="51" t="str">
        <f t="shared" si="1148"/>
        <v/>
      </c>
      <c r="P1147" s="51" t="str">
        <f t="shared" si="1148"/>
        <v/>
      </c>
      <c r="Q1147" s="51" t="str">
        <f t="shared" si="1148"/>
        <v/>
      </c>
      <c r="R1147" s="51" t="str">
        <f t="shared" si="1148"/>
        <v/>
      </c>
      <c r="S1147" s="51" t="str">
        <f t="shared" si="1148"/>
        <v/>
      </c>
      <c r="T1147" s="51" t="str">
        <f t="shared" si="1148"/>
        <v/>
      </c>
      <c r="U1147" s="52"/>
      <c r="V1147" s="52"/>
      <c r="W1147" s="52"/>
      <c r="X1147" s="52"/>
      <c r="Y1147" s="52"/>
      <c r="Z1147" s="52"/>
      <c r="AA1147" s="52"/>
      <c r="AB1147" s="52"/>
      <c r="AC1147" s="52"/>
      <c r="AD1147" s="52"/>
      <c r="AE1147" s="52"/>
      <c r="AF1147" s="52"/>
      <c r="AG1147" s="52"/>
      <c r="AH1147" s="52"/>
      <c r="AI1147" s="52"/>
      <c r="AJ1147" s="52"/>
      <c r="AK1147" s="52"/>
      <c r="AL1147" s="52"/>
      <c r="AM1147" s="52"/>
      <c r="AN1147" s="52"/>
      <c r="AO1147" s="52"/>
      <c r="AP1147" s="52"/>
      <c r="AQ1147" s="52"/>
      <c r="AR1147" s="52"/>
      <c r="AS1147" s="52"/>
      <c r="AT1147" s="52"/>
      <c r="AU1147" s="52"/>
      <c r="AV1147" s="52"/>
      <c r="AW1147" s="52"/>
      <c r="AX1147" s="52"/>
      <c r="AY1147" s="52"/>
      <c r="AZ1147" s="52"/>
      <c r="BA1147" s="52"/>
      <c r="BB1147" s="52"/>
      <c r="BC1147" s="52"/>
      <c r="BD1147" s="52"/>
      <c r="BE1147" s="52"/>
      <c r="BF1147" s="52"/>
      <c r="BG1147" s="52"/>
      <c r="BH1147" s="52"/>
      <c r="BI1147" s="52"/>
      <c r="BJ1147" s="52"/>
      <c r="BK1147" s="52"/>
      <c r="BL1147" s="52"/>
      <c r="BM1147" s="52"/>
      <c r="BN1147" s="52"/>
      <c r="BO1147" s="52"/>
    </row>
    <row r="1148">
      <c r="B1148" s="49"/>
      <c r="C1148" s="49" t="str">
        <f t="shared" si="2"/>
        <v/>
      </c>
      <c r="D1148" s="50" t="str">
        <f t="shared" si="3"/>
        <v/>
      </c>
      <c r="E1148" s="51" t="str">
        <f t="shared" ref="E1148:T1148" si="1149">IFERROR(VLOOKUP($A1148,INDIRECT("'" &amp; E$1 &amp; "'!$C:$G"), 5, FALSE),"")</f>
        <v/>
      </c>
      <c r="F1148" s="51" t="str">
        <f t="shared" si="1149"/>
        <v/>
      </c>
      <c r="G1148" s="51" t="str">
        <f t="shared" si="1149"/>
        <v/>
      </c>
      <c r="H1148" s="51" t="str">
        <f t="shared" si="1149"/>
        <v/>
      </c>
      <c r="I1148" s="51" t="str">
        <f t="shared" si="1149"/>
        <v/>
      </c>
      <c r="J1148" s="51" t="str">
        <f t="shared" si="1149"/>
        <v/>
      </c>
      <c r="K1148" s="51" t="str">
        <f t="shared" si="1149"/>
        <v/>
      </c>
      <c r="L1148" s="51" t="str">
        <f t="shared" si="1149"/>
        <v/>
      </c>
      <c r="M1148" s="51" t="str">
        <f t="shared" si="1149"/>
        <v/>
      </c>
      <c r="N1148" s="51" t="str">
        <f t="shared" si="1149"/>
        <v/>
      </c>
      <c r="O1148" s="51" t="str">
        <f t="shared" si="1149"/>
        <v/>
      </c>
      <c r="P1148" s="51" t="str">
        <f t="shared" si="1149"/>
        <v/>
      </c>
      <c r="Q1148" s="51" t="str">
        <f t="shared" si="1149"/>
        <v/>
      </c>
      <c r="R1148" s="51" t="str">
        <f t="shared" si="1149"/>
        <v/>
      </c>
      <c r="S1148" s="51" t="str">
        <f t="shared" si="1149"/>
        <v/>
      </c>
      <c r="T1148" s="51" t="str">
        <f t="shared" si="1149"/>
        <v/>
      </c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  <c r="AH1148" s="52"/>
      <c r="AI1148" s="52"/>
      <c r="AJ1148" s="52"/>
      <c r="AK1148" s="52"/>
      <c r="AL1148" s="52"/>
      <c r="AM1148" s="52"/>
      <c r="AN1148" s="52"/>
      <c r="AO1148" s="52"/>
      <c r="AP1148" s="52"/>
      <c r="AQ1148" s="52"/>
      <c r="AR1148" s="52"/>
      <c r="AS1148" s="52"/>
      <c r="AT1148" s="52"/>
      <c r="AU1148" s="52"/>
      <c r="AV1148" s="52"/>
      <c r="AW1148" s="52"/>
      <c r="AX1148" s="52"/>
      <c r="AY1148" s="52"/>
      <c r="AZ1148" s="52"/>
      <c r="BA1148" s="52"/>
      <c r="BB1148" s="52"/>
      <c r="BC1148" s="52"/>
      <c r="BD1148" s="52"/>
      <c r="BE1148" s="52"/>
      <c r="BF1148" s="52"/>
      <c r="BG1148" s="52"/>
      <c r="BH1148" s="52"/>
      <c r="BI1148" s="52"/>
      <c r="BJ1148" s="52"/>
      <c r="BK1148" s="52"/>
      <c r="BL1148" s="52"/>
      <c r="BM1148" s="52"/>
      <c r="BN1148" s="52"/>
      <c r="BO1148" s="52"/>
    </row>
    <row r="1149">
      <c r="B1149" s="49"/>
      <c r="C1149" s="49" t="str">
        <f t="shared" si="2"/>
        <v/>
      </c>
      <c r="D1149" s="50" t="str">
        <f t="shared" si="3"/>
        <v/>
      </c>
      <c r="E1149" s="51" t="str">
        <f t="shared" ref="E1149:T1149" si="1150">IFERROR(VLOOKUP($A1149,INDIRECT("'" &amp; E$1 &amp; "'!$C:$G"), 5, FALSE),"")</f>
        <v/>
      </c>
      <c r="F1149" s="51" t="str">
        <f t="shared" si="1150"/>
        <v/>
      </c>
      <c r="G1149" s="51" t="str">
        <f t="shared" si="1150"/>
        <v/>
      </c>
      <c r="H1149" s="51" t="str">
        <f t="shared" si="1150"/>
        <v/>
      </c>
      <c r="I1149" s="51" t="str">
        <f t="shared" si="1150"/>
        <v/>
      </c>
      <c r="J1149" s="51" t="str">
        <f t="shared" si="1150"/>
        <v/>
      </c>
      <c r="K1149" s="51" t="str">
        <f t="shared" si="1150"/>
        <v/>
      </c>
      <c r="L1149" s="51" t="str">
        <f t="shared" si="1150"/>
        <v/>
      </c>
      <c r="M1149" s="51" t="str">
        <f t="shared" si="1150"/>
        <v/>
      </c>
      <c r="N1149" s="51" t="str">
        <f t="shared" si="1150"/>
        <v/>
      </c>
      <c r="O1149" s="51" t="str">
        <f t="shared" si="1150"/>
        <v/>
      </c>
      <c r="P1149" s="51" t="str">
        <f t="shared" si="1150"/>
        <v/>
      </c>
      <c r="Q1149" s="51" t="str">
        <f t="shared" si="1150"/>
        <v/>
      </c>
      <c r="R1149" s="51" t="str">
        <f t="shared" si="1150"/>
        <v/>
      </c>
      <c r="S1149" s="51" t="str">
        <f t="shared" si="1150"/>
        <v/>
      </c>
      <c r="T1149" s="51" t="str">
        <f t="shared" si="1150"/>
        <v/>
      </c>
      <c r="U1149" s="52"/>
      <c r="V1149" s="52"/>
      <c r="W1149" s="52"/>
      <c r="X1149" s="52"/>
      <c r="Y1149" s="52"/>
      <c r="Z1149" s="52"/>
      <c r="AA1149" s="52"/>
      <c r="AB1149" s="52"/>
      <c r="AC1149" s="52"/>
      <c r="AD1149" s="52"/>
      <c r="AE1149" s="52"/>
      <c r="AF1149" s="52"/>
      <c r="AG1149" s="52"/>
      <c r="AH1149" s="52"/>
      <c r="AI1149" s="52"/>
      <c r="AJ1149" s="52"/>
      <c r="AK1149" s="52"/>
      <c r="AL1149" s="52"/>
      <c r="AM1149" s="52"/>
      <c r="AN1149" s="52"/>
      <c r="AO1149" s="52"/>
      <c r="AP1149" s="52"/>
      <c r="AQ1149" s="52"/>
      <c r="AR1149" s="52"/>
      <c r="AS1149" s="52"/>
      <c r="AT1149" s="52"/>
      <c r="AU1149" s="52"/>
      <c r="AV1149" s="52"/>
      <c r="AW1149" s="52"/>
      <c r="AX1149" s="52"/>
      <c r="AY1149" s="52"/>
      <c r="AZ1149" s="52"/>
      <c r="BA1149" s="52"/>
      <c r="BB1149" s="52"/>
      <c r="BC1149" s="52"/>
      <c r="BD1149" s="52"/>
      <c r="BE1149" s="52"/>
      <c r="BF1149" s="52"/>
      <c r="BG1149" s="52"/>
      <c r="BH1149" s="52"/>
      <c r="BI1149" s="52"/>
      <c r="BJ1149" s="52"/>
      <c r="BK1149" s="52"/>
      <c r="BL1149" s="52"/>
      <c r="BM1149" s="52"/>
      <c r="BN1149" s="52"/>
      <c r="BO1149" s="52"/>
    </row>
    <row r="1150">
      <c r="B1150" s="49"/>
      <c r="C1150" s="49" t="str">
        <f t="shared" si="2"/>
        <v/>
      </c>
      <c r="D1150" s="50" t="str">
        <f t="shared" si="3"/>
        <v/>
      </c>
      <c r="E1150" s="51" t="str">
        <f t="shared" ref="E1150:T1150" si="1151">IFERROR(VLOOKUP($A1150,INDIRECT("'" &amp; E$1 &amp; "'!$C:$G"), 5, FALSE),"")</f>
        <v/>
      </c>
      <c r="F1150" s="51" t="str">
        <f t="shared" si="1151"/>
        <v/>
      </c>
      <c r="G1150" s="51" t="str">
        <f t="shared" si="1151"/>
        <v/>
      </c>
      <c r="H1150" s="51" t="str">
        <f t="shared" si="1151"/>
        <v/>
      </c>
      <c r="I1150" s="51" t="str">
        <f t="shared" si="1151"/>
        <v/>
      </c>
      <c r="J1150" s="51" t="str">
        <f t="shared" si="1151"/>
        <v/>
      </c>
      <c r="K1150" s="51" t="str">
        <f t="shared" si="1151"/>
        <v/>
      </c>
      <c r="L1150" s="51" t="str">
        <f t="shared" si="1151"/>
        <v/>
      </c>
      <c r="M1150" s="51" t="str">
        <f t="shared" si="1151"/>
        <v/>
      </c>
      <c r="N1150" s="51" t="str">
        <f t="shared" si="1151"/>
        <v/>
      </c>
      <c r="O1150" s="51" t="str">
        <f t="shared" si="1151"/>
        <v/>
      </c>
      <c r="P1150" s="51" t="str">
        <f t="shared" si="1151"/>
        <v/>
      </c>
      <c r="Q1150" s="51" t="str">
        <f t="shared" si="1151"/>
        <v/>
      </c>
      <c r="R1150" s="51" t="str">
        <f t="shared" si="1151"/>
        <v/>
      </c>
      <c r="S1150" s="51" t="str">
        <f t="shared" si="1151"/>
        <v/>
      </c>
      <c r="T1150" s="51" t="str">
        <f t="shared" si="1151"/>
        <v/>
      </c>
      <c r="U1150" s="52"/>
      <c r="V1150" s="52"/>
      <c r="W1150" s="52"/>
      <c r="X1150" s="52"/>
      <c r="Y1150" s="52"/>
      <c r="Z1150" s="52"/>
      <c r="AA1150" s="52"/>
      <c r="AB1150" s="52"/>
      <c r="AC1150" s="52"/>
      <c r="AD1150" s="52"/>
      <c r="AE1150" s="52"/>
      <c r="AF1150" s="52"/>
      <c r="AG1150" s="52"/>
      <c r="AH1150" s="52"/>
      <c r="AI1150" s="52"/>
      <c r="AJ1150" s="52"/>
      <c r="AK1150" s="52"/>
      <c r="AL1150" s="52"/>
      <c r="AM1150" s="52"/>
      <c r="AN1150" s="52"/>
      <c r="AO1150" s="52"/>
      <c r="AP1150" s="52"/>
      <c r="AQ1150" s="52"/>
      <c r="AR1150" s="52"/>
      <c r="AS1150" s="52"/>
      <c r="AT1150" s="52"/>
      <c r="AU1150" s="52"/>
      <c r="AV1150" s="52"/>
      <c r="AW1150" s="52"/>
      <c r="AX1150" s="52"/>
      <c r="AY1150" s="52"/>
      <c r="AZ1150" s="52"/>
      <c r="BA1150" s="52"/>
      <c r="BB1150" s="52"/>
      <c r="BC1150" s="52"/>
      <c r="BD1150" s="52"/>
      <c r="BE1150" s="52"/>
      <c r="BF1150" s="52"/>
      <c r="BG1150" s="52"/>
      <c r="BH1150" s="52"/>
      <c r="BI1150" s="52"/>
      <c r="BJ1150" s="52"/>
      <c r="BK1150" s="52"/>
      <c r="BL1150" s="52"/>
      <c r="BM1150" s="52"/>
      <c r="BN1150" s="52"/>
      <c r="BO1150" s="52"/>
    </row>
    <row r="1151">
      <c r="B1151" s="49"/>
      <c r="C1151" s="49" t="str">
        <f t="shared" si="2"/>
        <v/>
      </c>
      <c r="D1151" s="50" t="str">
        <f t="shared" si="3"/>
        <v/>
      </c>
      <c r="E1151" s="51" t="str">
        <f t="shared" ref="E1151:T1151" si="1152">IFERROR(VLOOKUP($A1151,INDIRECT("'" &amp; E$1 &amp; "'!$C:$G"), 5, FALSE),"")</f>
        <v/>
      </c>
      <c r="F1151" s="51" t="str">
        <f t="shared" si="1152"/>
        <v/>
      </c>
      <c r="G1151" s="51" t="str">
        <f t="shared" si="1152"/>
        <v/>
      </c>
      <c r="H1151" s="51" t="str">
        <f t="shared" si="1152"/>
        <v/>
      </c>
      <c r="I1151" s="51" t="str">
        <f t="shared" si="1152"/>
        <v/>
      </c>
      <c r="J1151" s="51" t="str">
        <f t="shared" si="1152"/>
        <v/>
      </c>
      <c r="K1151" s="51" t="str">
        <f t="shared" si="1152"/>
        <v/>
      </c>
      <c r="L1151" s="51" t="str">
        <f t="shared" si="1152"/>
        <v/>
      </c>
      <c r="M1151" s="51" t="str">
        <f t="shared" si="1152"/>
        <v/>
      </c>
      <c r="N1151" s="51" t="str">
        <f t="shared" si="1152"/>
        <v/>
      </c>
      <c r="O1151" s="51" t="str">
        <f t="shared" si="1152"/>
        <v/>
      </c>
      <c r="P1151" s="51" t="str">
        <f t="shared" si="1152"/>
        <v/>
      </c>
      <c r="Q1151" s="51" t="str">
        <f t="shared" si="1152"/>
        <v/>
      </c>
      <c r="R1151" s="51" t="str">
        <f t="shared" si="1152"/>
        <v/>
      </c>
      <c r="S1151" s="51" t="str">
        <f t="shared" si="1152"/>
        <v/>
      </c>
      <c r="T1151" s="51" t="str">
        <f t="shared" si="1152"/>
        <v/>
      </c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I1151" s="52"/>
      <c r="AJ1151" s="52"/>
      <c r="AK1151" s="52"/>
      <c r="AL1151" s="52"/>
      <c r="AM1151" s="52"/>
      <c r="AN1151" s="52"/>
      <c r="AO1151" s="52"/>
      <c r="AP1151" s="52"/>
      <c r="AQ1151" s="52"/>
      <c r="AR1151" s="52"/>
      <c r="AS1151" s="52"/>
      <c r="AT1151" s="52"/>
      <c r="AU1151" s="52"/>
      <c r="AV1151" s="52"/>
      <c r="AW1151" s="52"/>
      <c r="AX1151" s="52"/>
      <c r="AY1151" s="52"/>
      <c r="AZ1151" s="52"/>
      <c r="BA1151" s="52"/>
      <c r="BB1151" s="52"/>
      <c r="BC1151" s="52"/>
      <c r="BD1151" s="52"/>
      <c r="BE1151" s="52"/>
      <c r="BF1151" s="52"/>
      <c r="BG1151" s="52"/>
      <c r="BH1151" s="52"/>
      <c r="BI1151" s="52"/>
      <c r="BJ1151" s="52"/>
      <c r="BK1151" s="52"/>
      <c r="BL1151" s="52"/>
      <c r="BM1151" s="52"/>
      <c r="BN1151" s="52"/>
      <c r="BO1151" s="52"/>
    </row>
    <row r="1152">
      <c r="B1152" s="49"/>
      <c r="C1152" s="49" t="str">
        <f t="shared" si="2"/>
        <v/>
      </c>
      <c r="D1152" s="50" t="str">
        <f t="shared" si="3"/>
        <v/>
      </c>
      <c r="E1152" s="51" t="str">
        <f t="shared" ref="E1152:T1152" si="1153">IFERROR(VLOOKUP($A1152,INDIRECT("'" &amp; E$1 &amp; "'!$C:$G"), 5, FALSE),"")</f>
        <v/>
      </c>
      <c r="F1152" s="51" t="str">
        <f t="shared" si="1153"/>
        <v/>
      </c>
      <c r="G1152" s="51" t="str">
        <f t="shared" si="1153"/>
        <v/>
      </c>
      <c r="H1152" s="51" t="str">
        <f t="shared" si="1153"/>
        <v/>
      </c>
      <c r="I1152" s="51" t="str">
        <f t="shared" si="1153"/>
        <v/>
      </c>
      <c r="J1152" s="51" t="str">
        <f t="shared" si="1153"/>
        <v/>
      </c>
      <c r="K1152" s="51" t="str">
        <f t="shared" si="1153"/>
        <v/>
      </c>
      <c r="L1152" s="51" t="str">
        <f t="shared" si="1153"/>
        <v/>
      </c>
      <c r="M1152" s="51" t="str">
        <f t="shared" si="1153"/>
        <v/>
      </c>
      <c r="N1152" s="51" t="str">
        <f t="shared" si="1153"/>
        <v/>
      </c>
      <c r="O1152" s="51" t="str">
        <f t="shared" si="1153"/>
        <v/>
      </c>
      <c r="P1152" s="51" t="str">
        <f t="shared" si="1153"/>
        <v/>
      </c>
      <c r="Q1152" s="51" t="str">
        <f t="shared" si="1153"/>
        <v/>
      </c>
      <c r="R1152" s="51" t="str">
        <f t="shared" si="1153"/>
        <v/>
      </c>
      <c r="S1152" s="51" t="str">
        <f t="shared" si="1153"/>
        <v/>
      </c>
      <c r="T1152" s="51" t="str">
        <f t="shared" si="1153"/>
        <v/>
      </c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  <c r="AH1152" s="52"/>
      <c r="AI1152" s="52"/>
      <c r="AJ1152" s="52"/>
      <c r="AK1152" s="52"/>
      <c r="AL1152" s="52"/>
      <c r="AM1152" s="52"/>
      <c r="AN1152" s="52"/>
      <c r="AO1152" s="52"/>
      <c r="AP1152" s="52"/>
      <c r="AQ1152" s="52"/>
      <c r="AR1152" s="52"/>
      <c r="AS1152" s="52"/>
      <c r="AT1152" s="52"/>
      <c r="AU1152" s="52"/>
      <c r="AV1152" s="52"/>
      <c r="AW1152" s="52"/>
      <c r="AX1152" s="52"/>
      <c r="AY1152" s="52"/>
      <c r="AZ1152" s="52"/>
      <c r="BA1152" s="52"/>
      <c r="BB1152" s="52"/>
      <c r="BC1152" s="52"/>
      <c r="BD1152" s="52"/>
      <c r="BE1152" s="52"/>
      <c r="BF1152" s="52"/>
      <c r="BG1152" s="52"/>
      <c r="BH1152" s="52"/>
      <c r="BI1152" s="52"/>
      <c r="BJ1152" s="52"/>
      <c r="BK1152" s="52"/>
      <c r="BL1152" s="52"/>
      <c r="BM1152" s="52"/>
      <c r="BN1152" s="52"/>
      <c r="BO1152" s="52"/>
    </row>
    <row r="1153">
      <c r="B1153" s="49"/>
      <c r="C1153" s="49" t="str">
        <f t="shared" si="2"/>
        <v/>
      </c>
      <c r="D1153" s="50" t="str">
        <f t="shared" si="3"/>
        <v/>
      </c>
      <c r="E1153" s="51" t="str">
        <f t="shared" ref="E1153:T1153" si="1154">IFERROR(VLOOKUP($A1153,INDIRECT("'" &amp; E$1 &amp; "'!$C:$G"), 5, FALSE),"")</f>
        <v/>
      </c>
      <c r="F1153" s="51" t="str">
        <f t="shared" si="1154"/>
        <v/>
      </c>
      <c r="G1153" s="51" t="str">
        <f t="shared" si="1154"/>
        <v/>
      </c>
      <c r="H1153" s="51" t="str">
        <f t="shared" si="1154"/>
        <v/>
      </c>
      <c r="I1153" s="51" t="str">
        <f t="shared" si="1154"/>
        <v/>
      </c>
      <c r="J1153" s="51" t="str">
        <f t="shared" si="1154"/>
        <v/>
      </c>
      <c r="K1153" s="51" t="str">
        <f t="shared" si="1154"/>
        <v/>
      </c>
      <c r="L1153" s="51" t="str">
        <f t="shared" si="1154"/>
        <v/>
      </c>
      <c r="M1153" s="51" t="str">
        <f t="shared" si="1154"/>
        <v/>
      </c>
      <c r="N1153" s="51" t="str">
        <f t="shared" si="1154"/>
        <v/>
      </c>
      <c r="O1153" s="51" t="str">
        <f t="shared" si="1154"/>
        <v/>
      </c>
      <c r="P1153" s="51" t="str">
        <f t="shared" si="1154"/>
        <v/>
      </c>
      <c r="Q1153" s="51" t="str">
        <f t="shared" si="1154"/>
        <v/>
      </c>
      <c r="R1153" s="51" t="str">
        <f t="shared" si="1154"/>
        <v/>
      </c>
      <c r="S1153" s="51" t="str">
        <f t="shared" si="1154"/>
        <v/>
      </c>
      <c r="T1153" s="51" t="str">
        <f t="shared" si="1154"/>
        <v/>
      </c>
      <c r="U1153" s="52"/>
      <c r="V1153" s="52"/>
      <c r="W1153" s="52"/>
      <c r="X1153" s="52"/>
      <c r="Y1153" s="52"/>
      <c r="Z1153" s="52"/>
      <c r="AA1153" s="52"/>
      <c r="AB1153" s="52"/>
      <c r="AC1153" s="52"/>
      <c r="AD1153" s="52"/>
      <c r="AE1153" s="52"/>
      <c r="AF1153" s="52"/>
      <c r="AG1153" s="52"/>
      <c r="AH1153" s="52"/>
      <c r="AI1153" s="52"/>
      <c r="AJ1153" s="52"/>
      <c r="AK1153" s="52"/>
      <c r="AL1153" s="52"/>
      <c r="AM1153" s="52"/>
      <c r="AN1153" s="52"/>
      <c r="AO1153" s="52"/>
      <c r="AP1153" s="52"/>
      <c r="AQ1153" s="52"/>
      <c r="AR1153" s="52"/>
      <c r="AS1153" s="52"/>
      <c r="AT1153" s="52"/>
      <c r="AU1153" s="52"/>
      <c r="AV1153" s="52"/>
      <c r="AW1153" s="52"/>
      <c r="AX1153" s="52"/>
      <c r="AY1153" s="52"/>
      <c r="AZ1153" s="52"/>
      <c r="BA1153" s="52"/>
      <c r="BB1153" s="52"/>
      <c r="BC1153" s="52"/>
      <c r="BD1153" s="52"/>
      <c r="BE1153" s="52"/>
      <c r="BF1153" s="52"/>
      <c r="BG1153" s="52"/>
      <c r="BH1153" s="52"/>
      <c r="BI1153" s="52"/>
      <c r="BJ1153" s="52"/>
      <c r="BK1153" s="52"/>
      <c r="BL1153" s="52"/>
      <c r="BM1153" s="52"/>
      <c r="BN1153" s="52"/>
      <c r="BO1153" s="52"/>
    </row>
    <row r="1154">
      <c r="B1154" s="49"/>
      <c r="C1154" s="49" t="str">
        <f t="shared" si="2"/>
        <v/>
      </c>
      <c r="D1154" s="50" t="str">
        <f t="shared" si="3"/>
        <v/>
      </c>
      <c r="E1154" s="51" t="str">
        <f t="shared" ref="E1154:T1154" si="1155">IFERROR(VLOOKUP($A1154,INDIRECT("'" &amp; E$1 &amp; "'!$C:$G"), 5, FALSE),"")</f>
        <v/>
      </c>
      <c r="F1154" s="51" t="str">
        <f t="shared" si="1155"/>
        <v/>
      </c>
      <c r="G1154" s="51" t="str">
        <f t="shared" si="1155"/>
        <v/>
      </c>
      <c r="H1154" s="51" t="str">
        <f t="shared" si="1155"/>
        <v/>
      </c>
      <c r="I1154" s="51" t="str">
        <f t="shared" si="1155"/>
        <v/>
      </c>
      <c r="J1154" s="51" t="str">
        <f t="shared" si="1155"/>
        <v/>
      </c>
      <c r="K1154" s="51" t="str">
        <f t="shared" si="1155"/>
        <v/>
      </c>
      <c r="L1154" s="51" t="str">
        <f t="shared" si="1155"/>
        <v/>
      </c>
      <c r="M1154" s="51" t="str">
        <f t="shared" si="1155"/>
        <v/>
      </c>
      <c r="N1154" s="51" t="str">
        <f t="shared" si="1155"/>
        <v/>
      </c>
      <c r="O1154" s="51" t="str">
        <f t="shared" si="1155"/>
        <v/>
      </c>
      <c r="P1154" s="51" t="str">
        <f t="shared" si="1155"/>
        <v/>
      </c>
      <c r="Q1154" s="51" t="str">
        <f t="shared" si="1155"/>
        <v/>
      </c>
      <c r="R1154" s="51" t="str">
        <f t="shared" si="1155"/>
        <v/>
      </c>
      <c r="S1154" s="51" t="str">
        <f t="shared" si="1155"/>
        <v/>
      </c>
      <c r="T1154" s="51" t="str">
        <f t="shared" si="1155"/>
        <v/>
      </c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  <c r="AH1154" s="52"/>
      <c r="AI1154" s="52"/>
      <c r="AJ1154" s="52"/>
      <c r="AK1154" s="52"/>
      <c r="AL1154" s="52"/>
      <c r="AM1154" s="52"/>
      <c r="AN1154" s="52"/>
      <c r="AO1154" s="52"/>
      <c r="AP1154" s="52"/>
      <c r="AQ1154" s="52"/>
      <c r="AR1154" s="52"/>
      <c r="AS1154" s="52"/>
      <c r="AT1154" s="52"/>
      <c r="AU1154" s="52"/>
      <c r="AV1154" s="52"/>
      <c r="AW1154" s="52"/>
      <c r="AX1154" s="52"/>
      <c r="AY1154" s="52"/>
      <c r="AZ1154" s="52"/>
      <c r="BA1154" s="52"/>
      <c r="BB1154" s="52"/>
      <c r="BC1154" s="52"/>
      <c r="BD1154" s="52"/>
      <c r="BE1154" s="52"/>
      <c r="BF1154" s="52"/>
      <c r="BG1154" s="52"/>
      <c r="BH1154" s="52"/>
      <c r="BI1154" s="52"/>
      <c r="BJ1154" s="52"/>
      <c r="BK1154" s="52"/>
      <c r="BL1154" s="52"/>
      <c r="BM1154" s="52"/>
      <c r="BN1154" s="52"/>
      <c r="BO1154" s="52"/>
    </row>
    <row r="1155">
      <c r="B1155" s="49"/>
      <c r="C1155" s="49" t="str">
        <f t="shared" si="2"/>
        <v/>
      </c>
      <c r="D1155" s="50" t="str">
        <f t="shared" si="3"/>
        <v/>
      </c>
      <c r="E1155" s="51" t="str">
        <f t="shared" ref="E1155:T1155" si="1156">IFERROR(VLOOKUP($A1155,INDIRECT("'" &amp; E$1 &amp; "'!$C:$G"), 5, FALSE),"")</f>
        <v/>
      </c>
      <c r="F1155" s="51" t="str">
        <f t="shared" si="1156"/>
        <v/>
      </c>
      <c r="G1155" s="51" t="str">
        <f t="shared" si="1156"/>
        <v/>
      </c>
      <c r="H1155" s="51" t="str">
        <f t="shared" si="1156"/>
        <v/>
      </c>
      <c r="I1155" s="51" t="str">
        <f t="shared" si="1156"/>
        <v/>
      </c>
      <c r="J1155" s="51" t="str">
        <f t="shared" si="1156"/>
        <v/>
      </c>
      <c r="K1155" s="51" t="str">
        <f t="shared" si="1156"/>
        <v/>
      </c>
      <c r="L1155" s="51" t="str">
        <f t="shared" si="1156"/>
        <v/>
      </c>
      <c r="M1155" s="51" t="str">
        <f t="shared" si="1156"/>
        <v/>
      </c>
      <c r="N1155" s="51" t="str">
        <f t="shared" si="1156"/>
        <v/>
      </c>
      <c r="O1155" s="51" t="str">
        <f t="shared" si="1156"/>
        <v/>
      </c>
      <c r="P1155" s="51" t="str">
        <f t="shared" si="1156"/>
        <v/>
      </c>
      <c r="Q1155" s="51" t="str">
        <f t="shared" si="1156"/>
        <v/>
      </c>
      <c r="R1155" s="51" t="str">
        <f t="shared" si="1156"/>
        <v/>
      </c>
      <c r="S1155" s="51" t="str">
        <f t="shared" si="1156"/>
        <v/>
      </c>
      <c r="T1155" s="51" t="str">
        <f t="shared" si="1156"/>
        <v/>
      </c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I1155" s="52"/>
      <c r="AJ1155" s="52"/>
      <c r="AK1155" s="52"/>
      <c r="AL1155" s="52"/>
      <c r="AM1155" s="52"/>
      <c r="AN1155" s="52"/>
      <c r="AO1155" s="52"/>
      <c r="AP1155" s="52"/>
      <c r="AQ1155" s="52"/>
      <c r="AR1155" s="52"/>
      <c r="AS1155" s="52"/>
      <c r="AT1155" s="52"/>
      <c r="AU1155" s="52"/>
      <c r="AV1155" s="52"/>
      <c r="AW1155" s="52"/>
      <c r="AX1155" s="52"/>
      <c r="AY1155" s="52"/>
      <c r="AZ1155" s="52"/>
      <c r="BA1155" s="52"/>
      <c r="BB1155" s="52"/>
      <c r="BC1155" s="52"/>
      <c r="BD1155" s="52"/>
      <c r="BE1155" s="52"/>
      <c r="BF1155" s="52"/>
      <c r="BG1155" s="52"/>
      <c r="BH1155" s="52"/>
      <c r="BI1155" s="52"/>
      <c r="BJ1155" s="52"/>
      <c r="BK1155" s="52"/>
      <c r="BL1155" s="52"/>
      <c r="BM1155" s="52"/>
      <c r="BN1155" s="52"/>
      <c r="BO1155" s="52"/>
    </row>
    <row r="1156">
      <c r="B1156" s="49"/>
      <c r="C1156" s="49" t="str">
        <f t="shared" si="2"/>
        <v/>
      </c>
      <c r="D1156" s="50" t="str">
        <f t="shared" si="3"/>
        <v/>
      </c>
      <c r="E1156" s="51" t="str">
        <f t="shared" ref="E1156:T1156" si="1157">IFERROR(VLOOKUP($A1156,INDIRECT("'" &amp; E$1 &amp; "'!$C:$G"), 5, FALSE),"")</f>
        <v/>
      </c>
      <c r="F1156" s="51" t="str">
        <f t="shared" si="1157"/>
        <v/>
      </c>
      <c r="G1156" s="51" t="str">
        <f t="shared" si="1157"/>
        <v/>
      </c>
      <c r="H1156" s="51" t="str">
        <f t="shared" si="1157"/>
        <v/>
      </c>
      <c r="I1156" s="51" t="str">
        <f t="shared" si="1157"/>
        <v/>
      </c>
      <c r="J1156" s="51" t="str">
        <f t="shared" si="1157"/>
        <v/>
      </c>
      <c r="K1156" s="51" t="str">
        <f t="shared" si="1157"/>
        <v/>
      </c>
      <c r="L1156" s="51" t="str">
        <f t="shared" si="1157"/>
        <v/>
      </c>
      <c r="M1156" s="51" t="str">
        <f t="shared" si="1157"/>
        <v/>
      </c>
      <c r="N1156" s="51" t="str">
        <f t="shared" si="1157"/>
        <v/>
      </c>
      <c r="O1156" s="51" t="str">
        <f t="shared" si="1157"/>
        <v/>
      </c>
      <c r="P1156" s="51" t="str">
        <f t="shared" si="1157"/>
        <v/>
      </c>
      <c r="Q1156" s="51" t="str">
        <f t="shared" si="1157"/>
        <v/>
      </c>
      <c r="R1156" s="51" t="str">
        <f t="shared" si="1157"/>
        <v/>
      </c>
      <c r="S1156" s="51" t="str">
        <f t="shared" si="1157"/>
        <v/>
      </c>
      <c r="T1156" s="51" t="str">
        <f t="shared" si="1157"/>
        <v/>
      </c>
      <c r="U1156" s="52"/>
      <c r="V1156" s="52"/>
      <c r="W1156" s="52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52"/>
      <c r="AI1156" s="52"/>
      <c r="AJ1156" s="52"/>
      <c r="AK1156" s="52"/>
      <c r="AL1156" s="52"/>
      <c r="AM1156" s="52"/>
      <c r="AN1156" s="52"/>
      <c r="AO1156" s="52"/>
      <c r="AP1156" s="52"/>
      <c r="AQ1156" s="52"/>
      <c r="AR1156" s="52"/>
      <c r="AS1156" s="52"/>
      <c r="AT1156" s="52"/>
      <c r="AU1156" s="52"/>
      <c r="AV1156" s="52"/>
      <c r="AW1156" s="52"/>
      <c r="AX1156" s="52"/>
      <c r="AY1156" s="52"/>
      <c r="AZ1156" s="52"/>
      <c r="BA1156" s="52"/>
      <c r="BB1156" s="52"/>
      <c r="BC1156" s="52"/>
      <c r="BD1156" s="52"/>
      <c r="BE1156" s="52"/>
      <c r="BF1156" s="52"/>
      <c r="BG1156" s="52"/>
      <c r="BH1156" s="52"/>
      <c r="BI1156" s="52"/>
      <c r="BJ1156" s="52"/>
      <c r="BK1156" s="52"/>
      <c r="BL1156" s="52"/>
      <c r="BM1156" s="52"/>
      <c r="BN1156" s="52"/>
      <c r="BO1156" s="52"/>
    </row>
    <row r="1157">
      <c r="B1157" s="49"/>
      <c r="C1157" s="49" t="str">
        <f t="shared" si="2"/>
        <v/>
      </c>
      <c r="D1157" s="50" t="str">
        <f t="shared" si="3"/>
        <v/>
      </c>
      <c r="E1157" s="51" t="str">
        <f t="shared" ref="E1157:T1157" si="1158">IFERROR(VLOOKUP($A1157,INDIRECT("'" &amp; E$1 &amp; "'!$C:$G"), 5, FALSE),"")</f>
        <v/>
      </c>
      <c r="F1157" s="51" t="str">
        <f t="shared" si="1158"/>
        <v/>
      </c>
      <c r="G1157" s="51" t="str">
        <f t="shared" si="1158"/>
        <v/>
      </c>
      <c r="H1157" s="51" t="str">
        <f t="shared" si="1158"/>
        <v/>
      </c>
      <c r="I1157" s="51" t="str">
        <f t="shared" si="1158"/>
        <v/>
      </c>
      <c r="J1157" s="51" t="str">
        <f t="shared" si="1158"/>
        <v/>
      </c>
      <c r="K1157" s="51" t="str">
        <f t="shared" si="1158"/>
        <v/>
      </c>
      <c r="L1157" s="51" t="str">
        <f t="shared" si="1158"/>
        <v/>
      </c>
      <c r="M1157" s="51" t="str">
        <f t="shared" si="1158"/>
        <v/>
      </c>
      <c r="N1157" s="51" t="str">
        <f t="shared" si="1158"/>
        <v/>
      </c>
      <c r="O1157" s="51" t="str">
        <f t="shared" si="1158"/>
        <v/>
      </c>
      <c r="P1157" s="51" t="str">
        <f t="shared" si="1158"/>
        <v/>
      </c>
      <c r="Q1157" s="51" t="str">
        <f t="shared" si="1158"/>
        <v/>
      </c>
      <c r="R1157" s="51" t="str">
        <f t="shared" si="1158"/>
        <v/>
      </c>
      <c r="S1157" s="51" t="str">
        <f t="shared" si="1158"/>
        <v/>
      </c>
      <c r="T1157" s="51" t="str">
        <f t="shared" si="1158"/>
        <v/>
      </c>
      <c r="U1157" s="52"/>
      <c r="V1157" s="52"/>
      <c r="W1157" s="52"/>
      <c r="X1157" s="52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52"/>
      <c r="AI1157" s="52"/>
      <c r="AJ1157" s="52"/>
      <c r="AK1157" s="52"/>
      <c r="AL1157" s="52"/>
      <c r="AM1157" s="52"/>
      <c r="AN1157" s="52"/>
      <c r="AO1157" s="52"/>
      <c r="AP1157" s="52"/>
      <c r="AQ1157" s="52"/>
      <c r="AR1157" s="52"/>
      <c r="AS1157" s="52"/>
      <c r="AT1157" s="52"/>
      <c r="AU1157" s="52"/>
      <c r="AV1157" s="52"/>
      <c r="AW1157" s="52"/>
      <c r="AX1157" s="52"/>
      <c r="AY1157" s="52"/>
      <c r="AZ1157" s="52"/>
      <c r="BA1157" s="52"/>
      <c r="BB1157" s="52"/>
      <c r="BC1157" s="52"/>
      <c r="BD1157" s="52"/>
      <c r="BE1157" s="52"/>
      <c r="BF1157" s="52"/>
      <c r="BG1157" s="52"/>
      <c r="BH1157" s="52"/>
      <c r="BI1157" s="52"/>
      <c r="BJ1157" s="52"/>
      <c r="BK1157" s="52"/>
      <c r="BL1157" s="52"/>
      <c r="BM1157" s="52"/>
      <c r="BN1157" s="52"/>
      <c r="BO1157" s="52"/>
    </row>
    <row r="1158">
      <c r="B1158" s="49"/>
      <c r="C1158" s="49" t="str">
        <f t="shared" si="2"/>
        <v/>
      </c>
      <c r="D1158" s="50" t="str">
        <f t="shared" si="3"/>
        <v/>
      </c>
      <c r="E1158" s="51" t="str">
        <f t="shared" ref="E1158:T1158" si="1159">IFERROR(VLOOKUP($A1158,INDIRECT("'" &amp; E$1 &amp; "'!$C:$G"), 5, FALSE),"")</f>
        <v/>
      </c>
      <c r="F1158" s="51" t="str">
        <f t="shared" si="1159"/>
        <v/>
      </c>
      <c r="G1158" s="51" t="str">
        <f t="shared" si="1159"/>
        <v/>
      </c>
      <c r="H1158" s="51" t="str">
        <f t="shared" si="1159"/>
        <v/>
      </c>
      <c r="I1158" s="51" t="str">
        <f t="shared" si="1159"/>
        <v/>
      </c>
      <c r="J1158" s="51" t="str">
        <f t="shared" si="1159"/>
        <v/>
      </c>
      <c r="K1158" s="51" t="str">
        <f t="shared" si="1159"/>
        <v/>
      </c>
      <c r="L1158" s="51" t="str">
        <f t="shared" si="1159"/>
        <v/>
      </c>
      <c r="M1158" s="51" t="str">
        <f t="shared" si="1159"/>
        <v/>
      </c>
      <c r="N1158" s="51" t="str">
        <f t="shared" si="1159"/>
        <v/>
      </c>
      <c r="O1158" s="51" t="str">
        <f t="shared" si="1159"/>
        <v/>
      </c>
      <c r="P1158" s="51" t="str">
        <f t="shared" si="1159"/>
        <v/>
      </c>
      <c r="Q1158" s="51" t="str">
        <f t="shared" si="1159"/>
        <v/>
      </c>
      <c r="R1158" s="51" t="str">
        <f t="shared" si="1159"/>
        <v/>
      </c>
      <c r="S1158" s="51" t="str">
        <f t="shared" si="1159"/>
        <v/>
      </c>
      <c r="T1158" s="51" t="str">
        <f t="shared" si="1159"/>
        <v/>
      </c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I1158" s="52"/>
      <c r="AJ1158" s="52"/>
      <c r="AK1158" s="52"/>
      <c r="AL1158" s="52"/>
      <c r="AM1158" s="52"/>
      <c r="AN1158" s="52"/>
      <c r="AO1158" s="52"/>
      <c r="AP1158" s="52"/>
      <c r="AQ1158" s="52"/>
      <c r="AR1158" s="52"/>
      <c r="AS1158" s="52"/>
      <c r="AT1158" s="52"/>
      <c r="AU1158" s="52"/>
      <c r="AV1158" s="52"/>
      <c r="AW1158" s="52"/>
      <c r="AX1158" s="52"/>
      <c r="AY1158" s="52"/>
      <c r="AZ1158" s="52"/>
      <c r="BA1158" s="52"/>
      <c r="BB1158" s="52"/>
      <c r="BC1158" s="52"/>
      <c r="BD1158" s="52"/>
      <c r="BE1158" s="52"/>
      <c r="BF1158" s="52"/>
      <c r="BG1158" s="52"/>
      <c r="BH1158" s="52"/>
      <c r="BI1158" s="52"/>
      <c r="BJ1158" s="52"/>
      <c r="BK1158" s="52"/>
      <c r="BL1158" s="52"/>
      <c r="BM1158" s="52"/>
      <c r="BN1158" s="52"/>
      <c r="BO1158" s="52"/>
    </row>
    <row r="1159">
      <c r="B1159" s="49"/>
      <c r="C1159" s="49" t="str">
        <f t="shared" si="2"/>
        <v/>
      </c>
      <c r="D1159" s="50" t="str">
        <f t="shared" si="3"/>
        <v/>
      </c>
      <c r="E1159" s="51" t="str">
        <f t="shared" ref="E1159:T1159" si="1160">IFERROR(VLOOKUP($A1159,INDIRECT("'" &amp; E$1 &amp; "'!$C:$G"), 5, FALSE),"")</f>
        <v/>
      </c>
      <c r="F1159" s="51" t="str">
        <f t="shared" si="1160"/>
        <v/>
      </c>
      <c r="G1159" s="51" t="str">
        <f t="shared" si="1160"/>
        <v/>
      </c>
      <c r="H1159" s="51" t="str">
        <f t="shared" si="1160"/>
        <v/>
      </c>
      <c r="I1159" s="51" t="str">
        <f t="shared" si="1160"/>
        <v/>
      </c>
      <c r="J1159" s="51" t="str">
        <f t="shared" si="1160"/>
        <v/>
      </c>
      <c r="K1159" s="51" t="str">
        <f t="shared" si="1160"/>
        <v/>
      </c>
      <c r="L1159" s="51" t="str">
        <f t="shared" si="1160"/>
        <v/>
      </c>
      <c r="M1159" s="51" t="str">
        <f t="shared" si="1160"/>
        <v/>
      </c>
      <c r="N1159" s="51" t="str">
        <f t="shared" si="1160"/>
        <v/>
      </c>
      <c r="O1159" s="51" t="str">
        <f t="shared" si="1160"/>
        <v/>
      </c>
      <c r="P1159" s="51" t="str">
        <f t="shared" si="1160"/>
        <v/>
      </c>
      <c r="Q1159" s="51" t="str">
        <f t="shared" si="1160"/>
        <v/>
      </c>
      <c r="R1159" s="51" t="str">
        <f t="shared" si="1160"/>
        <v/>
      </c>
      <c r="S1159" s="51" t="str">
        <f t="shared" si="1160"/>
        <v/>
      </c>
      <c r="T1159" s="51" t="str">
        <f t="shared" si="1160"/>
        <v/>
      </c>
      <c r="U1159" s="52"/>
      <c r="V1159" s="52"/>
      <c r="W1159" s="52"/>
      <c r="X1159" s="52"/>
      <c r="Y1159" s="52"/>
      <c r="Z1159" s="52"/>
      <c r="AA1159" s="52"/>
      <c r="AB1159" s="52"/>
      <c r="AC1159" s="52"/>
      <c r="AD1159" s="52"/>
      <c r="AE1159" s="52"/>
      <c r="AF1159" s="52"/>
      <c r="AG1159" s="52"/>
      <c r="AH1159" s="52"/>
      <c r="AI1159" s="52"/>
      <c r="AJ1159" s="52"/>
      <c r="AK1159" s="52"/>
      <c r="AL1159" s="52"/>
      <c r="AM1159" s="52"/>
      <c r="AN1159" s="52"/>
      <c r="AO1159" s="52"/>
      <c r="AP1159" s="52"/>
      <c r="AQ1159" s="52"/>
      <c r="AR1159" s="52"/>
      <c r="AS1159" s="52"/>
      <c r="AT1159" s="52"/>
      <c r="AU1159" s="52"/>
      <c r="AV1159" s="52"/>
      <c r="AW1159" s="52"/>
      <c r="AX1159" s="52"/>
      <c r="AY1159" s="52"/>
      <c r="AZ1159" s="52"/>
      <c r="BA1159" s="52"/>
      <c r="BB1159" s="52"/>
      <c r="BC1159" s="52"/>
      <c r="BD1159" s="52"/>
      <c r="BE1159" s="52"/>
      <c r="BF1159" s="52"/>
      <c r="BG1159" s="52"/>
      <c r="BH1159" s="52"/>
      <c r="BI1159" s="52"/>
      <c r="BJ1159" s="52"/>
      <c r="BK1159" s="52"/>
      <c r="BL1159" s="52"/>
      <c r="BM1159" s="52"/>
      <c r="BN1159" s="52"/>
      <c r="BO1159" s="52"/>
    </row>
    <row r="1160">
      <c r="B1160" s="49"/>
      <c r="C1160" s="49" t="str">
        <f t="shared" si="2"/>
        <v/>
      </c>
      <c r="D1160" s="50" t="str">
        <f t="shared" si="3"/>
        <v/>
      </c>
      <c r="E1160" s="51" t="str">
        <f t="shared" ref="E1160:T1160" si="1161">IFERROR(VLOOKUP($A1160,INDIRECT("'" &amp; E$1 &amp; "'!$C:$G"), 5, FALSE),"")</f>
        <v/>
      </c>
      <c r="F1160" s="51" t="str">
        <f t="shared" si="1161"/>
        <v/>
      </c>
      <c r="G1160" s="51" t="str">
        <f t="shared" si="1161"/>
        <v/>
      </c>
      <c r="H1160" s="51" t="str">
        <f t="shared" si="1161"/>
        <v/>
      </c>
      <c r="I1160" s="51" t="str">
        <f t="shared" si="1161"/>
        <v/>
      </c>
      <c r="J1160" s="51" t="str">
        <f t="shared" si="1161"/>
        <v/>
      </c>
      <c r="K1160" s="51" t="str">
        <f t="shared" si="1161"/>
        <v/>
      </c>
      <c r="L1160" s="51" t="str">
        <f t="shared" si="1161"/>
        <v/>
      </c>
      <c r="M1160" s="51" t="str">
        <f t="shared" si="1161"/>
        <v/>
      </c>
      <c r="N1160" s="51" t="str">
        <f t="shared" si="1161"/>
        <v/>
      </c>
      <c r="O1160" s="51" t="str">
        <f t="shared" si="1161"/>
        <v/>
      </c>
      <c r="P1160" s="51" t="str">
        <f t="shared" si="1161"/>
        <v/>
      </c>
      <c r="Q1160" s="51" t="str">
        <f t="shared" si="1161"/>
        <v/>
      </c>
      <c r="R1160" s="51" t="str">
        <f t="shared" si="1161"/>
        <v/>
      </c>
      <c r="S1160" s="51" t="str">
        <f t="shared" si="1161"/>
        <v/>
      </c>
      <c r="T1160" s="51" t="str">
        <f t="shared" si="1161"/>
        <v/>
      </c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  <c r="AH1160" s="52"/>
      <c r="AI1160" s="52"/>
      <c r="AJ1160" s="52"/>
      <c r="AK1160" s="52"/>
      <c r="AL1160" s="52"/>
      <c r="AM1160" s="52"/>
      <c r="AN1160" s="52"/>
      <c r="AO1160" s="52"/>
      <c r="AP1160" s="52"/>
      <c r="AQ1160" s="52"/>
      <c r="AR1160" s="52"/>
      <c r="AS1160" s="52"/>
      <c r="AT1160" s="52"/>
      <c r="AU1160" s="52"/>
      <c r="AV1160" s="52"/>
      <c r="AW1160" s="52"/>
      <c r="AX1160" s="52"/>
      <c r="AY1160" s="52"/>
      <c r="AZ1160" s="52"/>
      <c r="BA1160" s="52"/>
      <c r="BB1160" s="52"/>
      <c r="BC1160" s="52"/>
      <c r="BD1160" s="52"/>
      <c r="BE1160" s="52"/>
      <c r="BF1160" s="52"/>
      <c r="BG1160" s="52"/>
      <c r="BH1160" s="52"/>
      <c r="BI1160" s="52"/>
      <c r="BJ1160" s="52"/>
      <c r="BK1160" s="52"/>
      <c r="BL1160" s="52"/>
      <c r="BM1160" s="52"/>
      <c r="BN1160" s="52"/>
      <c r="BO1160" s="52"/>
    </row>
    <row r="1161">
      <c r="B1161" s="49"/>
      <c r="C1161" s="49" t="str">
        <f t="shared" si="2"/>
        <v/>
      </c>
      <c r="D1161" s="50" t="str">
        <f t="shared" si="3"/>
        <v/>
      </c>
      <c r="E1161" s="51" t="str">
        <f t="shared" ref="E1161:T1161" si="1162">IFERROR(VLOOKUP($A1161,INDIRECT("'" &amp; E$1 &amp; "'!$C:$G"), 5, FALSE),"")</f>
        <v/>
      </c>
      <c r="F1161" s="51" t="str">
        <f t="shared" si="1162"/>
        <v/>
      </c>
      <c r="G1161" s="51" t="str">
        <f t="shared" si="1162"/>
        <v/>
      </c>
      <c r="H1161" s="51" t="str">
        <f t="shared" si="1162"/>
        <v/>
      </c>
      <c r="I1161" s="51" t="str">
        <f t="shared" si="1162"/>
        <v/>
      </c>
      <c r="J1161" s="51" t="str">
        <f t="shared" si="1162"/>
        <v/>
      </c>
      <c r="K1161" s="51" t="str">
        <f t="shared" si="1162"/>
        <v/>
      </c>
      <c r="L1161" s="51" t="str">
        <f t="shared" si="1162"/>
        <v/>
      </c>
      <c r="M1161" s="51" t="str">
        <f t="shared" si="1162"/>
        <v/>
      </c>
      <c r="N1161" s="51" t="str">
        <f t="shared" si="1162"/>
        <v/>
      </c>
      <c r="O1161" s="51" t="str">
        <f t="shared" si="1162"/>
        <v/>
      </c>
      <c r="P1161" s="51" t="str">
        <f t="shared" si="1162"/>
        <v/>
      </c>
      <c r="Q1161" s="51" t="str">
        <f t="shared" si="1162"/>
        <v/>
      </c>
      <c r="R1161" s="51" t="str">
        <f t="shared" si="1162"/>
        <v/>
      </c>
      <c r="S1161" s="51" t="str">
        <f t="shared" si="1162"/>
        <v/>
      </c>
      <c r="T1161" s="51" t="str">
        <f t="shared" si="1162"/>
        <v/>
      </c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2"/>
      <c r="AM1161" s="52"/>
      <c r="AN1161" s="52"/>
      <c r="AO1161" s="52"/>
      <c r="AP1161" s="52"/>
      <c r="AQ1161" s="52"/>
      <c r="AR1161" s="52"/>
      <c r="AS1161" s="52"/>
      <c r="AT1161" s="52"/>
      <c r="AU1161" s="52"/>
      <c r="AV1161" s="52"/>
      <c r="AW1161" s="52"/>
      <c r="AX1161" s="52"/>
      <c r="AY1161" s="52"/>
      <c r="AZ1161" s="52"/>
      <c r="BA1161" s="52"/>
      <c r="BB1161" s="52"/>
      <c r="BC1161" s="52"/>
      <c r="BD1161" s="52"/>
      <c r="BE1161" s="52"/>
      <c r="BF1161" s="52"/>
      <c r="BG1161" s="52"/>
      <c r="BH1161" s="52"/>
      <c r="BI1161" s="52"/>
      <c r="BJ1161" s="52"/>
      <c r="BK1161" s="52"/>
      <c r="BL1161" s="52"/>
      <c r="BM1161" s="52"/>
      <c r="BN1161" s="52"/>
      <c r="BO1161" s="52"/>
    </row>
    <row r="1162">
      <c r="B1162" s="49"/>
      <c r="C1162" s="49" t="str">
        <f t="shared" si="2"/>
        <v/>
      </c>
      <c r="D1162" s="50" t="str">
        <f t="shared" si="3"/>
        <v/>
      </c>
      <c r="E1162" s="51" t="str">
        <f t="shared" ref="E1162:T1162" si="1163">IFERROR(VLOOKUP($A1162,INDIRECT("'" &amp; E$1 &amp; "'!$C:$G"), 5, FALSE),"")</f>
        <v/>
      </c>
      <c r="F1162" s="51" t="str">
        <f t="shared" si="1163"/>
        <v/>
      </c>
      <c r="G1162" s="51" t="str">
        <f t="shared" si="1163"/>
        <v/>
      </c>
      <c r="H1162" s="51" t="str">
        <f t="shared" si="1163"/>
        <v/>
      </c>
      <c r="I1162" s="51" t="str">
        <f t="shared" si="1163"/>
        <v/>
      </c>
      <c r="J1162" s="51" t="str">
        <f t="shared" si="1163"/>
        <v/>
      </c>
      <c r="K1162" s="51" t="str">
        <f t="shared" si="1163"/>
        <v/>
      </c>
      <c r="L1162" s="51" t="str">
        <f t="shared" si="1163"/>
        <v/>
      </c>
      <c r="M1162" s="51" t="str">
        <f t="shared" si="1163"/>
        <v/>
      </c>
      <c r="N1162" s="51" t="str">
        <f t="shared" si="1163"/>
        <v/>
      </c>
      <c r="O1162" s="51" t="str">
        <f t="shared" si="1163"/>
        <v/>
      </c>
      <c r="P1162" s="51" t="str">
        <f t="shared" si="1163"/>
        <v/>
      </c>
      <c r="Q1162" s="51" t="str">
        <f t="shared" si="1163"/>
        <v/>
      </c>
      <c r="R1162" s="51" t="str">
        <f t="shared" si="1163"/>
        <v/>
      </c>
      <c r="S1162" s="51" t="str">
        <f t="shared" si="1163"/>
        <v/>
      </c>
      <c r="T1162" s="51" t="str">
        <f t="shared" si="1163"/>
        <v/>
      </c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52"/>
      <c r="AN1162" s="52"/>
      <c r="AO1162" s="52"/>
      <c r="AP1162" s="52"/>
      <c r="AQ1162" s="52"/>
      <c r="AR1162" s="52"/>
      <c r="AS1162" s="52"/>
      <c r="AT1162" s="52"/>
      <c r="AU1162" s="52"/>
      <c r="AV1162" s="52"/>
      <c r="AW1162" s="52"/>
      <c r="AX1162" s="52"/>
      <c r="AY1162" s="52"/>
      <c r="AZ1162" s="52"/>
      <c r="BA1162" s="52"/>
      <c r="BB1162" s="52"/>
      <c r="BC1162" s="52"/>
      <c r="BD1162" s="52"/>
      <c r="BE1162" s="52"/>
      <c r="BF1162" s="52"/>
      <c r="BG1162" s="52"/>
      <c r="BH1162" s="52"/>
      <c r="BI1162" s="52"/>
      <c r="BJ1162" s="52"/>
      <c r="BK1162" s="52"/>
      <c r="BL1162" s="52"/>
      <c r="BM1162" s="52"/>
      <c r="BN1162" s="52"/>
      <c r="BO1162" s="52"/>
    </row>
    <row r="1163">
      <c r="B1163" s="49"/>
      <c r="C1163" s="49" t="str">
        <f t="shared" si="2"/>
        <v/>
      </c>
      <c r="D1163" s="50" t="str">
        <f t="shared" si="3"/>
        <v/>
      </c>
      <c r="E1163" s="51" t="str">
        <f t="shared" ref="E1163:T1163" si="1164">IFERROR(VLOOKUP($A1163,INDIRECT("'" &amp; E$1 &amp; "'!$C:$G"), 5, FALSE),"")</f>
        <v/>
      </c>
      <c r="F1163" s="51" t="str">
        <f t="shared" si="1164"/>
        <v/>
      </c>
      <c r="G1163" s="51" t="str">
        <f t="shared" si="1164"/>
        <v/>
      </c>
      <c r="H1163" s="51" t="str">
        <f t="shared" si="1164"/>
        <v/>
      </c>
      <c r="I1163" s="51" t="str">
        <f t="shared" si="1164"/>
        <v/>
      </c>
      <c r="J1163" s="51" t="str">
        <f t="shared" si="1164"/>
        <v/>
      </c>
      <c r="K1163" s="51" t="str">
        <f t="shared" si="1164"/>
        <v/>
      </c>
      <c r="L1163" s="51" t="str">
        <f t="shared" si="1164"/>
        <v/>
      </c>
      <c r="M1163" s="51" t="str">
        <f t="shared" si="1164"/>
        <v/>
      </c>
      <c r="N1163" s="51" t="str">
        <f t="shared" si="1164"/>
        <v/>
      </c>
      <c r="O1163" s="51" t="str">
        <f t="shared" si="1164"/>
        <v/>
      </c>
      <c r="P1163" s="51" t="str">
        <f t="shared" si="1164"/>
        <v/>
      </c>
      <c r="Q1163" s="51" t="str">
        <f t="shared" si="1164"/>
        <v/>
      </c>
      <c r="R1163" s="51" t="str">
        <f t="shared" si="1164"/>
        <v/>
      </c>
      <c r="S1163" s="51" t="str">
        <f t="shared" si="1164"/>
        <v/>
      </c>
      <c r="T1163" s="51" t="str">
        <f t="shared" si="1164"/>
        <v/>
      </c>
      <c r="U1163" s="52"/>
      <c r="V1163" s="52"/>
      <c r="W1163" s="52"/>
      <c r="X1163" s="52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I1163" s="52"/>
      <c r="AJ1163" s="52"/>
      <c r="AK1163" s="52"/>
      <c r="AL1163" s="52"/>
      <c r="AM1163" s="52"/>
      <c r="AN1163" s="52"/>
      <c r="AO1163" s="52"/>
      <c r="AP1163" s="52"/>
      <c r="AQ1163" s="52"/>
      <c r="AR1163" s="52"/>
      <c r="AS1163" s="52"/>
      <c r="AT1163" s="52"/>
      <c r="AU1163" s="52"/>
      <c r="AV1163" s="52"/>
      <c r="AW1163" s="52"/>
      <c r="AX1163" s="52"/>
      <c r="AY1163" s="52"/>
      <c r="AZ1163" s="52"/>
      <c r="BA1163" s="52"/>
      <c r="BB1163" s="52"/>
      <c r="BC1163" s="52"/>
      <c r="BD1163" s="52"/>
      <c r="BE1163" s="52"/>
      <c r="BF1163" s="52"/>
      <c r="BG1163" s="52"/>
      <c r="BH1163" s="52"/>
      <c r="BI1163" s="52"/>
      <c r="BJ1163" s="52"/>
      <c r="BK1163" s="52"/>
      <c r="BL1163" s="52"/>
      <c r="BM1163" s="52"/>
      <c r="BN1163" s="52"/>
      <c r="BO1163" s="52"/>
    </row>
    <row r="1164">
      <c r="B1164" s="49"/>
      <c r="C1164" s="49" t="str">
        <f t="shared" si="2"/>
        <v/>
      </c>
      <c r="D1164" s="50" t="str">
        <f t="shared" si="3"/>
        <v/>
      </c>
      <c r="E1164" s="51" t="str">
        <f t="shared" ref="E1164:T1164" si="1165">IFERROR(VLOOKUP($A1164,INDIRECT("'" &amp; E$1 &amp; "'!$C:$G"), 5, FALSE),"")</f>
        <v/>
      </c>
      <c r="F1164" s="51" t="str">
        <f t="shared" si="1165"/>
        <v/>
      </c>
      <c r="G1164" s="51" t="str">
        <f t="shared" si="1165"/>
        <v/>
      </c>
      <c r="H1164" s="51" t="str">
        <f t="shared" si="1165"/>
        <v/>
      </c>
      <c r="I1164" s="51" t="str">
        <f t="shared" si="1165"/>
        <v/>
      </c>
      <c r="J1164" s="51" t="str">
        <f t="shared" si="1165"/>
        <v/>
      </c>
      <c r="K1164" s="51" t="str">
        <f t="shared" si="1165"/>
        <v/>
      </c>
      <c r="L1164" s="51" t="str">
        <f t="shared" si="1165"/>
        <v/>
      </c>
      <c r="M1164" s="51" t="str">
        <f t="shared" si="1165"/>
        <v/>
      </c>
      <c r="N1164" s="51" t="str">
        <f t="shared" si="1165"/>
        <v/>
      </c>
      <c r="O1164" s="51" t="str">
        <f t="shared" si="1165"/>
        <v/>
      </c>
      <c r="P1164" s="51" t="str">
        <f t="shared" si="1165"/>
        <v/>
      </c>
      <c r="Q1164" s="51" t="str">
        <f t="shared" si="1165"/>
        <v/>
      </c>
      <c r="R1164" s="51" t="str">
        <f t="shared" si="1165"/>
        <v/>
      </c>
      <c r="S1164" s="51" t="str">
        <f t="shared" si="1165"/>
        <v/>
      </c>
      <c r="T1164" s="51" t="str">
        <f t="shared" si="1165"/>
        <v/>
      </c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I1164" s="52"/>
      <c r="AJ1164" s="52"/>
      <c r="AK1164" s="52"/>
      <c r="AL1164" s="52"/>
      <c r="AM1164" s="52"/>
      <c r="AN1164" s="52"/>
      <c r="AO1164" s="52"/>
      <c r="AP1164" s="52"/>
      <c r="AQ1164" s="52"/>
      <c r="AR1164" s="52"/>
      <c r="AS1164" s="52"/>
      <c r="AT1164" s="52"/>
      <c r="AU1164" s="52"/>
      <c r="AV1164" s="52"/>
      <c r="AW1164" s="52"/>
      <c r="AX1164" s="52"/>
      <c r="AY1164" s="52"/>
      <c r="AZ1164" s="52"/>
      <c r="BA1164" s="52"/>
      <c r="BB1164" s="52"/>
      <c r="BC1164" s="52"/>
      <c r="BD1164" s="52"/>
      <c r="BE1164" s="52"/>
      <c r="BF1164" s="52"/>
      <c r="BG1164" s="52"/>
      <c r="BH1164" s="52"/>
      <c r="BI1164" s="52"/>
      <c r="BJ1164" s="52"/>
      <c r="BK1164" s="52"/>
      <c r="BL1164" s="52"/>
      <c r="BM1164" s="52"/>
      <c r="BN1164" s="52"/>
      <c r="BO1164" s="52"/>
    </row>
    <row r="1165">
      <c r="B1165" s="49"/>
      <c r="C1165" s="49" t="str">
        <f t="shared" si="2"/>
        <v/>
      </c>
      <c r="D1165" s="50" t="str">
        <f t="shared" si="3"/>
        <v/>
      </c>
      <c r="E1165" s="51" t="str">
        <f t="shared" ref="E1165:T1165" si="1166">IFERROR(VLOOKUP($A1165,INDIRECT("'" &amp; E$1 &amp; "'!$C:$G"), 5, FALSE),"")</f>
        <v/>
      </c>
      <c r="F1165" s="51" t="str">
        <f t="shared" si="1166"/>
        <v/>
      </c>
      <c r="G1165" s="51" t="str">
        <f t="shared" si="1166"/>
        <v/>
      </c>
      <c r="H1165" s="51" t="str">
        <f t="shared" si="1166"/>
        <v/>
      </c>
      <c r="I1165" s="51" t="str">
        <f t="shared" si="1166"/>
        <v/>
      </c>
      <c r="J1165" s="51" t="str">
        <f t="shared" si="1166"/>
        <v/>
      </c>
      <c r="K1165" s="51" t="str">
        <f t="shared" si="1166"/>
        <v/>
      </c>
      <c r="L1165" s="51" t="str">
        <f t="shared" si="1166"/>
        <v/>
      </c>
      <c r="M1165" s="51" t="str">
        <f t="shared" si="1166"/>
        <v/>
      </c>
      <c r="N1165" s="51" t="str">
        <f t="shared" si="1166"/>
        <v/>
      </c>
      <c r="O1165" s="51" t="str">
        <f t="shared" si="1166"/>
        <v/>
      </c>
      <c r="P1165" s="51" t="str">
        <f t="shared" si="1166"/>
        <v/>
      </c>
      <c r="Q1165" s="51" t="str">
        <f t="shared" si="1166"/>
        <v/>
      </c>
      <c r="R1165" s="51" t="str">
        <f t="shared" si="1166"/>
        <v/>
      </c>
      <c r="S1165" s="51" t="str">
        <f t="shared" si="1166"/>
        <v/>
      </c>
      <c r="T1165" s="51" t="str">
        <f t="shared" si="1166"/>
        <v/>
      </c>
      <c r="U1165" s="52"/>
      <c r="V1165" s="52"/>
      <c r="W1165" s="52"/>
      <c r="X1165" s="52"/>
      <c r="Y1165" s="52"/>
      <c r="Z1165" s="52"/>
      <c r="AA1165" s="52"/>
      <c r="AB1165" s="52"/>
      <c r="AC1165" s="52"/>
      <c r="AD1165" s="52"/>
      <c r="AE1165" s="52"/>
      <c r="AF1165" s="52"/>
      <c r="AG1165" s="52"/>
      <c r="AH1165" s="52"/>
      <c r="AI1165" s="52"/>
      <c r="AJ1165" s="52"/>
      <c r="AK1165" s="52"/>
      <c r="AL1165" s="52"/>
      <c r="AM1165" s="52"/>
      <c r="AN1165" s="52"/>
      <c r="AO1165" s="52"/>
      <c r="AP1165" s="52"/>
      <c r="AQ1165" s="52"/>
      <c r="AR1165" s="52"/>
      <c r="AS1165" s="52"/>
      <c r="AT1165" s="52"/>
      <c r="AU1165" s="52"/>
      <c r="AV1165" s="52"/>
      <c r="AW1165" s="52"/>
      <c r="AX1165" s="52"/>
      <c r="AY1165" s="52"/>
      <c r="AZ1165" s="52"/>
      <c r="BA1165" s="52"/>
      <c r="BB1165" s="52"/>
      <c r="BC1165" s="52"/>
      <c r="BD1165" s="52"/>
      <c r="BE1165" s="52"/>
      <c r="BF1165" s="52"/>
      <c r="BG1165" s="52"/>
      <c r="BH1165" s="52"/>
      <c r="BI1165" s="52"/>
      <c r="BJ1165" s="52"/>
      <c r="BK1165" s="52"/>
      <c r="BL1165" s="52"/>
      <c r="BM1165" s="52"/>
      <c r="BN1165" s="52"/>
      <c r="BO1165" s="52"/>
    </row>
    <row r="1166">
      <c r="B1166" s="49"/>
      <c r="C1166" s="49" t="str">
        <f t="shared" si="2"/>
        <v/>
      </c>
      <c r="D1166" s="50" t="str">
        <f t="shared" si="3"/>
        <v/>
      </c>
      <c r="E1166" s="51" t="str">
        <f t="shared" ref="E1166:T1166" si="1167">IFERROR(VLOOKUP($A1166,INDIRECT("'" &amp; E$1 &amp; "'!$C:$G"), 5, FALSE),"")</f>
        <v/>
      </c>
      <c r="F1166" s="51" t="str">
        <f t="shared" si="1167"/>
        <v/>
      </c>
      <c r="G1166" s="51" t="str">
        <f t="shared" si="1167"/>
        <v/>
      </c>
      <c r="H1166" s="51" t="str">
        <f t="shared" si="1167"/>
        <v/>
      </c>
      <c r="I1166" s="51" t="str">
        <f t="shared" si="1167"/>
        <v/>
      </c>
      <c r="J1166" s="51" t="str">
        <f t="shared" si="1167"/>
        <v/>
      </c>
      <c r="K1166" s="51" t="str">
        <f t="shared" si="1167"/>
        <v/>
      </c>
      <c r="L1166" s="51" t="str">
        <f t="shared" si="1167"/>
        <v/>
      </c>
      <c r="M1166" s="51" t="str">
        <f t="shared" si="1167"/>
        <v/>
      </c>
      <c r="N1166" s="51" t="str">
        <f t="shared" si="1167"/>
        <v/>
      </c>
      <c r="O1166" s="51" t="str">
        <f t="shared" si="1167"/>
        <v/>
      </c>
      <c r="P1166" s="51" t="str">
        <f t="shared" si="1167"/>
        <v/>
      </c>
      <c r="Q1166" s="51" t="str">
        <f t="shared" si="1167"/>
        <v/>
      </c>
      <c r="R1166" s="51" t="str">
        <f t="shared" si="1167"/>
        <v/>
      </c>
      <c r="S1166" s="51" t="str">
        <f t="shared" si="1167"/>
        <v/>
      </c>
      <c r="T1166" s="51" t="str">
        <f t="shared" si="1167"/>
        <v/>
      </c>
      <c r="U1166" s="52"/>
      <c r="V1166" s="52"/>
      <c r="W1166" s="52"/>
      <c r="X1166" s="52"/>
      <c r="Y1166" s="52"/>
      <c r="Z1166" s="52"/>
      <c r="AA1166" s="52"/>
      <c r="AB1166" s="52"/>
      <c r="AC1166" s="52"/>
      <c r="AD1166" s="52"/>
      <c r="AE1166" s="52"/>
      <c r="AF1166" s="52"/>
      <c r="AG1166" s="52"/>
      <c r="AH1166" s="52"/>
      <c r="AI1166" s="52"/>
      <c r="AJ1166" s="52"/>
      <c r="AK1166" s="52"/>
      <c r="AL1166" s="52"/>
      <c r="AM1166" s="52"/>
      <c r="AN1166" s="52"/>
      <c r="AO1166" s="52"/>
      <c r="AP1166" s="52"/>
      <c r="AQ1166" s="52"/>
      <c r="AR1166" s="52"/>
      <c r="AS1166" s="52"/>
      <c r="AT1166" s="52"/>
      <c r="AU1166" s="52"/>
      <c r="AV1166" s="52"/>
      <c r="AW1166" s="52"/>
      <c r="AX1166" s="52"/>
      <c r="AY1166" s="52"/>
      <c r="AZ1166" s="52"/>
      <c r="BA1166" s="52"/>
      <c r="BB1166" s="52"/>
      <c r="BC1166" s="52"/>
      <c r="BD1166" s="52"/>
      <c r="BE1166" s="52"/>
      <c r="BF1166" s="52"/>
      <c r="BG1166" s="52"/>
      <c r="BH1166" s="52"/>
      <c r="BI1166" s="52"/>
      <c r="BJ1166" s="52"/>
      <c r="BK1166" s="52"/>
      <c r="BL1166" s="52"/>
      <c r="BM1166" s="52"/>
      <c r="BN1166" s="52"/>
      <c r="BO1166" s="52"/>
    </row>
    <row r="1167">
      <c r="B1167" s="49"/>
      <c r="C1167" s="49" t="str">
        <f t="shared" si="2"/>
        <v/>
      </c>
      <c r="D1167" s="50" t="str">
        <f t="shared" si="3"/>
        <v/>
      </c>
      <c r="E1167" s="51" t="str">
        <f t="shared" ref="E1167:T1167" si="1168">IFERROR(VLOOKUP($A1167,INDIRECT("'" &amp; E$1 &amp; "'!$C:$G"), 5, FALSE),"")</f>
        <v/>
      </c>
      <c r="F1167" s="51" t="str">
        <f t="shared" si="1168"/>
        <v/>
      </c>
      <c r="G1167" s="51" t="str">
        <f t="shared" si="1168"/>
        <v/>
      </c>
      <c r="H1167" s="51" t="str">
        <f t="shared" si="1168"/>
        <v/>
      </c>
      <c r="I1167" s="51" t="str">
        <f t="shared" si="1168"/>
        <v/>
      </c>
      <c r="J1167" s="51" t="str">
        <f t="shared" si="1168"/>
        <v/>
      </c>
      <c r="K1167" s="51" t="str">
        <f t="shared" si="1168"/>
        <v/>
      </c>
      <c r="L1167" s="51" t="str">
        <f t="shared" si="1168"/>
        <v/>
      </c>
      <c r="M1167" s="51" t="str">
        <f t="shared" si="1168"/>
        <v/>
      </c>
      <c r="N1167" s="51" t="str">
        <f t="shared" si="1168"/>
        <v/>
      </c>
      <c r="O1167" s="51" t="str">
        <f t="shared" si="1168"/>
        <v/>
      </c>
      <c r="P1167" s="51" t="str">
        <f t="shared" si="1168"/>
        <v/>
      </c>
      <c r="Q1167" s="51" t="str">
        <f t="shared" si="1168"/>
        <v/>
      </c>
      <c r="R1167" s="51" t="str">
        <f t="shared" si="1168"/>
        <v/>
      </c>
      <c r="S1167" s="51" t="str">
        <f t="shared" si="1168"/>
        <v/>
      </c>
      <c r="T1167" s="51" t="str">
        <f t="shared" si="1168"/>
        <v/>
      </c>
      <c r="U1167" s="52"/>
      <c r="V1167" s="52"/>
      <c r="W1167" s="52"/>
      <c r="X1167" s="52"/>
      <c r="Y1167" s="52"/>
      <c r="Z1167" s="52"/>
      <c r="AA1167" s="52"/>
      <c r="AB1167" s="52"/>
      <c r="AC1167" s="52"/>
      <c r="AD1167" s="52"/>
      <c r="AE1167" s="52"/>
      <c r="AF1167" s="52"/>
      <c r="AG1167" s="52"/>
      <c r="AH1167" s="52"/>
      <c r="AI1167" s="52"/>
      <c r="AJ1167" s="52"/>
      <c r="AK1167" s="52"/>
      <c r="AL1167" s="52"/>
      <c r="AM1167" s="52"/>
      <c r="AN1167" s="52"/>
      <c r="AO1167" s="52"/>
      <c r="AP1167" s="52"/>
      <c r="AQ1167" s="52"/>
      <c r="AR1167" s="52"/>
      <c r="AS1167" s="52"/>
      <c r="AT1167" s="52"/>
      <c r="AU1167" s="52"/>
      <c r="AV1167" s="52"/>
      <c r="AW1167" s="52"/>
      <c r="AX1167" s="52"/>
      <c r="AY1167" s="52"/>
      <c r="AZ1167" s="52"/>
      <c r="BA1167" s="52"/>
      <c r="BB1167" s="52"/>
      <c r="BC1167" s="52"/>
      <c r="BD1167" s="52"/>
      <c r="BE1167" s="52"/>
      <c r="BF1167" s="52"/>
      <c r="BG1167" s="52"/>
      <c r="BH1167" s="52"/>
      <c r="BI1167" s="52"/>
      <c r="BJ1167" s="52"/>
      <c r="BK1167" s="52"/>
      <c r="BL1167" s="52"/>
      <c r="BM1167" s="52"/>
      <c r="BN1167" s="52"/>
      <c r="BO1167" s="52"/>
    </row>
    <row r="1168">
      <c r="B1168" s="49"/>
      <c r="C1168" s="49" t="str">
        <f t="shared" si="2"/>
        <v/>
      </c>
      <c r="D1168" s="50" t="str">
        <f t="shared" si="3"/>
        <v/>
      </c>
      <c r="E1168" s="51" t="str">
        <f t="shared" ref="E1168:T1168" si="1169">IFERROR(VLOOKUP($A1168,INDIRECT("'" &amp; E$1 &amp; "'!$C:$G"), 5, FALSE),"")</f>
        <v/>
      </c>
      <c r="F1168" s="51" t="str">
        <f t="shared" si="1169"/>
        <v/>
      </c>
      <c r="G1168" s="51" t="str">
        <f t="shared" si="1169"/>
        <v/>
      </c>
      <c r="H1168" s="51" t="str">
        <f t="shared" si="1169"/>
        <v/>
      </c>
      <c r="I1168" s="51" t="str">
        <f t="shared" si="1169"/>
        <v/>
      </c>
      <c r="J1168" s="51" t="str">
        <f t="shared" si="1169"/>
        <v/>
      </c>
      <c r="K1168" s="51" t="str">
        <f t="shared" si="1169"/>
        <v/>
      </c>
      <c r="L1168" s="51" t="str">
        <f t="shared" si="1169"/>
        <v/>
      </c>
      <c r="M1168" s="51" t="str">
        <f t="shared" si="1169"/>
        <v/>
      </c>
      <c r="N1168" s="51" t="str">
        <f t="shared" si="1169"/>
        <v/>
      </c>
      <c r="O1168" s="51" t="str">
        <f t="shared" si="1169"/>
        <v/>
      </c>
      <c r="P1168" s="51" t="str">
        <f t="shared" si="1169"/>
        <v/>
      </c>
      <c r="Q1168" s="51" t="str">
        <f t="shared" si="1169"/>
        <v/>
      </c>
      <c r="R1168" s="51" t="str">
        <f t="shared" si="1169"/>
        <v/>
      </c>
      <c r="S1168" s="51" t="str">
        <f t="shared" si="1169"/>
        <v/>
      </c>
      <c r="T1168" s="51" t="str">
        <f t="shared" si="1169"/>
        <v/>
      </c>
      <c r="U1168" s="52"/>
      <c r="V1168" s="52"/>
      <c r="W1168" s="52"/>
      <c r="X1168" s="52"/>
      <c r="Y1168" s="52"/>
      <c r="Z1168" s="52"/>
      <c r="AA1168" s="52"/>
      <c r="AB1168" s="52"/>
      <c r="AC1168" s="52"/>
      <c r="AD1168" s="52"/>
      <c r="AE1168" s="52"/>
      <c r="AF1168" s="52"/>
      <c r="AG1168" s="52"/>
      <c r="AH1168" s="52"/>
      <c r="AI1168" s="52"/>
      <c r="AJ1168" s="52"/>
      <c r="AK1168" s="52"/>
      <c r="AL1168" s="52"/>
      <c r="AM1168" s="52"/>
      <c r="AN1168" s="52"/>
      <c r="AO1168" s="52"/>
      <c r="AP1168" s="52"/>
      <c r="AQ1168" s="52"/>
      <c r="AR1168" s="52"/>
      <c r="AS1168" s="52"/>
      <c r="AT1168" s="52"/>
      <c r="AU1168" s="52"/>
      <c r="AV1168" s="52"/>
      <c r="AW1168" s="52"/>
      <c r="AX1168" s="52"/>
      <c r="AY1168" s="52"/>
      <c r="AZ1168" s="52"/>
      <c r="BA1168" s="52"/>
      <c r="BB1168" s="52"/>
      <c r="BC1168" s="52"/>
      <c r="BD1168" s="52"/>
      <c r="BE1168" s="52"/>
      <c r="BF1168" s="52"/>
      <c r="BG1168" s="52"/>
      <c r="BH1168" s="52"/>
      <c r="BI1168" s="52"/>
      <c r="BJ1168" s="52"/>
      <c r="BK1168" s="52"/>
      <c r="BL1168" s="52"/>
      <c r="BM1168" s="52"/>
      <c r="BN1168" s="52"/>
      <c r="BO1168" s="52"/>
    </row>
    <row r="1169">
      <c r="B1169" s="49"/>
      <c r="C1169" s="49" t="str">
        <f t="shared" si="2"/>
        <v/>
      </c>
      <c r="D1169" s="50" t="str">
        <f t="shared" si="3"/>
        <v/>
      </c>
      <c r="E1169" s="51" t="str">
        <f t="shared" ref="E1169:T1169" si="1170">IFERROR(VLOOKUP($A1169,INDIRECT("'" &amp; E$1 &amp; "'!$C:$G"), 5, FALSE),"")</f>
        <v/>
      </c>
      <c r="F1169" s="51" t="str">
        <f t="shared" si="1170"/>
        <v/>
      </c>
      <c r="G1169" s="51" t="str">
        <f t="shared" si="1170"/>
        <v/>
      </c>
      <c r="H1169" s="51" t="str">
        <f t="shared" si="1170"/>
        <v/>
      </c>
      <c r="I1169" s="51" t="str">
        <f t="shared" si="1170"/>
        <v/>
      </c>
      <c r="J1169" s="51" t="str">
        <f t="shared" si="1170"/>
        <v/>
      </c>
      <c r="K1169" s="51" t="str">
        <f t="shared" si="1170"/>
        <v/>
      </c>
      <c r="L1169" s="51" t="str">
        <f t="shared" si="1170"/>
        <v/>
      </c>
      <c r="M1169" s="51" t="str">
        <f t="shared" si="1170"/>
        <v/>
      </c>
      <c r="N1169" s="51" t="str">
        <f t="shared" si="1170"/>
        <v/>
      </c>
      <c r="O1169" s="51" t="str">
        <f t="shared" si="1170"/>
        <v/>
      </c>
      <c r="P1169" s="51" t="str">
        <f t="shared" si="1170"/>
        <v/>
      </c>
      <c r="Q1169" s="51" t="str">
        <f t="shared" si="1170"/>
        <v/>
      </c>
      <c r="R1169" s="51" t="str">
        <f t="shared" si="1170"/>
        <v/>
      </c>
      <c r="S1169" s="51" t="str">
        <f t="shared" si="1170"/>
        <v/>
      </c>
      <c r="T1169" s="51" t="str">
        <f t="shared" si="1170"/>
        <v/>
      </c>
      <c r="U1169" s="52"/>
      <c r="V1169" s="52"/>
      <c r="W1169" s="52"/>
      <c r="X1169" s="52"/>
      <c r="Y1169" s="52"/>
      <c r="Z1169" s="52"/>
      <c r="AA1169" s="52"/>
      <c r="AB1169" s="52"/>
      <c r="AC1169" s="52"/>
      <c r="AD1169" s="52"/>
      <c r="AE1169" s="52"/>
      <c r="AF1169" s="52"/>
      <c r="AG1169" s="52"/>
      <c r="AH1169" s="52"/>
      <c r="AI1169" s="52"/>
      <c r="AJ1169" s="52"/>
      <c r="AK1169" s="52"/>
      <c r="AL1169" s="52"/>
      <c r="AM1169" s="52"/>
      <c r="AN1169" s="52"/>
      <c r="AO1169" s="52"/>
      <c r="AP1169" s="52"/>
      <c r="AQ1169" s="52"/>
      <c r="AR1169" s="52"/>
      <c r="AS1169" s="52"/>
      <c r="AT1169" s="52"/>
      <c r="AU1169" s="52"/>
      <c r="AV1169" s="52"/>
      <c r="AW1169" s="52"/>
      <c r="AX1169" s="52"/>
      <c r="AY1169" s="52"/>
      <c r="AZ1169" s="52"/>
      <c r="BA1169" s="52"/>
      <c r="BB1169" s="52"/>
      <c r="BC1169" s="52"/>
      <c r="BD1169" s="52"/>
      <c r="BE1169" s="52"/>
      <c r="BF1169" s="52"/>
      <c r="BG1169" s="52"/>
      <c r="BH1169" s="52"/>
      <c r="BI1169" s="52"/>
      <c r="BJ1169" s="52"/>
      <c r="BK1169" s="52"/>
      <c r="BL1169" s="52"/>
      <c r="BM1169" s="52"/>
      <c r="BN1169" s="52"/>
      <c r="BO1169" s="52"/>
    </row>
    <row r="1170">
      <c r="B1170" s="49"/>
      <c r="C1170" s="49" t="str">
        <f t="shared" si="2"/>
        <v/>
      </c>
      <c r="D1170" s="50" t="str">
        <f t="shared" si="3"/>
        <v/>
      </c>
      <c r="E1170" s="51" t="str">
        <f t="shared" ref="E1170:T1170" si="1171">IFERROR(VLOOKUP($A1170,INDIRECT("'" &amp; E$1 &amp; "'!$C:$G"), 5, FALSE),"")</f>
        <v/>
      </c>
      <c r="F1170" s="51" t="str">
        <f t="shared" si="1171"/>
        <v/>
      </c>
      <c r="G1170" s="51" t="str">
        <f t="shared" si="1171"/>
        <v/>
      </c>
      <c r="H1170" s="51" t="str">
        <f t="shared" si="1171"/>
        <v/>
      </c>
      <c r="I1170" s="51" t="str">
        <f t="shared" si="1171"/>
        <v/>
      </c>
      <c r="J1170" s="51" t="str">
        <f t="shared" si="1171"/>
        <v/>
      </c>
      <c r="K1170" s="51" t="str">
        <f t="shared" si="1171"/>
        <v/>
      </c>
      <c r="L1170" s="51" t="str">
        <f t="shared" si="1171"/>
        <v/>
      </c>
      <c r="M1170" s="51" t="str">
        <f t="shared" si="1171"/>
        <v/>
      </c>
      <c r="N1170" s="51" t="str">
        <f t="shared" si="1171"/>
        <v/>
      </c>
      <c r="O1170" s="51" t="str">
        <f t="shared" si="1171"/>
        <v/>
      </c>
      <c r="P1170" s="51" t="str">
        <f t="shared" si="1171"/>
        <v/>
      </c>
      <c r="Q1170" s="51" t="str">
        <f t="shared" si="1171"/>
        <v/>
      </c>
      <c r="R1170" s="51" t="str">
        <f t="shared" si="1171"/>
        <v/>
      </c>
      <c r="S1170" s="51" t="str">
        <f t="shared" si="1171"/>
        <v/>
      </c>
      <c r="T1170" s="51" t="str">
        <f t="shared" si="1171"/>
        <v/>
      </c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  <c r="AH1170" s="52"/>
      <c r="AI1170" s="52"/>
      <c r="AJ1170" s="52"/>
      <c r="AK1170" s="52"/>
      <c r="AL1170" s="52"/>
      <c r="AM1170" s="52"/>
      <c r="AN1170" s="52"/>
      <c r="AO1170" s="52"/>
      <c r="AP1170" s="52"/>
      <c r="AQ1170" s="52"/>
      <c r="AR1170" s="52"/>
      <c r="AS1170" s="52"/>
      <c r="AT1170" s="52"/>
      <c r="AU1170" s="52"/>
      <c r="AV1170" s="52"/>
      <c r="AW1170" s="52"/>
      <c r="AX1170" s="52"/>
      <c r="AY1170" s="52"/>
      <c r="AZ1170" s="52"/>
      <c r="BA1170" s="52"/>
      <c r="BB1170" s="52"/>
      <c r="BC1170" s="52"/>
      <c r="BD1170" s="52"/>
      <c r="BE1170" s="52"/>
      <c r="BF1170" s="52"/>
      <c r="BG1170" s="52"/>
      <c r="BH1170" s="52"/>
      <c r="BI1170" s="52"/>
      <c r="BJ1170" s="52"/>
      <c r="BK1170" s="52"/>
      <c r="BL1170" s="52"/>
      <c r="BM1170" s="52"/>
      <c r="BN1170" s="52"/>
      <c r="BO1170" s="52"/>
    </row>
    <row r="1171">
      <c r="B1171" s="49"/>
      <c r="C1171" s="49" t="str">
        <f t="shared" si="2"/>
        <v/>
      </c>
      <c r="D1171" s="50" t="str">
        <f t="shared" si="3"/>
        <v/>
      </c>
      <c r="E1171" s="51" t="str">
        <f t="shared" ref="E1171:T1171" si="1172">IFERROR(VLOOKUP($A1171,INDIRECT("'" &amp; E$1 &amp; "'!$C:$G"), 5, FALSE),"")</f>
        <v/>
      </c>
      <c r="F1171" s="51" t="str">
        <f t="shared" si="1172"/>
        <v/>
      </c>
      <c r="G1171" s="51" t="str">
        <f t="shared" si="1172"/>
        <v/>
      </c>
      <c r="H1171" s="51" t="str">
        <f t="shared" si="1172"/>
        <v/>
      </c>
      <c r="I1171" s="51" t="str">
        <f t="shared" si="1172"/>
        <v/>
      </c>
      <c r="J1171" s="51" t="str">
        <f t="shared" si="1172"/>
        <v/>
      </c>
      <c r="K1171" s="51" t="str">
        <f t="shared" si="1172"/>
        <v/>
      </c>
      <c r="L1171" s="51" t="str">
        <f t="shared" si="1172"/>
        <v/>
      </c>
      <c r="M1171" s="51" t="str">
        <f t="shared" si="1172"/>
        <v/>
      </c>
      <c r="N1171" s="51" t="str">
        <f t="shared" si="1172"/>
        <v/>
      </c>
      <c r="O1171" s="51" t="str">
        <f t="shared" si="1172"/>
        <v/>
      </c>
      <c r="P1171" s="51" t="str">
        <f t="shared" si="1172"/>
        <v/>
      </c>
      <c r="Q1171" s="51" t="str">
        <f t="shared" si="1172"/>
        <v/>
      </c>
      <c r="R1171" s="51" t="str">
        <f t="shared" si="1172"/>
        <v/>
      </c>
      <c r="S1171" s="51" t="str">
        <f t="shared" si="1172"/>
        <v/>
      </c>
      <c r="T1171" s="51" t="str">
        <f t="shared" si="1172"/>
        <v/>
      </c>
      <c r="U1171" s="52"/>
      <c r="V1171" s="52"/>
      <c r="W1171" s="52"/>
      <c r="X1171" s="52"/>
      <c r="Y1171" s="52"/>
      <c r="Z1171" s="52"/>
      <c r="AA1171" s="52"/>
      <c r="AB1171" s="52"/>
      <c r="AC1171" s="52"/>
      <c r="AD1171" s="52"/>
      <c r="AE1171" s="52"/>
      <c r="AF1171" s="52"/>
      <c r="AG1171" s="52"/>
      <c r="AH1171" s="52"/>
      <c r="AI1171" s="52"/>
      <c r="AJ1171" s="52"/>
      <c r="AK1171" s="52"/>
      <c r="AL1171" s="52"/>
      <c r="AM1171" s="52"/>
      <c r="AN1171" s="52"/>
      <c r="AO1171" s="52"/>
      <c r="AP1171" s="52"/>
      <c r="AQ1171" s="52"/>
      <c r="AR1171" s="52"/>
      <c r="AS1171" s="52"/>
      <c r="AT1171" s="52"/>
      <c r="AU1171" s="52"/>
      <c r="AV1171" s="52"/>
      <c r="AW1171" s="52"/>
      <c r="AX1171" s="52"/>
      <c r="AY1171" s="52"/>
      <c r="AZ1171" s="52"/>
      <c r="BA1171" s="52"/>
      <c r="BB1171" s="52"/>
      <c r="BC1171" s="52"/>
      <c r="BD1171" s="52"/>
      <c r="BE1171" s="52"/>
      <c r="BF1171" s="52"/>
      <c r="BG1171" s="52"/>
      <c r="BH1171" s="52"/>
      <c r="BI1171" s="52"/>
      <c r="BJ1171" s="52"/>
      <c r="BK1171" s="52"/>
      <c r="BL1171" s="52"/>
      <c r="BM1171" s="52"/>
      <c r="BN1171" s="52"/>
      <c r="BO1171" s="52"/>
    </row>
    <row r="1172">
      <c r="B1172" s="49"/>
      <c r="C1172" s="49" t="str">
        <f t="shared" si="2"/>
        <v/>
      </c>
      <c r="D1172" s="50" t="str">
        <f t="shared" si="3"/>
        <v/>
      </c>
      <c r="E1172" s="51" t="str">
        <f t="shared" ref="E1172:T1172" si="1173">IFERROR(VLOOKUP($A1172,INDIRECT("'" &amp; E$1 &amp; "'!$C:$G"), 5, FALSE),"")</f>
        <v/>
      </c>
      <c r="F1172" s="51" t="str">
        <f t="shared" si="1173"/>
        <v/>
      </c>
      <c r="G1172" s="51" t="str">
        <f t="shared" si="1173"/>
        <v/>
      </c>
      <c r="H1172" s="51" t="str">
        <f t="shared" si="1173"/>
        <v/>
      </c>
      <c r="I1172" s="51" t="str">
        <f t="shared" si="1173"/>
        <v/>
      </c>
      <c r="J1172" s="51" t="str">
        <f t="shared" si="1173"/>
        <v/>
      </c>
      <c r="K1172" s="51" t="str">
        <f t="shared" si="1173"/>
        <v/>
      </c>
      <c r="L1172" s="51" t="str">
        <f t="shared" si="1173"/>
        <v/>
      </c>
      <c r="M1172" s="51" t="str">
        <f t="shared" si="1173"/>
        <v/>
      </c>
      <c r="N1172" s="51" t="str">
        <f t="shared" si="1173"/>
        <v/>
      </c>
      <c r="O1172" s="51" t="str">
        <f t="shared" si="1173"/>
        <v/>
      </c>
      <c r="P1172" s="51" t="str">
        <f t="shared" si="1173"/>
        <v/>
      </c>
      <c r="Q1172" s="51" t="str">
        <f t="shared" si="1173"/>
        <v/>
      </c>
      <c r="R1172" s="51" t="str">
        <f t="shared" si="1173"/>
        <v/>
      </c>
      <c r="S1172" s="51" t="str">
        <f t="shared" si="1173"/>
        <v/>
      </c>
      <c r="T1172" s="51" t="str">
        <f t="shared" si="1173"/>
        <v/>
      </c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  <c r="AH1172" s="52"/>
      <c r="AI1172" s="52"/>
      <c r="AJ1172" s="52"/>
      <c r="AK1172" s="52"/>
      <c r="AL1172" s="52"/>
      <c r="AM1172" s="52"/>
      <c r="AN1172" s="52"/>
      <c r="AO1172" s="52"/>
      <c r="AP1172" s="52"/>
      <c r="AQ1172" s="52"/>
      <c r="AR1172" s="52"/>
      <c r="AS1172" s="52"/>
      <c r="AT1172" s="52"/>
      <c r="AU1172" s="52"/>
      <c r="AV1172" s="52"/>
      <c r="AW1172" s="52"/>
      <c r="AX1172" s="52"/>
      <c r="AY1172" s="52"/>
      <c r="AZ1172" s="52"/>
      <c r="BA1172" s="52"/>
      <c r="BB1172" s="52"/>
      <c r="BC1172" s="52"/>
      <c r="BD1172" s="52"/>
      <c r="BE1172" s="52"/>
      <c r="BF1172" s="52"/>
      <c r="BG1172" s="52"/>
      <c r="BH1172" s="52"/>
      <c r="BI1172" s="52"/>
      <c r="BJ1172" s="52"/>
      <c r="BK1172" s="52"/>
      <c r="BL1172" s="52"/>
      <c r="BM1172" s="52"/>
      <c r="BN1172" s="52"/>
      <c r="BO1172" s="52"/>
    </row>
    <row r="1173">
      <c r="B1173" s="49"/>
      <c r="C1173" s="49" t="str">
        <f t="shared" si="2"/>
        <v/>
      </c>
      <c r="D1173" s="50" t="str">
        <f t="shared" si="3"/>
        <v/>
      </c>
      <c r="E1173" s="51" t="str">
        <f t="shared" ref="E1173:T1173" si="1174">IFERROR(VLOOKUP($A1173,INDIRECT("'" &amp; E$1 &amp; "'!$C:$G"), 5, FALSE),"")</f>
        <v/>
      </c>
      <c r="F1173" s="51" t="str">
        <f t="shared" si="1174"/>
        <v/>
      </c>
      <c r="G1173" s="51" t="str">
        <f t="shared" si="1174"/>
        <v/>
      </c>
      <c r="H1173" s="51" t="str">
        <f t="shared" si="1174"/>
        <v/>
      </c>
      <c r="I1173" s="51" t="str">
        <f t="shared" si="1174"/>
        <v/>
      </c>
      <c r="J1173" s="51" t="str">
        <f t="shared" si="1174"/>
        <v/>
      </c>
      <c r="K1173" s="51" t="str">
        <f t="shared" si="1174"/>
        <v/>
      </c>
      <c r="L1173" s="51" t="str">
        <f t="shared" si="1174"/>
        <v/>
      </c>
      <c r="M1173" s="51" t="str">
        <f t="shared" si="1174"/>
        <v/>
      </c>
      <c r="N1173" s="51" t="str">
        <f t="shared" si="1174"/>
        <v/>
      </c>
      <c r="O1173" s="51" t="str">
        <f t="shared" si="1174"/>
        <v/>
      </c>
      <c r="P1173" s="51" t="str">
        <f t="shared" si="1174"/>
        <v/>
      </c>
      <c r="Q1173" s="51" t="str">
        <f t="shared" si="1174"/>
        <v/>
      </c>
      <c r="R1173" s="51" t="str">
        <f t="shared" si="1174"/>
        <v/>
      </c>
      <c r="S1173" s="51" t="str">
        <f t="shared" si="1174"/>
        <v/>
      </c>
      <c r="T1173" s="51" t="str">
        <f t="shared" si="1174"/>
        <v/>
      </c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2"/>
      <c r="AM1173" s="52"/>
      <c r="AN1173" s="52"/>
      <c r="AO1173" s="52"/>
      <c r="AP1173" s="52"/>
      <c r="AQ1173" s="52"/>
      <c r="AR1173" s="52"/>
      <c r="AS1173" s="52"/>
      <c r="AT1173" s="52"/>
      <c r="AU1173" s="52"/>
      <c r="AV1173" s="52"/>
      <c r="AW1173" s="52"/>
      <c r="AX1173" s="52"/>
      <c r="AY1173" s="52"/>
      <c r="AZ1173" s="52"/>
      <c r="BA1173" s="52"/>
      <c r="BB1173" s="52"/>
      <c r="BC1173" s="52"/>
      <c r="BD1173" s="52"/>
      <c r="BE1173" s="52"/>
      <c r="BF1173" s="52"/>
      <c r="BG1173" s="52"/>
      <c r="BH1173" s="52"/>
      <c r="BI1173" s="52"/>
      <c r="BJ1173" s="52"/>
      <c r="BK1173" s="52"/>
      <c r="BL1173" s="52"/>
      <c r="BM1173" s="52"/>
      <c r="BN1173" s="52"/>
      <c r="BO1173" s="52"/>
    </row>
    <row r="1174">
      <c r="B1174" s="49"/>
      <c r="C1174" s="49" t="str">
        <f t="shared" si="2"/>
        <v/>
      </c>
      <c r="D1174" s="50" t="str">
        <f t="shared" si="3"/>
        <v/>
      </c>
      <c r="E1174" s="51" t="str">
        <f t="shared" ref="E1174:T1174" si="1175">IFERROR(VLOOKUP($A1174,INDIRECT("'" &amp; E$1 &amp; "'!$C:$G"), 5, FALSE),"")</f>
        <v/>
      </c>
      <c r="F1174" s="51" t="str">
        <f t="shared" si="1175"/>
        <v/>
      </c>
      <c r="G1174" s="51" t="str">
        <f t="shared" si="1175"/>
        <v/>
      </c>
      <c r="H1174" s="51" t="str">
        <f t="shared" si="1175"/>
        <v/>
      </c>
      <c r="I1174" s="51" t="str">
        <f t="shared" si="1175"/>
        <v/>
      </c>
      <c r="J1174" s="51" t="str">
        <f t="shared" si="1175"/>
        <v/>
      </c>
      <c r="K1174" s="51" t="str">
        <f t="shared" si="1175"/>
        <v/>
      </c>
      <c r="L1174" s="51" t="str">
        <f t="shared" si="1175"/>
        <v/>
      </c>
      <c r="M1174" s="51" t="str">
        <f t="shared" si="1175"/>
        <v/>
      </c>
      <c r="N1174" s="51" t="str">
        <f t="shared" si="1175"/>
        <v/>
      </c>
      <c r="O1174" s="51" t="str">
        <f t="shared" si="1175"/>
        <v/>
      </c>
      <c r="P1174" s="51" t="str">
        <f t="shared" si="1175"/>
        <v/>
      </c>
      <c r="Q1174" s="51" t="str">
        <f t="shared" si="1175"/>
        <v/>
      </c>
      <c r="R1174" s="51" t="str">
        <f t="shared" si="1175"/>
        <v/>
      </c>
      <c r="S1174" s="51" t="str">
        <f t="shared" si="1175"/>
        <v/>
      </c>
      <c r="T1174" s="51" t="str">
        <f t="shared" si="1175"/>
        <v/>
      </c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52"/>
      <c r="AI1174" s="52"/>
      <c r="AJ1174" s="52"/>
      <c r="AK1174" s="52"/>
      <c r="AL1174" s="52"/>
      <c r="AM1174" s="52"/>
      <c r="AN1174" s="52"/>
      <c r="AO1174" s="52"/>
      <c r="AP1174" s="52"/>
      <c r="AQ1174" s="52"/>
      <c r="AR1174" s="52"/>
      <c r="AS1174" s="52"/>
      <c r="AT1174" s="52"/>
      <c r="AU1174" s="52"/>
      <c r="AV1174" s="52"/>
      <c r="AW1174" s="52"/>
      <c r="AX1174" s="52"/>
      <c r="AY1174" s="52"/>
      <c r="AZ1174" s="52"/>
      <c r="BA1174" s="52"/>
      <c r="BB1174" s="52"/>
      <c r="BC1174" s="52"/>
      <c r="BD1174" s="52"/>
      <c r="BE1174" s="52"/>
      <c r="BF1174" s="52"/>
      <c r="BG1174" s="52"/>
      <c r="BH1174" s="52"/>
      <c r="BI1174" s="52"/>
      <c r="BJ1174" s="52"/>
      <c r="BK1174" s="52"/>
      <c r="BL1174" s="52"/>
      <c r="BM1174" s="52"/>
      <c r="BN1174" s="52"/>
      <c r="BO1174" s="52"/>
    </row>
    <row r="1175">
      <c r="B1175" s="49"/>
      <c r="C1175" s="49" t="str">
        <f t="shared" si="2"/>
        <v/>
      </c>
      <c r="D1175" s="50" t="str">
        <f t="shared" si="3"/>
        <v/>
      </c>
      <c r="E1175" s="51" t="str">
        <f t="shared" ref="E1175:T1175" si="1176">IFERROR(VLOOKUP($A1175,INDIRECT("'" &amp; E$1 &amp; "'!$C:$G"), 5, FALSE),"")</f>
        <v/>
      </c>
      <c r="F1175" s="51" t="str">
        <f t="shared" si="1176"/>
        <v/>
      </c>
      <c r="G1175" s="51" t="str">
        <f t="shared" si="1176"/>
        <v/>
      </c>
      <c r="H1175" s="51" t="str">
        <f t="shared" si="1176"/>
        <v/>
      </c>
      <c r="I1175" s="51" t="str">
        <f t="shared" si="1176"/>
        <v/>
      </c>
      <c r="J1175" s="51" t="str">
        <f t="shared" si="1176"/>
        <v/>
      </c>
      <c r="K1175" s="51" t="str">
        <f t="shared" si="1176"/>
        <v/>
      </c>
      <c r="L1175" s="51" t="str">
        <f t="shared" si="1176"/>
        <v/>
      </c>
      <c r="M1175" s="51" t="str">
        <f t="shared" si="1176"/>
        <v/>
      </c>
      <c r="N1175" s="51" t="str">
        <f t="shared" si="1176"/>
        <v/>
      </c>
      <c r="O1175" s="51" t="str">
        <f t="shared" si="1176"/>
        <v/>
      </c>
      <c r="P1175" s="51" t="str">
        <f t="shared" si="1176"/>
        <v/>
      </c>
      <c r="Q1175" s="51" t="str">
        <f t="shared" si="1176"/>
        <v/>
      </c>
      <c r="R1175" s="51" t="str">
        <f t="shared" si="1176"/>
        <v/>
      </c>
      <c r="S1175" s="51" t="str">
        <f t="shared" si="1176"/>
        <v/>
      </c>
      <c r="T1175" s="51" t="str">
        <f t="shared" si="1176"/>
        <v/>
      </c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I1175" s="52"/>
      <c r="AJ1175" s="52"/>
      <c r="AK1175" s="52"/>
      <c r="AL1175" s="52"/>
      <c r="AM1175" s="52"/>
      <c r="AN1175" s="52"/>
      <c r="AO1175" s="52"/>
      <c r="AP1175" s="52"/>
      <c r="AQ1175" s="52"/>
      <c r="AR1175" s="52"/>
      <c r="AS1175" s="52"/>
      <c r="AT1175" s="52"/>
      <c r="AU1175" s="52"/>
      <c r="AV1175" s="52"/>
      <c r="AW1175" s="52"/>
      <c r="AX1175" s="52"/>
      <c r="AY1175" s="52"/>
      <c r="AZ1175" s="52"/>
      <c r="BA1175" s="52"/>
      <c r="BB1175" s="52"/>
      <c r="BC1175" s="52"/>
      <c r="BD1175" s="52"/>
      <c r="BE1175" s="52"/>
      <c r="BF1175" s="52"/>
      <c r="BG1175" s="52"/>
      <c r="BH1175" s="52"/>
      <c r="BI1175" s="52"/>
      <c r="BJ1175" s="52"/>
      <c r="BK1175" s="52"/>
      <c r="BL1175" s="52"/>
      <c r="BM1175" s="52"/>
      <c r="BN1175" s="52"/>
      <c r="BO1175" s="52"/>
    </row>
    <row r="1176">
      <c r="B1176" s="49"/>
      <c r="C1176" s="49" t="str">
        <f t="shared" si="2"/>
        <v/>
      </c>
      <c r="D1176" s="50" t="str">
        <f t="shared" si="3"/>
        <v/>
      </c>
      <c r="E1176" s="51" t="str">
        <f t="shared" ref="E1176:T1176" si="1177">IFERROR(VLOOKUP($A1176,INDIRECT("'" &amp; E$1 &amp; "'!$C:$G"), 5, FALSE),"")</f>
        <v/>
      </c>
      <c r="F1176" s="51" t="str">
        <f t="shared" si="1177"/>
        <v/>
      </c>
      <c r="G1176" s="51" t="str">
        <f t="shared" si="1177"/>
        <v/>
      </c>
      <c r="H1176" s="51" t="str">
        <f t="shared" si="1177"/>
        <v/>
      </c>
      <c r="I1176" s="51" t="str">
        <f t="shared" si="1177"/>
        <v/>
      </c>
      <c r="J1176" s="51" t="str">
        <f t="shared" si="1177"/>
        <v/>
      </c>
      <c r="K1176" s="51" t="str">
        <f t="shared" si="1177"/>
        <v/>
      </c>
      <c r="L1176" s="51" t="str">
        <f t="shared" si="1177"/>
        <v/>
      </c>
      <c r="M1176" s="51" t="str">
        <f t="shared" si="1177"/>
        <v/>
      </c>
      <c r="N1176" s="51" t="str">
        <f t="shared" si="1177"/>
        <v/>
      </c>
      <c r="O1176" s="51" t="str">
        <f t="shared" si="1177"/>
        <v/>
      </c>
      <c r="P1176" s="51" t="str">
        <f t="shared" si="1177"/>
        <v/>
      </c>
      <c r="Q1176" s="51" t="str">
        <f t="shared" si="1177"/>
        <v/>
      </c>
      <c r="R1176" s="51" t="str">
        <f t="shared" si="1177"/>
        <v/>
      </c>
      <c r="S1176" s="51" t="str">
        <f t="shared" si="1177"/>
        <v/>
      </c>
      <c r="T1176" s="51" t="str">
        <f t="shared" si="1177"/>
        <v/>
      </c>
      <c r="U1176" s="52"/>
      <c r="V1176" s="52"/>
      <c r="W1176" s="52"/>
      <c r="X1176" s="52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52"/>
      <c r="AI1176" s="52"/>
      <c r="AJ1176" s="52"/>
      <c r="AK1176" s="52"/>
      <c r="AL1176" s="52"/>
      <c r="AM1176" s="52"/>
      <c r="AN1176" s="52"/>
      <c r="AO1176" s="52"/>
      <c r="AP1176" s="52"/>
      <c r="AQ1176" s="52"/>
      <c r="AR1176" s="52"/>
      <c r="AS1176" s="52"/>
      <c r="AT1176" s="52"/>
      <c r="AU1176" s="52"/>
      <c r="AV1176" s="52"/>
      <c r="AW1176" s="52"/>
      <c r="AX1176" s="52"/>
      <c r="AY1176" s="52"/>
      <c r="AZ1176" s="52"/>
      <c r="BA1176" s="52"/>
      <c r="BB1176" s="52"/>
      <c r="BC1176" s="52"/>
      <c r="BD1176" s="52"/>
      <c r="BE1176" s="52"/>
      <c r="BF1176" s="52"/>
      <c r="BG1176" s="52"/>
      <c r="BH1176" s="52"/>
      <c r="BI1176" s="52"/>
      <c r="BJ1176" s="52"/>
      <c r="BK1176" s="52"/>
      <c r="BL1176" s="52"/>
      <c r="BM1176" s="52"/>
      <c r="BN1176" s="52"/>
      <c r="BO1176" s="52"/>
    </row>
    <row r="1177">
      <c r="B1177" s="49"/>
      <c r="C1177" s="49" t="str">
        <f t="shared" si="2"/>
        <v/>
      </c>
      <c r="D1177" s="50" t="str">
        <f t="shared" si="3"/>
        <v/>
      </c>
      <c r="E1177" s="51" t="str">
        <f t="shared" ref="E1177:T1177" si="1178">IFERROR(VLOOKUP($A1177,INDIRECT("'" &amp; E$1 &amp; "'!$C:$G"), 5, FALSE),"")</f>
        <v/>
      </c>
      <c r="F1177" s="51" t="str">
        <f t="shared" si="1178"/>
        <v/>
      </c>
      <c r="G1177" s="51" t="str">
        <f t="shared" si="1178"/>
        <v/>
      </c>
      <c r="H1177" s="51" t="str">
        <f t="shared" si="1178"/>
        <v/>
      </c>
      <c r="I1177" s="51" t="str">
        <f t="shared" si="1178"/>
        <v/>
      </c>
      <c r="J1177" s="51" t="str">
        <f t="shared" si="1178"/>
        <v/>
      </c>
      <c r="K1177" s="51" t="str">
        <f t="shared" si="1178"/>
        <v/>
      </c>
      <c r="L1177" s="51" t="str">
        <f t="shared" si="1178"/>
        <v/>
      </c>
      <c r="M1177" s="51" t="str">
        <f t="shared" si="1178"/>
        <v/>
      </c>
      <c r="N1177" s="51" t="str">
        <f t="shared" si="1178"/>
        <v/>
      </c>
      <c r="O1177" s="51" t="str">
        <f t="shared" si="1178"/>
        <v/>
      </c>
      <c r="P1177" s="51" t="str">
        <f t="shared" si="1178"/>
        <v/>
      </c>
      <c r="Q1177" s="51" t="str">
        <f t="shared" si="1178"/>
        <v/>
      </c>
      <c r="R1177" s="51" t="str">
        <f t="shared" si="1178"/>
        <v/>
      </c>
      <c r="S1177" s="51" t="str">
        <f t="shared" si="1178"/>
        <v/>
      </c>
      <c r="T1177" s="51" t="str">
        <f t="shared" si="1178"/>
        <v/>
      </c>
      <c r="U1177" s="52"/>
      <c r="V1177" s="52"/>
      <c r="W1177" s="52"/>
      <c r="X1177" s="52"/>
      <c r="Y1177" s="52"/>
      <c r="Z1177" s="52"/>
      <c r="AA1177" s="52"/>
      <c r="AB1177" s="52"/>
      <c r="AC1177" s="52"/>
      <c r="AD1177" s="52"/>
      <c r="AE1177" s="52"/>
      <c r="AF1177" s="52"/>
      <c r="AG1177" s="52"/>
      <c r="AH1177" s="52"/>
      <c r="AI1177" s="52"/>
      <c r="AJ1177" s="52"/>
      <c r="AK1177" s="52"/>
      <c r="AL1177" s="52"/>
      <c r="AM1177" s="52"/>
      <c r="AN1177" s="52"/>
      <c r="AO1177" s="52"/>
      <c r="AP1177" s="52"/>
      <c r="AQ1177" s="52"/>
      <c r="AR1177" s="52"/>
      <c r="AS1177" s="52"/>
      <c r="AT1177" s="52"/>
      <c r="AU1177" s="52"/>
      <c r="AV1177" s="52"/>
      <c r="AW1177" s="52"/>
      <c r="AX1177" s="52"/>
      <c r="AY1177" s="52"/>
      <c r="AZ1177" s="52"/>
      <c r="BA1177" s="52"/>
      <c r="BB1177" s="52"/>
      <c r="BC1177" s="52"/>
      <c r="BD1177" s="52"/>
      <c r="BE1177" s="52"/>
      <c r="BF1177" s="52"/>
      <c r="BG1177" s="52"/>
      <c r="BH1177" s="52"/>
      <c r="BI1177" s="52"/>
      <c r="BJ1177" s="52"/>
      <c r="BK1177" s="52"/>
      <c r="BL1177" s="52"/>
      <c r="BM1177" s="52"/>
      <c r="BN1177" s="52"/>
      <c r="BO1177" s="52"/>
    </row>
    <row r="1178">
      <c r="B1178" s="49"/>
      <c r="C1178" s="49" t="str">
        <f t="shared" si="2"/>
        <v/>
      </c>
      <c r="D1178" s="50" t="str">
        <f t="shared" si="3"/>
        <v/>
      </c>
      <c r="E1178" s="51" t="str">
        <f t="shared" ref="E1178:T1178" si="1179">IFERROR(VLOOKUP($A1178,INDIRECT("'" &amp; E$1 &amp; "'!$C:$G"), 5, FALSE),"")</f>
        <v/>
      </c>
      <c r="F1178" s="51" t="str">
        <f t="shared" si="1179"/>
        <v/>
      </c>
      <c r="G1178" s="51" t="str">
        <f t="shared" si="1179"/>
        <v/>
      </c>
      <c r="H1178" s="51" t="str">
        <f t="shared" si="1179"/>
        <v/>
      </c>
      <c r="I1178" s="51" t="str">
        <f t="shared" si="1179"/>
        <v/>
      </c>
      <c r="J1178" s="51" t="str">
        <f t="shared" si="1179"/>
        <v/>
      </c>
      <c r="K1178" s="51" t="str">
        <f t="shared" si="1179"/>
        <v/>
      </c>
      <c r="L1178" s="51" t="str">
        <f t="shared" si="1179"/>
        <v/>
      </c>
      <c r="M1178" s="51" t="str">
        <f t="shared" si="1179"/>
        <v/>
      </c>
      <c r="N1178" s="51" t="str">
        <f t="shared" si="1179"/>
        <v/>
      </c>
      <c r="O1178" s="51" t="str">
        <f t="shared" si="1179"/>
        <v/>
      </c>
      <c r="P1178" s="51" t="str">
        <f t="shared" si="1179"/>
        <v/>
      </c>
      <c r="Q1178" s="51" t="str">
        <f t="shared" si="1179"/>
        <v/>
      </c>
      <c r="R1178" s="51" t="str">
        <f t="shared" si="1179"/>
        <v/>
      </c>
      <c r="S1178" s="51" t="str">
        <f t="shared" si="1179"/>
        <v/>
      </c>
      <c r="T1178" s="51" t="str">
        <f t="shared" si="1179"/>
        <v/>
      </c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  <c r="AH1178" s="52"/>
      <c r="AI1178" s="52"/>
      <c r="AJ1178" s="52"/>
      <c r="AK1178" s="52"/>
      <c r="AL1178" s="52"/>
      <c r="AM1178" s="52"/>
      <c r="AN1178" s="52"/>
      <c r="AO1178" s="52"/>
      <c r="AP1178" s="52"/>
      <c r="AQ1178" s="52"/>
      <c r="AR1178" s="52"/>
      <c r="AS1178" s="52"/>
      <c r="AT1178" s="52"/>
      <c r="AU1178" s="52"/>
      <c r="AV1178" s="52"/>
      <c r="AW1178" s="52"/>
      <c r="AX1178" s="52"/>
      <c r="AY1178" s="52"/>
      <c r="AZ1178" s="52"/>
      <c r="BA1178" s="52"/>
      <c r="BB1178" s="52"/>
      <c r="BC1178" s="52"/>
      <c r="BD1178" s="52"/>
      <c r="BE1178" s="52"/>
      <c r="BF1178" s="52"/>
      <c r="BG1178" s="52"/>
      <c r="BH1178" s="52"/>
      <c r="BI1178" s="52"/>
      <c r="BJ1178" s="52"/>
      <c r="BK1178" s="52"/>
      <c r="BL1178" s="52"/>
      <c r="BM1178" s="52"/>
      <c r="BN1178" s="52"/>
      <c r="BO1178" s="52"/>
    </row>
    <row r="1179">
      <c r="B1179" s="49"/>
      <c r="C1179" s="49" t="str">
        <f t="shared" si="2"/>
        <v/>
      </c>
      <c r="D1179" s="50" t="str">
        <f t="shared" si="3"/>
        <v/>
      </c>
      <c r="E1179" s="51" t="str">
        <f t="shared" ref="E1179:T1179" si="1180">IFERROR(VLOOKUP($A1179,INDIRECT("'" &amp; E$1 &amp; "'!$C:$G"), 5, FALSE),"")</f>
        <v/>
      </c>
      <c r="F1179" s="51" t="str">
        <f t="shared" si="1180"/>
        <v/>
      </c>
      <c r="G1179" s="51" t="str">
        <f t="shared" si="1180"/>
        <v/>
      </c>
      <c r="H1179" s="51" t="str">
        <f t="shared" si="1180"/>
        <v/>
      </c>
      <c r="I1179" s="51" t="str">
        <f t="shared" si="1180"/>
        <v/>
      </c>
      <c r="J1179" s="51" t="str">
        <f t="shared" si="1180"/>
        <v/>
      </c>
      <c r="K1179" s="51" t="str">
        <f t="shared" si="1180"/>
        <v/>
      </c>
      <c r="L1179" s="51" t="str">
        <f t="shared" si="1180"/>
        <v/>
      </c>
      <c r="M1179" s="51" t="str">
        <f t="shared" si="1180"/>
        <v/>
      </c>
      <c r="N1179" s="51" t="str">
        <f t="shared" si="1180"/>
        <v/>
      </c>
      <c r="O1179" s="51" t="str">
        <f t="shared" si="1180"/>
        <v/>
      </c>
      <c r="P1179" s="51" t="str">
        <f t="shared" si="1180"/>
        <v/>
      </c>
      <c r="Q1179" s="51" t="str">
        <f t="shared" si="1180"/>
        <v/>
      </c>
      <c r="R1179" s="51" t="str">
        <f t="shared" si="1180"/>
        <v/>
      </c>
      <c r="S1179" s="51" t="str">
        <f t="shared" si="1180"/>
        <v/>
      </c>
      <c r="T1179" s="51" t="str">
        <f t="shared" si="1180"/>
        <v/>
      </c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2"/>
      <c r="AF1179" s="52"/>
      <c r="AG1179" s="52"/>
      <c r="AH1179" s="52"/>
      <c r="AI1179" s="52"/>
      <c r="AJ1179" s="52"/>
      <c r="AK1179" s="52"/>
      <c r="AL1179" s="52"/>
      <c r="AM1179" s="52"/>
      <c r="AN1179" s="52"/>
      <c r="AO1179" s="52"/>
      <c r="AP1179" s="52"/>
      <c r="AQ1179" s="52"/>
      <c r="AR1179" s="52"/>
      <c r="AS1179" s="52"/>
      <c r="AT1179" s="52"/>
      <c r="AU1179" s="52"/>
      <c r="AV1179" s="52"/>
      <c r="AW1179" s="52"/>
      <c r="AX1179" s="52"/>
      <c r="AY1179" s="52"/>
      <c r="AZ1179" s="52"/>
      <c r="BA1179" s="52"/>
      <c r="BB1179" s="52"/>
      <c r="BC1179" s="52"/>
      <c r="BD1179" s="52"/>
      <c r="BE1179" s="52"/>
      <c r="BF1179" s="52"/>
      <c r="BG1179" s="52"/>
      <c r="BH1179" s="52"/>
      <c r="BI1179" s="52"/>
      <c r="BJ1179" s="52"/>
      <c r="BK1179" s="52"/>
      <c r="BL1179" s="52"/>
      <c r="BM1179" s="52"/>
      <c r="BN1179" s="52"/>
      <c r="BO1179" s="52"/>
    </row>
    <row r="1180">
      <c r="B1180" s="49"/>
      <c r="C1180" s="49" t="str">
        <f t="shared" si="2"/>
        <v/>
      </c>
      <c r="D1180" s="50" t="str">
        <f t="shared" si="3"/>
        <v/>
      </c>
      <c r="E1180" s="51" t="str">
        <f t="shared" ref="E1180:T1180" si="1181">IFERROR(VLOOKUP($A1180,INDIRECT("'" &amp; E$1 &amp; "'!$C:$G"), 5, FALSE),"")</f>
        <v/>
      </c>
      <c r="F1180" s="51" t="str">
        <f t="shared" si="1181"/>
        <v/>
      </c>
      <c r="G1180" s="51" t="str">
        <f t="shared" si="1181"/>
        <v/>
      </c>
      <c r="H1180" s="51" t="str">
        <f t="shared" si="1181"/>
        <v/>
      </c>
      <c r="I1180" s="51" t="str">
        <f t="shared" si="1181"/>
        <v/>
      </c>
      <c r="J1180" s="51" t="str">
        <f t="shared" si="1181"/>
        <v/>
      </c>
      <c r="K1180" s="51" t="str">
        <f t="shared" si="1181"/>
        <v/>
      </c>
      <c r="L1180" s="51" t="str">
        <f t="shared" si="1181"/>
        <v/>
      </c>
      <c r="M1180" s="51" t="str">
        <f t="shared" si="1181"/>
        <v/>
      </c>
      <c r="N1180" s="51" t="str">
        <f t="shared" si="1181"/>
        <v/>
      </c>
      <c r="O1180" s="51" t="str">
        <f t="shared" si="1181"/>
        <v/>
      </c>
      <c r="P1180" s="51" t="str">
        <f t="shared" si="1181"/>
        <v/>
      </c>
      <c r="Q1180" s="51" t="str">
        <f t="shared" si="1181"/>
        <v/>
      </c>
      <c r="R1180" s="51" t="str">
        <f t="shared" si="1181"/>
        <v/>
      </c>
      <c r="S1180" s="51" t="str">
        <f t="shared" si="1181"/>
        <v/>
      </c>
      <c r="T1180" s="51" t="str">
        <f t="shared" si="1181"/>
        <v/>
      </c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I1180" s="52"/>
      <c r="AJ1180" s="52"/>
      <c r="AK1180" s="52"/>
      <c r="AL1180" s="52"/>
      <c r="AM1180" s="52"/>
      <c r="AN1180" s="52"/>
      <c r="AO1180" s="52"/>
      <c r="AP1180" s="52"/>
      <c r="AQ1180" s="52"/>
      <c r="AR1180" s="52"/>
      <c r="AS1180" s="52"/>
      <c r="AT1180" s="52"/>
      <c r="AU1180" s="52"/>
      <c r="AV1180" s="52"/>
      <c r="AW1180" s="52"/>
      <c r="AX1180" s="52"/>
      <c r="AY1180" s="52"/>
      <c r="AZ1180" s="52"/>
      <c r="BA1180" s="52"/>
      <c r="BB1180" s="52"/>
      <c r="BC1180" s="52"/>
      <c r="BD1180" s="52"/>
      <c r="BE1180" s="52"/>
      <c r="BF1180" s="52"/>
      <c r="BG1180" s="52"/>
      <c r="BH1180" s="52"/>
      <c r="BI1180" s="52"/>
      <c r="BJ1180" s="52"/>
      <c r="BK1180" s="52"/>
      <c r="BL1180" s="52"/>
      <c r="BM1180" s="52"/>
      <c r="BN1180" s="52"/>
      <c r="BO1180" s="52"/>
    </row>
    <row r="1181">
      <c r="B1181" s="49"/>
      <c r="C1181" s="49" t="str">
        <f t="shared" si="2"/>
        <v/>
      </c>
      <c r="D1181" s="50" t="str">
        <f t="shared" si="3"/>
        <v/>
      </c>
      <c r="E1181" s="51" t="str">
        <f t="shared" ref="E1181:T1181" si="1182">IFERROR(VLOOKUP($A1181,INDIRECT("'" &amp; E$1 &amp; "'!$C:$G"), 5, FALSE),"")</f>
        <v/>
      </c>
      <c r="F1181" s="51" t="str">
        <f t="shared" si="1182"/>
        <v/>
      </c>
      <c r="G1181" s="51" t="str">
        <f t="shared" si="1182"/>
        <v/>
      </c>
      <c r="H1181" s="51" t="str">
        <f t="shared" si="1182"/>
        <v/>
      </c>
      <c r="I1181" s="51" t="str">
        <f t="shared" si="1182"/>
        <v/>
      </c>
      <c r="J1181" s="51" t="str">
        <f t="shared" si="1182"/>
        <v/>
      </c>
      <c r="K1181" s="51" t="str">
        <f t="shared" si="1182"/>
        <v/>
      </c>
      <c r="L1181" s="51" t="str">
        <f t="shared" si="1182"/>
        <v/>
      </c>
      <c r="M1181" s="51" t="str">
        <f t="shared" si="1182"/>
        <v/>
      </c>
      <c r="N1181" s="51" t="str">
        <f t="shared" si="1182"/>
        <v/>
      </c>
      <c r="O1181" s="51" t="str">
        <f t="shared" si="1182"/>
        <v/>
      </c>
      <c r="P1181" s="51" t="str">
        <f t="shared" si="1182"/>
        <v/>
      </c>
      <c r="Q1181" s="51" t="str">
        <f t="shared" si="1182"/>
        <v/>
      </c>
      <c r="R1181" s="51" t="str">
        <f t="shared" si="1182"/>
        <v/>
      </c>
      <c r="S1181" s="51" t="str">
        <f t="shared" si="1182"/>
        <v/>
      </c>
      <c r="T1181" s="51" t="str">
        <f t="shared" si="1182"/>
        <v/>
      </c>
      <c r="U1181" s="52"/>
      <c r="V1181" s="52"/>
      <c r="W1181" s="52"/>
      <c r="X1181" s="52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  <c r="AQ1181" s="52"/>
      <c r="AR1181" s="52"/>
      <c r="AS1181" s="52"/>
      <c r="AT1181" s="52"/>
      <c r="AU1181" s="52"/>
      <c r="AV1181" s="52"/>
      <c r="AW1181" s="52"/>
      <c r="AX1181" s="52"/>
      <c r="AY1181" s="52"/>
      <c r="AZ1181" s="52"/>
      <c r="BA1181" s="52"/>
      <c r="BB1181" s="52"/>
      <c r="BC1181" s="52"/>
      <c r="BD1181" s="52"/>
      <c r="BE1181" s="52"/>
      <c r="BF1181" s="52"/>
      <c r="BG1181" s="52"/>
      <c r="BH1181" s="52"/>
      <c r="BI1181" s="52"/>
      <c r="BJ1181" s="52"/>
      <c r="BK1181" s="52"/>
      <c r="BL1181" s="52"/>
      <c r="BM1181" s="52"/>
      <c r="BN1181" s="52"/>
      <c r="BO1181" s="52"/>
    </row>
    <row r="1182">
      <c r="B1182" s="49"/>
      <c r="C1182" s="49" t="str">
        <f t="shared" si="2"/>
        <v/>
      </c>
      <c r="D1182" s="50" t="str">
        <f t="shared" si="3"/>
        <v/>
      </c>
      <c r="E1182" s="51" t="str">
        <f t="shared" ref="E1182:T1182" si="1183">IFERROR(VLOOKUP($A1182,INDIRECT("'" &amp; E$1 &amp; "'!$C:$G"), 5, FALSE),"")</f>
        <v/>
      </c>
      <c r="F1182" s="51" t="str">
        <f t="shared" si="1183"/>
        <v/>
      </c>
      <c r="G1182" s="51" t="str">
        <f t="shared" si="1183"/>
        <v/>
      </c>
      <c r="H1182" s="51" t="str">
        <f t="shared" si="1183"/>
        <v/>
      </c>
      <c r="I1182" s="51" t="str">
        <f t="shared" si="1183"/>
        <v/>
      </c>
      <c r="J1182" s="51" t="str">
        <f t="shared" si="1183"/>
        <v/>
      </c>
      <c r="K1182" s="51" t="str">
        <f t="shared" si="1183"/>
        <v/>
      </c>
      <c r="L1182" s="51" t="str">
        <f t="shared" si="1183"/>
        <v/>
      </c>
      <c r="M1182" s="51" t="str">
        <f t="shared" si="1183"/>
        <v/>
      </c>
      <c r="N1182" s="51" t="str">
        <f t="shared" si="1183"/>
        <v/>
      </c>
      <c r="O1182" s="51" t="str">
        <f t="shared" si="1183"/>
        <v/>
      </c>
      <c r="P1182" s="51" t="str">
        <f t="shared" si="1183"/>
        <v/>
      </c>
      <c r="Q1182" s="51" t="str">
        <f t="shared" si="1183"/>
        <v/>
      </c>
      <c r="R1182" s="51" t="str">
        <f t="shared" si="1183"/>
        <v/>
      </c>
      <c r="S1182" s="51" t="str">
        <f t="shared" si="1183"/>
        <v/>
      </c>
      <c r="T1182" s="51" t="str">
        <f t="shared" si="1183"/>
        <v/>
      </c>
      <c r="U1182" s="52"/>
      <c r="V1182" s="52"/>
      <c r="W1182" s="52"/>
      <c r="X1182" s="52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  <c r="AQ1182" s="52"/>
      <c r="AR1182" s="52"/>
      <c r="AS1182" s="52"/>
      <c r="AT1182" s="52"/>
      <c r="AU1182" s="52"/>
      <c r="AV1182" s="52"/>
      <c r="AW1182" s="52"/>
      <c r="AX1182" s="52"/>
      <c r="AY1182" s="52"/>
      <c r="AZ1182" s="52"/>
      <c r="BA1182" s="52"/>
      <c r="BB1182" s="52"/>
      <c r="BC1182" s="52"/>
      <c r="BD1182" s="52"/>
      <c r="BE1182" s="52"/>
      <c r="BF1182" s="52"/>
      <c r="BG1182" s="52"/>
      <c r="BH1182" s="52"/>
      <c r="BI1182" s="52"/>
      <c r="BJ1182" s="52"/>
      <c r="BK1182" s="52"/>
      <c r="BL1182" s="52"/>
      <c r="BM1182" s="52"/>
      <c r="BN1182" s="52"/>
      <c r="BO1182" s="52"/>
    </row>
    <row r="1183">
      <c r="B1183" s="49"/>
      <c r="C1183" s="49" t="str">
        <f t="shared" si="2"/>
        <v/>
      </c>
      <c r="D1183" s="50" t="str">
        <f t="shared" si="3"/>
        <v/>
      </c>
      <c r="E1183" s="51" t="str">
        <f t="shared" ref="E1183:T1183" si="1184">IFERROR(VLOOKUP($A1183,INDIRECT("'" &amp; E$1 &amp; "'!$C:$G"), 5, FALSE),"")</f>
        <v/>
      </c>
      <c r="F1183" s="51" t="str">
        <f t="shared" si="1184"/>
        <v/>
      </c>
      <c r="G1183" s="51" t="str">
        <f t="shared" si="1184"/>
        <v/>
      </c>
      <c r="H1183" s="51" t="str">
        <f t="shared" si="1184"/>
        <v/>
      </c>
      <c r="I1183" s="51" t="str">
        <f t="shared" si="1184"/>
        <v/>
      </c>
      <c r="J1183" s="51" t="str">
        <f t="shared" si="1184"/>
        <v/>
      </c>
      <c r="K1183" s="51" t="str">
        <f t="shared" si="1184"/>
        <v/>
      </c>
      <c r="L1183" s="51" t="str">
        <f t="shared" si="1184"/>
        <v/>
      </c>
      <c r="M1183" s="51" t="str">
        <f t="shared" si="1184"/>
        <v/>
      </c>
      <c r="N1183" s="51" t="str">
        <f t="shared" si="1184"/>
        <v/>
      </c>
      <c r="O1183" s="51" t="str">
        <f t="shared" si="1184"/>
        <v/>
      </c>
      <c r="P1183" s="51" t="str">
        <f t="shared" si="1184"/>
        <v/>
      </c>
      <c r="Q1183" s="51" t="str">
        <f t="shared" si="1184"/>
        <v/>
      </c>
      <c r="R1183" s="51" t="str">
        <f t="shared" si="1184"/>
        <v/>
      </c>
      <c r="S1183" s="51" t="str">
        <f t="shared" si="1184"/>
        <v/>
      </c>
      <c r="T1183" s="51" t="str">
        <f t="shared" si="1184"/>
        <v/>
      </c>
      <c r="U1183" s="52"/>
      <c r="V1183" s="52"/>
      <c r="W1183" s="52"/>
      <c r="X1183" s="52"/>
      <c r="Y1183" s="52"/>
      <c r="Z1183" s="52"/>
      <c r="AA1183" s="52"/>
      <c r="AB1183" s="52"/>
      <c r="AC1183" s="52"/>
      <c r="AD1183" s="52"/>
      <c r="AE1183" s="52"/>
      <c r="AF1183" s="52"/>
      <c r="AG1183" s="52"/>
      <c r="AH1183" s="52"/>
      <c r="AI1183" s="52"/>
      <c r="AJ1183" s="52"/>
      <c r="AK1183" s="52"/>
      <c r="AL1183" s="52"/>
      <c r="AM1183" s="52"/>
      <c r="AN1183" s="52"/>
      <c r="AO1183" s="52"/>
      <c r="AP1183" s="52"/>
      <c r="AQ1183" s="52"/>
      <c r="AR1183" s="52"/>
      <c r="AS1183" s="52"/>
      <c r="AT1183" s="52"/>
      <c r="AU1183" s="52"/>
      <c r="AV1183" s="52"/>
      <c r="AW1183" s="52"/>
      <c r="AX1183" s="52"/>
      <c r="AY1183" s="52"/>
      <c r="AZ1183" s="52"/>
      <c r="BA1183" s="52"/>
      <c r="BB1183" s="52"/>
      <c r="BC1183" s="52"/>
      <c r="BD1183" s="52"/>
      <c r="BE1183" s="52"/>
      <c r="BF1183" s="52"/>
      <c r="BG1183" s="52"/>
      <c r="BH1183" s="52"/>
      <c r="BI1183" s="52"/>
      <c r="BJ1183" s="52"/>
      <c r="BK1183" s="52"/>
      <c r="BL1183" s="52"/>
      <c r="BM1183" s="52"/>
      <c r="BN1183" s="52"/>
      <c r="BO1183" s="52"/>
    </row>
    <row r="1184">
      <c r="B1184" s="49"/>
      <c r="C1184" s="49" t="str">
        <f t="shared" si="2"/>
        <v/>
      </c>
      <c r="D1184" s="50" t="str">
        <f t="shared" si="3"/>
        <v/>
      </c>
      <c r="E1184" s="51" t="str">
        <f t="shared" ref="E1184:T1184" si="1185">IFERROR(VLOOKUP($A1184,INDIRECT("'" &amp; E$1 &amp; "'!$C:$G"), 5, FALSE),"")</f>
        <v/>
      </c>
      <c r="F1184" s="51" t="str">
        <f t="shared" si="1185"/>
        <v/>
      </c>
      <c r="G1184" s="51" t="str">
        <f t="shared" si="1185"/>
        <v/>
      </c>
      <c r="H1184" s="51" t="str">
        <f t="shared" si="1185"/>
        <v/>
      </c>
      <c r="I1184" s="51" t="str">
        <f t="shared" si="1185"/>
        <v/>
      </c>
      <c r="J1184" s="51" t="str">
        <f t="shared" si="1185"/>
        <v/>
      </c>
      <c r="K1184" s="51" t="str">
        <f t="shared" si="1185"/>
        <v/>
      </c>
      <c r="L1184" s="51" t="str">
        <f t="shared" si="1185"/>
        <v/>
      </c>
      <c r="M1184" s="51" t="str">
        <f t="shared" si="1185"/>
        <v/>
      </c>
      <c r="N1184" s="51" t="str">
        <f t="shared" si="1185"/>
        <v/>
      </c>
      <c r="O1184" s="51" t="str">
        <f t="shared" si="1185"/>
        <v/>
      </c>
      <c r="P1184" s="51" t="str">
        <f t="shared" si="1185"/>
        <v/>
      </c>
      <c r="Q1184" s="51" t="str">
        <f t="shared" si="1185"/>
        <v/>
      </c>
      <c r="R1184" s="51" t="str">
        <f t="shared" si="1185"/>
        <v/>
      </c>
      <c r="S1184" s="51" t="str">
        <f t="shared" si="1185"/>
        <v/>
      </c>
      <c r="T1184" s="51" t="str">
        <f t="shared" si="1185"/>
        <v/>
      </c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I1184" s="52"/>
      <c r="AJ1184" s="52"/>
      <c r="AK1184" s="52"/>
      <c r="AL1184" s="52"/>
      <c r="AM1184" s="52"/>
      <c r="AN1184" s="52"/>
      <c r="AO1184" s="52"/>
      <c r="AP1184" s="52"/>
      <c r="AQ1184" s="52"/>
      <c r="AR1184" s="52"/>
      <c r="AS1184" s="52"/>
      <c r="AT1184" s="52"/>
      <c r="AU1184" s="52"/>
      <c r="AV1184" s="52"/>
      <c r="AW1184" s="52"/>
      <c r="AX1184" s="52"/>
      <c r="AY1184" s="52"/>
      <c r="AZ1184" s="52"/>
      <c r="BA1184" s="52"/>
      <c r="BB1184" s="52"/>
      <c r="BC1184" s="52"/>
      <c r="BD1184" s="52"/>
      <c r="BE1184" s="52"/>
      <c r="BF1184" s="52"/>
      <c r="BG1184" s="52"/>
      <c r="BH1184" s="52"/>
      <c r="BI1184" s="52"/>
      <c r="BJ1184" s="52"/>
      <c r="BK1184" s="52"/>
      <c r="BL1184" s="52"/>
      <c r="BM1184" s="52"/>
      <c r="BN1184" s="52"/>
      <c r="BO1184" s="52"/>
    </row>
    <row r="1185">
      <c r="B1185" s="49"/>
      <c r="C1185" s="49" t="str">
        <f t="shared" si="2"/>
        <v/>
      </c>
      <c r="D1185" s="50" t="str">
        <f t="shared" si="3"/>
        <v/>
      </c>
      <c r="E1185" s="51" t="str">
        <f t="shared" ref="E1185:T1185" si="1186">IFERROR(VLOOKUP($A1185,INDIRECT("'" &amp; E$1 &amp; "'!$C:$G"), 5, FALSE),"")</f>
        <v/>
      </c>
      <c r="F1185" s="51" t="str">
        <f t="shared" si="1186"/>
        <v/>
      </c>
      <c r="G1185" s="51" t="str">
        <f t="shared" si="1186"/>
        <v/>
      </c>
      <c r="H1185" s="51" t="str">
        <f t="shared" si="1186"/>
        <v/>
      </c>
      <c r="I1185" s="51" t="str">
        <f t="shared" si="1186"/>
        <v/>
      </c>
      <c r="J1185" s="51" t="str">
        <f t="shared" si="1186"/>
        <v/>
      </c>
      <c r="K1185" s="51" t="str">
        <f t="shared" si="1186"/>
        <v/>
      </c>
      <c r="L1185" s="51" t="str">
        <f t="shared" si="1186"/>
        <v/>
      </c>
      <c r="M1185" s="51" t="str">
        <f t="shared" si="1186"/>
        <v/>
      </c>
      <c r="N1185" s="51" t="str">
        <f t="shared" si="1186"/>
        <v/>
      </c>
      <c r="O1185" s="51" t="str">
        <f t="shared" si="1186"/>
        <v/>
      </c>
      <c r="P1185" s="51" t="str">
        <f t="shared" si="1186"/>
        <v/>
      </c>
      <c r="Q1185" s="51" t="str">
        <f t="shared" si="1186"/>
        <v/>
      </c>
      <c r="R1185" s="51" t="str">
        <f t="shared" si="1186"/>
        <v/>
      </c>
      <c r="S1185" s="51" t="str">
        <f t="shared" si="1186"/>
        <v/>
      </c>
      <c r="T1185" s="51" t="str">
        <f t="shared" si="1186"/>
        <v/>
      </c>
      <c r="U1185" s="52"/>
      <c r="V1185" s="52"/>
      <c r="W1185" s="52"/>
      <c r="X1185" s="52"/>
      <c r="Y1185" s="52"/>
      <c r="Z1185" s="52"/>
      <c r="AA1185" s="52"/>
      <c r="AB1185" s="52"/>
      <c r="AC1185" s="52"/>
      <c r="AD1185" s="52"/>
      <c r="AE1185" s="52"/>
      <c r="AF1185" s="52"/>
      <c r="AG1185" s="52"/>
      <c r="AH1185" s="52"/>
      <c r="AI1185" s="52"/>
      <c r="AJ1185" s="52"/>
      <c r="AK1185" s="52"/>
      <c r="AL1185" s="52"/>
      <c r="AM1185" s="52"/>
      <c r="AN1185" s="52"/>
      <c r="AO1185" s="52"/>
      <c r="AP1185" s="52"/>
      <c r="AQ1185" s="52"/>
      <c r="AR1185" s="52"/>
      <c r="AS1185" s="52"/>
      <c r="AT1185" s="52"/>
      <c r="AU1185" s="52"/>
      <c r="AV1185" s="52"/>
      <c r="AW1185" s="52"/>
      <c r="AX1185" s="52"/>
      <c r="AY1185" s="52"/>
      <c r="AZ1185" s="52"/>
      <c r="BA1185" s="52"/>
      <c r="BB1185" s="52"/>
      <c r="BC1185" s="52"/>
      <c r="BD1185" s="52"/>
      <c r="BE1185" s="52"/>
      <c r="BF1185" s="52"/>
      <c r="BG1185" s="52"/>
      <c r="BH1185" s="52"/>
      <c r="BI1185" s="52"/>
      <c r="BJ1185" s="52"/>
      <c r="BK1185" s="52"/>
      <c r="BL1185" s="52"/>
      <c r="BM1185" s="52"/>
      <c r="BN1185" s="52"/>
      <c r="BO1185" s="52"/>
    </row>
    <row r="1186">
      <c r="B1186" s="49"/>
      <c r="C1186" s="49" t="str">
        <f t="shared" si="2"/>
        <v/>
      </c>
      <c r="D1186" s="50" t="str">
        <f t="shared" si="3"/>
        <v/>
      </c>
      <c r="E1186" s="51" t="str">
        <f t="shared" ref="E1186:T1186" si="1187">IFERROR(VLOOKUP($A1186,INDIRECT("'" &amp; E$1 &amp; "'!$C:$G"), 5, FALSE),"")</f>
        <v/>
      </c>
      <c r="F1186" s="51" t="str">
        <f t="shared" si="1187"/>
        <v/>
      </c>
      <c r="G1186" s="51" t="str">
        <f t="shared" si="1187"/>
        <v/>
      </c>
      <c r="H1186" s="51" t="str">
        <f t="shared" si="1187"/>
        <v/>
      </c>
      <c r="I1186" s="51" t="str">
        <f t="shared" si="1187"/>
        <v/>
      </c>
      <c r="J1186" s="51" t="str">
        <f t="shared" si="1187"/>
        <v/>
      </c>
      <c r="K1186" s="51" t="str">
        <f t="shared" si="1187"/>
        <v/>
      </c>
      <c r="L1186" s="51" t="str">
        <f t="shared" si="1187"/>
        <v/>
      </c>
      <c r="M1186" s="51" t="str">
        <f t="shared" si="1187"/>
        <v/>
      </c>
      <c r="N1186" s="51" t="str">
        <f t="shared" si="1187"/>
        <v/>
      </c>
      <c r="O1186" s="51" t="str">
        <f t="shared" si="1187"/>
        <v/>
      </c>
      <c r="P1186" s="51" t="str">
        <f t="shared" si="1187"/>
        <v/>
      </c>
      <c r="Q1186" s="51" t="str">
        <f t="shared" si="1187"/>
        <v/>
      </c>
      <c r="R1186" s="51" t="str">
        <f t="shared" si="1187"/>
        <v/>
      </c>
      <c r="S1186" s="51" t="str">
        <f t="shared" si="1187"/>
        <v/>
      </c>
      <c r="T1186" s="51" t="str">
        <f t="shared" si="1187"/>
        <v/>
      </c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/>
      <c r="AG1186" s="52"/>
      <c r="AH1186" s="52"/>
      <c r="AI1186" s="52"/>
      <c r="AJ1186" s="52"/>
      <c r="AK1186" s="52"/>
      <c r="AL1186" s="52"/>
      <c r="AM1186" s="52"/>
      <c r="AN1186" s="52"/>
      <c r="AO1186" s="52"/>
      <c r="AP1186" s="52"/>
      <c r="AQ1186" s="52"/>
      <c r="AR1186" s="52"/>
      <c r="AS1186" s="52"/>
      <c r="AT1186" s="52"/>
      <c r="AU1186" s="52"/>
      <c r="AV1186" s="52"/>
      <c r="AW1186" s="52"/>
      <c r="AX1186" s="52"/>
      <c r="AY1186" s="52"/>
      <c r="AZ1186" s="52"/>
      <c r="BA1186" s="52"/>
      <c r="BB1186" s="52"/>
      <c r="BC1186" s="52"/>
      <c r="BD1186" s="52"/>
      <c r="BE1186" s="52"/>
      <c r="BF1186" s="52"/>
      <c r="BG1186" s="52"/>
      <c r="BH1186" s="52"/>
      <c r="BI1186" s="52"/>
      <c r="BJ1186" s="52"/>
      <c r="BK1186" s="52"/>
      <c r="BL1186" s="52"/>
      <c r="BM1186" s="52"/>
      <c r="BN1186" s="52"/>
      <c r="BO1186" s="52"/>
    </row>
    <row r="1187">
      <c r="B1187" s="49"/>
      <c r="C1187" s="49" t="str">
        <f t="shared" si="2"/>
        <v/>
      </c>
      <c r="D1187" s="50" t="str">
        <f t="shared" si="3"/>
        <v/>
      </c>
      <c r="E1187" s="51" t="str">
        <f t="shared" ref="E1187:T1187" si="1188">IFERROR(VLOOKUP($A1187,INDIRECT("'" &amp; E$1 &amp; "'!$C:$G"), 5, FALSE),"")</f>
        <v/>
      </c>
      <c r="F1187" s="51" t="str">
        <f t="shared" si="1188"/>
        <v/>
      </c>
      <c r="G1187" s="51" t="str">
        <f t="shared" si="1188"/>
        <v/>
      </c>
      <c r="H1187" s="51" t="str">
        <f t="shared" si="1188"/>
        <v/>
      </c>
      <c r="I1187" s="51" t="str">
        <f t="shared" si="1188"/>
        <v/>
      </c>
      <c r="J1187" s="51" t="str">
        <f t="shared" si="1188"/>
        <v/>
      </c>
      <c r="K1187" s="51" t="str">
        <f t="shared" si="1188"/>
        <v/>
      </c>
      <c r="L1187" s="51" t="str">
        <f t="shared" si="1188"/>
        <v/>
      </c>
      <c r="M1187" s="51" t="str">
        <f t="shared" si="1188"/>
        <v/>
      </c>
      <c r="N1187" s="51" t="str">
        <f t="shared" si="1188"/>
        <v/>
      </c>
      <c r="O1187" s="51" t="str">
        <f t="shared" si="1188"/>
        <v/>
      </c>
      <c r="P1187" s="51" t="str">
        <f t="shared" si="1188"/>
        <v/>
      </c>
      <c r="Q1187" s="51" t="str">
        <f t="shared" si="1188"/>
        <v/>
      </c>
      <c r="R1187" s="51" t="str">
        <f t="shared" si="1188"/>
        <v/>
      </c>
      <c r="S1187" s="51" t="str">
        <f t="shared" si="1188"/>
        <v/>
      </c>
      <c r="T1187" s="51" t="str">
        <f t="shared" si="1188"/>
        <v/>
      </c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  <c r="AQ1187" s="52"/>
      <c r="AR1187" s="52"/>
      <c r="AS1187" s="52"/>
      <c r="AT1187" s="52"/>
      <c r="AU1187" s="52"/>
      <c r="AV1187" s="52"/>
      <c r="AW1187" s="52"/>
      <c r="AX1187" s="52"/>
      <c r="AY1187" s="52"/>
      <c r="AZ1187" s="52"/>
      <c r="BA1187" s="52"/>
      <c r="BB1187" s="52"/>
      <c r="BC1187" s="52"/>
      <c r="BD1187" s="52"/>
      <c r="BE1187" s="52"/>
      <c r="BF1187" s="52"/>
      <c r="BG1187" s="52"/>
      <c r="BH1187" s="52"/>
      <c r="BI1187" s="52"/>
      <c r="BJ1187" s="52"/>
      <c r="BK1187" s="52"/>
      <c r="BL1187" s="52"/>
      <c r="BM1187" s="52"/>
      <c r="BN1187" s="52"/>
      <c r="BO1187" s="52"/>
    </row>
    <row r="1188">
      <c r="B1188" s="49"/>
      <c r="C1188" s="49" t="str">
        <f t="shared" si="2"/>
        <v/>
      </c>
      <c r="D1188" s="50" t="str">
        <f t="shared" si="3"/>
        <v/>
      </c>
      <c r="E1188" s="51" t="str">
        <f t="shared" ref="E1188:T1188" si="1189">IFERROR(VLOOKUP($A1188,INDIRECT("'" &amp; E$1 &amp; "'!$C:$G"), 5, FALSE),"")</f>
        <v/>
      </c>
      <c r="F1188" s="51" t="str">
        <f t="shared" si="1189"/>
        <v/>
      </c>
      <c r="G1188" s="51" t="str">
        <f t="shared" si="1189"/>
        <v/>
      </c>
      <c r="H1188" s="51" t="str">
        <f t="shared" si="1189"/>
        <v/>
      </c>
      <c r="I1188" s="51" t="str">
        <f t="shared" si="1189"/>
        <v/>
      </c>
      <c r="J1188" s="51" t="str">
        <f t="shared" si="1189"/>
        <v/>
      </c>
      <c r="K1188" s="51" t="str">
        <f t="shared" si="1189"/>
        <v/>
      </c>
      <c r="L1188" s="51" t="str">
        <f t="shared" si="1189"/>
        <v/>
      </c>
      <c r="M1188" s="51" t="str">
        <f t="shared" si="1189"/>
        <v/>
      </c>
      <c r="N1188" s="51" t="str">
        <f t="shared" si="1189"/>
        <v/>
      </c>
      <c r="O1188" s="51" t="str">
        <f t="shared" si="1189"/>
        <v/>
      </c>
      <c r="P1188" s="51" t="str">
        <f t="shared" si="1189"/>
        <v/>
      </c>
      <c r="Q1188" s="51" t="str">
        <f t="shared" si="1189"/>
        <v/>
      </c>
      <c r="R1188" s="51" t="str">
        <f t="shared" si="1189"/>
        <v/>
      </c>
      <c r="S1188" s="51" t="str">
        <f t="shared" si="1189"/>
        <v/>
      </c>
      <c r="T1188" s="51" t="str">
        <f t="shared" si="1189"/>
        <v/>
      </c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/>
      <c r="AF1188" s="52"/>
      <c r="AG1188" s="52"/>
      <c r="AH1188" s="52"/>
      <c r="AI1188" s="52"/>
      <c r="AJ1188" s="52"/>
      <c r="AK1188" s="52"/>
      <c r="AL1188" s="52"/>
      <c r="AM1188" s="52"/>
      <c r="AN1188" s="52"/>
      <c r="AO1188" s="52"/>
      <c r="AP1188" s="52"/>
      <c r="AQ1188" s="52"/>
      <c r="AR1188" s="52"/>
      <c r="AS1188" s="52"/>
      <c r="AT1188" s="52"/>
      <c r="AU1188" s="52"/>
      <c r="AV1188" s="52"/>
      <c r="AW1188" s="52"/>
      <c r="AX1188" s="52"/>
      <c r="AY1188" s="52"/>
      <c r="AZ1188" s="52"/>
      <c r="BA1188" s="52"/>
      <c r="BB1188" s="52"/>
      <c r="BC1188" s="52"/>
      <c r="BD1188" s="52"/>
      <c r="BE1188" s="52"/>
      <c r="BF1188" s="52"/>
      <c r="BG1188" s="52"/>
      <c r="BH1188" s="52"/>
      <c r="BI1188" s="52"/>
      <c r="BJ1188" s="52"/>
      <c r="BK1188" s="52"/>
      <c r="BL1188" s="52"/>
      <c r="BM1188" s="52"/>
      <c r="BN1188" s="52"/>
      <c r="BO1188" s="52"/>
    </row>
    <row r="1189">
      <c r="B1189" s="49"/>
      <c r="C1189" s="49" t="str">
        <f t="shared" si="2"/>
        <v/>
      </c>
      <c r="D1189" s="50" t="str">
        <f t="shared" si="3"/>
        <v/>
      </c>
      <c r="E1189" s="51" t="str">
        <f t="shared" ref="E1189:T1189" si="1190">IFERROR(VLOOKUP($A1189,INDIRECT("'" &amp; E$1 &amp; "'!$C:$G"), 5, FALSE),"")</f>
        <v/>
      </c>
      <c r="F1189" s="51" t="str">
        <f t="shared" si="1190"/>
        <v/>
      </c>
      <c r="G1189" s="51" t="str">
        <f t="shared" si="1190"/>
        <v/>
      </c>
      <c r="H1189" s="51" t="str">
        <f t="shared" si="1190"/>
        <v/>
      </c>
      <c r="I1189" s="51" t="str">
        <f t="shared" si="1190"/>
        <v/>
      </c>
      <c r="J1189" s="51" t="str">
        <f t="shared" si="1190"/>
        <v/>
      </c>
      <c r="K1189" s="51" t="str">
        <f t="shared" si="1190"/>
        <v/>
      </c>
      <c r="L1189" s="51" t="str">
        <f t="shared" si="1190"/>
        <v/>
      </c>
      <c r="M1189" s="51" t="str">
        <f t="shared" si="1190"/>
        <v/>
      </c>
      <c r="N1189" s="51" t="str">
        <f t="shared" si="1190"/>
        <v/>
      </c>
      <c r="O1189" s="51" t="str">
        <f t="shared" si="1190"/>
        <v/>
      </c>
      <c r="P1189" s="51" t="str">
        <f t="shared" si="1190"/>
        <v/>
      </c>
      <c r="Q1189" s="51" t="str">
        <f t="shared" si="1190"/>
        <v/>
      </c>
      <c r="R1189" s="51" t="str">
        <f t="shared" si="1190"/>
        <v/>
      </c>
      <c r="S1189" s="51" t="str">
        <f t="shared" si="1190"/>
        <v/>
      </c>
      <c r="T1189" s="51" t="str">
        <f t="shared" si="1190"/>
        <v/>
      </c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2"/>
      <c r="AE1189" s="52"/>
      <c r="AF1189" s="52"/>
      <c r="AG1189" s="52"/>
      <c r="AH1189" s="52"/>
      <c r="AI1189" s="52"/>
      <c r="AJ1189" s="52"/>
      <c r="AK1189" s="52"/>
      <c r="AL1189" s="52"/>
      <c r="AM1189" s="52"/>
      <c r="AN1189" s="52"/>
      <c r="AO1189" s="52"/>
      <c r="AP1189" s="52"/>
      <c r="AQ1189" s="52"/>
      <c r="AR1189" s="52"/>
      <c r="AS1189" s="52"/>
      <c r="AT1189" s="52"/>
      <c r="AU1189" s="52"/>
      <c r="AV1189" s="52"/>
      <c r="AW1189" s="52"/>
      <c r="AX1189" s="52"/>
      <c r="AY1189" s="52"/>
      <c r="AZ1189" s="52"/>
      <c r="BA1189" s="52"/>
      <c r="BB1189" s="52"/>
      <c r="BC1189" s="52"/>
      <c r="BD1189" s="52"/>
      <c r="BE1189" s="52"/>
      <c r="BF1189" s="52"/>
      <c r="BG1189" s="52"/>
      <c r="BH1189" s="52"/>
      <c r="BI1189" s="52"/>
      <c r="BJ1189" s="52"/>
      <c r="BK1189" s="52"/>
      <c r="BL1189" s="52"/>
      <c r="BM1189" s="52"/>
      <c r="BN1189" s="52"/>
      <c r="BO1189" s="52"/>
    </row>
    <row r="1190">
      <c r="B1190" s="49"/>
      <c r="C1190" s="49" t="str">
        <f t="shared" si="2"/>
        <v/>
      </c>
      <c r="D1190" s="50" t="str">
        <f t="shared" si="3"/>
        <v/>
      </c>
      <c r="E1190" s="51" t="str">
        <f t="shared" ref="E1190:T1190" si="1191">IFERROR(VLOOKUP($A1190,INDIRECT("'" &amp; E$1 &amp; "'!$C:$G"), 5, FALSE),"")</f>
        <v/>
      </c>
      <c r="F1190" s="51" t="str">
        <f t="shared" si="1191"/>
        <v/>
      </c>
      <c r="G1190" s="51" t="str">
        <f t="shared" si="1191"/>
        <v/>
      </c>
      <c r="H1190" s="51" t="str">
        <f t="shared" si="1191"/>
        <v/>
      </c>
      <c r="I1190" s="51" t="str">
        <f t="shared" si="1191"/>
        <v/>
      </c>
      <c r="J1190" s="51" t="str">
        <f t="shared" si="1191"/>
        <v/>
      </c>
      <c r="K1190" s="51" t="str">
        <f t="shared" si="1191"/>
        <v/>
      </c>
      <c r="L1190" s="51" t="str">
        <f t="shared" si="1191"/>
        <v/>
      </c>
      <c r="M1190" s="51" t="str">
        <f t="shared" si="1191"/>
        <v/>
      </c>
      <c r="N1190" s="51" t="str">
        <f t="shared" si="1191"/>
        <v/>
      </c>
      <c r="O1190" s="51" t="str">
        <f t="shared" si="1191"/>
        <v/>
      </c>
      <c r="P1190" s="51" t="str">
        <f t="shared" si="1191"/>
        <v/>
      </c>
      <c r="Q1190" s="51" t="str">
        <f t="shared" si="1191"/>
        <v/>
      </c>
      <c r="R1190" s="51" t="str">
        <f t="shared" si="1191"/>
        <v/>
      </c>
      <c r="S1190" s="51" t="str">
        <f t="shared" si="1191"/>
        <v/>
      </c>
      <c r="T1190" s="51" t="str">
        <f t="shared" si="1191"/>
        <v/>
      </c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/>
      <c r="AF1190" s="52"/>
      <c r="AG1190" s="52"/>
      <c r="AH1190" s="52"/>
      <c r="AI1190" s="52"/>
      <c r="AJ1190" s="52"/>
      <c r="AK1190" s="52"/>
      <c r="AL1190" s="52"/>
      <c r="AM1190" s="52"/>
      <c r="AN1190" s="52"/>
      <c r="AO1190" s="52"/>
      <c r="AP1190" s="52"/>
      <c r="AQ1190" s="52"/>
      <c r="AR1190" s="52"/>
      <c r="AS1190" s="52"/>
      <c r="AT1190" s="52"/>
      <c r="AU1190" s="52"/>
      <c r="AV1190" s="52"/>
      <c r="AW1190" s="52"/>
      <c r="AX1190" s="52"/>
      <c r="AY1190" s="52"/>
      <c r="AZ1190" s="52"/>
      <c r="BA1190" s="52"/>
      <c r="BB1190" s="52"/>
      <c r="BC1190" s="52"/>
      <c r="BD1190" s="52"/>
      <c r="BE1190" s="52"/>
      <c r="BF1190" s="52"/>
      <c r="BG1190" s="52"/>
      <c r="BH1190" s="52"/>
      <c r="BI1190" s="52"/>
      <c r="BJ1190" s="52"/>
      <c r="BK1190" s="52"/>
      <c r="BL1190" s="52"/>
      <c r="BM1190" s="52"/>
      <c r="BN1190" s="52"/>
      <c r="BO1190" s="52"/>
    </row>
    <row r="1191">
      <c r="B1191" s="49"/>
      <c r="C1191" s="49" t="str">
        <f t="shared" si="2"/>
        <v/>
      </c>
      <c r="D1191" s="50" t="str">
        <f t="shared" si="3"/>
        <v/>
      </c>
      <c r="E1191" s="51" t="str">
        <f t="shared" ref="E1191:T1191" si="1192">IFERROR(VLOOKUP($A1191,INDIRECT("'" &amp; E$1 &amp; "'!$C:$G"), 5, FALSE),"")</f>
        <v/>
      </c>
      <c r="F1191" s="51" t="str">
        <f t="shared" si="1192"/>
        <v/>
      </c>
      <c r="G1191" s="51" t="str">
        <f t="shared" si="1192"/>
        <v/>
      </c>
      <c r="H1191" s="51" t="str">
        <f t="shared" si="1192"/>
        <v/>
      </c>
      <c r="I1191" s="51" t="str">
        <f t="shared" si="1192"/>
        <v/>
      </c>
      <c r="J1191" s="51" t="str">
        <f t="shared" si="1192"/>
        <v/>
      </c>
      <c r="K1191" s="51" t="str">
        <f t="shared" si="1192"/>
        <v/>
      </c>
      <c r="L1191" s="51" t="str">
        <f t="shared" si="1192"/>
        <v/>
      </c>
      <c r="M1191" s="51" t="str">
        <f t="shared" si="1192"/>
        <v/>
      </c>
      <c r="N1191" s="51" t="str">
        <f t="shared" si="1192"/>
        <v/>
      </c>
      <c r="O1191" s="51" t="str">
        <f t="shared" si="1192"/>
        <v/>
      </c>
      <c r="P1191" s="51" t="str">
        <f t="shared" si="1192"/>
        <v/>
      </c>
      <c r="Q1191" s="51" t="str">
        <f t="shared" si="1192"/>
        <v/>
      </c>
      <c r="R1191" s="51" t="str">
        <f t="shared" si="1192"/>
        <v/>
      </c>
      <c r="S1191" s="51" t="str">
        <f t="shared" si="1192"/>
        <v/>
      </c>
      <c r="T1191" s="51" t="str">
        <f t="shared" si="1192"/>
        <v/>
      </c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2"/>
      <c r="AE1191" s="52"/>
      <c r="AF1191" s="52"/>
      <c r="AG1191" s="52"/>
      <c r="AH1191" s="52"/>
      <c r="AI1191" s="52"/>
      <c r="AJ1191" s="52"/>
      <c r="AK1191" s="52"/>
      <c r="AL1191" s="52"/>
      <c r="AM1191" s="52"/>
      <c r="AN1191" s="52"/>
      <c r="AO1191" s="52"/>
      <c r="AP1191" s="52"/>
      <c r="AQ1191" s="52"/>
      <c r="AR1191" s="52"/>
      <c r="AS1191" s="52"/>
      <c r="AT1191" s="52"/>
      <c r="AU1191" s="52"/>
      <c r="AV1191" s="52"/>
      <c r="AW1191" s="52"/>
      <c r="AX1191" s="52"/>
      <c r="AY1191" s="52"/>
      <c r="AZ1191" s="52"/>
      <c r="BA1191" s="52"/>
      <c r="BB1191" s="52"/>
      <c r="BC1191" s="52"/>
      <c r="BD1191" s="52"/>
      <c r="BE1191" s="52"/>
      <c r="BF1191" s="52"/>
      <c r="BG1191" s="52"/>
      <c r="BH1191" s="52"/>
      <c r="BI1191" s="52"/>
      <c r="BJ1191" s="52"/>
      <c r="BK1191" s="52"/>
      <c r="BL1191" s="52"/>
      <c r="BM1191" s="52"/>
      <c r="BN1191" s="52"/>
      <c r="BO1191" s="52"/>
    </row>
    <row r="1192">
      <c r="B1192" s="49"/>
      <c r="C1192" s="49" t="str">
        <f t="shared" si="2"/>
        <v/>
      </c>
      <c r="D1192" s="50" t="str">
        <f t="shared" si="3"/>
        <v/>
      </c>
      <c r="E1192" s="51" t="str">
        <f t="shared" ref="E1192:T1192" si="1193">IFERROR(VLOOKUP($A1192,INDIRECT("'" &amp; E$1 &amp; "'!$C:$G"), 5, FALSE),"")</f>
        <v/>
      </c>
      <c r="F1192" s="51" t="str">
        <f t="shared" si="1193"/>
        <v/>
      </c>
      <c r="G1192" s="51" t="str">
        <f t="shared" si="1193"/>
        <v/>
      </c>
      <c r="H1192" s="51" t="str">
        <f t="shared" si="1193"/>
        <v/>
      </c>
      <c r="I1192" s="51" t="str">
        <f t="shared" si="1193"/>
        <v/>
      </c>
      <c r="J1192" s="51" t="str">
        <f t="shared" si="1193"/>
        <v/>
      </c>
      <c r="K1192" s="51" t="str">
        <f t="shared" si="1193"/>
        <v/>
      </c>
      <c r="L1192" s="51" t="str">
        <f t="shared" si="1193"/>
        <v/>
      </c>
      <c r="M1192" s="51" t="str">
        <f t="shared" si="1193"/>
        <v/>
      </c>
      <c r="N1192" s="51" t="str">
        <f t="shared" si="1193"/>
        <v/>
      </c>
      <c r="O1192" s="51" t="str">
        <f t="shared" si="1193"/>
        <v/>
      </c>
      <c r="P1192" s="51" t="str">
        <f t="shared" si="1193"/>
        <v/>
      </c>
      <c r="Q1192" s="51" t="str">
        <f t="shared" si="1193"/>
        <v/>
      </c>
      <c r="R1192" s="51" t="str">
        <f t="shared" si="1193"/>
        <v/>
      </c>
      <c r="S1192" s="51" t="str">
        <f t="shared" si="1193"/>
        <v/>
      </c>
      <c r="T1192" s="51" t="str">
        <f t="shared" si="1193"/>
        <v/>
      </c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52"/>
      <c r="AI1192" s="52"/>
      <c r="AJ1192" s="52"/>
      <c r="AK1192" s="52"/>
      <c r="AL1192" s="52"/>
      <c r="AM1192" s="52"/>
      <c r="AN1192" s="52"/>
      <c r="AO1192" s="52"/>
      <c r="AP1192" s="52"/>
      <c r="AQ1192" s="52"/>
      <c r="AR1192" s="52"/>
      <c r="AS1192" s="52"/>
      <c r="AT1192" s="52"/>
      <c r="AU1192" s="52"/>
      <c r="AV1192" s="52"/>
      <c r="AW1192" s="52"/>
      <c r="AX1192" s="52"/>
      <c r="AY1192" s="52"/>
      <c r="AZ1192" s="52"/>
      <c r="BA1192" s="52"/>
      <c r="BB1192" s="52"/>
      <c r="BC1192" s="52"/>
      <c r="BD1192" s="52"/>
      <c r="BE1192" s="52"/>
      <c r="BF1192" s="52"/>
      <c r="BG1192" s="52"/>
      <c r="BH1192" s="52"/>
      <c r="BI1192" s="52"/>
      <c r="BJ1192" s="52"/>
      <c r="BK1192" s="52"/>
      <c r="BL1192" s="52"/>
      <c r="BM1192" s="52"/>
      <c r="BN1192" s="52"/>
      <c r="BO1192" s="52"/>
    </row>
    <row r="1193">
      <c r="B1193" s="49"/>
      <c r="C1193" s="49" t="str">
        <f t="shared" si="2"/>
        <v/>
      </c>
      <c r="D1193" s="50" t="str">
        <f t="shared" si="3"/>
        <v/>
      </c>
      <c r="E1193" s="51" t="str">
        <f t="shared" ref="E1193:T1193" si="1194">IFERROR(VLOOKUP($A1193,INDIRECT("'" &amp; E$1 &amp; "'!$C:$G"), 5, FALSE),"")</f>
        <v/>
      </c>
      <c r="F1193" s="51" t="str">
        <f t="shared" si="1194"/>
        <v/>
      </c>
      <c r="G1193" s="51" t="str">
        <f t="shared" si="1194"/>
        <v/>
      </c>
      <c r="H1193" s="51" t="str">
        <f t="shared" si="1194"/>
        <v/>
      </c>
      <c r="I1193" s="51" t="str">
        <f t="shared" si="1194"/>
        <v/>
      </c>
      <c r="J1193" s="51" t="str">
        <f t="shared" si="1194"/>
        <v/>
      </c>
      <c r="K1193" s="51" t="str">
        <f t="shared" si="1194"/>
        <v/>
      </c>
      <c r="L1193" s="51" t="str">
        <f t="shared" si="1194"/>
        <v/>
      </c>
      <c r="M1193" s="51" t="str">
        <f t="shared" si="1194"/>
        <v/>
      </c>
      <c r="N1193" s="51" t="str">
        <f t="shared" si="1194"/>
        <v/>
      </c>
      <c r="O1193" s="51" t="str">
        <f t="shared" si="1194"/>
        <v/>
      </c>
      <c r="P1193" s="51" t="str">
        <f t="shared" si="1194"/>
        <v/>
      </c>
      <c r="Q1193" s="51" t="str">
        <f t="shared" si="1194"/>
        <v/>
      </c>
      <c r="R1193" s="51" t="str">
        <f t="shared" si="1194"/>
        <v/>
      </c>
      <c r="S1193" s="51" t="str">
        <f t="shared" si="1194"/>
        <v/>
      </c>
      <c r="T1193" s="51" t="str">
        <f t="shared" si="1194"/>
        <v/>
      </c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52"/>
      <c r="AI1193" s="52"/>
      <c r="AJ1193" s="52"/>
      <c r="AK1193" s="52"/>
      <c r="AL1193" s="52"/>
      <c r="AM1193" s="52"/>
      <c r="AN1193" s="52"/>
      <c r="AO1193" s="52"/>
      <c r="AP1193" s="52"/>
      <c r="AQ1193" s="52"/>
      <c r="AR1193" s="52"/>
      <c r="AS1193" s="52"/>
      <c r="AT1193" s="52"/>
      <c r="AU1193" s="52"/>
      <c r="AV1193" s="52"/>
      <c r="AW1193" s="52"/>
      <c r="AX1193" s="52"/>
      <c r="AY1193" s="52"/>
      <c r="AZ1193" s="52"/>
      <c r="BA1193" s="52"/>
      <c r="BB1193" s="52"/>
      <c r="BC1193" s="52"/>
      <c r="BD1193" s="52"/>
      <c r="BE1193" s="52"/>
      <c r="BF1193" s="52"/>
      <c r="BG1193" s="52"/>
      <c r="BH1193" s="52"/>
      <c r="BI1193" s="52"/>
      <c r="BJ1193" s="52"/>
      <c r="BK1193" s="52"/>
      <c r="BL1193" s="52"/>
      <c r="BM1193" s="52"/>
      <c r="BN1193" s="52"/>
      <c r="BO1193" s="52"/>
    </row>
    <row r="1194">
      <c r="B1194" s="49"/>
      <c r="C1194" s="49" t="str">
        <f t="shared" si="2"/>
        <v/>
      </c>
      <c r="D1194" s="50" t="str">
        <f t="shared" si="3"/>
        <v/>
      </c>
      <c r="E1194" s="51" t="str">
        <f t="shared" ref="E1194:T1194" si="1195">IFERROR(VLOOKUP($A1194,INDIRECT("'" &amp; E$1 &amp; "'!$C:$G"), 5, FALSE),"")</f>
        <v/>
      </c>
      <c r="F1194" s="51" t="str">
        <f t="shared" si="1195"/>
        <v/>
      </c>
      <c r="G1194" s="51" t="str">
        <f t="shared" si="1195"/>
        <v/>
      </c>
      <c r="H1194" s="51" t="str">
        <f t="shared" si="1195"/>
        <v/>
      </c>
      <c r="I1194" s="51" t="str">
        <f t="shared" si="1195"/>
        <v/>
      </c>
      <c r="J1194" s="51" t="str">
        <f t="shared" si="1195"/>
        <v/>
      </c>
      <c r="K1194" s="51" t="str">
        <f t="shared" si="1195"/>
        <v/>
      </c>
      <c r="L1194" s="51" t="str">
        <f t="shared" si="1195"/>
        <v/>
      </c>
      <c r="M1194" s="51" t="str">
        <f t="shared" si="1195"/>
        <v/>
      </c>
      <c r="N1194" s="51" t="str">
        <f t="shared" si="1195"/>
        <v/>
      </c>
      <c r="O1194" s="51" t="str">
        <f t="shared" si="1195"/>
        <v/>
      </c>
      <c r="P1194" s="51" t="str">
        <f t="shared" si="1195"/>
        <v/>
      </c>
      <c r="Q1194" s="51" t="str">
        <f t="shared" si="1195"/>
        <v/>
      </c>
      <c r="R1194" s="51" t="str">
        <f t="shared" si="1195"/>
        <v/>
      </c>
      <c r="S1194" s="51" t="str">
        <f t="shared" si="1195"/>
        <v/>
      </c>
      <c r="T1194" s="51" t="str">
        <f t="shared" si="1195"/>
        <v/>
      </c>
      <c r="U1194" s="52"/>
      <c r="V1194" s="52"/>
      <c r="W1194" s="52"/>
      <c r="X1194" s="52"/>
      <c r="Y1194" s="52"/>
      <c r="Z1194" s="52"/>
      <c r="AA1194" s="52"/>
      <c r="AB1194" s="52"/>
      <c r="AC1194" s="52"/>
      <c r="AD1194" s="52"/>
      <c r="AE1194" s="52"/>
      <c r="AF1194" s="52"/>
      <c r="AG1194" s="52"/>
      <c r="AH1194" s="52"/>
      <c r="AI1194" s="52"/>
      <c r="AJ1194" s="52"/>
      <c r="AK1194" s="52"/>
      <c r="AL1194" s="52"/>
      <c r="AM1194" s="52"/>
      <c r="AN1194" s="52"/>
      <c r="AO1194" s="52"/>
      <c r="AP1194" s="52"/>
      <c r="AQ1194" s="52"/>
      <c r="AR1194" s="52"/>
      <c r="AS1194" s="52"/>
      <c r="AT1194" s="52"/>
      <c r="AU1194" s="52"/>
      <c r="AV1194" s="52"/>
      <c r="AW1194" s="52"/>
      <c r="AX1194" s="52"/>
      <c r="AY1194" s="52"/>
      <c r="AZ1194" s="52"/>
      <c r="BA1194" s="52"/>
      <c r="BB1194" s="52"/>
      <c r="BC1194" s="52"/>
      <c r="BD1194" s="52"/>
      <c r="BE1194" s="52"/>
      <c r="BF1194" s="52"/>
      <c r="BG1194" s="52"/>
      <c r="BH1194" s="52"/>
      <c r="BI1194" s="52"/>
      <c r="BJ1194" s="52"/>
      <c r="BK1194" s="52"/>
      <c r="BL1194" s="52"/>
      <c r="BM1194" s="52"/>
      <c r="BN1194" s="52"/>
      <c r="BO1194" s="52"/>
    </row>
    <row r="1195">
      <c r="B1195" s="49"/>
      <c r="C1195" s="49" t="str">
        <f t="shared" si="2"/>
        <v/>
      </c>
      <c r="D1195" s="50" t="str">
        <f t="shared" si="3"/>
        <v/>
      </c>
      <c r="E1195" s="51" t="str">
        <f t="shared" ref="E1195:T1195" si="1196">IFERROR(VLOOKUP($A1195,INDIRECT("'" &amp; E$1 &amp; "'!$C:$G"), 5, FALSE),"")</f>
        <v/>
      </c>
      <c r="F1195" s="51" t="str">
        <f t="shared" si="1196"/>
        <v/>
      </c>
      <c r="G1195" s="51" t="str">
        <f t="shared" si="1196"/>
        <v/>
      </c>
      <c r="H1195" s="51" t="str">
        <f t="shared" si="1196"/>
        <v/>
      </c>
      <c r="I1195" s="51" t="str">
        <f t="shared" si="1196"/>
        <v/>
      </c>
      <c r="J1195" s="51" t="str">
        <f t="shared" si="1196"/>
        <v/>
      </c>
      <c r="K1195" s="51" t="str">
        <f t="shared" si="1196"/>
        <v/>
      </c>
      <c r="L1195" s="51" t="str">
        <f t="shared" si="1196"/>
        <v/>
      </c>
      <c r="M1195" s="51" t="str">
        <f t="shared" si="1196"/>
        <v/>
      </c>
      <c r="N1195" s="51" t="str">
        <f t="shared" si="1196"/>
        <v/>
      </c>
      <c r="O1195" s="51" t="str">
        <f t="shared" si="1196"/>
        <v/>
      </c>
      <c r="P1195" s="51" t="str">
        <f t="shared" si="1196"/>
        <v/>
      </c>
      <c r="Q1195" s="51" t="str">
        <f t="shared" si="1196"/>
        <v/>
      </c>
      <c r="R1195" s="51" t="str">
        <f t="shared" si="1196"/>
        <v/>
      </c>
      <c r="S1195" s="51" t="str">
        <f t="shared" si="1196"/>
        <v/>
      </c>
      <c r="T1195" s="51" t="str">
        <f t="shared" si="1196"/>
        <v/>
      </c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2"/>
      <c r="AE1195" s="52"/>
      <c r="AF1195" s="52"/>
      <c r="AG1195" s="52"/>
      <c r="AH1195" s="52"/>
      <c r="AI1195" s="52"/>
      <c r="AJ1195" s="52"/>
      <c r="AK1195" s="52"/>
      <c r="AL1195" s="52"/>
      <c r="AM1195" s="52"/>
      <c r="AN1195" s="52"/>
      <c r="AO1195" s="52"/>
      <c r="AP1195" s="52"/>
      <c r="AQ1195" s="52"/>
      <c r="AR1195" s="52"/>
      <c r="AS1195" s="52"/>
      <c r="AT1195" s="52"/>
      <c r="AU1195" s="52"/>
      <c r="AV1195" s="52"/>
      <c r="AW1195" s="52"/>
      <c r="AX1195" s="52"/>
      <c r="AY1195" s="52"/>
      <c r="AZ1195" s="52"/>
      <c r="BA1195" s="52"/>
      <c r="BB1195" s="52"/>
      <c r="BC1195" s="52"/>
      <c r="BD1195" s="52"/>
      <c r="BE1195" s="52"/>
      <c r="BF1195" s="52"/>
      <c r="BG1195" s="52"/>
      <c r="BH1195" s="52"/>
      <c r="BI1195" s="52"/>
      <c r="BJ1195" s="52"/>
      <c r="BK1195" s="52"/>
      <c r="BL1195" s="52"/>
      <c r="BM1195" s="52"/>
      <c r="BN1195" s="52"/>
      <c r="BO1195" s="52"/>
    </row>
    <row r="1196">
      <c r="B1196" s="49"/>
      <c r="C1196" s="49" t="str">
        <f t="shared" si="2"/>
        <v/>
      </c>
      <c r="D1196" s="50" t="str">
        <f t="shared" si="3"/>
        <v/>
      </c>
      <c r="E1196" s="51" t="str">
        <f t="shared" ref="E1196:T1196" si="1197">IFERROR(VLOOKUP($A1196,INDIRECT("'" &amp; E$1 &amp; "'!$C:$G"), 5, FALSE),"")</f>
        <v/>
      </c>
      <c r="F1196" s="51" t="str">
        <f t="shared" si="1197"/>
        <v/>
      </c>
      <c r="G1196" s="51" t="str">
        <f t="shared" si="1197"/>
        <v/>
      </c>
      <c r="H1196" s="51" t="str">
        <f t="shared" si="1197"/>
        <v/>
      </c>
      <c r="I1196" s="51" t="str">
        <f t="shared" si="1197"/>
        <v/>
      </c>
      <c r="J1196" s="51" t="str">
        <f t="shared" si="1197"/>
        <v/>
      </c>
      <c r="K1196" s="51" t="str">
        <f t="shared" si="1197"/>
        <v/>
      </c>
      <c r="L1196" s="51" t="str">
        <f t="shared" si="1197"/>
        <v/>
      </c>
      <c r="M1196" s="51" t="str">
        <f t="shared" si="1197"/>
        <v/>
      </c>
      <c r="N1196" s="51" t="str">
        <f t="shared" si="1197"/>
        <v/>
      </c>
      <c r="O1196" s="51" t="str">
        <f t="shared" si="1197"/>
        <v/>
      </c>
      <c r="P1196" s="51" t="str">
        <f t="shared" si="1197"/>
        <v/>
      </c>
      <c r="Q1196" s="51" t="str">
        <f t="shared" si="1197"/>
        <v/>
      </c>
      <c r="R1196" s="51" t="str">
        <f t="shared" si="1197"/>
        <v/>
      </c>
      <c r="S1196" s="51" t="str">
        <f t="shared" si="1197"/>
        <v/>
      </c>
      <c r="T1196" s="51" t="str">
        <f t="shared" si="1197"/>
        <v/>
      </c>
      <c r="U1196" s="52"/>
      <c r="V1196" s="52"/>
      <c r="W1196" s="52"/>
      <c r="X1196" s="52"/>
      <c r="Y1196" s="52"/>
      <c r="Z1196" s="52"/>
      <c r="AA1196" s="52"/>
      <c r="AB1196" s="52"/>
      <c r="AC1196" s="52"/>
      <c r="AD1196" s="52"/>
      <c r="AE1196" s="52"/>
      <c r="AF1196" s="52"/>
      <c r="AG1196" s="52"/>
      <c r="AH1196" s="52"/>
      <c r="AI1196" s="52"/>
      <c r="AJ1196" s="52"/>
      <c r="AK1196" s="52"/>
      <c r="AL1196" s="52"/>
      <c r="AM1196" s="52"/>
      <c r="AN1196" s="52"/>
      <c r="AO1196" s="52"/>
      <c r="AP1196" s="52"/>
      <c r="AQ1196" s="52"/>
      <c r="AR1196" s="52"/>
      <c r="AS1196" s="52"/>
      <c r="AT1196" s="52"/>
      <c r="AU1196" s="52"/>
      <c r="AV1196" s="52"/>
      <c r="AW1196" s="52"/>
      <c r="AX1196" s="52"/>
      <c r="AY1196" s="52"/>
      <c r="AZ1196" s="52"/>
      <c r="BA1196" s="52"/>
      <c r="BB1196" s="52"/>
      <c r="BC1196" s="52"/>
      <c r="BD1196" s="52"/>
      <c r="BE1196" s="52"/>
      <c r="BF1196" s="52"/>
      <c r="BG1196" s="52"/>
      <c r="BH1196" s="52"/>
      <c r="BI1196" s="52"/>
      <c r="BJ1196" s="52"/>
      <c r="BK1196" s="52"/>
      <c r="BL1196" s="52"/>
      <c r="BM1196" s="52"/>
      <c r="BN1196" s="52"/>
      <c r="BO1196" s="52"/>
    </row>
    <row r="1197">
      <c r="B1197" s="49"/>
      <c r="C1197" s="49" t="str">
        <f t="shared" si="2"/>
        <v/>
      </c>
      <c r="D1197" s="50" t="str">
        <f t="shared" si="3"/>
        <v/>
      </c>
      <c r="E1197" s="51" t="str">
        <f t="shared" ref="E1197:T1197" si="1198">IFERROR(VLOOKUP($A1197,INDIRECT("'" &amp; E$1 &amp; "'!$C:$G"), 5, FALSE),"")</f>
        <v/>
      </c>
      <c r="F1197" s="51" t="str">
        <f t="shared" si="1198"/>
        <v/>
      </c>
      <c r="G1197" s="51" t="str">
        <f t="shared" si="1198"/>
        <v/>
      </c>
      <c r="H1197" s="51" t="str">
        <f t="shared" si="1198"/>
        <v/>
      </c>
      <c r="I1197" s="51" t="str">
        <f t="shared" si="1198"/>
        <v/>
      </c>
      <c r="J1197" s="51" t="str">
        <f t="shared" si="1198"/>
        <v/>
      </c>
      <c r="K1197" s="51" t="str">
        <f t="shared" si="1198"/>
        <v/>
      </c>
      <c r="L1197" s="51" t="str">
        <f t="shared" si="1198"/>
        <v/>
      </c>
      <c r="M1197" s="51" t="str">
        <f t="shared" si="1198"/>
        <v/>
      </c>
      <c r="N1197" s="51" t="str">
        <f t="shared" si="1198"/>
        <v/>
      </c>
      <c r="O1197" s="51" t="str">
        <f t="shared" si="1198"/>
        <v/>
      </c>
      <c r="P1197" s="51" t="str">
        <f t="shared" si="1198"/>
        <v/>
      </c>
      <c r="Q1197" s="51" t="str">
        <f t="shared" si="1198"/>
        <v/>
      </c>
      <c r="R1197" s="51" t="str">
        <f t="shared" si="1198"/>
        <v/>
      </c>
      <c r="S1197" s="51" t="str">
        <f t="shared" si="1198"/>
        <v/>
      </c>
      <c r="T1197" s="51" t="str">
        <f t="shared" si="1198"/>
        <v/>
      </c>
      <c r="U1197" s="52"/>
      <c r="V1197" s="52"/>
      <c r="W1197" s="52"/>
      <c r="X1197" s="52"/>
      <c r="Y1197" s="52"/>
      <c r="Z1197" s="52"/>
      <c r="AA1197" s="52"/>
      <c r="AB1197" s="52"/>
      <c r="AC1197" s="52"/>
      <c r="AD1197" s="52"/>
      <c r="AE1197" s="52"/>
      <c r="AF1197" s="52"/>
      <c r="AG1197" s="52"/>
      <c r="AH1197" s="52"/>
      <c r="AI1197" s="52"/>
      <c r="AJ1197" s="52"/>
      <c r="AK1197" s="52"/>
      <c r="AL1197" s="52"/>
      <c r="AM1197" s="52"/>
      <c r="AN1197" s="52"/>
      <c r="AO1197" s="52"/>
      <c r="AP1197" s="52"/>
      <c r="AQ1197" s="52"/>
      <c r="AR1197" s="52"/>
      <c r="AS1197" s="52"/>
      <c r="AT1197" s="52"/>
      <c r="AU1197" s="52"/>
      <c r="AV1197" s="52"/>
      <c r="AW1197" s="52"/>
      <c r="AX1197" s="52"/>
      <c r="AY1197" s="52"/>
      <c r="AZ1197" s="52"/>
      <c r="BA1197" s="52"/>
      <c r="BB1197" s="52"/>
      <c r="BC1197" s="52"/>
      <c r="BD1197" s="52"/>
      <c r="BE1197" s="52"/>
      <c r="BF1197" s="52"/>
      <c r="BG1197" s="52"/>
      <c r="BH1197" s="52"/>
      <c r="BI1197" s="52"/>
      <c r="BJ1197" s="52"/>
      <c r="BK1197" s="52"/>
      <c r="BL1197" s="52"/>
      <c r="BM1197" s="52"/>
      <c r="BN1197" s="52"/>
      <c r="BO1197" s="52"/>
    </row>
    <row r="1198">
      <c r="B1198" s="49"/>
      <c r="C1198" s="49" t="str">
        <f t="shared" si="2"/>
        <v/>
      </c>
      <c r="D1198" s="50" t="str">
        <f t="shared" si="3"/>
        <v/>
      </c>
      <c r="E1198" s="51" t="str">
        <f t="shared" ref="E1198:T1198" si="1199">IFERROR(VLOOKUP($A1198,INDIRECT("'" &amp; E$1 &amp; "'!$C:$G"), 5, FALSE),"")</f>
        <v/>
      </c>
      <c r="F1198" s="51" t="str">
        <f t="shared" si="1199"/>
        <v/>
      </c>
      <c r="G1198" s="51" t="str">
        <f t="shared" si="1199"/>
        <v/>
      </c>
      <c r="H1198" s="51" t="str">
        <f t="shared" si="1199"/>
        <v/>
      </c>
      <c r="I1198" s="51" t="str">
        <f t="shared" si="1199"/>
        <v/>
      </c>
      <c r="J1198" s="51" t="str">
        <f t="shared" si="1199"/>
        <v/>
      </c>
      <c r="K1198" s="51" t="str">
        <f t="shared" si="1199"/>
        <v/>
      </c>
      <c r="L1198" s="51" t="str">
        <f t="shared" si="1199"/>
        <v/>
      </c>
      <c r="M1198" s="51" t="str">
        <f t="shared" si="1199"/>
        <v/>
      </c>
      <c r="N1198" s="51" t="str">
        <f t="shared" si="1199"/>
        <v/>
      </c>
      <c r="O1198" s="51" t="str">
        <f t="shared" si="1199"/>
        <v/>
      </c>
      <c r="P1198" s="51" t="str">
        <f t="shared" si="1199"/>
        <v/>
      </c>
      <c r="Q1198" s="51" t="str">
        <f t="shared" si="1199"/>
        <v/>
      </c>
      <c r="R1198" s="51" t="str">
        <f t="shared" si="1199"/>
        <v/>
      </c>
      <c r="S1198" s="51" t="str">
        <f t="shared" si="1199"/>
        <v/>
      </c>
      <c r="T1198" s="51" t="str">
        <f t="shared" si="1199"/>
        <v/>
      </c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I1198" s="52"/>
      <c r="AJ1198" s="52"/>
      <c r="AK1198" s="52"/>
      <c r="AL1198" s="52"/>
      <c r="AM1198" s="52"/>
      <c r="AN1198" s="52"/>
      <c r="AO1198" s="52"/>
      <c r="AP1198" s="52"/>
      <c r="AQ1198" s="52"/>
      <c r="AR1198" s="52"/>
      <c r="AS1198" s="52"/>
      <c r="AT1198" s="52"/>
      <c r="AU1198" s="52"/>
      <c r="AV1198" s="52"/>
      <c r="AW1198" s="52"/>
      <c r="AX1198" s="52"/>
      <c r="AY1198" s="52"/>
      <c r="AZ1198" s="52"/>
      <c r="BA1198" s="52"/>
      <c r="BB1198" s="52"/>
      <c r="BC1198" s="52"/>
      <c r="BD1198" s="52"/>
      <c r="BE1198" s="52"/>
      <c r="BF1198" s="52"/>
      <c r="BG1198" s="52"/>
      <c r="BH1198" s="52"/>
      <c r="BI1198" s="52"/>
      <c r="BJ1198" s="52"/>
      <c r="BK1198" s="52"/>
      <c r="BL1198" s="52"/>
      <c r="BM1198" s="52"/>
      <c r="BN1198" s="52"/>
      <c r="BO1198" s="52"/>
    </row>
    <row r="1199">
      <c r="B1199" s="49"/>
      <c r="C1199" s="49" t="str">
        <f t="shared" si="2"/>
        <v/>
      </c>
      <c r="D1199" s="50" t="str">
        <f t="shared" si="3"/>
        <v/>
      </c>
      <c r="E1199" s="51" t="str">
        <f t="shared" ref="E1199:T1199" si="1200">IFERROR(VLOOKUP($A1199,INDIRECT("'" &amp; E$1 &amp; "'!$C:$G"), 5, FALSE),"")</f>
        <v/>
      </c>
      <c r="F1199" s="51" t="str">
        <f t="shared" si="1200"/>
        <v/>
      </c>
      <c r="G1199" s="51" t="str">
        <f t="shared" si="1200"/>
        <v/>
      </c>
      <c r="H1199" s="51" t="str">
        <f t="shared" si="1200"/>
        <v/>
      </c>
      <c r="I1199" s="51" t="str">
        <f t="shared" si="1200"/>
        <v/>
      </c>
      <c r="J1199" s="51" t="str">
        <f t="shared" si="1200"/>
        <v/>
      </c>
      <c r="K1199" s="51" t="str">
        <f t="shared" si="1200"/>
        <v/>
      </c>
      <c r="L1199" s="51" t="str">
        <f t="shared" si="1200"/>
        <v/>
      </c>
      <c r="M1199" s="51" t="str">
        <f t="shared" si="1200"/>
        <v/>
      </c>
      <c r="N1199" s="51" t="str">
        <f t="shared" si="1200"/>
        <v/>
      </c>
      <c r="O1199" s="51" t="str">
        <f t="shared" si="1200"/>
        <v/>
      </c>
      <c r="P1199" s="51" t="str">
        <f t="shared" si="1200"/>
        <v/>
      </c>
      <c r="Q1199" s="51" t="str">
        <f t="shared" si="1200"/>
        <v/>
      </c>
      <c r="R1199" s="51" t="str">
        <f t="shared" si="1200"/>
        <v/>
      </c>
      <c r="S1199" s="51" t="str">
        <f t="shared" si="1200"/>
        <v/>
      </c>
      <c r="T1199" s="51" t="str">
        <f t="shared" si="1200"/>
        <v/>
      </c>
      <c r="U1199" s="52"/>
      <c r="V1199" s="52"/>
      <c r="W1199" s="52"/>
      <c r="X1199" s="52"/>
      <c r="Y1199" s="52"/>
      <c r="Z1199" s="52"/>
      <c r="AA1199" s="52"/>
      <c r="AB1199" s="52"/>
      <c r="AC1199" s="52"/>
      <c r="AD1199" s="52"/>
      <c r="AE1199" s="52"/>
      <c r="AF1199" s="52"/>
      <c r="AG1199" s="52"/>
      <c r="AH1199" s="52"/>
      <c r="AI1199" s="52"/>
      <c r="AJ1199" s="52"/>
      <c r="AK1199" s="52"/>
      <c r="AL1199" s="52"/>
      <c r="AM1199" s="52"/>
      <c r="AN1199" s="52"/>
      <c r="AO1199" s="52"/>
      <c r="AP1199" s="52"/>
      <c r="AQ1199" s="52"/>
      <c r="AR1199" s="52"/>
      <c r="AS1199" s="52"/>
      <c r="AT1199" s="52"/>
      <c r="AU1199" s="52"/>
      <c r="AV1199" s="52"/>
      <c r="AW1199" s="52"/>
      <c r="AX1199" s="52"/>
      <c r="AY1199" s="52"/>
      <c r="AZ1199" s="52"/>
      <c r="BA1199" s="52"/>
      <c r="BB1199" s="52"/>
      <c r="BC1199" s="52"/>
      <c r="BD1199" s="52"/>
      <c r="BE1199" s="52"/>
      <c r="BF1199" s="52"/>
      <c r="BG1199" s="52"/>
      <c r="BH1199" s="52"/>
      <c r="BI1199" s="52"/>
      <c r="BJ1199" s="52"/>
      <c r="BK1199" s="52"/>
      <c r="BL1199" s="52"/>
      <c r="BM1199" s="52"/>
      <c r="BN1199" s="52"/>
      <c r="BO1199" s="52"/>
    </row>
    <row r="1200">
      <c r="B1200" s="49"/>
      <c r="C1200" s="49" t="str">
        <f t="shared" si="2"/>
        <v/>
      </c>
      <c r="D1200" s="50" t="str">
        <f t="shared" si="3"/>
        <v/>
      </c>
      <c r="E1200" s="51" t="str">
        <f t="shared" ref="E1200:T1200" si="1201">IFERROR(VLOOKUP($A1200,INDIRECT("'" &amp; E$1 &amp; "'!$C:$G"), 5, FALSE),"")</f>
        <v/>
      </c>
      <c r="F1200" s="51" t="str">
        <f t="shared" si="1201"/>
        <v/>
      </c>
      <c r="G1200" s="51" t="str">
        <f t="shared" si="1201"/>
        <v/>
      </c>
      <c r="H1200" s="51" t="str">
        <f t="shared" si="1201"/>
        <v/>
      </c>
      <c r="I1200" s="51" t="str">
        <f t="shared" si="1201"/>
        <v/>
      </c>
      <c r="J1200" s="51" t="str">
        <f t="shared" si="1201"/>
        <v/>
      </c>
      <c r="K1200" s="51" t="str">
        <f t="shared" si="1201"/>
        <v/>
      </c>
      <c r="L1200" s="51" t="str">
        <f t="shared" si="1201"/>
        <v/>
      </c>
      <c r="M1200" s="51" t="str">
        <f t="shared" si="1201"/>
        <v/>
      </c>
      <c r="N1200" s="51" t="str">
        <f t="shared" si="1201"/>
        <v/>
      </c>
      <c r="O1200" s="51" t="str">
        <f t="shared" si="1201"/>
        <v/>
      </c>
      <c r="P1200" s="51" t="str">
        <f t="shared" si="1201"/>
        <v/>
      </c>
      <c r="Q1200" s="51" t="str">
        <f t="shared" si="1201"/>
        <v/>
      </c>
      <c r="R1200" s="51" t="str">
        <f t="shared" si="1201"/>
        <v/>
      </c>
      <c r="S1200" s="51" t="str">
        <f t="shared" si="1201"/>
        <v/>
      </c>
      <c r="T1200" s="51" t="str">
        <f t="shared" si="1201"/>
        <v/>
      </c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52"/>
      <c r="AN1200" s="52"/>
      <c r="AO1200" s="52"/>
      <c r="AP1200" s="52"/>
      <c r="AQ1200" s="52"/>
      <c r="AR1200" s="52"/>
      <c r="AS1200" s="52"/>
      <c r="AT1200" s="52"/>
      <c r="AU1200" s="52"/>
      <c r="AV1200" s="52"/>
      <c r="AW1200" s="52"/>
      <c r="AX1200" s="52"/>
      <c r="AY1200" s="52"/>
      <c r="AZ1200" s="52"/>
      <c r="BA1200" s="52"/>
      <c r="BB1200" s="52"/>
      <c r="BC1200" s="52"/>
      <c r="BD1200" s="52"/>
      <c r="BE1200" s="52"/>
      <c r="BF1200" s="52"/>
      <c r="BG1200" s="52"/>
      <c r="BH1200" s="52"/>
      <c r="BI1200" s="52"/>
      <c r="BJ1200" s="52"/>
      <c r="BK1200" s="52"/>
      <c r="BL1200" s="52"/>
      <c r="BM1200" s="52"/>
      <c r="BN1200" s="52"/>
      <c r="BO1200" s="52"/>
    </row>
    <row r="1201">
      <c r="B1201" s="49"/>
      <c r="C1201" s="49" t="str">
        <f t="shared" si="2"/>
        <v/>
      </c>
      <c r="D1201" s="50" t="str">
        <f t="shared" si="3"/>
        <v/>
      </c>
      <c r="E1201" s="51" t="str">
        <f t="shared" ref="E1201:T1201" si="1202">IFERROR(VLOOKUP($A1201,INDIRECT("'" &amp; E$1 &amp; "'!$C:$G"), 5, FALSE),"")</f>
        <v/>
      </c>
      <c r="F1201" s="51" t="str">
        <f t="shared" si="1202"/>
        <v/>
      </c>
      <c r="G1201" s="51" t="str">
        <f t="shared" si="1202"/>
        <v/>
      </c>
      <c r="H1201" s="51" t="str">
        <f t="shared" si="1202"/>
        <v/>
      </c>
      <c r="I1201" s="51" t="str">
        <f t="shared" si="1202"/>
        <v/>
      </c>
      <c r="J1201" s="51" t="str">
        <f t="shared" si="1202"/>
        <v/>
      </c>
      <c r="K1201" s="51" t="str">
        <f t="shared" si="1202"/>
        <v/>
      </c>
      <c r="L1201" s="51" t="str">
        <f t="shared" si="1202"/>
        <v/>
      </c>
      <c r="M1201" s="51" t="str">
        <f t="shared" si="1202"/>
        <v/>
      </c>
      <c r="N1201" s="51" t="str">
        <f t="shared" si="1202"/>
        <v/>
      </c>
      <c r="O1201" s="51" t="str">
        <f t="shared" si="1202"/>
        <v/>
      </c>
      <c r="P1201" s="51" t="str">
        <f t="shared" si="1202"/>
        <v/>
      </c>
      <c r="Q1201" s="51" t="str">
        <f t="shared" si="1202"/>
        <v/>
      </c>
      <c r="R1201" s="51" t="str">
        <f t="shared" si="1202"/>
        <v/>
      </c>
      <c r="S1201" s="51" t="str">
        <f t="shared" si="1202"/>
        <v/>
      </c>
      <c r="T1201" s="51" t="str">
        <f t="shared" si="1202"/>
        <v/>
      </c>
      <c r="U1201" s="52"/>
      <c r="V1201" s="52"/>
      <c r="W1201" s="52"/>
      <c r="X1201" s="52"/>
      <c r="Y1201" s="52"/>
      <c r="Z1201" s="52"/>
      <c r="AA1201" s="52"/>
      <c r="AB1201" s="52"/>
      <c r="AC1201" s="52"/>
      <c r="AD1201" s="52"/>
      <c r="AE1201" s="52"/>
      <c r="AF1201" s="52"/>
      <c r="AG1201" s="52"/>
      <c r="AH1201" s="52"/>
      <c r="AI1201" s="52"/>
      <c r="AJ1201" s="52"/>
      <c r="AK1201" s="52"/>
      <c r="AL1201" s="52"/>
      <c r="AM1201" s="52"/>
      <c r="AN1201" s="52"/>
      <c r="AO1201" s="52"/>
      <c r="AP1201" s="52"/>
      <c r="AQ1201" s="52"/>
      <c r="AR1201" s="52"/>
      <c r="AS1201" s="52"/>
      <c r="AT1201" s="52"/>
      <c r="AU1201" s="52"/>
      <c r="AV1201" s="52"/>
      <c r="AW1201" s="52"/>
      <c r="AX1201" s="52"/>
      <c r="AY1201" s="52"/>
      <c r="AZ1201" s="52"/>
      <c r="BA1201" s="52"/>
      <c r="BB1201" s="52"/>
      <c r="BC1201" s="52"/>
      <c r="BD1201" s="52"/>
      <c r="BE1201" s="52"/>
      <c r="BF1201" s="52"/>
      <c r="BG1201" s="52"/>
      <c r="BH1201" s="52"/>
      <c r="BI1201" s="52"/>
      <c r="BJ1201" s="52"/>
      <c r="BK1201" s="52"/>
      <c r="BL1201" s="52"/>
      <c r="BM1201" s="52"/>
      <c r="BN1201" s="52"/>
      <c r="BO1201" s="52"/>
    </row>
    <row r="1202">
      <c r="B1202" s="49"/>
      <c r="C1202" s="49" t="str">
        <f t="shared" si="2"/>
        <v/>
      </c>
      <c r="D1202" s="50" t="str">
        <f t="shared" si="3"/>
        <v/>
      </c>
      <c r="E1202" s="51" t="str">
        <f t="shared" ref="E1202:T1202" si="1203">IFERROR(VLOOKUP($A1202,INDIRECT("'" &amp; E$1 &amp; "'!$C:$G"), 5, FALSE),"")</f>
        <v/>
      </c>
      <c r="F1202" s="51" t="str">
        <f t="shared" si="1203"/>
        <v/>
      </c>
      <c r="G1202" s="51" t="str">
        <f t="shared" si="1203"/>
        <v/>
      </c>
      <c r="H1202" s="51" t="str">
        <f t="shared" si="1203"/>
        <v/>
      </c>
      <c r="I1202" s="51" t="str">
        <f t="shared" si="1203"/>
        <v/>
      </c>
      <c r="J1202" s="51" t="str">
        <f t="shared" si="1203"/>
        <v/>
      </c>
      <c r="K1202" s="51" t="str">
        <f t="shared" si="1203"/>
        <v/>
      </c>
      <c r="L1202" s="51" t="str">
        <f t="shared" si="1203"/>
        <v/>
      </c>
      <c r="M1202" s="51" t="str">
        <f t="shared" si="1203"/>
        <v/>
      </c>
      <c r="N1202" s="51" t="str">
        <f t="shared" si="1203"/>
        <v/>
      </c>
      <c r="O1202" s="51" t="str">
        <f t="shared" si="1203"/>
        <v/>
      </c>
      <c r="P1202" s="51" t="str">
        <f t="shared" si="1203"/>
        <v/>
      </c>
      <c r="Q1202" s="51" t="str">
        <f t="shared" si="1203"/>
        <v/>
      </c>
      <c r="R1202" s="51" t="str">
        <f t="shared" si="1203"/>
        <v/>
      </c>
      <c r="S1202" s="51" t="str">
        <f t="shared" si="1203"/>
        <v/>
      </c>
      <c r="T1202" s="51" t="str">
        <f t="shared" si="1203"/>
        <v/>
      </c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  <c r="AH1202" s="52"/>
      <c r="AI1202" s="52"/>
      <c r="AJ1202" s="52"/>
      <c r="AK1202" s="52"/>
      <c r="AL1202" s="52"/>
      <c r="AM1202" s="52"/>
      <c r="AN1202" s="52"/>
      <c r="AO1202" s="52"/>
      <c r="AP1202" s="52"/>
      <c r="AQ1202" s="52"/>
      <c r="AR1202" s="52"/>
      <c r="AS1202" s="52"/>
      <c r="AT1202" s="52"/>
      <c r="AU1202" s="52"/>
      <c r="AV1202" s="52"/>
      <c r="AW1202" s="52"/>
      <c r="AX1202" s="52"/>
      <c r="AY1202" s="52"/>
      <c r="AZ1202" s="52"/>
      <c r="BA1202" s="52"/>
      <c r="BB1202" s="52"/>
      <c r="BC1202" s="52"/>
      <c r="BD1202" s="52"/>
      <c r="BE1202" s="52"/>
      <c r="BF1202" s="52"/>
      <c r="BG1202" s="52"/>
      <c r="BH1202" s="52"/>
      <c r="BI1202" s="52"/>
      <c r="BJ1202" s="52"/>
      <c r="BK1202" s="52"/>
      <c r="BL1202" s="52"/>
      <c r="BM1202" s="52"/>
      <c r="BN1202" s="52"/>
      <c r="BO1202" s="52"/>
    </row>
    <row r="1203">
      <c r="B1203" s="49"/>
      <c r="C1203" s="49" t="str">
        <f t="shared" si="2"/>
        <v/>
      </c>
      <c r="D1203" s="50" t="str">
        <f t="shared" si="3"/>
        <v/>
      </c>
      <c r="E1203" s="51" t="str">
        <f t="shared" ref="E1203:T1203" si="1204">IFERROR(VLOOKUP($A1203,INDIRECT("'" &amp; E$1 &amp; "'!$C:$G"), 5, FALSE),"")</f>
        <v/>
      </c>
      <c r="F1203" s="51" t="str">
        <f t="shared" si="1204"/>
        <v/>
      </c>
      <c r="G1203" s="51" t="str">
        <f t="shared" si="1204"/>
        <v/>
      </c>
      <c r="H1203" s="51" t="str">
        <f t="shared" si="1204"/>
        <v/>
      </c>
      <c r="I1203" s="51" t="str">
        <f t="shared" si="1204"/>
        <v/>
      </c>
      <c r="J1203" s="51" t="str">
        <f t="shared" si="1204"/>
        <v/>
      </c>
      <c r="K1203" s="51" t="str">
        <f t="shared" si="1204"/>
        <v/>
      </c>
      <c r="L1203" s="51" t="str">
        <f t="shared" si="1204"/>
        <v/>
      </c>
      <c r="M1203" s="51" t="str">
        <f t="shared" si="1204"/>
        <v/>
      </c>
      <c r="N1203" s="51" t="str">
        <f t="shared" si="1204"/>
        <v/>
      </c>
      <c r="O1203" s="51" t="str">
        <f t="shared" si="1204"/>
        <v/>
      </c>
      <c r="P1203" s="51" t="str">
        <f t="shared" si="1204"/>
        <v/>
      </c>
      <c r="Q1203" s="51" t="str">
        <f t="shared" si="1204"/>
        <v/>
      </c>
      <c r="R1203" s="51" t="str">
        <f t="shared" si="1204"/>
        <v/>
      </c>
      <c r="S1203" s="51" t="str">
        <f t="shared" si="1204"/>
        <v/>
      </c>
      <c r="T1203" s="51" t="str">
        <f t="shared" si="1204"/>
        <v/>
      </c>
      <c r="U1203" s="52"/>
      <c r="V1203" s="52"/>
      <c r="W1203" s="52"/>
      <c r="X1203" s="52"/>
      <c r="Y1203" s="52"/>
      <c r="Z1203" s="52"/>
      <c r="AA1203" s="52"/>
      <c r="AB1203" s="52"/>
      <c r="AC1203" s="52"/>
      <c r="AD1203" s="52"/>
      <c r="AE1203" s="52"/>
      <c r="AF1203" s="52"/>
      <c r="AG1203" s="52"/>
      <c r="AH1203" s="52"/>
      <c r="AI1203" s="52"/>
      <c r="AJ1203" s="52"/>
      <c r="AK1203" s="52"/>
      <c r="AL1203" s="52"/>
      <c r="AM1203" s="52"/>
      <c r="AN1203" s="52"/>
      <c r="AO1203" s="52"/>
      <c r="AP1203" s="52"/>
      <c r="AQ1203" s="52"/>
      <c r="AR1203" s="52"/>
      <c r="AS1203" s="52"/>
      <c r="AT1203" s="52"/>
      <c r="AU1203" s="52"/>
      <c r="AV1203" s="52"/>
      <c r="AW1203" s="52"/>
      <c r="AX1203" s="52"/>
      <c r="AY1203" s="52"/>
      <c r="AZ1203" s="52"/>
      <c r="BA1203" s="52"/>
      <c r="BB1203" s="52"/>
      <c r="BC1203" s="52"/>
      <c r="BD1203" s="52"/>
      <c r="BE1203" s="52"/>
      <c r="BF1203" s="52"/>
      <c r="BG1203" s="52"/>
      <c r="BH1203" s="52"/>
      <c r="BI1203" s="52"/>
      <c r="BJ1203" s="52"/>
      <c r="BK1203" s="52"/>
      <c r="BL1203" s="52"/>
      <c r="BM1203" s="52"/>
      <c r="BN1203" s="52"/>
      <c r="BO1203" s="52"/>
    </row>
    <row r="1204">
      <c r="B1204" s="49"/>
      <c r="C1204" s="49" t="str">
        <f t="shared" si="2"/>
        <v/>
      </c>
      <c r="D1204" s="50" t="str">
        <f t="shared" si="3"/>
        <v/>
      </c>
      <c r="E1204" s="51" t="str">
        <f t="shared" ref="E1204:T1204" si="1205">IFERROR(VLOOKUP($A1204,INDIRECT("'" &amp; E$1 &amp; "'!$C:$G"), 5, FALSE),"")</f>
        <v/>
      </c>
      <c r="F1204" s="51" t="str">
        <f t="shared" si="1205"/>
        <v/>
      </c>
      <c r="G1204" s="51" t="str">
        <f t="shared" si="1205"/>
        <v/>
      </c>
      <c r="H1204" s="51" t="str">
        <f t="shared" si="1205"/>
        <v/>
      </c>
      <c r="I1204" s="51" t="str">
        <f t="shared" si="1205"/>
        <v/>
      </c>
      <c r="J1204" s="51" t="str">
        <f t="shared" si="1205"/>
        <v/>
      </c>
      <c r="K1204" s="51" t="str">
        <f t="shared" si="1205"/>
        <v/>
      </c>
      <c r="L1204" s="51" t="str">
        <f t="shared" si="1205"/>
        <v/>
      </c>
      <c r="M1204" s="51" t="str">
        <f t="shared" si="1205"/>
        <v/>
      </c>
      <c r="N1204" s="51" t="str">
        <f t="shared" si="1205"/>
        <v/>
      </c>
      <c r="O1204" s="51" t="str">
        <f t="shared" si="1205"/>
        <v/>
      </c>
      <c r="P1204" s="51" t="str">
        <f t="shared" si="1205"/>
        <v/>
      </c>
      <c r="Q1204" s="51" t="str">
        <f t="shared" si="1205"/>
        <v/>
      </c>
      <c r="R1204" s="51" t="str">
        <f t="shared" si="1205"/>
        <v/>
      </c>
      <c r="S1204" s="51" t="str">
        <f t="shared" si="1205"/>
        <v/>
      </c>
      <c r="T1204" s="51" t="str">
        <f t="shared" si="1205"/>
        <v/>
      </c>
      <c r="U1204" s="52"/>
      <c r="V1204" s="52"/>
      <c r="W1204" s="52"/>
      <c r="X1204" s="52"/>
      <c r="Y1204" s="52"/>
      <c r="Z1204" s="52"/>
      <c r="AA1204" s="52"/>
      <c r="AB1204" s="52"/>
      <c r="AC1204" s="52"/>
      <c r="AD1204" s="52"/>
      <c r="AE1204" s="52"/>
      <c r="AF1204" s="52"/>
      <c r="AG1204" s="52"/>
      <c r="AH1204" s="52"/>
      <c r="AI1204" s="52"/>
      <c r="AJ1204" s="52"/>
      <c r="AK1204" s="52"/>
      <c r="AL1204" s="52"/>
      <c r="AM1204" s="52"/>
      <c r="AN1204" s="52"/>
      <c r="AO1204" s="52"/>
      <c r="AP1204" s="52"/>
      <c r="AQ1204" s="52"/>
      <c r="AR1204" s="52"/>
      <c r="AS1204" s="52"/>
      <c r="AT1204" s="52"/>
      <c r="AU1204" s="52"/>
      <c r="AV1204" s="52"/>
      <c r="AW1204" s="52"/>
      <c r="AX1204" s="52"/>
      <c r="AY1204" s="52"/>
      <c r="AZ1204" s="52"/>
      <c r="BA1204" s="52"/>
      <c r="BB1204" s="52"/>
      <c r="BC1204" s="52"/>
      <c r="BD1204" s="52"/>
      <c r="BE1204" s="52"/>
      <c r="BF1204" s="52"/>
      <c r="BG1204" s="52"/>
      <c r="BH1204" s="52"/>
      <c r="BI1204" s="52"/>
      <c r="BJ1204" s="52"/>
      <c r="BK1204" s="52"/>
      <c r="BL1204" s="52"/>
      <c r="BM1204" s="52"/>
      <c r="BN1204" s="52"/>
      <c r="BO1204" s="52"/>
    </row>
    <row r="1205">
      <c r="B1205" s="49"/>
      <c r="C1205" s="49" t="str">
        <f t="shared" si="2"/>
        <v/>
      </c>
      <c r="D1205" s="50" t="str">
        <f t="shared" si="3"/>
        <v/>
      </c>
      <c r="E1205" s="51" t="str">
        <f t="shared" ref="E1205:T1205" si="1206">IFERROR(VLOOKUP($A1205,INDIRECT("'" &amp; E$1 &amp; "'!$C:$G"), 5, FALSE),"")</f>
        <v/>
      </c>
      <c r="F1205" s="51" t="str">
        <f t="shared" si="1206"/>
        <v/>
      </c>
      <c r="G1205" s="51" t="str">
        <f t="shared" si="1206"/>
        <v/>
      </c>
      <c r="H1205" s="51" t="str">
        <f t="shared" si="1206"/>
        <v/>
      </c>
      <c r="I1205" s="51" t="str">
        <f t="shared" si="1206"/>
        <v/>
      </c>
      <c r="J1205" s="51" t="str">
        <f t="shared" si="1206"/>
        <v/>
      </c>
      <c r="K1205" s="51" t="str">
        <f t="shared" si="1206"/>
        <v/>
      </c>
      <c r="L1205" s="51" t="str">
        <f t="shared" si="1206"/>
        <v/>
      </c>
      <c r="M1205" s="51" t="str">
        <f t="shared" si="1206"/>
        <v/>
      </c>
      <c r="N1205" s="51" t="str">
        <f t="shared" si="1206"/>
        <v/>
      </c>
      <c r="O1205" s="51" t="str">
        <f t="shared" si="1206"/>
        <v/>
      </c>
      <c r="P1205" s="51" t="str">
        <f t="shared" si="1206"/>
        <v/>
      </c>
      <c r="Q1205" s="51" t="str">
        <f t="shared" si="1206"/>
        <v/>
      </c>
      <c r="R1205" s="51" t="str">
        <f t="shared" si="1206"/>
        <v/>
      </c>
      <c r="S1205" s="51" t="str">
        <f t="shared" si="1206"/>
        <v/>
      </c>
      <c r="T1205" s="51" t="str">
        <f t="shared" si="1206"/>
        <v/>
      </c>
      <c r="U1205" s="52"/>
      <c r="V1205" s="52"/>
      <c r="W1205" s="52"/>
      <c r="X1205" s="52"/>
      <c r="Y1205" s="52"/>
      <c r="Z1205" s="52"/>
      <c r="AA1205" s="52"/>
      <c r="AB1205" s="52"/>
      <c r="AC1205" s="52"/>
      <c r="AD1205" s="52"/>
      <c r="AE1205" s="52"/>
      <c r="AF1205" s="52"/>
      <c r="AG1205" s="52"/>
      <c r="AH1205" s="52"/>
      <c r="AI1205" s="52"/>
      <c r="AJ1205" s="52"/>
      <c r="AK1205" s="52"/>
      <c r="AL1205" s="52"/>
      <c r="AM1205" s="52"/>
      <c r="AN1205" s="52"/>
      <c r="AO1205" s="52"/>
      <c r="AP1205" s="52"/>
      <c r="AQ1205" s="52"/>
      <c r="AR1205" s="52"/>
      <c r="AS1205" s="52"/>
      <c r="AT1205" s="52"/>
      <c r="AU1205" s="52"/>
      <c r="AV1205" s="52"/>
      <c r="AW1205" s="52"/>
      <c r="AX1205" s="52"/>
      <c r="AY1205" s="52"/>
      <c r="AZ1205" s="52"/>
      <c r="BA1205" s="52"/>
      <c r="BB1205" s="52"/>
      <c r="BC1205" s="52"/>
      <c r="BD1205" s="52"/>
      <c r="BE1205" s="52"/>
      <c r="BF1205" s="52"/>
      <c r="BG1205" s="52"/>
      <c r="BH1205" s="52"/>
      <c r="BI1205" s="52"/>
      <c r="BJ1205" s="52"/>
      <c r="BK1205" s="52"/>
      <c r="BL1205" s="52"/>
      <c r="BM1205" s="52"/>
      <c r="BN1205" s="52"/>
      <c r="BO1205" s="52"/>
    </row>
    <row r="1206">
      <c r="B1206" s="49"/>
      <c r="C1206" s="49" t="str">
        <f t="shared" si="2"/>
        <v/>
      </c>
      <c r="D1206" s="50" t="str">
        <f t="shared" si="3"/>
        <v/>
      </c>
      <c r="E1206" s="51" t="str">
        <f t="shared" ref="E1206:T1206" si="1207">IFERROR(VLOOKUP($A1206,INDIRECT("'" &amp; E$1 &amp; "'!$C:$G"), 5, FALSE),"")</f>
        <v/>
      </c>
      <c r="F1206" s="51" t="str">
        <f t="shared" si="1207"/>
        <v/>
      </c>
      <c r="G1206" s="51" t="str">
        <f t="shared" si="1207"/>
        <v/>
      </c>
      <c r="H1206" s="51" t="str">
        <f t="shared" si="1207"/>
        <v/>
      </c>
      <c r="I1206" s="51" t="str">
        <f t="shared" si="1207"/>
        <v/>
      </c>
      <c r="J1206" s="51" t="str">
        <f t="shared" si="1207"/>
        <v/>
      </c>
      <c r="K1206" s="51" t="str">
        <f t="shared" si="1207"/>
        <v/>
      </c>
      <c r="L1206" s="51" t="str">
        <f t="shared" si="1207"/>
        <v/>
      </c>
      <c r="M1206" s="51" t="str">
        <f t="shared" si="1207"/>
        <v/>
      </c>
      <c r="N1206" s="51" t="str">
        <f t="shared" si="1207"/>
        <v/>
      </c>
      <c r="O1206" s="51" t="str">
        <f t="shared" si="1207"/>
        <v/>
      </c>
      <c r="P1206" s="51" t="str">
        <f t="shared" si="1207"/>
        <v/>
      </c>
      <c r="Q1206" s="51" t="str">
        <f t="shared" si="1207"/>
        <v/>
      </c>
      <c r="R1206" s="51" t="str">
        <f t="shared" si="1207"/>
        <v/>
      </c>
      <c r="S1206" s="51" t="str">
        <f t="shared" si="1207"/>
        <v/>
      </c>
      <c r="T1206" s="51" t="str">
        <f t="shared" si="1207"/>
        <v/>
      </c>
      <c r="U1206" s="52"/>
      <c r="V1206" s="52"/>
      <c r="W1206" s="52"/>
      <c r="X1206" s="52"/>
      <c r="Y1206" s="52"/>
      <c r="Z1206" s="52"/>
      <c r="AA1206" s="52"/>
      <c r="AB1206" s="52"/>
      <c r="AC1206" s="52"/>
      <c r="AD1206" s="52"/>
      <c r="AE1206" s="52"/>
      <c r="AF1206" s="52"/>
      <c r="AG1206" s="52"/>
      <c r="AH1206" s="52"/>
      <c r="AI1206" s="52"/>
      <c r="AJ1206" s="52"/>
      <c r="AK1206" s="52"/>
      <c r="AL1206" s="52"/>
      <c r="AM1206" s="52"/>
      <c r="AN1206" s="52"/>
      <c r="AO1206" s="52"/>
      <c r="AP1206" s="52"/>
      <c r="AQ1206" s="52"/>
      <c r="AR1206" s="52"/>
      <c r="AS1206" s="52"/>
      <c r="AT1206" s="52"/>
      <c r="AU1206" s="52"/>
      <c r="AV1206" s="52"/>
      <c r="AW1206" s="52"/>
      <c r="AX1206" s="52"/>
      <c r="AY1206" s="52"/>
      <c r="AZ1206" s="52"/>
      <c r="BA1206" s="52"/>
      <c r="BB1206" s="52"/>
      <c r="BC1206" s="52"/>
      <c r="BD1206" s="52"/>
      <c r="BE1206" s="52"/>
      <c r="BF1206" s="52"/>
      <c r="BG1206" s="52"/>
      <c r="BH1206" s="52"/>
      <c r="BI1206" s="52"/>
      <c r="BJ1206" s="52"/>
      <c r="BK1206" s="52"/>
      <c r="BL1206" s="52"/>
      <c r="BM1206" s="52"/>
      <c r="BN1206" s="52"/>
      <c r="BO1206" s="52"/>
    </row>
    <row r="1207">
      <c r="B1207" s="49"/>
      <c r="C1207" s="49" t="str">
        <f t="shared" si="2"/>
        <v/>
      </c>
      <c r="D1207" s="50" t="str">
        <f t="shared" si="3"/>
        <v/>
      </c>
      <c r="E1207" s="51" t="str">
        <f t="shared" ref="E1207:T1207" si="1208">IFERROR(VLOOKUP($A1207,INDIRECT("'" &amp; E$1 &amp; "'!$C:$G"), 5, FALSE),"")</f>
        <v/>
      </c>
      <c r="F1207" s="51" t="str">
        <f t="shared" si="1208"/>
        <v/>
      </c>
      <c r="G1207" s="51" t="str">
        <f t="shared" si="1208"/>
        <v/>
      </c>
      <c r="H1207" s="51" t="str">
        <f t="shared" si="1208"/>
        <v/>
      </c>
      <c r="I1207" s="51" t="str">
        <f t="shared" si="1208"/>
        <v/>
      </c>
      <c r="J1207" s="51" t="str">
        <f t="shared" si="1208"/>
        <v/>
      </c>
      <c r="K1207" s="51" t="str">
        <f t="shared" si="1208"/>
        <v/>
      </c>
      <c r="L1207" s="51" t="str">
        <f t="shared" si="1208"/>
        <v/>
      </c>
      <c r="M1207" s="51" t="str">
        <f t="shared" si="1208"/>
        <v/>
      </c>
      <c r="N1207" s="51" t="str">
        <f t="shared" si="1208"/>
        <v/>
      </c>
      <c r="O1207" s="51" t="str">
        <f t="shared" si="1208"/>
        <v/>
      </c>
      <c r="P1207" s="51" t="str">
        <f t="shared" si="1208"/>
        <v/>
      </c>
      <c r="Q1207" s="51" t="str">
        <f t="shared" si="1208"/>
        <v/>
      </c>
      <c r="R1207" s="51" t="str">
        <f t="shared" si="1208"/>
        <v/>
      </c>
      <c r="S1207" s="51" t="str">
        <f t="shared" si="1208"/>
        <v/>
      </c>
      <c r="T1207" s="51" t="str">
        <f t="shared" si="1208"/>
        <v/>
      </c>
      <c r="U1207" s="52"/>
      <c r="V1207" s="52"/>
      <c r="W1207" s="52"/>
      <c r="X1207" s="52"/>
      <c r="Y1207" s="52"/>
      <c r="Z1207" s="52"/>
      <c r="AA1207" s="52"/>
      <c r="AB1207" s="52"/>
      <c r="AC1207" s="52"/>
      <c r="AD1207" s="52"/>
      <c r="AE1207" s="52"/>
      <c r="AF1207" s="52"/>
      <c r="AG1207" s="52"/>
      <c r="AH1207" s="52"/>
      <c r="AI1207" s="52"/>
      <c r="AJ1207" s="52"/>
      <c r="AK1207" s="52"/>
      <c r="AL1207" s="52"/>
      <c r="AM1207" s="52"/>
      <c r="AN1207" s="52"/>
      <c r="AO1207" s="52"/>
      <c r="AP1207" s="52"/>
      <c r="AQ1207" s="52"/>
      <c r="AR1207" s="52"/>
      <c r="AS1207" s="52"/>
      <c r="AT1207" s="52"/>
      <c r="AU1207" s="52"/>
      <c r="AV1207" s="52"/>
      <c r="AW1207" s="52"/>
      <c r="AX1207" s="52"/>
      <c r="AY1207" s="52"/>
      <c r="AZ1207" s="52"/>
      <c r="BA1207" s="52"/>
      <c r="BB1207" s="52"/>
      <c r="BC1207" s="52"/>
      <c r="BD1207" s="52"/>
      <c r="BE1207" s="52"/>
      <c r="BF1207" s="52"/>
      <c r="BG1207" s="52"/>
      <c r="BH1207" s="52"/>
      <c r="BI1207" s="52"/>
      <c r="BJ1207" s="52"/>
      <c r="BK1207" s="52"/>
      <c r="BL1207" s="52"/>
      <c r="BM1207" s="52"/>
      <c r="BN1207" s="52"/>
      <c r="BO1207" s="52"/>
    </row>
    <row r="1208">
      <c r="B1208" s="49"/>
      <c r="C1208" s="49" t="str">
        <f t="shared" si="2"/>
        <v/>
      </c>
      <c r="D1208" s="50" t="str">
        <f t="shared" si="3"/>
        <v/>
      </c>
      <c r="E1208" s="51" t="str">
        <f t="shared" ref="E1208:T1208" si="1209">IFERROR(VLOOKUP($A1208,INDIRECT("'" &amp; E$1 &amp; "'!$C:$G"), 5, FALSE),"")</f>
        <v/>
      </c>
      <c r="F1208" s="51" t="str">
        <f t="shared" si="1209"/>
        <v/>
      </c>
      <c r="G1208" s="51" t="str">
        <f t="shared" si="1209"/>
        <v/>
      </c>
      <c r="H1208" s="51" t="str">
        <f t="shared" si="1209"/>
        <v/>
      </c>
      <c r="I1208" s="51" t="str">
        <f t="shared" si="1209"/>
        <v/>
      </c>
      <c r="J1208" s="51" t="str">
        <f t="shared" si="1209"/>
        <v/>
      </c>
      <c r="K1208" s="51" t="str">
        <f t="shared" si="1209"/>
        <v/>
      </c>
      <c r="L1208" s="51" t="str">
        <f t="shared" si="1209"/>
        <v/>
      </c>
      <c r="M1208" s="51" t="str">
        <f t="shared" si="1209"/>
        <v/>
      </c>
      <c r="N1208" s="51" t="str">
        <f t="shared" si="1209"/>
        <v/>
      </c>
      <c r="O1208" s="51" t="str">
        <f t="shared" si="1209"/>
        <v/>
      </c>
      <c r="P1208" s="51" t="str">
        <f t="shared" si="1209"/>
        <v/>
      </c>
      <c r="Q1208" s="51" t="str">
        <f t="shared" si="1209"/>
        <v/>
      </c>
      <c r="R1208" s="51" t="str">
        <f t="shared" si="1209"/>
        <v/>
      </c>
      <c r="S1208" s="51" t="str">
        <f t="shared" si="1209"/>
        <v/>
      </c>
      <c r="T1208" s="51" t="str">
        <f t="shared" si="1209"/>
        <v/>
      </c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2"/>
      <c r="AE1208" s="52"/>
      <c r="AF1208" s="52"/>
      <c r="AG1208" s="52"/>
      <c r="AH1208" s="52"/>
      <c r="AI1208" s="52"/>
      <c r="AJ1208" s="52"/>
      <c r="AK1208" s="52"/>
      <c r="AL1208" s="52"/>
      <c r="AM1208" s="52"/>
      <c r="AN1208" s="52"/>
      <c r="AO1208" s="52"/>
      <c r="AP1208" s="52"/>
      <c r="AQ1208" s="52"/>
      <c r="AR1208" s="52"/>
      <c r="AS1208" s="52"/>
      <c r="AT1208" s="52"/>
      <c r="AU1208" s="52"/>
      <c r="AV1208" s="52"/>
      <c r="AW1208" s="52"/>
      <c r="AX1208" s="52"/>
      <c r="AY1208" s="52"/>
      <c r="AZ1208" s="52"/>
      <c r="BA1208" s="52"/>
      <c r="BB1208" s="52"/>
      <c r="BC1208" s="52"/>
      <c r="BD1208" s="52"/>
      <c r="BE1208" s="52"/>
      <c r="BF1208" s="52"/>
      <c r="BG1208" s="52"/>
      <c r="BH1208" s="52"/>
      <c r="BI1208" s="52"/>
      <c r="BJ1208" s="52"/>
      <c r="BK1208" s="52"/>
      <c r="BL1208" s="52"/>
      <c r="BM1208" s="52"/>
      <c r="BN1208" s="52"/>
      <c r="BO1208" s="52"/>
    </row>
    <row r="1209">
      <c r="B1209" s="49"/>
      <c r="C1209" s="49" t="str">
        <f t="shared" si="2"/>
        <v/>
      </c>
      <c r="D1209" s="50" t="str">
        <f t="shared" si="3"/>
        <v/>
      </c>
      <c r="E1209" s="51" t="str">
        <f t="shared" ref="E1209:T1209" si="1210">IFERROR(VLOOKUP($A1209,INDIRECT("'" &amp; E$1 &amp; "'!$C:$G"), 5, FALSE),"")</f>
        <v/>
      </c>
      <c r="F1209" s="51" t="str">
        <f t="shared" si="1210"/>
        <v/>
      </c>
      <c r="G1209" s="51" t="str">
        <f t="shared" si="1210"/>
        <v/>
      </c>
      <c r="H1209" s="51" t="str">
        <f t="shared" si="1210"/>
        <v/>
      </c>
      <c r="I1209" s="51" t="str">
        <f t="shared" si="1210"/>
        <v/>
      </c>
      <c r="J1209" s="51" t="str">
        <f t="shared" si="1210"/>
        <v/>
      </c>
      <c r="K1209" s="51" t="str">
        <f t="shared" si="1210"/>
        <v/>
      </c>
      <c r="L1209" s="51" t="str">
        <f t="shared" si="1210"/>
        <v/>
      </c>
      <c r="M1209" s="51" t="str">
        <f t="shared" si="1210"/>
        <v/>
      </c>
      <c r="N1209" s="51" t="str">
        <f t="shared" si="1210"/>
        <v/>
      </c>
      <c r="O1209" s="51" t="str">
        <f t="shared" si="1210"/>
        <v/>
      </c>
      <c r="P1209" s="51" t="str">
        <f t="shared" si="1210"/>
        <v/>
      </c>
      <c r="Q1209" s="51" t="str">
        <f t="shared" si="1210"/>
        <v/>
      </c>
      <c r="R1209" s="51" t="str">
        <f t="shared" si="1210"/>
        <v/>
      </c>
      <c r="S1209" s="51" t="str">
        <f t="shared" si="1210"/>
        <v/>
      </c>
      <c r="T1209" s="51" t="str">
        <f t="shared" si="1210"/>
        <v/>
      </c>
      <c r="U1209" s="52"/>
      <c r="V1209" s="52"/>
      <c r="W1209" s="52"/>
      <c r="X1209" s="52"/>
      <c r="Y1209" s="52"/>
      <c r="Z1209" s="52"/>
      <c r="AA1209" s="52"/>
      <c r="AB1209" s="52"/>
      <c r="AC1209" s="52"/>
      <c r="AD1209" s="52"/>
      <c r="AE1209" s="52"/>
      <c r="AF1209" s="52"/>
      <c r="AG1209" s="52"/>
      <c r="AH1209" s="52"/>
      <c r="AI1209" s="52"/>
      <c r="AJ1209" s="52"/>
      <c r="AK1209" s="52"/>
      <c r="AL1209" s="52"/>
      <c r="AM1209" s="52"/>
      <c r="AN1209" s="52"/>
      <c r="AO1209" s="52"/>
      <c r="AP1209" s="52"/>
      <c r="AQ1209" s="52"/>
      <c r="AR1209" s="52"/>
      <c r="AS1209" s="52"/>
      <c r="AT1209" s="52"/>
      <c r="AU1209" s="52"/>
      <c r="AV1209" s="52"/>
      <c r="AW1209" s="52"/>
      <c r="AX1209" s="52"/>
      <c r="AY1209" s="52"/>
      <c r="AZ1209" s="52"/>
      <c r="BA1209" s="52"/>
      <c r="BB1209" s="52"/>
      <c r="BC1209" s="52"/>
      <c r="BD1209" s="52"/>
      <c r="BE1209" s="52"/>
      <c r="BF1209" s="52"/>
      <c r="BG1209" s="52"/>
      <c r="BH1209" s="52"/>
      <c r="BI1209" s="52"/>
      <c r="BJ1209" s="52"/>
      <c r="BK1209" s="52"/>
      <c r="BL1209" s="52"/>
      <c r="BM1209" s="52"/>
      <c r="BN1209" s="52"/>
      <c r="BO1209" s="52"/>
    </row>
    <row r="1210">
      <c r="B1210" s="49"/>
      <c r="C1210" s="49" t="str">
        <f t="shared" si="2"/>
        <v/>
      </c>
      <c r="D1210" s="50" t="str">
        <f t="shared" si="3"/>
        <v/>
      </c>
      <c r="E1210" s="51" t="str">
        <f t="shared" ref="E1210:T1210" si="1211">IFERROR(VLOOKUP($A1210,INDIRECT("'" &amp; E$1 &amp; "'!$C:$G"), 5, FALSE),"")</f>
        <v/>
      </c>
      <c r="F1210" s="51" t="str">
        <f t="shared" si="1211"/>
        <v/>
      </c>
      <c r="G1210" s="51" t="str">
        <f t="shared" si="1211"/>
        <v/>
      </c>
      <c r="H1210" s="51" t="str">
        <f t="shared" si="1211"/>
        <v/>
      </c>
      <c r="I1210" s="51" t="str">
        <f t="shared" si="1211"/>
        <v/>
      </c>
      <c r="J1210" s="51" t="str">
        <f t="shared" si="1211"/>
        <v/>
      </c>
      <c r="K1210" s="51" t="str">
        <f t="shared" si="1211"/>
        <v/>
      </c>
      <c r="L1210" s="51" t="str">
        <f t="shared" si="1211"/>
        <v/>
      </c>
      <c r="M1210" s="51" t="str">
        <f t="shared" si="1211"/>
        <v/>
      </c>
      <c r="N1210" s="51" t="str">
        <f t="shared" si="1211"/>
        <v/>
      </c>
      <c r="O1210" s="51" t="str">
        <f t="shared" si="1211"/>
        <v/>
      </c>
      <c r="P1210" s="51" t="str">
        <f t="shared" si="1211"/>
        <v/>
      </c>
      <c r="Q1210" s="51" t="str">
        <f t="shared" si="1211"/>
        <v/>
      </c>
      <c r="R1210" s="51" t="str">
        <f t="shared" si="1211"/>
        <v/>
      </c>
      <c r="S1210" s="51" t="str">
        <f t="shared" si="1211"/>
        <v/>
      </c>
      <c r="T1210" s="51" t="str">
        <f t="shared" si="1211"/>
        <v/>
      </c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2"/>
      <c r="AE1210" s="52"/>
      <c r="AF1210" s="52"/>
      <c r="AG1210" s="52"/>
      <c r="AH1210" s="52"/>
      <c r="AI1210" s="52"/>
      <c r="AJ1210" s="52"/>
      <c r="AK1210" s="52"/>
      <c r="AL1210" s="52"/>
      <c r="AM1210" s="52"/>
      <c r="AN1210" s="52"/>
      <c r="AO1210" s="52"/>
      <c r="AP1210" s="52"/>
      <c r="AQ1210" s="52"/>
      <c r="AR1210" s="52"/>
      <c r="AS1210" s="52"/>
      <c r="AT1210" s="52"/>
      <c r="AU1210" s="52"/>
      <c r="AV1210" s="52"/>
      <c r="AW1210" s="52"/>
      <c r="AX1210" s="52"/>
      <c r="AY1210" s="52"/>
      <c r="AZ1210" s="52"/>
      <c r="BA1210" s="52"/>
      <c r="BB1210" s="52"/>
      <c r="BC1210" s="52"/>
      <c r="BD1210" s="52"/>
      <c r="BE1210" s="52"/>
      <c r="BF1210" s="52"/>
      <c r="BG1210" s="52"/>
      <c r="BH1210" s="52"/>
      <c r="BI1210" s="52"/>
      <c r="BJ1210" s="52"/>
      <c r="BK1210" s="52"/>
      <c r="BL1210" s="52"/>
      <c r="BM1210" s="52"/>
      <c r="BN1210" s="52"/>
      <c r="BO1210" s="52"/>
    </row>
    <row r="1211">
      <c r="B1211" s="49"/>
      <c r="C1211" s="49" t="str">
        <f t="shared" si="2"/>
        <v/>
      </c>
      <c r="D1211" s="50" t="str">
        <f t="shared" si="3"/>
        <v/>
      </c>
      <c r="E1211" s="51" t="str">
        <f t="shared" ref="E1211:T1211" si="1212">IFERROR(VLOOKUP($A1211,INDIRECT("'" &amp; E$1 &amp; "'!$C:$G"), 5, FALSE),"")</f>
        <v/>
      </c>
      <c r="F1211" s="51" t="str">
        <f t="shared" si="1212"/>
        <v/>
      </c>
      <c r="G1211" s="51" t="str">
        <f t="shared" si="1212"/>
        <v/>
      </c>
      <c r="H1211" s="51" t="str">
        <f t="shared" si="1212"/>
        <v/>
      </c>
      <c r="I1211" s="51" t="str">
        <f t="shared" si="1212"/>
        <v/>
      </c>
      <c r="J1211" s="51" t="str">
        <f t="shared" si="1212"/>
        <v/>
      </c>
      <c r="K1211" s="51" t="str">
        <f t="shared" si="1212"/>
        <v/>
      </c>
      <c r="L1211" s="51" t="str">
        <f t="shared" si="1212"/>
        <v/>
      </c>
      <c r="M1211" s="51" t="str">
        <f t="shared" si="1212"/>
        <v/>
      </c>
      <c r="N1211" s="51" t="str">
        <f t="shared" si="1212"/>
        <v/>
      </c>
      <c r="O1211" s="51" t="str">
        <f t="shared" si="1212"/>
        <v/>
      </c>
      <c r="P1211" s="51" t="str">
        <f t="shared" si="1212"/>
        <v/>
      </c>
      <c r="Q1211" s="51" t="str">
        <f t="shared" si="1212"/>
        <v/>
      </c>
      <c r="R1211" s="51" t="str">
        <f t="shared" si="1212"/>
        <v/>
      </c>
      <c r="S1211" s="51" t="str">
        <f t="shared" si="1212"/>
        <v/>
      </c>
      <c r="T1211" s="51" t="str">
        <f t="shared" si="1212"/>
        <v/>
      </c>
      <c r="U1211" s="52"/>
      <c r="V1211" s="52"/>
      <c r="W1211" s="52"/>
      <c r="X1211" s="52"/>
      <c r="Y1211" s="52"/>
      <c r="Z1211" s="52"/>
      <c r="AA1211" s="52"/>
      <c r="AB1211" s="52"/>
      <c r="AC1211" s="52"/>
      <c r="AD1211" s="52"/>
      <c r="AE1211" s="52"/>
      <c r="AF1211" s="52"/>
      <c r="AG1211" s="52"/>
      <c r="AH1211" s="52"/>
      <c r="AI1211" s="52"/>
      <c r="AJ1211" s="52"/>
      <c r="AK1211" s="52"/>
      <c r="AL1211" s="52"/>
      <c r="AM1211" s="52"/>
      <c r="AN1211" s="52"/>
      <c r="AO1211" s="52"/>
      <c r="AP1211" s="52"/>
      <c r="AQ1211" s="52"/>
      <c r="AR1211" s="52"/>
      <c r="AS1211" s="52"/>
      <c r="AT1211" s="52"/>
      <c r="AU1211" s="52"/>
      <c r="AV1211" s="52"/>
      <c r="AW1211" s="52"/>
      <c r="AX1211" s="52"/>
      <c r="AY1211" s="52"/>
      <c r="AZ1211" s="52"/>
      <c r="BA1211" s="52"/>
      <c r="BB1211" s="52"/>
      <c r="BC1211" s="52"/>
      <c r="BD1211" s="52"/>
      <c r="BE1211" s="52"/>
      <c r="BF1211" s="52"/>
      <c r="BG1211" s="52"/>
      <c r="BH1211" s="52"/>
      <c r="BI1211" s="52"/>
      <c r="BJ1211" s="52"/>
      <c r="BK1211" s="52"/>
      <c r="BL1211" s="52"/>
      <c r="BM1211" s="52"/>
      <c r="BN1211" s="52"/>
      <c r="BO1211" s="52"/>
    </row>
    <row r="1212">
      <c r="B1212" s="49"/>
      <c r="C1212" s="49" t="str">
        <f t="shared" si="2"/>
        <v/>
      </c>
      <c r="D1212" s="50" t="str">
        <f t="shared" si="3"/>
        <v/>
      </c>
      <c r="E1212" s="51" t="str">
        <f t="shared" ref="E1212:T1212" si="1213">IFERROR(VLOOKUP($A1212,INDIRECT("'" &amp; E$1 &amp; "'!$C:$G"), 5, FALSE),"")</f>
        <v/>
      </c>
      <c r="F1212" s="51" t="str">
        <f t="shared" si="1213"/>
        <v/>
      </c>
      <c r="G1212" s="51" t="str">
        <f t="shared" si="1213"/>
        <v/>
      </c>
      <c r="H1212" s="51" t="str">
        <f t="shared" si="1213"/>
        <v/>
      </c>
      <c r="I1212" s="51" t="str">
        <f t="shared" si="1213"/>
        <v/>
      </c>
      <c r="J1212" s="51" t="str">
        <f t="shared" si="1213"/>
        <v/>
      </c>
      <c r="K1212" s="51" t="str">
        <f t="shared" si="1213"/>
        <v/>
      </c>
      <c r="L1212" s="51" t="str">
        <f t="shared" si="1213"/>
        <v/>
      </c>
      <c r="M1212" s="51" t="str">
        <f t="shared" si="1213"/>
        <v/>
      </c>
      <c r="N1212" s="51" t="str">
        <f t="shared" si="1213"/>
        <v/>
      </c>
      <c r="O1212" s="51" t="str">
        <f t="shared" si="1213"/>
        <v/>
      </c>
      <c r="P1212" s="51" t="str">
        <f t="shared" si="1213"/>
        <v/>
      </c>
      <c r="Q1212" s="51" t="str">
        <f t="shared" si="1213"/>
        <v/>
      </c>
      <c r="R1212" s="51" t="str">
        <f t="shared" si="1213"/>
        <v/>
      </c>
      <c r="S1212" s="51" t="str">
        <f t="shared" si="1213"/>
        <v/>
      </c>
      <c r="T1212" s="51" t="str">
        <f t="shared" si="1213"/>
        <v/>
      </c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2"/>
      <c r="AE1212" s="52"/>
      <c r="AF1212" s="52"/>
      <c r="AG1212" s="52"/>
      <c r="AH1212" s="52"/>
      <c r="AI1212" s="52"/>
      <c r="AJ1212" s="52"/>
      <c r="AK1212" s="52"/>
      <c r="AL1212" s="52"/>
      <c r="AM1212" s="52"/>
      <c r="AN1212" s="52"/>
      <c r="AO1212" s="52"/>
      <c r="AP1212" s="52"/>
      <c r="AQ1212" s="52"/>
      <c r="AR1212" s="52"/>
      <c r="AS1212" s="52"/>
      <c r="AT1212" s="52"/>
      <c r="AU1212" s="52"/>
      <c r="AV1212" s="52"/>
      <c r="AW1212" s="52"/>
      <c r="AX1212" s="52"/>
      <c r="AY1212" s="52"/>
      <c r="AZ1212" s="52"/>
      <c r="BA1212" s="52"/>
      <c r="BB1212" s="52"/>
      <c r="BC1212" s="52"/>
      <c r="BD1212" s="52"/>
      <c r="BE1212" s="52"/>
      <c r="BF1212" s="52"/>
      <c r="BG1212" s="52"/>
      <c r="BH1212" s="52"/>
      <c r="BI1212" s="52"/>
      <c r="BJ1212" s="52"/>
      <c r="BK1212" s="52"/>
      <c r="BL1212" s="52"/>
      <c r="BM1212" s="52"/>
      <c r="BN1212" s="52"/>
      <c r="BO1212" s="52"/>
    </row>
    <row r="1213">
      <c r="B1213" s="49"/>
      <c r="C1213" s="49" t="str">
        <f t="shared" si="2"/>
        <v/>
      </c>
      <c r="D1213" s="50" t="str">
        <f t="shared" si="3"/>
        <v/>
      </c>
      <c r="E1213" s="51" t="str">
        <f t="shared" ref="E1213:T1213" si="1214">IFERROR(VLOOKUP($A1213,INDIRECT("'" &amp; E$1 &amp; "'!$C:$G"), 5, FALSE),"")</f>
        <v/>
      </c>
      <c r="F1213" s="51" t="str">
        <f t="shared" si="1214"/>
        <v/>
      </c>
      <c r="G1213" s="51" t="str">
        <f t="shared" si="1214"/>
        <v/>
      </c>
      <c r="H1213" s="51" t="str">
        <f t="shared" si="1214"/>
        <v/>
      </c>
      <c r="I1213" s="51" t="str">
        <f t="shared" si="1214"/>
        <v/>
      </c>
      <c r="J1213" s="51" t="str">
        <f t="shared" si="1214"/>
        <v/>
      </c>
      <c r="K1213" s="51" t="str">
        <f t="shared" si="1214"/>
        <v/>
      </c>
      <c r="L1213" s="51" t="str">
        <f t="shared" si="1214"/>
        <v/>
      </c>
      <c r="M1213" s="51" t="str">
        <f t="shared" si="1214"/>
        <v/>
      </c>
      <c r="N1213" s="51" t="str">
        <f t="shared" si="1214"/>
        <v/>
      </c>
      <c r="O1213" s="51" t="str">
        <f t="shared" si="1214"/>
        <v/>
      </c>
      <c r="P1213" s="51" t="str">
        <f t="shared" si="1214"/>
        <v/>
      </c>
      <c r="Q1213" s="51" t="str">
        <f t="shared" si="1214"/>
        <v/>
      </c>
      <c r="R1213" s="51" t="str">
        <f t="shared" si="1214"/>
        <v/>
      </c>
      <c r="S1213" s="51" t="str">
        <f t="shared" si="1214"/>
        <v/>
      </c>
      <c r="T1213" s="51" t="str">
        <f t="shared" si="1214"/>
        <v/>
      </c>
      <c r="U1213" s="52"/>
      <c r="V1213" s="52"/>
      <c r="W1213" s="52"/>
      <c r="X1213" s="52"/>
      <c r="Y1213" s="52"/>
      <c r="Z1213" s="52"/>
      <c r="AA1213" s="52"/>
      <c r="AB1213" s="52"/>
      <c r="AC1213" s="52"/>
      <c r="AD1213" s="52"/>
      <c r="AE1213" s="52"/>
      <c r="AF1213" s="52"/>
      <c r="AG1213" s="52"/>
      <c r="AH1213" s="52"/>
      <c r="AI1213" s="52"/>
      <c r="AJ1213" s="52"/>
      <c r="AK1213" s="52"/>
      <c r="AL1213" s="52"/>
      <c r="AM1213" s="52"/>
      <c r="AN1213" s="52"/>
      <c r="AO1213" s="52"/>
      <c r="AP1213" s="52"/>
      <c r="AQ1213" s="52"/>
      <c r="AR1213" s="52"/>
      <c r="AS1213" s="52"/>
      <c r="AT1213" s="52"/>
      <c r="AU1213" s="52"/>
      <c r="AV1213" s="52"/>
      <c r="AW1213" s="52"/>
      <c r="AX1213" s="52"/>
      <c r="AY1213" s="52"/>
      <c r="AZ1213" s="52"/>
      <c r="BA1213" s="52"/>
      <c r="BB1213" s="52"/>
      <c r="BC1213" s="52"/>
      <c r="BD1213" s="52"/>
      <c r="BE1213" s="52"/>
      <c r="BF1213" s="52"/>
      <c r="BG1213" s="52"/>
      <c r="BH1213" s="52"/>
      <c r="BI1213" s="52"/>
      <c r="BJ1213" s="52"/>
      <c r="BK1213" s="52"/>
      <c r="BL1213" s="52"/>
      <c r="BM1213" s="52"/>
      <c r="BN1213" s="52"/>
      <c r="BO1213" s="52"/>
    </row>
    <row r="1214">
      <c r="B1214" s="49"/>
      <c r="C1214" s="49" t="str">
        <f t="shared" si="2"/>
        <v/>
      </c>
      <c r="D1214" s="50" t="str">
        <f t="shared" si="3"/>
        <v/>
      </c>
      <c r="E1214" s="51" t="str">
        <f t="shared" ref="E1214:T1214" si="1215">IFERROR(VLOOKUP($A1214,INDIRECT("'" &amp; E$1 &amp; "'!$C:$G"), 5, FALSE),"")</f>
        <v/>
      </c>
      <c r="F1214" s="51" t="str">
        <f t="shared" si="1215"/>
        <v/>
      </c>
      <c r="G1214" s="51" t="str">
        <f t="shared" si="1215"/>
        <v/>
      </c>
      <c r="H1214" s="51" t="str">
        <f t="shared" si="1215"/>
        <v/>
      </c>
      <c r="I1214" s="51" t="str">
        <f t="shared" si="1215"/>
        <v/>
      </c>
      <c r="J1214" s="51" t="str">
        <f t="shared" si="1215"/>
        <v/>
      </c>
      <c r="K1214" s="51" t="str">
        <f t="shared" si="1215"/>
        <v/>
      </c>
      <c r="L1214" s="51" t="str">
        <f t="shared" si="1215"/>
        <v/>
      </c>
      <c r="M1214" s="51" t="str">
        <f t="shared" si="1215"/>
        <v/>
      </c>
      <c r="N1214" s="51" t="str">
        <f t="shared" si="1215"/>
        <v/>
      </c>
      <c r="O1214" s="51" t="str">
        <f t="shared" si="1215"/>
        <v/>
      </c>
      <c r="P1214" s="51" t="str">
        <f t="shared" si="1215"/>
        <v/>
      </c>
      <c r="Q1214" s="51" t="str">
        <f t="shared" si="1215"/>
        <v/>
      </c>
      <c r="R1214" s="51" t="str">
        <f t="shared" si="1215"/>
        <v/>
      </c>
      <c r="S1214" s="51" t="str">
        <f t="shared" si="1215"/>
        <v/>
      </c>
      <c r="T1214" s="51" t="str">
        <f t="shared" si="1215"/>
        <v/>
      </c>
      <c r="U1214" s="52"/>
      <c r="V1214" s="52"/>
      <c r="W1214" s="52"/>
      <c r="X1214" s="52"/>
      <c r="Y1214" s="52"/>
      <c r="Z1214" s="52"/>
      <c r="AA1214" s="52"/>
      <c r="AB1214" s="52"/>
      <c r="AC1214" s="52"/>
      <c r="AD1214" s="52"/>
      <c r="AE1214" s="52"/>
      <c r="AF1214" s="52"/>
      <c r="AG1214" s="52"/>
      <c r="AH1214" s="52"/>
      <c r="AI1214" s="52"/>
      <c r="AJ1214" s="52"/>
      <c r="AK1214" s="52"/>
      <c r="AL1214" s="52"/>
      <c r="AM1214" s="52"/>
      <c r="AN1214" s="52"/>
      <c r="AO1214" s="52"/>
      <c r="AP1214" s="52"/>
      <c r="AQ1214" s="52"/>
      <c r="AR1214" s="52"/>
      <c r="AS1214" s="52"/>
      <c r="AT1214" s="52"/>
      <c r="AU1214" s="52"/>
      <c r="AV1214" s="52"/>
      <c r="AW1214" s="52"/>
      <c r="AX1214" s="52"/>
      <c r="AY1214" s="52"/>
      <c r="AZ1214" s="52"/>
      <c r="BA1214" s="52"/>
      <c r="BB1214" s="52"/>
      <c r="BC1214" s="52"/>
      <c r="BD1214" s="52"/>
      <c r="BE1214" s="52"/>
      <c r="BF1214" s="52"/>
      <c r="BG1214" s="52"/>
      <c r="BH1214" s="52"/>
      <c r="BI1214" s="52"/>
      <c r="BJ1214" s="52"/>
      <c r="BK1214" s="52"/>
      <c r="BL1214" s="52"/>
      <c r="BM1214" s="52"/>
      <c r="BN1214" s="52"/>
      <c r="BO1214" s="52"/>
    </row>
    <row r="1215">
      <c r="B1215" s="49"/>
      <c r="C1215" s="49" t="str">
        <f t="shared" si="2"/>
        <v/>
      </c>
      <c r="D1215" s="50" t="str">
        <f t="shared" si="3"/>
        <v/>
      </c>
      <c r="E1215" s="51" t="str">
        <f t="shared" ref="E1215:T1215" si="1216">IFERROR(VLOOKUP($A1215,INDIRECT("'" &amp; E$1 &amp; "'!$C:$G"), 5, FALSE),"")</f>
        <v/>
      </c>
      <c r="F1215" s="51" t="str">
        <f t="shared" si="1216"/>
        <v/>
      </c>
      <c r="G1215" s="51" t="str">
        <f t="shared" si="1216"/>
        <v/>
      </c>
      <c r="H1215" s="51" t="str">
        <f t="shared" si="1216"/>
        <v/>
      </c>
      <c r="I1215" s="51" t="str">
        <f t="shared" si="1216"/>
        <v/>
      </c>
      <c r="J1215" s="51" t="str">
        <f t="shared" si="1216"/>
        <v/>
      </c>
      <c r="K1215" s="51" t="str">
        <f t="shared" si="1216"/>
        <v/>
      </c>
      <c r="L1215" s="51" t="str">
        <f t="shared" si="1216"/>
        <v/>
      </c>
      <c r="M1215" s="51" t="str">
        <f t="shared" si="1216"/>
        <v/>
      </c>
      <c r="N1215" s="51" t="str">
        <f t="shared" si="1216"/>
        <v/>
      </c>
      <c r="O1215" s="51" t="str">
        <f t="shared" si="1216"/>
        <v/>
      </c>
      <c r="P1215" s="51" t="str">
        <f t="shared" si="1216"/>
        <v/>
      </c>
      <c r="Q1215" s="51" t="str">
        <f t="shared" si="1216"/>
        <v/>
      </c>
      <c r="R1215" s="51" t="str">
        <f t="shared" si="1216"/>
        <v/>
      </c>
      <c r="S1215" s="51" t="str">
        <f t="shared" si="1216"/>
        <v/>
      </c>
      <c r="T1215" s="51" t="str">
        <f t="shared" si="1216"/>
        <v/>
      </c>
      <c r="U1215" s="52"/>
      <c r="V1215" s="52"/>
      <c r="W1215" s="52"/>
      <c r="X1215" s="52"/>
      <c r="Y1215" s="52"/>
      <c r="Z1215" s="52"/>
      <c r="AA1215" s="52"/>
      <c r="AB1215" s="52"/>
      <c r="AC1215" s="52"/>
      <c r="AD1215" s="52"/>
      <c r="AE1215" s="52"/>
      <c r="AF1215" s="52"/>
      <c r="AG1215" s="52"/>
      <c r="AH1215" s="52"/>
      <c r="AI1215" s="52"/>
      <c r="AJ1215" s="52"/>
      <c r="AK1215" s="52"/>
      <c r="AL1215" s="52"/>
      <c r="AM1215" s="52"/>
      <c r="AN1215" s="52"/>
      <c r="AO1215" s="52"/>
      <c r="AP1215" s="52"/>
      <c r="AQ1215" s="52"/>
      <c r="AR1215" s="52"/>
      <c r="AS1215" s="52"/>
      <c r="AT1215" s="52"/>
      <c r="AU1215" s="52"/>
      <c r="AV1215" s="52"/>
      <c r="AW1215" s="52"/>
      <c r="AX1215" s="52"/>
      <c r="AY1215" s="52"/>
      <c r="AZ1215" s="52"/>
      <c r="BA1215" s="52"/>
      <c r="BB1215" s="52"/>
      <c r="BC1215" s="52"/>
      <c r="BD1215" s="52"/>
      <c r="BE1215" s="52"/>
      <c r="BF1215" s="52"/>
      <c r="BG1215" s="52"/>
      <c r="BH1215" s="52"/>
      <c r="BI1215" s="52"/>
      <c r="BJ1215" s="52"/>
      <c r="BK1215" s="52"/>
      <c r="BL1215" s="52"/>
      <c r="BM1215" s="52"/>
      <c r="BN1215" s="52"/>
      <c r="BO1215" s="52"/>
    </row>
    <row r="1216">
      <c r="B1216" s="49"/>
      <c r="C1216" s="49" t="str">
        <f t="shared" si="2"/>
        <v/>
      </c>
      <c r="D1216" s="50" t="str">
        <f t="shared" si="3"/>
        <v/>
      </c>
      <c r="E1216" s="51" t="str">
        <f t="shared" ref="E1216:T1216" si="1217">IFERROR(VLOOKUP($A1216,INDIRECT("'" &amp; E$1 &amp; "'!$C:$G"), 5, FALSE),"")</f>
        <v/>
      </c>
      <c r="F1216" s="51" t="str">
        <f t="shared" si="1217"/>
        <v/>
      </c>
      <c r="G1216" s="51" t="str">
        <f t="shared" si="1217"/>
        <v/>
      </c>
      <c r="H1216" s="51" t="str">
        <f t="shared" si="1217"/>
        <v/>
      </c>
      <c r="I1216" s="51" t="str">
        <f t="shared" si="1217"/>
        <v/>
      </c>
      <c r="J1216" s="51" t="str">
        <f t="shared" si="1217"/>
        <v/>
      </c>
      <c r="K1216" s="51" t="str">
        <f t="shared" si="1217"/>
        <v/>
      </c>
      <c r="L1216" s="51" t="str">
        <f t="shared" si="1217"/>
        <v/>
      </c>
      <c r="M1216" s="51" t="str">
        <f t="shared" si="1217"/>
        <v/>
      </c>
      <c r="N1216" s="51" t="str">
        <f t="shared" si="1217"/>
        <v/>
      </c>
      <c r="O1216" s="51" t="str">
        <f t="shared" si="1217"/>
        <v/>
      </c>
      <c r="P1216" s="51" t="str">
        <f t="shared" si="1217"/>
        <v/>
      </c>
      <c r="Q1216" s="51" t="str">
        <f t="shared" si="1217"/>
        <v/>
      </c>
      <c r="R1216" s="51" t="str">
        <f t="shared" si="1217"/>
        <v/>
      </c>
      <c r="S1216" s="51" t="str">
        <f t="shared" si="1217"/>
        <v/>
      </c>
      <c r="T1216" s="51" t="str">
        <f t="shared" si="1217"/>
        <v/>
      </c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2"/>
      <c r="AE1216" s="52"/>
      <c r="AF1216" s="52"/>
      <c r="AG1216" s="52"/>
      <c r="AH1216" s="52"/>
      <c r="AI1216" s="52"/>
      <c r="AJ1216" s="52"/>
      <c r="AK1216" s="52"/>
      <c r="AL1216" s="52"/>
      <c r="AM1216" s="52"/>
      <c r="AN1216" s="52"/>
      <c r="AO1216" s="52"/>
      <c r="AP1216" s="52"/>
      <c r="AQ1216" s="52"/>
      <c r="AR1216" s="52"/>
      <c r="AS1216" s="52"/>
      <c r="AT1216" s="52"/>
      <c r="AU1216" s="52"/>
      <c r="AV1216" s="52"/>
      <c r="AW1216" s="52"/>
      <c r="AX1216" s="52"/>
      <c r="AY1216" s="52"/>
      <c r="AZ1216" s="52"/>
      <c r="BA1216" s="52"/>
      <c r="BB1216" s="52"/>
      <c r="BC1216" s="52"/>
      <c r="BD1216" s="52"/>
      <c r="BE1216" s="52"/>
      <c r="BF1216" s="52"/>
      <c r="BG1216" s="52"/>
      <c r="BH1216" s="52"/>
      <c r="BI1216" s="52"/>
      <c r="BJ1216" s="52"/>
      <c r="BK1216" s="52"/>
      <c r="BL1216" s="52"/>
      <c r="BM1216" s="52"/>
      <c r="BN1216" s="52"/>
      <c r="BO1216" s="52"/>
    </row>
    <row r="1217">
      <c r="B1217" s="49"/>
      <c r="C1217" s="49" t="str">
        <f t="shared" si="2"/>
        <v/>
      </c>
      <c r="D1217" s="50" t="str">
        <f t="shared" si="3"/>
        <v/>
      </c>
      <c r="E1217" s="51" t="str">
        <f t="shared" ref="E1217:T1217" si="1218">IFERROR(VLOOKUP($A1217,INDIRECT("'" &amp; E$1 &amp; "'!$C:$G"), 5, FALSE),"")</f>
        <v/>
      </c>
      <c r="F1217" s="51" t="str">
        <f t="shared" si="1218"/>
        <v/>
      </c>
      <c r="G1217" s="51" t="str">
        <f t="shared" si="1218"/>
        <v/>
      </c>
      <c r="H1217" s="51" t="str">
        <f t="shared" si="1218"/>
        <v/>
      </c>
      <c r="I1217" s="51" t="str">
        <f t="shared" si="1218"/>
        <v/>
      </c>
      <c r="J1217" s="51" t="str">
        <f t="shared" si="1218"/>
        <v/>
      </c>
      <c r="K1217" s="51" t="str">
        <f t="shared" si="1218"/>
        <v/>
      </c>
      <c r="L1217" s="51" t="str">
        <f t="shared" si="1218"/>
        <v/>
      </c>
      <c r="M1217" s="51" t="str">
        <f t="shared" si="1218"/>
        <v/>
      </c>
      <c r="N1217" s="51" t="str">
        <f t="shared" si="1218"/>
        <v/>
      </c>
      <c r="O1217" s="51" t="str">
        <f t="shared" si="1218"/>
        <v/>
      </c>
      <c r="P1217" s="51" t="str">
        <f t="shared" si="1218"/>
        <v/>
      </c>
      <c r="Q1217" s="51" t="str">
        <f t="shared" si="1218"/>
        <v/>
      </c>
      <c r="R1217" s="51" t="str">
        <f t="shared" si="1218"/>
        <v/>
      </c>
      <c r="S1217" s="51" t="str">
        <f t="shared" si="1218"/>
        <v/>
      </c>
      <c r="T1217" s="51" t="str">
        <f t="shared" si="1218"/>
        <v/>
      </c>
      <c r="U1217" s="52"/>
      <c r="V1217" s="52"/>
      <c r="W1217" s="52"/>
      <c r="X1217" s="52"/>
      <c r="Y1217" s="52"/>
      <c r="Z1217" s="52"/>
      <c r="AA1217" s="52"/>
      <c r="AB1217" s="52"/>
      <c r="AC1217" s="52"/>
      <c r="AD1217" s="52"/>
      <c r="AE1217" s="52"/>
      <c r="AF1217" s="52"/>
      <c r="AG1217" s="52"/>
      <c r="AH1217" s="52"/>
      <c r="AI1217" s="52"/>
      <c r="AJ1217" s="52"/>
      <c r="AK1217" s="52"/>
      <c r="AL1217" s="52"/>
      <c r="AM1217" s="52"/>
      <c r="AN1217" s="52"/>
      <c r="AO1217" s="52"/>
      <c r="AP1217" s="52"/>
      <c r="AQ1217" s="52"/>
      <c r="AR1217" s="52"/>
      <c r="AS1217" s="52"/>
      <c r="AT1217" s="52"/>
      <c r="AU1217" s="52"/>
      <c r="AV1217" s="52"/>
      <c r="AW1217" s="52"/>
      <c r="AX1217" s="52"/>
      <c r="AY1217" s="52"/>
      <c r="AZ1217" s="52"/>
      <c r="BA1217" s="52"/>
      <c r="BB1217" s="52"/>
      <c r="BC1217" s="52"/>
      <c r="BD1217" s="52"/>
      <c r="BE1217" s="52"/>
      <c r="BF1217" s="52"/>
      <c r="BG1217" s="52"/>
      <c r="BH1217" s="52"/>
      <c r="BI1217" s="52"/>
      <c r="BJ1217" s="52"/>
      <c r="BK1217" s="52"/>
      <c r="BL1217" s="52"/>
      <c r="BM1217" s="52"/>
      <c r="BN1217" s="52"/>
      <c r="BO1217" s="52"/>
    </row>
    <row r="1218">
      <c r="B1218" s="49"/>
      <c r="C1218" s="49" t="str">
        <f t="shared" si="2"/>
        <v/>
      </c>
      <c r="D1218" s="50" t="str">
        <f t="shared" si="3"/>
        <v/>
      </c>
      <c r="E1218" s="51" t="str">
        <f t="shared" ref="E1218:T1218" si="1219">IFERROR(VLOOKUP($A1218,INDIRECT("'" &amp; E$1 &amp; "'!$C:$G"), 5, FALSE),"")</f>
        <v/>
      </c>
      <c r="F1218" s="51" t="str">
        <f t="shared" si="1219"/>
        <v/>
      </c>
      <c r="G1218" s="51" t="str">
        <f t="shared" si="1219"/>
        <v/>
      </c>
      <c r="H1218" s="51" t="str">
        <f t="shared" si="1219"/>
        <v/>
      </c>
      <c r="I1218" s="51" t="str">
        <f t="shared" si="1219"/>
        <v/>
      </c>
      <c r="J1218" s="51" t="str">
        <f t="shared" si="1219"/>
        <v/>
      </c>
      <c r="K1218" s="51" t="str">
        <f t="shared" si="1219"/>
        <v/>
      </c>
      <c r="L1218" s="51" t="str">
        <f t="shared" si="1219"/>
        <v/>
      </c>
      <c r="M1218" s="51" t="str">
        <f t="shared" si="1219"/>
        <v/>
      </c>
      <c r="N1218" s="51" t="str">
        <f t="shared" si="1219"/>
        <v/>
      </c>
      <c r="O1218" s="51" t="str">
        <f t="shared" si="1219"/>
        <v/>
      </c>
      <c r="P1218" s="51" t="str">
        <f t="shared" si="1219"/>
        <v/>
      </c>
      <c r="Q1218" s="51" t="str">
        <f t="shared" si="1219"/>
        <v/>
      </c>
      <c r="R1218" s="51" t="str">
        <f t="shared" si="1219"/>
        <v/>
      </c>
      <c r="S1218" s="51" t="str">
        <f t="shared" si="1219"/>
        <v/>
      </c>
      <c r="T1218" s="51" t="str">
        <f t="shared" si="1219"/>
        <v/>
      </c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  <c r="AH1218" s="52"/>
      <c r="AI1218" s="52"/>
      <c r="AJ1218" s="52"/>
      <c r="AK1218" s="52"/>
      <c r="AL1218" s="52"/>
      <c r="AM1218" s="52"/>
      <c r="AN1218" s="52"/>
      <c r="AO1218" s="52"/>
      <c r="AP1218" s="52"/>
      <c r="AQ1218" s="52"/>
      <c r="AR1218" s="52"/>
      <c r="AS1218" s="52"/>
      <c r="AT1218" s="52"/>
      <c r="AU1218" s="52"/>
      <c r="AV1218" s="52"/>
      <c r="AW1218" s="52"/>
      <c r="AX1218" s="52"/>
      <c r="AY1218" s="52"/>
      <c r="AZ1218" s="52"/>
      <c r="BA1218" s="52"/>
      <c r="BB1218" s="52"/>
      <c r="BC1218" s="52"/>
      <c r="BD1218" s="52"/>
      <c r="BE1218" s="52"/>
      <c r="BF1218" s="52"/>
      <c r="BG1218" s="52"/>
      <c r="BH1218" s="52"/>
      <c r="BI1218" s="52"/>
      <c r="BJ1218" s="52"/>
      <c r="BK1218" s="52"/>
      <c r="BL1218" s="52"/>
      <c r="BM1218" s="52"/>
      <c r="BN1218" s="52"/>
      <c r="BO1218" s="52"/>
    </row>
    <row r="1219">
      <c r="B1219" s="49"/>
      <c r="C1219" s="49" t="str">
        <f t="shared" si="2"/>
        <v/>
      </c>
      <c r="D1219" s="50" t="str">
        <f t="shared" si="3"/>
        <v/>
      </c>
      <c r="E1219" s="51" t="str">
        <f t="shared" ref="E1219:T1219" si="1220">IFERROR(VLOOKUP($A1219,INDIRECT("'" &amp; E$1 &amp; "'!$C:$G"), 5, FALSE),"")</f>
        <v/>
      </c>
      <c r="F1219" s="51" t="str">
        <f t="shared" si="1220"/>
        <v/>
      </c>
      <c r="G1219" s="51" t="str">
        <f t="shared" si="1220"/>
        <v/>
      </c>
      <c r="H1219" s="51" t="str">
        <f t="shared" si="1220"/>
        <v/>
      </c>
      <c r="I1219" s="51" t="str">
        <f t="shared" si="1220"/>
        <v/>
      </c>
      <c r="J1219" s="51" t="str">
        <f t="shared" si="1220"/>
        <v/>
      </c>
      <c r="K1219" s="51" t="str">
        <f t="shared" si="1220"/>
        <v/>
      </c>
      <c r="L1219" s="51" t="str">
        <f t="shared" si="1220"/>
        <v/>
      </c>
      <c r="M1219" s="51" t="str">
        <f t="shared" si="1220"/>
        <v/>
      </c>
      <c r="N1219" s="51" t="str">
        <f t="shared" si="1220"/>
        <v/>
      </c>
      <c r="O1219" s="51" t="str">
        <f t="shared" si="1220"/>
        <v/>
      </c>
      <c r="P1219" s="51" t="str">
        <f t="shared" si="1220"/>
        <v/>
      </c>
      <c r="Q1219" s="51" t="str">
        <f t="shared" si="1220"/>
        <v/>
      </c>
      <c r="R1219" s="51" t="str">
        <f t="shared" si="1220"/>
        <v/>
      </c>
      <c r="S1219" s="51" t="str">
        <f t="shared" si="1220"/>
        <v/>
      </c>
      <c r="T1219" s="51" t="str">
        <f t="shared" si="1220"/>
        <v/>
      </c>
      <c r="U1219" s="52"/>
      <c r="V1219" s="52"/>
      <c r="W1219" s="52"/>
      <c r="X1219" s="52"/>
      <c r="Y1219" s="52"/>
      <c r="Z1219" s="52"/>
      <c r="AA1219" s="52"/>
      <c r="AB1219" s="52"/>
      <c r="AC1219" s="52"/>
      <c r="AD1219" s="52"/>
      <c r="AE1219" s="52"/>
      <c r="AF1219" s="52"/>
      <c r="AG1219" s="52"/>
      <c r="AH1219" s="52"/>
      <c r="AI1219" s="52"/>
      <c r="AJ1219" s="52"/>
      <c r="AK1219" s="52"/>
      <c r="AL1219" s="52"/>
      <c r="AM1219" s="52"/>
      <c r="AN1219" s="52"/>
      <c r="AO1219" s="52"/>
      <c r="AP1219" s="52"/>
      <c r="AQ1219" s="52"/>
      <c r="AR1219" s="52"/>
      <c r="AS1219" s="52"/>
      <c r="AT1219" s="52"/>
      <c r="AU1219" s="52"/>
      <c r="AV1219" s="52"/>
      <c r="AW1219" s="52"/>
      <c r="AX1219" s="52"/>
      <c r="AY1219" s="52"/>
      <c r="AZ1219" s="52"/>
      <c r="BA1219" s="52"/>
      <c r="BB1219" s="52"/>
      <c r="BC1219" s="52"/>
      <c r="BD1219" s="52"/>
      <c r="BE1219" s="52"/>
      <c r="BF1219" s="52"/>
      <c r="BG1219" s="52"/>
      <c r="BH1219" s="52"/>
      <c r="BI1219" s="52"/>
      <c r="BJ1219" s="52"/>
      <c r="BK1219" s="52"/>
      <c r="BL1219" s="52"/>
      <c r="BM1219" s="52"/>
      <c r="BN1219" s="52"/>
      <c r="BO1219" s="52"/>
    </row>
    <row r="1220">
      <c r="B1220" s="49"/>
      <c r="C1220" s="49" t="str">
        <f t="shared" si="2"/>
        <v/>
      </c>
      <c r="D1220" s="50" t="str">
        <f t="shared" si="3"/>
        <v/>
      </c>
      <c r="E1220" s="51" t="str">
        <f t="shared" ref="E1220:T1220" si="1221">IFERROR(VLOOKUP($A1220,INDIRECT("'" &amp; E$1 &amp; "'!$C:$G"), 5, FALSE),"")</f>
        <v/>
      </c>
      <c r="F1220" s="51" t="str">
        <f t="shared" si="1221"/>
        <v/>
      </c>
      <c r="G1220" s="51" t="str">
        <f t="shared" si="1221"/>
        <v/>
      </c>
      <c r="H1220" s="51" t="str">
        <f t="shared" si="1221"/>
        <v/>
      </c>
      <c r="I1220" s="51" t="str">
        <f t="shared" si="1221"/>
        <v/>
      </c>
      <c r="J1220" s="51" t="str">
        <f t="shared" si="1221"/>
        <v/>
      </c>
      <c r="K1220" s="51" t="str">
        <f t="shared" si="1221"/>
        <v/>
      </c>
      <c r="L1220" s="51" t="str">
        <f t="shared" si="1221"/>
        <v/>
      </c>
      <c r="M1220" s="51" t="str">
        <f t="shared" si="1221"/>
        <v/>
      </c>
      <c r="N1220" s="51" t="str">
        <f t="shared" si="1221"/>
        <v/>
      </c>
      <c r="O1220" s="51" t="str">
        <f t="shared" si="1221"/>
        <v/>
      </c>
      <c r="P1220" s="51" t="str">
        <f t="shared" si="1221"/>
        <v/>
      </c>
      <c r="Q1220" s="51" t="str">
        <f t="shared" si="1221"/>
        <v/>
      </c>
      <c r="R1220" s="51" t="str">
        <f t="shared" si="1221"/>
        <v/>
      </c>
      <c r="S1220" s="51" t="str">
        <f t="shared" si="1221"/>
        <v/>
      </c>
      <c r="T1220" s="51" t="str">
        <f t="shared" si="1221"/>
        <v/>
      </c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2"/>
      <c r="AE1220" s="52"/>
      <c r="AF1220" s="52"/>
      <c r="AG1220" s="52"/>
      <c r="AH1220" s="52"/>
      <c r="AI1220" s="52"/>
      <c r="AJ1220" s="52"/>
      <c r="AK1220" s="52"/>
      <c r="AL1220" s="52"/>
      <c r="AM1220" s="52"/>
      <c r="AN1220" s="52"/>
      <c r="AO1220" s="52"/>
      <c r="AP1220" s="52"/>
      <c r="AQ1220" s="52"/>
      <c r="AR1220" s="52"/>
      <c r="AS1220" s="52"/>
      <c r="AT1220" s="52"/>
      <c r="AU1220" s="52"/>
      <c r="AV1220" s="52"/>
      <c r="AW1220" s="52"/>
      <c r="AX1220" s="52"/>
      <c r="AY1220" s="52"/>
      <c r="AZ1220" s="52"/>
      <c r="BA1220" s="52"/>
      <c r="BB1220" s="52"/>
      <c r="BC1220" s="52"/>
      <c r="BD1220" s="52"/>
      <c r="BE1220" s="52"/>
      <c r="BF1220" s="52"/>
      <c r="BG1220" s="52"/>
      <c r="BH1220" s="52"/>
      <c r="BI1220" s="52"/>
      <c r="BJ1220" s="52"/>
      <c r="BK1220" s="52"/>
      <c r="BL1220" s="52"/>
      <c r="BM1220" s="52"/>
      <c r="BN1220" s="52"/>
      <c r="BO1220" s="52"/>
    </row>
    <row r="1221">
      <c r="B1221" s="49"/>
      <c r="C1221" s="49" t="str">
        <f t="shared" si="2"/>
        <v/>
      </c>
      <c r="D1221" s="50" t="str">
        <f t="shared" si="3"/>
        <v/>
      </c>
      <c r="E1221" s="51" t="str">
        <f t="shared" ref="E1221:T1221" si="1222">IFERROR(VLOOKUP($A1221,INDIRECT("'" &amp; E$1 &amp; "'!$C:$G"), 5, FALSE),"")</f>
        <v/>
      </c>
      <c r="F1221" s="51" t="str">
        <f t="shared" si="1222"/>
        <v/>
      </c>
      <c r="G1221" s="51" t="str">
        <f t="shared" si="1222"/>
        <v/>
      </c>
      <c r="H1221" s="51" t="str">
        <f t="shared" si="1222"/>
        <v/>
      </c>
      <c r="I1221" s="51" t="str">
        <f t="shared" si="1222"/>
        <v/>
      </c>
      <c r="J1221" s="51" t="str">
        <f t="shared" si="1222"/>
        <v/>
      </c>
      <c r="K1221" s="51" t="str">
        <f t="shared" si="1222"/>
        <v/>
      </c>
      <c r="L1221" s="51" t="str">
        <f t="shared" si="1222"/>
        <v/>
      </c>
      <c r="M1221" s="51" t="str">
        <f t="shared" si="1222"/>
        <v/>
      </c>
      <c r="N1221" s="51" t="str">
        <f t="shared" si="1222"/>
        <v/>
      </c>
      <c r="O1221" s="51" t="str">
        <f t="shared" si="1222"/>
        <v/>
      </c>
      <c r="P1221" s="51" t="str">
        <f t="shared" si="1222"/>
        <v/>
      </c>
      <c r="Q1221" s="51" t="str">
        <f t="shared" si="1222"/>
        <v/>
      </c>
      <c r="R1221" s="51" t="str">
        <f t="shared" si="1222"/>
        <v/>
      </c>
      <c r="S1221" s="51" t="str">
        <f t="shared" si="1222"/>
        <v/>
      </c>
      <c r="T1221" s="51" t="str">
        <f t="shared" si="1222"/>
        <v/>
      </c>
      <c r="U1221" s="52"/>
      <c r="V1221" s="52"/>
      <c r="W1221" s="52"/>
      <c r="X1221" s="52"/>
      <c r="Y1221" s="52"/>
      <c r="Z1221" s="52"/>
      <c r="AA1221" s="52"/>
      <c r="AB1221" s="52"/>
      <c r="AC1221" s="52"/>
      <c r="AD1221" s="52"/>
      <c r="AE1221" s="52"/>
      <c r="AF1221" s="52"/>
      <c r="AG1221" s="52"/>
      <c r="AH1221" s="52"/>
      <c r="AI1221" s="52"/>
      <c r="AJ1221" s="52"/>
      <c r="AK1221" s="52"/>
      <c r="AL1221" s="52"/>
      <c r="AM1221" s="52"/>
      <c r="AN1221" s="52"/>
      <c r="AO1221" s="52"/>
      <c r="AP1221" s="52"/>
      <c r="AQ1221" s="52"/>
      <c r="AR1221" s="52"/>
      <c r="AS1221" s="52"/>
      <c r="AT1221" s="52"/>
      <c r="AU1221" s="52"/>
      <c r="AV1221" s="52"/>
      <c r="AW1221" s="52"/>
      <c r="AX1221" s="52"/>
      <c r="AY1221" s="52"/>
      <c r="AZ1221" s="52"/>
      <c r="BA1221" s="52"/>
      <c r="BB1221" s="52"/>
      <c r="BC1221" s="52"/>
      <c r="BD1221" s="52"/>
      <c r="BE1221" s="52"/>
      <c r="BF1221" s="52"/>
      <c r="BG1221" s="52"/>
      <c r="BH1221" s="52"/>
      <c r="BI1221" s="52"/>
      <c r="BJ1221" s="52"/>
      <c r="BK1221" s="52"/>
      <c r="BL1221" s="52"/>
      <c r="BM1221" s="52"/>
      <c r="BN1221" s="52"/>
      <c r="BO1221" s="52"/>
    </row>
    <row r="1222">
      <c r="B1222" s="49"/>
      <c r="C1222" s="49" t="str">
        <f t="shared" si="2"/>
        <v/>
      </c>
      <c r="D1222" s="50" t="str">
        <f t="shared" si="3"/>
        <v/>
      </c>
      <c r="E1222" s="51" t="str">
        <f t="shared" ref="E1222:T1222" si="1223">IFERROR(VLOOKUP($A1222,INDIRECT("'" &amp; E$1 &amp; "'!$C:$G"), 5, FALSE),"")</f>
        <v/>
      </c>
      <c r="F1222" s="51" t="str">
        <f t="shared" si="1223"/>
        <v/>
      </c>
      <c r="G1222" s="51" t="str">
        <f t="shared" si="1223"/>
        <v/>
      </c>
      <c r="H1222" s="51" t="str">
        <f t="shared" si="1223"/>
        <v/>
      </c>
      <c r="I1222" s="51" t="str">
        <f t="shared" si="1223"/>
        <v/>
      </c>
      <c r="J1222" s="51" t="str">
        <f t="shared" si="1223"/>
        <v/>
      </c>
      <c r="K1222" s="51" t="str">
        <f t="shared" si="1223"/>
        <v/>
      </c>
      <c r="L1222" s="51" t="str">
        <f t="shared" si="1223"/>
        <v/>
      </c>
      <c r="M1222" s="51" t="str">
        <f t="shared" si="1223"/>
        <v/>
      </c>
      <c r="N1222" s="51" t="str">
        <f t="shared" si="1223"/>
        <v/>
      </c>
      <c r="O1222" s="51" t="str">
        <f t="shared" si="1223"/>
        <v/>
      </c>
      <c r="P1222" s="51" t="str">
        <f t="shared" si="1223"/>
        <v/>
      </c>
      <c r="Q1222" s="51" t="str">
        <f t="shared" si="1223"/>
        <v/>
      </c>
      <c r="R1222" s="51" t="str">
        <f t="shared" si="1223"/>
        <v/>
      </c>
      <c r="S1222" s="51" t="str">
        <f t="shared" si="1223"/>
        <v/>
      </c>
      <c r="T1222" s="51" t="str">
        <f t="shared" si="1223"/>
        <v/>
      </c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2"/>
      <c r="AE1222" s="52"/>
      <c r="AF1222" s="52"/>
      <c r="AG1222" s="52"/>
      <c r="AH1222" s="52"/>
      <c r="AI1222" s="52"/>
      <c r="AJ1222" s="52"/>
      <c r="AK1222" s="52"/>
      <c r="AL1222" s="52"/>
      <c r="AM1222" s="52"/>
      <c r="AN1222" s="52"/>
      <c r="AO1222" s="52"/>
      <c r="AP1222" s="52"/>
      <c r="AQ1222" s="52"/>
      <c r="AR1222" s="52"/>
      <c r="AS1222" s="52"/>
      <c r="AT1222" s="52"/>
      <c r="AU1222" s="52"/>
      <c r="AV1222" s="52"/>
      <c r="AW1222" s="52"/>
      <c r="AX1222" s="52"/>
      <c r="AY1222" s="52"/>
      <c r="AZ1222" s="52"/>
      <c r="BA1222" s="52"/>
      <c r="BB1222" s="52"/>
      <c r="BC1222" s="52"/>
      <c r="BD1222" s="52"/>
      <c r="BE1222" s="52"/>
      <c r="BF1222" s="52"/>
      <c r="BG1222" s="52"/>
      <c r="BH1222" s="52"/>
      <c r="BI1222" s="52"/>
      <c r="BJ1222" s="52"/>
      <c r="BK1222" s="52"/>
      <c r="BL1222" s="52"/>
      <c r="BM1222" s="52"/>
      <c r="BN1222" s="52"/>
      <c r="BO1222" s="52"/>
    </row>
    <row r="1223">
      <c r="B1223" s="49"/>
      <c r="C1223" s="49" t="str">
        <f t="shared" si="2"/>
        <v/>
      </c>
      <c r="D1223" s="50" t="str">
        <f t="shared" si="3"/>
        <v/>
      </c>
      <c r="E1223" s="51" t="str">
        <f t="shared" ref="E1223:T1223" si="1224">IFERROR(VLOOKUP($A1223,INDIRECT("'" &amp; E$1 &amp; "'!$C:$G"), 5, FALSE),"")</f>
        <v/>
      </c>
      <c r="F1223" s="51" t="str">
        <f t="shared" si="1224"/>
        <v/>
      </c>
      <c r="G1223" s="51" t="str">
        <f t="shared" si="1224"/>
        <v/>
      </c>
      <c r="H1223" s="51" t="str">
        <f t="shared" si="1224"/>
        <v/>
      </c>
      <c r="I1223" s="51" t="str">
        <f t="shared" si="1224"/>
        <v/>
      </c>
      <c r="J1223" s="51" t="str">
        <f t="shared" si="1224"/>
        <v/>
      </c>
      <c r="K1223" s="51" t="str">
        <f t="shared" si="1224"/>
        <v/>
      </c>
      <c r="L1223" s="51" t="str">
        <f t="shared" si="1224"/>
        <v/>
      </c>
      <c r="M1223" s="51" t="str">
        <f t="shared" si="1224"/>
        <v/>
      </c>
      <c r="N1223" s="51" t="str">
        <f t="shared" si="1224"/>
        <v/>
      </c>
      <c r="O1223" s="51" t="str">
        <f t="shared" si="1224"/>
        <v/>
      </c>
      <c r="P1223" s="51" t="str">
        <f t="shared" si="1224"/>
        <v/>
      </c>
      <c r="Q1223" s="51" t="str">
        <f t="shared" si="1224"/>
        <v/>
      </c>
      <c r="R1223" s="51" t="str">
        <f t="shared" si="1224"/>
        <v/>
      </c>
      <c r="S1223" s="51" t="str">
        <f t="shared" si="1224"/>
        <v/>
      </c>
      <c r="T1223" s="51" t="str">
        <f t="shared" si="1224"/>
        <v/>
      </c>
      <c r="U1223" s="52"/>
      <c r="V1223" s="52"/>
      <c r="W1223" s="52"/>
      <c r="X1223" s="52"/>
      <c r="Y1223" s="52"/>
      <c r="Z1223" s="52"/>
      <c r="AA1223" s="52"/>
      <c r="AB1223" s="52"/>
      <c r="AC1223" s="52"/>
      <c r="AD1223" s="52"/>
      <c r="AE1223" s="52"/>
      <c r="AF1223" s="52"/>
      <c r="AG1223" s="52"/>
      <c r="AH1223" s="52"/>
      <c r="AI1223" s="52"/>
      <c r="AJ1223" s="52"/>
      <c r="AK1223" s="52"/>
      <c r="AL1223" s="52"/>
      <c r="AM1223" s="52"/>
      <c r="AN1223" s="52"/>
      <c r="AO1223" s="52"/>
      <c r="AP1223" s="52"/>
      <c r="AQ1223" s="52"/>
      <c r="AR1223" s="52"/>
      <c r="AS1223" s="52"/>
      <c r="AT1223" s="52"/>
      <c r="AU1223" s="52"/>
      <c r="AV1223" s="52"/>
      <c r="AW1223" s="52"/>
      <c r="AX1223" s="52"/>
      <c r="AY1223" s="52"/>
      <c r="AZ1223" s="52"/>
      <c r="BA1223" s="52"/>
      <c r="BB1223" s="52"/>
      <c r="BC1223" s="52"/>
      <c r="BD1223" s="52"/>
      <c r="BE1223" s="52"/>
      <c r="BF1223" s="52"/>
      <c r="BG1223" s="52"/>
      <c r="BH1223" s="52"/>
      <c r="BI1223" s="52"/>
      <c r="BJ1223" s="52"/>
      <c r="BK1223" s="52"/>
      <c r="BL1223" s="52"/>
      <c r="BM1223" s="52"/>
      <c r="BN1223" s="52"/>
      <c r="BO1223" s="52"/>
    </row>
    <row r="1224">
      <c r="B1224" s="49"/>
      <c r="C1224" s="49" t="str">
        <f t="shared" si="2"/>
        <v/>
      </c>
      <c r="D1224" s="50" t="str">
        <f t="shared" si="3"/>
        <v/>
      </c>
      <c r="E1224" s="51" t="str">
        <f t="shared" ref="E1224:T1224" si="1225">IFERROR(VLOOKUP($A1224,INDIRECT("'" &amp; E$1 &amp; "'!$C:$G"), 5, FALSE),"")</f>
        <v/>
      </c>
      <c r="F1224" s="51" t="str">
        <f t="shared" si="1225"/>
        <v/>
      </c>
      <c r="G1224" s="51" t="str">
        <f t="shared" si="1225"/>
        <v/>
      </c>
      <c r="H1224" s="51" t="str">
        <f t="shared" si="1225"/>
        <v/>
      </c>
      <c r="I1224" s="51" t="str">
        <f t="shared" si="1225"/>
        <v/>
      </c>
      <c r="J1224" s="51" t="str">
        <f t="shared" si="1225"/>
        <v/>
      </c>
      <c r="K1224" s="51" t="str">
        <f t="shared" si="1225"/>
        <v/>
      </c>
      <c r="L1224" s="51" t="str">
        <f t="shared" si="1225"/>
        <v/>
      </c>
      <c r="M1224" s="51" t="str">
        <f t="shared" si="1225"/>
        <v/>
      </c>
      <c r="N1224" s="51" t="str">
        <f t="shared" si="1225"/>
        <v/>
      </c>
      <c r="O1224" s="51" t="str">
        <f t="shared" si="1225"/>
        <v/>
      </c>
      <c r="P1224" s="51" t="str">
        <f t="shared" si="1225"/>
        <v/>
      </c>
      <c r="Q1224" s="51" t="str">
        <f t="shared" si="1225"/>
        <v/>
      </c>
      <c r="R1224" s="51" t="str">
        <f t="shared" si="1225"/>
        <v/>
      </c>
      <c r="S1224" s="51" t="str">
        <f t="shared" si="1225"/>
        <v/>
      </c>
      <c r="T1224" s="51" t="str">
        <f t="shared" si="1225"/>
        <v/>
      </c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2"/>
      <c r="AE1224" s="52"/>
      <c r="AF1224" s="52"/>
      <c r="AG1224" s="52"/>
      <c r="AH1224" s="52"/>
      <c r="AI1224" s="52"/>
      <c r="AJ1224" s="52"/>
      <c r="AK1224" s="52"/>
      <c r="AL1224" s="52"/>
      <c r="AM1224" s="52"/>
      <c r="AN1224" s="52"/>
      <c r="AO1224" s="52"/>
      <c r="AP1224" s="52"/>
      <c r="AQ1224" s="52"/>
      <c r="AR1224" s="52"/>
      <c r="AS1224" s="52"/>
      <c r="AT1224" s="52"/>
      <c r="AU1224" s="52"/>
      <c r="AV1224" s="52"/>
      <c r="AW1224" s="52"/>
      <c r="AX1224" s="52"/>
      <c r="AY1224" s="52"/>
      <c r="AZ1224" s="52"/>
      <c r="BA1224" s="52"/>
      <c r="BB1224" s="52"/>
      <c r="BC1224" s="52"/>
      <c r="BD1224" s="52"/>
      <c r="BE1224" s="52"/>
      <c r="BF1224" s="52"/>
      <c r="BG1224" s="52"/>
      <c r="BH1224" s="52"/>
      <c r="BI1224" s="52"/>
      <c r="BJ1224" s="52"/>
      <c r="BK1224" s="52"/>
      <c r="BL1224" s="52"/>
      <c r="BM1224" s="52"/>
      <c r="BN1224" s="52"/>
      <c r="BO1224" s="52"/>
    </row>
    <row r="1225">
      <c r="B1225" s="49"/>
      <c r="C1225" s="49" t="str">
        <f t="shared" si="2"/>
        <v/>
      </c>
      <c r="D1225" s="50" t="str">
        <f t="shared" si="3"/>
        <v/>
      </c>
      <c r="E1225" s="51" t="str">
        <f t="shared" ref="E1225:T1225" si="1226">IFERROR(VLOOKUP($A1225,INDIRECT("'" &amp; E$1 &amp; "'!$C:$G"), 5, FALSE),"")</f>
        <v/>
      </c>
      <c r="F1225" s="51" t="str">
        <f t="shared" si="1226"/>
        <v/>
      </c>
      <c r="G1225" s="51" t="str">
        <f t="shared" si="1226"/>
        <v/>
      </c>
      <c r="H1225" s="51" t="str">
        <f t="shared" si="1226"/>
        <v/>
      </c>
      <c r="I1225" s="51" t="str">
        <f t="shared" si="1226"/>
        <v/>
      </c>
      <c r="J1225" s="51" t="str">
        <f t="shared" si="1226"/>
        <v/>
      </c>
      <c r="K1225" s="51" t="str">
        <f t="shared" si="1226"/>
        <v/>
      </c>
      <c r="L1225" s="51" t="str">
        <f t="shared" si="1226"/>
        <v/>
      </c>
      <c r="M1225" s="51" t="str">
        <f t="shared" si="1226"/>
        <v/>
      </c>
      <c r="N1225" s="51" t="str">
        <f t="shared" si="1226"/>
        <v/>
      </c>
      <c r="O1225" s="51" t="str">
        <f t="shared" si="1226"/>
        <v/>
      </c>
      <c r="P1225" s="51" t="str">
        <f t="shared" si="1226"/>
        <v/>
      </c>
      <c r="Q1225" s="51" t="str">
        <f t="shared" si="1226"/>
        <v/>
      </c>
      <c r="R1225" s="51" t="str">
        <f t="shared" si="1226"/>
        <v/>
      </c>
      <c r="S1225" s="51" t="str">
        <f t="shared" si="1226"/>
        <v/>
      </c>
      <c r="T1225" s="51" t="str">
        <f t="shared" si="1226"/>
        <v/>
      </c>
      <c r="U1225" s="52"/>
      <c r="V1225" s="52"/>
      <c r="W1225" s="52"/>
      <c r="X1225" s="52"/>
      <c r="Y1225" s="52"/>
      <c r="Z1225" s="52"/>
      <c r="AA1225" s="52"/>
      <c r="AB1225" s="52"/>
      <c r="AC1225" s="52"/>
      <c r="AD1225" s="52"/>
      <c r="AE1225" s="52"/>
      <c r="AF1225" s="52"/>
      <c r="AG1225" s="52"/>
      <c r="AH1225" s="52"/>
      <c r="AI1225" s="52"/>
      <c r="AJ1225" s="52"/>
      <c r="AK1225" s="52"/>
      <c r="AL1225" s="52"/>
      <c r="AM1225" s="52"/>
      <c r="AN1225" s="52"/>
      <c r="AO1225" s="52"/>
      <c r="AP1225" s="52"/>
      <c r="AQ1225" s="52"/>
      <c r="AR1225" s="52"/>
      <c r="AS1225" s="52"/>
      <c r="AT1225" s="52"/>
      <c r="AU1225" s="52"/>
      <c r="AV1225" s="52"/>
      <c r="AW1225" s="52"/>
      <c r="AX1225" s="52"/>
      <c r="AY1225" s="52"/>
      <c r="AZ1225" s="52"/>
      <c r="BA1225" s="52"/>
      <c r="BB1225" s="52"/>
      <c r="BC1225" s="52"/>
      <c r="BD1225" s="52"/>
      <c r="BE1225" s="52"/>
      <c r="BF1225" s="52"/>
      <c r="BG1225" s="52"/>
      <c r="BH1225" s="52"/>
      <c r="BI1225" s="52"/>
      <c r="BJ1225" s="52"/>
      <c r="BK1225" s="52"/>
      <c r="BL1225" s="52"/>
      <c r="BM1225" s="52"/>
      <c r="BN1225" s="52"/>
      <c r="BO1225" s="52"/>
    </row>
    <row r="1226">
      <c r="B1226" s="49"/>
      <c r="C1226" s="49" t="str">
        <f t="shared" si="2"/>
        <v/>
      </c>
      <c r="D1226" s="50" t="str">
        <f t="shared" si="3"/>
        <v/>
      </c>
      <c r="E1226" s="51" t="str">
        <f t="shared" ref="E1226:T1226" si="1227">IFERROR(VLOOKUP($A1226,INDIRECT("'" &amp; E$1 &amp; "'!$C:$G"), 5, FALSE),"")</f>
        <v/>
      </c>
      <c r="F1226" s="51" t="str">
        <f t="shared" si="1227"/>
        <v/>
      </c>
      <c r="G1226" s="51" t="str">
        <f t="shared" si="1227"/>
        <v/>
      </c>
      <c r="H1226" s="51" t="str">
        <f t="shared" si="1227"/>
        <v/>
      </c>
      <c r="I1226" s="51" t="str">
        <f t="shared" si="1227"/>
        <v/>
      </c>
      <c r="J1226" s="51" t="str">
        <f t="shared" si="1227"/>
        <v/>
      </c>
      <c r="K1226" s="51" t="str">
        <f t="shared" si="1227"/>
        <v/>
      </c>
      <c r="L1226" s="51" t="str">
        <f t="shared" si="1227"/>
        <v/>
      </c>
      <c r="M1226" s="51" t="str">
        <f t="shared" si="1227"/>
        <v/>
      </c>
      <c r="N1226" s="51" t="str">
        <f t="shared" si="1227"/>
        <v/>
      </c>
      <c r="O1226" s="51" t="str">
        <f t="shared" si="1227"/>
        <v/>
      </c>
      <c r="P1226" s="51" t="str">
        <f t="shared" si="1227"/>
        <v/>
      </c>
      <c r="Q1226" s="51" t="str">
        <f t="shared" si="1227"/>
        <v/>
      </c>
      <c r="R1226" s="51" t="str">
        <f t="shared" si="1227"/>
        <v/>
      </c>
      <c r="S1226" s="51" t="str">
        <f t="shared" si="1227"/>
        <v/>
      </c>
      <c r="T1226" s="51" t="str">
        <f t="shared" si="1227"/>
        <v/>
      </c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  <c r="AH1226" s="52"/>
      <c r="AI1226" s="52"/>
      <c r="AJ1226" s="52"/>
      <c r="AK1226" s="52"/>
      <c r="AL1226" s="52"/>
      <c r="AM1226" s="52"/>
      <c r="AN1226" s="52"/>
      <c r="AO1226" s="52"/>
      <c r="AP1226" s="52"/>
      <c r="AQ1226" s="52"/>
      <c r="AR1226" s="52"/>
      <c r="AS1226" s="52"/>
      <c r="AT1226" s="52"/>
      <c r="AU1226" s="52"/>
      <c r="AV1226" s="52"/>
      <c r="AW1226" s="52"/>
      <c r="AX1226" s="52"/>
      <c r="AY1226" s="52"/>
      <c r="AZ1226" s="52"/>
      <c r="BA1226" s="52"/>
      <c r="BB1226" s="52"/>
      <c r="BC1226" s="52"/>
      <c r="BD1226" s="52"/>
      <c r="BE1226" s="52"/>
      <c r="BF1226" s="52"/>
      <c r="BG1226" s="52"/>
      <c r="BH1226" s="52"/>
      <c r="BI1226" s="52"/>
      <c r="BJ1226" s="52"/>
      <c r="BK1226" s="52"/>
      <c r="BL1226" s="52"/>
      <c r="BM1226" s="52"/>
      <c r="BN1226" s="52"/>
      <c r="BO1226" s="52"/>
    </row>
    <row r="1227">
      <c r="B1227" s="49"/>
      <c r="C1227" s="49" t="str">
        <f t="shared" si="2"/>
        <v/>
      </c>
      <c r="D1227" s="50" t="str">
        <f t="shared" si="3"/>
        <v/>
      </c>
      <c r="E1227" s="51" t="str">
        <f t="shared" ref="E1227:T1227" si="1228">IFERROR(VLOOKUP($A1227,INDIRECT("'" &amp; E$1 &amp; "'!$C:$G"), 5, FALSE),"")</f>
        <v/>
      </c>
      <c r="F1227" s="51" t="str">
        <f t="shared" si="1228"/>
        <v/>
      </c>
      <c r="G1227" s="51" t="str">
        <f t="shared" si="1228"/>
        <v/>
      </c>
      <c r="H1227" s="51" t="str">
        <f t="shared" si="1228"/>
        <v/>
      </c>
      <c r="I1227" s="51" t="str">
        <f t="shared" si="1228"/>
        <v/>
      </c>
      <c r="J1227" s="51" t="str">
        <f t="shared" si="1228"/>
        <v/>
      </c>
      <c r="K1227" s="51" t="str">
        <f t="shared" si="1228"/>
        <v/>
      </c>
      <c r="L1227" s="51" t="str">
        <f t="shared" si="1228"/>
        <v/>
      </c>
      <c r="M1227" s="51" t="str">
        <f t="shared" si="1228"/>
        <v/>
      </c>
      <c r="N1227" s="51" t="str">
        <f t="shared" si="1228"/>
        <v/>
      </c>
      <c r="O1227" s="51" t="str">
        <f t="shared" si="1228"/>
        <v/>
      </c>
      <c r="P1227" s="51" t="str">
        <f t="shared" si="1228"/>
        <v/>
      </c>
      <c r="Q1227" s="51" t="str">
        <f t="shared" si="1228"/>
        <v/>
      </c>
      <c r="R1227" s="51" t="str">
        <f t="shared" si="1228"/>
        <v/>
      </c>
      <c r="S1227" s="51" t="str">
        <f t="shared" si="1228"/>
        <v/>
      </c>
      <c r="T1227" s="51" t="str">
        <f t="shared" si="1228"/>
        <v/>
      </c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2"/>
      <c r="AE1227" s="52"/>
      <c r="AF1227" s="52"/>
      <c r="AG1227" s="52"/>
      <c r="AH1227" s="52"/>
      <c r="AI1227" s="52"/>
      <c r="AJ1227" s="52"/>
      <c r="AK1227" s="52"/>
      <c r="AL1227" s="52"/>
      <c r="AM1227" s="52"/>
      <c r="AN1227" s="52"/>
      <c r="AO1227" s="52"/>
      <c r="AP1227" s="52"/>
      <c r="AQ1227" s="52"/>
      <c r="AR1227" s="52"/>
      <c r="AS1227" s="52"/>
      <c r="AT1227" s="52"/>
      <c r="AU1227" s="52"/>
      <c r="AV1227" s="52"/>
      <c r="AW1227" s="52"/>
      <c r="AX1227" s="52"/>
      <c r="AY1227" s="52"/>
      <c r="AZ1227" s="52"/>
      <c r="BA1227" s="52"/>
      <c r="BB1227" s="52"/>
      <c r="BC1227" s="52"/>
      <c r="BD1227" s="52"/>
      <c r="BE1227" s="52"/>
      <c r="BF1227" s="52"/>
      <c r="BG1227" s="52"/>
      <c r="BH1227" s="52"/>
      <c r="BI1227" s="52"/>
      <c r="BJ1227" s="52"/>
      <c r="BK1227" s="52"/>
      <c r="BL1227" s="52"/>
      <c r="BM1227" s="52"/>
      <c r="BN1227" s="52"/>
      <c r="BO1227" s="52"/>
    </row>
    <row r="1228">
      <c r="B1228" s="49"/>
      <c r="C1228" s="49" t="str">
        <f t="shared" si="2"/>
        <v/>
      </c>
      <c r="D1228" s="50" t="str">
        <f t="shared" si="3"/>
        <v/>
      </c>
      <c r="E1228" s="51" t="str">
        <f t="shared" ref="E1228:T1228" si="1229">IFERROR(VLOOKUP($A1228,INDIRECT("'" &amp; E$1 &amp; "'!$C:$G"), 5, FALSE),"")</f>
        <v/>
      </c>
      <c r="F1228" s="51" t="str">
        <f t="shared" si="1229"/>
        <v/>
      </c>
      <c r="G1228" s="51" t="str">
        <f t="shared" si="1229"/>
        <v/>
      </c>
      <c r="H1228" s="51" t="str">
        <f t="shared" si="1229"/>
        <v/>
      </c>
      <c r="I1228" s="51" t="str">
        <f t="shared" si="1229"/>
        <v/>
      </c>
      <c r="J1228" s="51" t="str">
        <f t="shared" si="1229"/>
        <v/>
      </c>
      <c r="K1228" s="51" t="str">
        <f t="shared" si="1229"/>
        <v/>
      </c>
      <c r="L1228" s="51" t="str">
        <f t="shared" si="1229"/>
        <v/>
      </c>
      <c r="M1228" s="51" t="str">
        <f t="shared" si="1229"/>
        <v/>
      </c>
      <c r="N1228" s="51" t="str">
        <f t="shared" si="1229"/>
        <v/>
      </c>
      <c r="O1228" s="51" t="str">
        <f t="shared" si="1229"/>
        <v/>
      </c>
      <c r="P1228" s="51" t="str">
        <f t="shared" si="1229"/>
        <v/>
      </c>
      <c r="Q1228" s="51" t="str">
        <f t="shared" si="1229"/>
        <v/>
      </c>
      <c r="R1228" s="51" t="str">
        <f t="shared" si="1229"/>
        <v/>
      </c>
      <c r="S1228" s="51" t="str">
        <f t="shared" si="1229"/>
        <v/>
      </c>
      <c r="T1228" s="51" t="str">
        <f t="shared" si="1229"/>
        <v/>
      </c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2"/>
      <c r="AE1228" s="52"/>
      <c r="AF1228" s="52"/>
      <c r="AG1228" s="52"/>
      <c r="AH1228" s="52"/>
      <c r="AI1228" s="52"/>
      <c r="AJ1228" s="52"/>
      <c r="AK1228" s="52"/>
      <c r="AL1228" s="52"/>
      <c r="AM1228" s="52"/>
      <c r="AN1228" s="52"/>
      <c r="AO1228" s="52"/>
      <c r="AP1228" s="52"/>
      <c r="AQ1228" s="52"/>
      <c r="AR1228" s="52"/>
      <c r="AS1228" s="52"/>
      <c r="AT1228" s="52"/>
      <c r="AU1228" s="52"/>
      <c r="AV1228" s="52"/>
      <c r="AW1228" s="52"/>
      <c r="AX1228" s="52"/>
      <c r="AY1228" s="52"/>
      <c r="AZ1228" s="52"/>
      <c r="BA1228" s="52"/>
      <c r="BB1228" s="52"/>
      <c r="BC1228" s="52"/>
      <c r="BD1228" s="52"/>
      <c r="BE1228" s="52"/>
      <c r="BF1228" s="52"/>
      <c r="BG1228" s="52"/>
      <c r="BH1228" s="52"/>
      <c r="BI1228" s="52"/>
      <c r="BJ1228" s="52"/>
      <c r="BK1228" s="52"/>
      <c r="BL1228" s="52"/>
      <c r="BM1228" s="52"/>
      <c r="BN1228" s="52"/>
      <c r="BO1228" s="52"/>
    </row>
    <row r="1229">
      <c r="B1229" s="49"/>
      <c r="C1229" s="49" t="str">
        <f t="shared" si="2"/>
        <v/>
      </c>
      <c r="D1229" s="50" t="str">
        <f t="shared" si="3"/>
        <v/>
      </c>
      <c r="E1229" s="51" t="str">
        <f t="shared" ref="E1229:T1229" si="1230">IFERROR(VLOOKUP($A1229,INDIRECT("'" &amp; E$1 &amp; "'!$C:$G"), 5, FALSE),"")</f>
        <v/>
      </c>
      <c r="F1229" s="51" t="str">
        <f t="shared" si="1230"/>
        <v/>
      </c>
      <c r="G1229" s="51" t="str">
        <f t="shared" si="1230"/>
        <v/>
      </c>
      <c r="H1229" s="51" t="str">
        <f t="shared" si="1230"/>
        <v/>
      </c>
      <c r="I1229" s="51" t="str">
        <f t="shared" si="1230"/>
        <v/>
      </c>
      <c r="J1229" s="51" t="str">
        <f t="shared" si="1230"/>
        <v/>
      </c>
      <c r="K1229" s="51" t="str">
        <f t="shared" si="1230"/>
        <v/>
      </c>
      <c r="L1229" s="51" t="str">
        <f t="shared" si="1230"/>
        <v/>
      </c>
      <c r="M1229" s="51" t="str">
        <f t="shared" si="1230"/>
        <v/>
      </c>
      <c r="N1229" s="51" t="str">
        <f t="shared" si="1230"/>
        <v/>
      </c>
      <c r="O1229" s="51" t="str">
        <f t="shared" si="1230"/>
        <v/>
      </c>
      <c r="P1229" s="51" t="str">
        <f t="shared" si="1230"/>
        <v/>
      </c>
      <c r="Q1229" s="51" t="str">
        <f t="shared" si="1230"/>
        <v/>
      </c>
      <c r="R1229" s="51" t="str">
        <f t="shared" si="1230"/>
        <v/>
      </c>
      <c r="S1229" s="51" t="str">
        <f t="shared" si="1230"/>
        <v/>
      </c>
      <c r="T1229" s="51" t="str">
        <f t="shared" si="1230"/>
        <v/>
      </c>
      <c r="U1229" s="52"/>
      <c r="V1229" s="52"/>
      <c r="W1229" s="52"/>
      <c r="X1229" s="52"/>
      <c r="Y1229" s="52"/>
      <c r="Z1229" s="52"/>
      <c r="AA1229" s="52"/>
      <c r="AB1229" s="52"/>
      <c r="AC1229" s="52"/>
      <c r="AD1229" s="52"/>
      <c r="AE1229" s="52"/>
      <c r="AF1229" s="52"/>
      <c r="AG1229" s="52"/>
      <c r="AH1229" s="52"/>
      <c r="AI1229" s="52"/>
      <c r="AJ1229" s="52"/>
      <c r="AK1229" s="52"/>
      <c r="AL1229" s="52"/>
      <c r="AM1229" s="52"/>
      <c r="AN1229" s="52"/>
      <c r="AO1229" s="52"/>
      <c r="AP1229" s="52"/>
      <c r="AQ1229" s="52"/>
      <c r="AR1229" s="52"/>
      <c r="AS1229" s="52"/>
      <c r="AT1229" s="52"/>
      <c r="AU1229" s="52"/>
      <c r="AV1229" s="52"/>
      <c r="AW1229" s="52"/>
      <c r="AX1229" s="52"/>
      <c r="AY1229" s="52"/>
      <c r="AZ1229" s="52"/>
      <c r="BA1229" s="52"/>
      <c r="BB1229" s="52"/>
      <c r="BC1229" s="52"/>
      <c r="BD1229" s="52"/>
      <c r="BE1229" s="52"/>
      <c r="BF1229" s="52"/>
      <c r="BG1229" s="52"/>
      <c r="BH1229" s="52"/>
      <c r="BI1229" s="52"/>
      <c r="BJ1229" s="52"/>
      <c r="BK1229" s="52"/>
      <c r="BL1229" s="52"/>
      <c r="BM1229" s="52"/>
      <c r="BN1229" s="52"/>
      <c r="BO1229" s="52"/>
    </row>
    <row r="1230">
      <c r="B1230" s="49"/>
      <c r="C1230" s="49" t="str">
        <f t="shared" si="2"/>
        <v/>
      </c>
      <c r="D1230" s="50" t="str">
        <f t="shared" si="3"/>
        <v/>
      </c>
      <c r="E1230" s="51" t="str">
        <f t="shared" ref="E1230:T1230" si="1231">IFERROR(VLOOKUP($A1230,INDIRECT("'" &amp; E$1 &amp; "'!$C:$G"), 5, FALSE),"")</f>
        <v/>
      </c>
      <c r="F1230" s="51" t="str">
        <f t="shared" si="1231"/>
        <v/>
      </c>
      <c r="G1230" s="51" t="str">
        <f t="shared" si="1231"/>
        <v/>
      </c>
      <c r="H1230" s="51" t="str">
        <f t="shared" si="1231"/>
        <v/>
      </c>
      <c r="I1230" s="51" t="str">
        <f t="shared" si="1231"/>
        <v/>
      </c>
      <c r="J1230" s="51" t="str">
        <f t="shared" si="1231"/>
        <v/>
      </c>
      <c r="K1230" s="51" t="str">
        <f t="shared" si="1231"/>
        <v/>
      </c>
      <c r="L1230" s="51" t="str">
        <f t="shared" si="1231"/>
        <v/>
      </c>
      <c r="M1230" s="51" t="str">
        <f t="shared" si="1231"/>
        <v/>
      </c>
      <c r="N1230" s="51" t="str">
        <f t="shared" si="1231"/>
        <v/>
      </c>
      <c r="O1230" s="51" t="str">
        <f t="shared" si="1231"/>
        <v/>
      </c>
      <c r="P1230" s="51" t="str">
        <f t="shared" si="1231"/>
        <v/>
      </c>
      <c r="Q1230" s="51" t="str">
        <f t="shared" si="1231"/>
        <v/>
      </c>
      <c r="R1230" s="51" t="str">
        <f t="shared" si="1231"/>
        <v/>
      </c>
      <c r="S1230" s="51" t="str">
        <f t="shared" si="1231"/>
        <v/>
      </c>
      <c r="T1230" s="51" t="str">
        <f t="shared" si="1231"/>
        <v/>
      </c>
      <c r="U1230" s="52"/>
      <c r="V1230" s="52"/>
      <c r="W1230" s="52"/>
      <c r="X1230" s="52"/>
      <c r="Y1230" s="52"/>
      <c r="Z1230" s="52"/>
      <c r="AA1230" s="52"/>
      <c r="AB1230" s="52"/>
      <c r="AC1230" s="52"/>
      <c r="AD1230" s="52"/>
      <c r="AE1230" s="52"/>
      <c r="AF1230" s="52"/>
      <c r="AG1230" s="52"/>
      <c r="AH1230" s="52"/>
      <c r="AI1230" s="52"/>
      <c r="AJ1230" s="52"/>
      <c r="AK1230" s="52"/>
      <c r="AL1230" s="52"/>
      <c r="AM1230" s="52"/>
      <c r="AN1230" s="52"/>
      <c r="AO1230" s="52"/>
      <c r="AP1230" s="52"/>
      <c r="AQ1230" s="52"/>
      <c r="AR1230" s="52"/>
      <c r="AS1230" s="52"/>
      <c r="AT1230" s="52"/>
      <c r="AU1230" s="52"/>
      <c r="AV1230" s="52"/>
      <c r="AW1230" s="52"/>
      <c r="AX1230" s="52"/>
      <c r="AY1230" s="52"/>
      <c r="AZ1230" s="52"/>
      <c r="BA1230" s="52"/>
      <c r="BB1230" s="52"/>
      <c r="BC1230" s="52"/>
      <c r="BD1230" s="52"/>
      <c r="BE1230" s="52"/>
      <c r="BF1230" s="52"/>
      <c r="BG1230" s="52"/>
      <c r="BH1230" s="52"/>
      <c r="BI1230" s="52"/>
      <c r="BJ1230" s="52"/>
      <c r="BK1230" s="52"/>
      <c r="BL1230" s="52"/>
      <c r="BM1230" s="52"/>
      <c r="BN1230" s="52"/>
      <c r="BO1230" s="52"/>
    </row>
    <row r="1231">
      <c r="B1231" s="49"/>
      <c r="C1231" s="49" t="str">
        <f t="shared" si="2"/>
        <v/>
      </c>
      <c r="D1231" s="50" t="str">
        <f t="shared" si="3"/>
        <v/>
      </c>
      <c r="E1231" s="51" t="str">
        <f t="shared" ref="E1231:T1231" si="1232">IFERROR(VLOOKUP($A1231,INDIRECT("'" &amp; E$1 &amp; "'!$C:$G"), 5, FALSE),"")</f>
        <v/>
      </c>
      <c r="F1231" s="51" t="str">
        <f t="shared" si="1232"/>
        <v/>
      </c>
      <c r="G1231" s="51" t="str">
        <f t="shared" si="1232"/>
        <v/>
      </c>
      <c r="H1231" s="51" t="str">
        <f t="shared" si="1232"/>
        <v/>
      </c>
      <c r="I1231" s="51" t="str">
        <f t="shared" si="1232"/>
        <v/>
      </c>
      <c r="J1231" s="51" t="str">
        <f t="shared" si="1232"/>
        <v/>
      </c>
      <c r="K1231" s="51" t="str">
        <f t="shared" si="1232"/>
        <v/>
      </c>
      <c r="L1231" s="51" t="str">
        <f t="shared" si="1232"/>
        <v/>
      </c>
      <c r="M1231" s="51" t="str">
        <f t="shared" si="1232"/>
        <v/>
      </c>
      <c r="N1231" s="51" t="str">
        <f t="shared" si="1232"/>
        <v/>
      </c>
      <c r="O1231" s="51" t="str">
        <f t="shared" si="1232"/>
        <v/>
      </c>
      <c r="P1231" s="51" t="str">
        <f t="shared" si="1232"/>
        <v/>
      </c>
      <c r="Q1231" s="51" t="str">
        <f t="shared" si="1232"/>
        <v/>
      </c>
      <c r="R1231" s="51" t="str">
        <f t="shared" si="1232"/>
        <v/>
      </c>
      <c r="S1231" s="51" t="str">
        <f t="shared" si="1232"/>
        <v/>
      </c>
      <c r="T1231" s="51" t="str">
        <f t="shared" si="1232"/>
        <v/>
      </c>
      <c r="U1231" s="52"/>
      <c r="V1231" s="52"/>
      <c r="W1231" s="52"/>
      <c r="X1231" s="52"/>
      <c r="Y1231" s="52"/>
      <c r="Z1231" s="52"/>
      <c r="AA1231" s="52"/>
      <c r="AB1231" s="52"/>
      <c r="AC1231" s="52"/>
      <c r="AD1231" s="52"/>
      <c r="AE1231" s="52"/>
      <c r="AF1231" s="52"/>
      <c r="AG1231" s="52"/>
      <c r="AH1231" s="52"/>
      <c r="AI1231" s="52"/>
      <c r="AJ1231" s="52"/>
      <c r="AK1231" s="52"/>
      <c r="AL1231" s="52"/>
      <c r="AM1231" s="52"/>
      <c r="AN1231" s="52"/>
      <c r="AO1231" s="52"/>
      <c r="AP1231" s="52"/>
      <c r="AQ1231" s="52"/>
      <c r="AR1231" s="52"/>
      <c r="AS1231" s="52"/>
      <c r="AT1231" s="52"/>
      <c r="AU1231" s="52"/>
      <c r="AV1231" s="52"/>
      <c r="AW1231" s="52"/>
      <c r="AX1231" s="52"/>
      <c r="AY1231" s="52"/>
      <c r="AZ1231" s="52"/>
      <c r="BA1231" s="52"/>
      <c r="BB1231" s="52"/>
      <c r="BC1231" s="52"/>
      <c r="BD1231" s="52"/>
      <c r="BE1231" s="52"/>
      <c r="BF1231" s="52"/>
      <c r="BG1231" s="52"/>
      <c r="BH1231" s="52"/>
      <c r="BI1231" s="52"/>
      <c r="BJ1231" s="52"/>
      <c r="BK1231" s="52"/>
      <c r="BL1231" s="52"/>
      <c r="BM1231" s="52"/>
      <c r="BN1231" s="52"/>
      <c r="BO1231" s="52"/>
    </row>
    <row r="1232">
      <c r="B1232" s="49"/>
      <c r="C1232" s="49" t="str">
        <f t="shared" si="2"/>
        <v/>
      </c>
      <c r="D1232" s="50" t="str">
        <f t="shared" si="3"/>
        <v/>
      </c>
      <c r="E1232" s="51" t="str">
        <f t="shared" ref="E1232:T1232" si="1233">IFERROR(VLOOKUP($A1232,INDIRECT("'" &amp; E$1 &amp; "'!$C:$G"), 5, FALSE),"")</f>
        <v/>
      </c>
      <c r="F1232" s="51" t="str">
        <f t="shared" si="1233"/>
        <v/>
      </c>
      <c r="G1232" s="51" t="str">
        <f t="shared" si="1233"/>
        <v/>
      </c>
      <c r="H1232" s="51" t="str">
        <f t="shared" si="1233"/>
        <v/>
      </c>
      <c r="I1232" s="51" t="str">
        <f t="shared" si="1233"/>
        <v/>
      </c>
      <c r="J1232" s="51" t="str">
        <f t="shared" si="1233"/>
        <v/>
      </c>
      <c r="K1232" s="51" t="str">
        <f t="shared" si="1233"/>
        <v/>
      </c>
      <c r="L1232" s="51" t="str">
        <f t="shared" si="1233"/>
        <v/>
      </c>
      <c r="M1232" s="51" t="str">
        <f t="shared" si="1233"/>
        <v/>
      </c>
      <c r="N1232" s="51" t="str">
        <f t="shared" si="1233"/>
        <v/>
      </c>
      <c r="O1232" s="51" t="str">
        <f t="shared" si="1233"/>
        <v/>
      </c>
      <c r="P1232" s="51" t="str">
        <f t="shared" si="1233"/>
        <v/>
      </c>
      <c r="Q1232" s="51" t="str">
        <f t="shared" si="1233"/>
        <v/>
      </c>
      <c r="R1232" s="51" t="str">
        <f t="shared" si="1233"/>
        <v/>
      </c>
      <c r="S1232" s="51" t="str">
        <f t="shared" si="1233"/>
        <v/>
      </c>
      <c r="T1232" s="51" t="str">
        <f t="shared" si="1233"/>
        <v/>
      </c>
      <c r="U1232" s="52"/>
      <c r="V1232" s="52"/>
      <c r="W1232" s="52"/>
      <c r="X1232" s="52"/>
      <c r="Y1232" s="52"/>
      <c r="Z1232" s="52"/>
      <c r="AA1232" s="52"/>
      <c r="AB1232" s="52"/>
      <c r="AC1232" s="52"/>
      <c r="AD1232" s="52"/>
      <c r="AE1232" s="52"/>
      <c r="AF1232" s="52"/>
      <c r="AG1232" s="52"/>
      <c r="AH1232" s="52"/>
      <c r="AI1232" s="52"/>
      <c r="AJ1232" s="52"/>
      <c r="AK1232" s="52"/>
      <c r="AL1232" s="52"/>
      <c r="AM1232" s="52"/>
      <c r="AN1232" s="52"/>
      <c r="AO1232" s="52"/>
      <c r="AP1232" s="52"/>
      <c r="AQ1232" s="52"/>
      <c r="AR1232" s="52"/>
      <c r="AS1232" s="52"/>
      <c r="AT1232" s="52"/>
      <c r="AU1232" s="52"/>
      <c r="AV1232" s="52"/>
      <c r="AW1232" s="52"/>
      <c r="AX1232" s="52"/>
      <c r="AY1232" s="52"/>
      <c r="AZ1232" s="52"/>
      <c r="BA1232" s="52"/>
      <c r="BB1232" s="52"/>
      <c r="BC1232" s="52"/>
      <c r="BD1232" s="52"/>
      <c r="BE1232" s="52"/>
      <c r="BF1232" s="52"/>
      <c r="BG1232" s="52"/>
      <c r="BH1232" s="52"/>
      <c r="BI1232" s="52"/>
      <c r="BJ1232" s="52"/>
      <c r="BK1232" s="52"/>
      <c r="BL1232" s="52"/>
      <c r="BM1232" s="52"/>
      <c r="BN1232" s="52"/>
      <c r="BO1232" s="52"/>
    </row>
    <row r="1233">
      <c r="B1233" s="49"/>
      <c r="C1233" s="49" t="str">
        <f t="shared" si="2"/>
        <v/>
      </c>
      <c r="D1233" s="50" t="str">
        <f t="shared" si="3"/>
        <v/>
      </c>
      <c r="E1233" s="51" t="str">
        <f t="shared" ref="E1233:T1233" si="1234">IFERROR(VLOOKUP($A1233,INDIRECT("'" &amp; E$1 &amp; "'!$C:$G"), 5, FALSE),"")</f>
        <v/>
      </c>
      <c r="F1233" s="51" t="str">
        <f t="shared" si="1234"/>
        <v/>
      </c>
      <c r="G1233" s="51" t="str">
        <f t="shared" si="1234"/>
        <v/>
      </c>
      <c r="H1233" s="51" t="str">
        <f t="shared" si="1234"/>
        <v/>
      </c>
      <c r="I1233" s="51" t="str">
        <f t="shared" si="1234"/>
        <v/>
      </c>
      <c r="J1233" s="51" t="str">
        <f t="shared" si="1234"/>
        <v/>
      </c>
      <c r="K1233" s="51" t="str">
        <f t="shared" si="1234"/>
        <v/>
      </c>
      <c r="L1233" s="51" t="str">
        <f t="shared" si="1234"/>
        <v/>
      </c>
      <c r="M1233" s="51" t="str">
        <f t="shared" si="1234"/>
        <v/>
      </c>
      <c r="N1233" s="51" t="str">
        <f t="shared" si="1234"/>
        <v/>
      </c>
      <c r="O1233" s="51" t="str">
        <f t="shared" si="1234"/>
        <v/>
      </c>
      <c r="P1233" s="51" t="str">
        <f t="shared" si="1234"/>
        <v/>
      </c>
      <c r="Q1233" s="51" t="str">
        <f t="shared" si="1234"/>
        <v/>
      </c>
      <c r="R1233" s="51" t="str">
        <f t="shared" si="1234"/>
        <v/>
      </c>
      <c r="S1233" s="51" t="str">
        <f t="shared" si="1234"/>
        <v/>
      </c>
      <c r="T1233" s="51" t="str">
        <f t="shared" si="1234"/>
        <v/>
      </c>
      <c r="U1233" s="52"/>
      <c r="V1233" s="52"/>
      <c r="W1233" s="52"/>
      <c r="X1233" s="52"/>
      <c r="Y1233" s="52"/>
      <c r="Z1233" s="52"/>
      <c r="AA1233" s="52"/>
      <c r="AB1233" s="52"/>
      <c r="AC1233" s="52"/>
      <c r="AD1233" s="52"/>
      <c r="AE1233" s="52"/>
      <c r="AF1233" s="52"/>
      <c r="AG1233" s="52"/>
      <c r="AH1233" s="52"/>
      <c r="AI1233" s="52"/>
      <c r="AJ1233" s="52"/>
      <c r="AK1233" s="52"/>
      <c r="AL1233" s="52"/>
      <c r="AM1233" s="52"/>
      <c r="AN1233" s="52"/>
      <c r="AO1233" s="52"/>
      <c r="AP1233" s="52"/>
      <c r="AQ1233" s="52"/>
      <c r="AR1233" s="52"/>
      <c r="AS1233" s="52"/>
      <c r="AT1233" s="52"/>
      <c r="AU1233" s="52"/>
      <c r="AV1233" s="52"/>
      <c r="AW1233" s="52"/>
      <c r="AX1233" s="52"/>
      <c r="AY1233" s="52"/>
      <c r="AZ1233" s="52"/>
      <c r="BA1233" s="52"/>
      <c r="BB1233" s="52"/>
      <c r="BC1233" s="52"/>
      <c r="BD1233" s="52"/>
      <c r="BE1233" s="52"/>
      <c r="BF1233" s="52"/>
      <c r="BG1233" s="52"/>
      <c r="BH1233" s="52"/>
      <c r="BI1233" s="52"/>
      <c r="BJ1233" s="52"/>
      <c r="BK1233" s="52"/>
      <c r="BL1233" s="52"/>
      <c r="BM1233" s="52"/>
      <c r="BN1233" s="52"/>
      <c r="BO1233" s="52"/>
    </row>
    <row r="1234">
      <c r="B1234" s="49"/>
      <c r="C1234" s="49" t="str">
        <f t="shared" si="2"/>
        <v/>
      </c>
      <c r="D1234" s="50" t="str">
        <f t="shared" si="3"/>
        <v/>
      </c>
      <c r="E1234" s="51" t="str">
        <f t="shared" ref="E1234:T1234" si="1235">IFERROR(VLOOKUP($A1234,INDIRECT("'" &amp; E$1 &amp; "'!$C:$G"), 5, FALSE),"")</f>
        <v/>
      </c>
      <c r="F1234" s="51" t="str">
        <f t="shared" si="1235"/>
        <v/>
      </c>
      <c r="G1234" s="51" t="str">
        <f t="shared" si="1235"/>
        <v/>
      </c>
      <c r="H1234" s="51" t="str">
        <f t="shared" si="1235"/>
        <v/>
      </c>
      <c r="I1234" s="51" t="str">
        <f t="shared" si="1235"/>
        <v/>
      </c>
      <c r="J1234" s="51" t="str">
        <f t="shared" si="1235"/>
        <v/>
      </c>
      <c r="K1234" s="51" t="str">
        <f t="shared" si="1235"/>
        <v/>
      </c>
      <c r="L1234" s="51" t="str">
        <f t="shared" si="1235"/>
        <v/>
      </c>
      <c r="M1234" s="51" t="str">
        <f t="shared" si="1235"/>
        <v/>
      </c>
      <c r="N1234" s="51" t="str">
        <f t="shared" si="1235"/>
        <v/>
      </c>
      <c r="O1234" s="51" t="str">
        <f t="shared" si="1235"/>
        <v/>
      </c>
      <c r="P1234" s="51" t="str">
        <f t="shared" si="1235"/>
        <v/>
      </c>
      <c r="Q1234" s="51" t="str">
        <f t="shared" si="1235"/>
        <v/>
      </c>
      <c r="R1234" s="51" t="str">
        <f t="shared" si="1235"/>
        <v/>
      </c>
      <c r="S1234" s="51" t="str">
        <f t="shared" si="1235"/>
        <v/>
      </c>
      <c r="T1234" s="51" t="str">
        <f t="shared" si="1235"/>
        <v/>
      </c>
      <c r="U1234" s="52"/>
      <c r="V1234" s="52"/>
      <c r="W1234" s="52"/>
      <c r="X1234" s="52"/>
      <c r="Y1234" s="52"/>
      <c r="Z1234" s="52"/>
      <c r="AA1234" s="52"/>
      <c r="AB1234" s="52"/>
      <c r="AC1234" s="52"/>
      <c r="AD1234" s="52"/>
      <c r="AE1234" s="52"/>
      <c r="AF1234" s="52"/>
      <c r="AG1234" s="52"/>
      <c r="AH1234" s="52"/>
      <c r="AI1234" s="52"/>
      <c r="AJ1234" s="52"/>
      <c r="AK1234" s="52"/>
      <c r="AL1234" s="52"/>
      <c r="AM1234" s="52"/>
      <c r="AN1234" s="52"/>
      <c r="AO1234" s="52"/>
      <c r="AP1234" s="52"/>
      <c r="AQ1234" s="52"/>
      <c r="AR1234" s="52"/>
      <c r="AS1234" s="52"/>
      <c r="AT1234" s="52"/>
      <c r="AU1234" s="52"/>
      <c r="AV1234" s="52"/>
      <c r="AW1234" s="52"/>
      <c r="AX1234" s="52"/>
      <c r="AY1234" s="52"/>
      <c r="AZ1234" s="52"/>
      <c r="BA1234" s="52"/>
      <c r="BB1234" s="52"/>
      <c r="BC1234" s="52"/>
      <c r="BD1234" s="52"/>
      <c r="BE1234" s="52"/>
      <c r="BF1234" s="52"/>
      <c r="BG1234" s="52"/>
      <c r="BH1234" s="52"/>
      <c r="BI1234" s="52"/>
      <c r="BJ1234" s="52"/>
      <c r="BK1234" s="52"/>
      <c r="BL1234" s="52"/>
      <c r="BM1234" s="52"/>
      <c r="BN1234" s="52"/>
      <c r="BO1234" s="52"/>
    </row>
    <row r="1235">
      <c r="B1235" s="49"/>
      <c r="C1235" s="49" t="str">
        <f t="shared" si="2"/>
        <v/>
      </c>
      <c r="D1235" s="50" t="str">
        <f t="shared" si="3"/>
        <v/>
      </c>
      <c r="E1235" s="51" t="str">
        <f t="shared" ref="E1235:T1235" si="1236">IFERROR(VLOOKUP($A1235,INDIRECT("'" &amp; E$1 &amp; "'!$C:$G"), 5, FALSE),"")</f>
        <v/>
      </c>
      <c r="F1235" s="51" t="str">
        <f t="shared" si="1236"/>
        <v/>
      </c>
      <c r="G1235" s="51" t="str">
        <f t="shared" si="1236"/>
        <v/>
      </c>
      <c r="H1235" s="51" t="str">
        <f t="shared" si="1236"/>
        <v/>
      </c>
      <c r="I1235" s="51" t="str">
        <f t="shared" si="1236"/>
        <v/>
      </c>
      <c r="J1235" s="51" t="str">
        <f t="shared" si="1236"/>
        <v/>
      </c>
      <c r="K1235" s="51" t="str">
        <f t="shared" si="1236"/>
        <v/>
      </c>
      <c r="L1235" s="51" t="str">
        <f t="shared" si="1236"/>
        <v/>
      </c>
      <c r="M1235" s="51" t="str">
        <f t="shared" si="1236"/>
        <v/>
      </c>
      <c r="N1235" s="51" t="str">
        <f t="shared" si="1236"/>
        <v/>
      </c>
      <c r="O1235" s="51" t="str">
        <f t="shared" si="1236"/>
        <v/>
      </c>
      <c r="P1235" s="51" t="str">
        <f t="shared" si="1236"/>
        <v/>
      </c>
      <c r="Q1235" s="51" t="str">
        <f t="shared" si="1236"/>
        <v/>
      </c>
      <c r="R1235" s="51" t="str">
        <f t="shared" si="1236"/>
        <v/>
      </c>
      <c r="S1235" s="51" t="str">
        <f t="shared" si="1236"/>
        <v/>
      </c>
      <c r="T1235" s="51" t="str">
        <f t="shared" si="1236"/>
        <v/>
      </c>
      <c r="U1235" s="52"/>
      <c r="V1235" s="52"/>
      <c r="W1235" s="52"/>
      <c r="X1235" s="52"/>
      <c r="Y1235" s="52"/>
      <c r="Z1235" s="52"/>
      <c r="AA1235" s="52"/>
      <c r="AB1235" s="52"/>
      <c r="AC1235" s="52"/>
      <c r="AD1235" s="52"/>
      <c r="AE1235" s="52"/>
      <c r="AF1235" s="52"/>
      <c r="AG1235" s="52"/>
      <c r="AH1235" s="52"/>
      <c r="AI1235" s="52"/>
      <c r="AJ1235" s="52"/>
      <c r="AK1235" s="52"/>
      <c r="AL1235" s="52"/>
      <c r="AM1235" s="52"/>
      <c r="AN1235" s="52"/>
      <c r="AO1235" s="52"/>
      <c r="AP1235" s="52"/>
      <c r="AQ1235" s="52"/>
      <c r="AR1235" s="52"/>
      <c r="AS1235" s="52"/>
      <c r="AT1235" s="52"/>
      <c r="AU1235" s="52"/>
      <c r="AV1235" s="52"/>
      <c r="AW1235" s="52"/>
      <c r="AX1235" s="52"/>
      <c r="AY1235" s="52"/>
      <c r="AZ1235" s="52"/>
      <c r="BA1235" s="52"/>
      <c r="BB1235" s="52"/>
      <c r="BC1235" s="52"/>
      <c r="BD1235" s="52"/>
      <c r="BE1235" s="52"/>
      <c r="BF1235" s="52"/>
      <c r="BG1235" s="52"/>
      <c r="BH1235" s="52"/>
      <c r="BI1235" s="52"/>
      <c r="BJ1235" s="52"/>
      <c r="BK1235" s="52"/>
      <c r="BL1235" s="52"/>
      <c r="BM1235" s="52"/>
      <c r="BN1235" s="52"/>
      <c r="BO1235" s="52"/>
    </row>
    <row r="1236">
      <c r="B1236" s="49"/>
      <c r="C1236" s="49" t="str">
        <f t="shared" si="2"/>
        <v/>
      </c>
      <c r="D1236" s="50" t="str">
        <f t="shared" si="3"/>
        <v/>
      </c>
      <c r="E1236" s="51" t="str">
        <f t="shared" ref="E1236:T1236" si="1237">IFERROR(VLOOKUP($A1236,INDIRECT("'" &amp; E$1 &amp; "'!$C:$G"), 5, FALSE),"")</f>
        <v/>
      </c>
      <c r="F1236" s="51" t="str">
        <f t="shared" si="1237"/>
        <v/>
      </c>
      <c r="G1236" s="51" t="str">
        <f t="shared" si="1237"/>
        <v/>
      </c>
      <c r="H1236" s="51" t="str">
        <f t="shared" si="1237"/>
        <v/>
      </c>
      <c r="I1236" s="51" t="str">
        <f t="shared" si="1237"/>
        <v/>
      </c>
      <c r="J1236" s="51" t="str">
        <f t="shared" si="1237"/>
        <v/>
      </c>
      <c r="K1236" s="51" t="str">
        <f t="shared" si="1237"/>
        <v/>
      </c>
      <c r="L1236" s="51" t="str">
        <f t="shared" si="1237"/>
        <v/>
      </c>
      <c r="M1236" s="51" t="str">
        <f t="shared" si="1237"/>
        <v/>
      </c>
      <c r="N1236" s="51" t="str">
        <f t="shared" si="1237"/>
        <v/>
      </c>
      <c r="O1236" s="51" t="str">
        <f t="shared" si="1237"/>
        <v/>
      </c>
      <c r="P1236" s="51" t="str">
        <f t="shared" si="1237"/>
        <v/>
      </c>
      <c r="Q1236" s="51" t="str">
        <f t="shared" si="1237"/>
        <v/>
      </c>
      <c r="R1236" s="51" t="str">
        <f t="shared" si="1237"/>
        <v/>
      </c>
      <c r="S1236" s="51" t="str">
        <f t="shared" si="1237"/>
        <v/>
      </c>
      <c r="T1236" s="51" t="str">
        <f t="shared" si="1237"/>
        <v/>
      </c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2"/>
      <c r="AE1236" s="52"/>
      <c r="AF1236" s="52"/>
      <c r="AG1236" s="52"/>
      <c r="AH1236" s="52"/>
      <c r="AI1236" s="52"/>
      <c r="AJ1236" s="52"/>
      <c r="AK1236" s="52"/>
      <c r="AL1236" s="52"/>
      <c r="AM1236" s="52"/>
      <c r="AN1236" s="52"/>
      <c r="AO1236" s="52"/>
      <c r="AP1236" s="52"/>
      <c r="AQ1236" s="52"/>
      <c r="AR1236" s="52"/>
      <c r="AS1236" s="52"/>
      <c r="AT1236" s="52"/>
      <c r="AU1236" s="52"/>
      <c r="AV1236" s="52"/>
      <c r="AW1236" s="52"/>
      <c r="AX1236" s="52"/>
      <c r="AY1236" s="52"/>
      <c r="AZ1236" s="52"/>
      <c r="BA1236" s="52"/>
      <c r="BB1236" s="52"/>
      <c r="BC1236" s="52"/>
      <c r="BD1236" s="52"/>
      <c r="BE1236" s="52"/>
      <c r="BF1236" s="52"/>
      <c r="BG1236" s="52"/>
      <c r="BH1236" s="52"/>
      <c r="BI1236" s="52"/>
      <c r="BJ1236" s="52"/>
      <c r="BK1236" s="52"/>
      <c r="BL1236" s="52"/>
      <c r="BM1236" s="52"/>
      <c r="BN1236" s="52"/>
      <c r="BO1236" s="52"/>
    </row>
    <row r="1237">
      <c r="B1237" s="49"/>
      <c r="C1237" s="49" t="str">
        <f t="shared" si="2"/>
        <v/>
      </c>
      <c r="D1237" s="50" t="str">
        <f t="shared" si="3"/>
        <v/>
      </c>
      <c r="E1237" s="51" t="str">
        <f t="shared" ref="E1237:T1237" si="1238">IFERROR(VLOOKUP($A1237,INDIRECT("'" &amp; E$1 &amp; "'!$C:$G"), 5, FALSE),"")</f>
        <v/>
      </c>
      <c r="F1237" s="51" t="str">
        <f t="shared" si="1238"/>
        <v/>
      </c>
      <c r="G1237" s="51" t="str">
        <f t="shared" si="1238"/>
        <v/>
      </c>
      <c r="H1237" s="51" t="str">
        <f t="shared" si="1238"/>
        <v/>
      </c>
      <c r="I1237" s="51" t="str">
        <f t="shared" si="1238"/>
        <v/>
      </c>
      <c r="J1237" s="51" t="str">
        <f t="shared" si="1238"/>
        <v/>
      </c>
      <c r="K1237" s="51" t="str">
        <f t="shared" si="1238"/>
        <v/>
      </c>
      <c r="L1237" s="51" t="str">
        <f t="shared" si="1238"/>
        <v/>
      </c>
      <c r="M1237" s="51" t="str">
        <f t="shared" si="1238"/>
        <v/>
      </c>
      <c r="N1237" s="51" t="str">
        <f t="shared" si="1238"/>
        <v/>
      </c>
      <c r="O1237" s="51" t="str">
        <f t="shared" si="1238"/>
        <v/>
      </c>
      <c r="P1237" s="51" t="str">
        <f t="shared" si="1238"/>
        <v/>
      </c>
      <c r="Q1237" s="51" t="str">
        <f t="shared" si="1238"/>
        <v/>
      </c>
      <c r="R1237" s="51" t="str">
        <f t="shared" si="1238"/>
        <v/>
      </c>
      <c r="S1237" s="51" t="str">
        <f t="shared" si="1238"/>
        <v/>
      </c>
      <c r="T1237" s="51" t="str">
        <f t="shared" si="1238"/>
        <v/>
      </c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2"/>
      <c r="AE1237" s="52"/>
      <c r="AF1237" s="52"/>
      <c r="AG1237" s="52"/>
      <c r="AH1237" s="52"/>
      <c r="AI1237" s="52"/>
      <c r="AJ1237" s="52"/>
      <c r="AK1237" s="52"/>
      <c r="AL1237" s="52"/>
      <c r="AM1237" s="52"/>
      <c r="AN1237" s="52"/>
      <c r="AO1237" s="52"/>
      <c r="AP1237" s="52"/>
      <c r="AQ1237" s="52"/>
      <c r="AR1237" s="52"/>
      <c r="AS1237" s="52"/>
      <c r="AT1237" s="52"/>
      <c r="AU1237" s="52"/>
      <c r="AV1237" s="52"/>
      <c r="AW1237" s="52"/>
      <c r="AX1237" s="52"/>
      <c r="AY1237" s="52"/>
      <c r="AZ1237" s="52"/>
      <c r="BA1237" s="52"/>
      <c r="BB1237" s="52"/>
      <c r="BC1237" s="52"/>
      <c r="BD1237" s="52"/>
      <c r="BE1237" s="52"/>
      <c r="BF1237" s="52"/>
      <c r="BG1237" s="52"/>
      <c r="BH1237" s="52"/>
      <c r="BI1237" s="52"/>
      <c r="BJ1237" s="52"/>
      <c r="BK1237" s="52"/>
      <c r="BL1237" s="52"/>
      <c r="BM1237" s="52"/>
      <c r="BN1237" s="52"/>
      <c r="BO1237" s="52"/>
    </row>
    <row r="1238">
      <c r="B1238" s="49"/>
      <c r="C1238" s="49" t="str">
        <f t="shared" si="2"/>
        <v/>
      </c>
      <c r="D1238" s="50" t="str">
        <f t="shared" si="3"/>
        <v/>
      </c>
      <c r="E1238" s="51" t="str">
        <f t="shared" ref="E1238:T1238" si="1239">IFERROR(VLOOKUP($A1238,INDIRECT("'" &amp; E$1 &amp; "'!$C:$G"), 5, FALSE),"")</f>
        <v/>
      </c>
      <c r="F1238" s="51" t="str">
        <f t="shared" si="1239"/>
        <v/>
      </c>
      <c r="G1238" s="51" t="str">
        <f t="shared" si="1239"/>
        <v/>
      </c>
      <c r="H1238" s="51" t="str">
        <f t="shared" si="1239"/>
        <v/>
      </c>
      <c r="I1238" s="51" t="str">
        <f t="shared" si="1239"/>
        <v/>
      </c>
      <c r="J1238" s="51" t="str">
        <f t="shared" si="1239"/>
        <v/>
      </c>
      <c r="K1238" s="51" t="str">
        <f t="shared" si="1239"/>
        <v/>
      </c>
      <c r="L1238" s="51" t="str">
        <f t="shared" si="1239"/>
        <v/>
      </c>
      <c r="M1238" s="51" t="str">
        <f t="shared" si="1239"/>
        <v/>
      </c>
      <c r="N1238" s="51" t="str">
        <f t="shared" si="1239"/>
        <v/>
      </c>
      <c r="O1238" s="51" t="str">
        <f t="shared" si="1239"/>
        <v/>
      </c>
      <c r="P1238" s="51" t="str">
        <f t="shared" si="1239"/>
        <v/>
      </c>
      <c r="Q1238" s="51" t="str">
        <f t="shared" si="1239"/>
        <v/>
      </c>
      <c r="R1238" s="51" t="str">
        <f t="shared" si="1239"/>
        <v/>
      </c>
      <c r="S1238" s="51" t="str">
        <f t="shared" si="1239"/>
        <v/>
      </c>
      <c r="T1238" s="51" t="str">
        <f t="shared" si="1239"/>
        <v/>
      </c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52"/>
      <c r="AN1238" s="52"/>
      <c r="AO1238" s="52"/>
      <c r="AP1238" s="52"/>
      <c r="AQ1238" s="52"/>
      <c r="AR1238" s="52"/>
      <c r="AS1238" s="52"/>
      <c r="AT1238" s="52"/>
      <c r="AU1238" s="52"/>
      <c r="AV1238" s="52"/>
      <c r="AW1238" s="52"/>
      <c r="AX1238" s="52"/>
      <c r="AY1238" s="52"/>
      <c r="AZ1238" s="52"/>
      <c r="BA1238" s="52"/>
      <c r="BB1238" s="52"/>
      <c r="BC1238" s="52"/>
      <c r="BD1238" s="52"/>
      <c r="BE1238" s="52"/>
      <c r="BF1238" s="52"/>
      <c r="BG1238" s="52"/>
      <c r="BH1238" s="52"/>
      <c r="BI1238" s="52"/>
      <c r="BJ1238" s="52"/>
      <c r="BK1238" s="52"/>
      <c r="BL1238" s="52"/>
      <c r="BM1238" s="52"/>
      <c r="BN1238" s="52"/>
      <c r="BO1238" s="52"/>
    </row>
    <row r="1239">
      <c r="B1239" s="49"/>
      <c r="C1239" s="49" t="str">
        <f t="shared" si="2"/>
        <v/>
      </c>
      <c r="D1239" s="50" t="str">
        <f t="shared" si="3"/>
        <v/>
      </c>
      <c r="E1239" s="51" t="str">
        <f t="shared" ref="E1239:T1239" si="1240">IFERROR(VLOOKUP($A1239,INDIRECT("'" &amp; E$1 &amp; "'!$C:$G"), 5, FALSE),"")</f>
        <v/>
      </c>
      <c r="F1239" s="51" t="str">
        <f t="shared" si="1240"/>
        <v/>
      </c>
      <c r="G1239" s="51" t="str">
        <f t="shared" si="1240"/>
        <v/>
      </c>
      <c r="H1239" s="51" t="str">
        <f t="shared" si="1240"/>
        <v/>
      </c>
      <c r="I1239" s="51" t="str">
        <f t="shared" si="1240"/>
        <v/>
      </c>
      <c r="J1239" s="51" t="str">
        <f t="shared" si="1240"/>
        <v/>
      </c>
      <c r="K1239" s="51" t="str">
        <f t="shared" si="1240"/>
        <v/>
      </c>
      <c r="L1239" s="51" t="str">
        <f t="shared" si="1240"/>
        <v/>
      </c>
      <c r="M1239" s="51" t="str">
        <f t="shared" si="1240"/>
        <v/>
      </c>
      <c r="N1239" s="51" t="str">
        <f t="shared" si="1240"/>
        <v/>
      </c>
      <c r="O1239" s="51" t="str">
        <f t="shared" si="1240"/>
        <v/>
      </c>
      <c r="P1239" s="51" t="str">
        <f t="shared" si="1240"/>
        <v/>
      </c>
      <c r="Q1239" s="51" t="str">
        <f t="shared" si="1240"/>
        <v/>
      </c>
      <c r="R1239" s="51" t="str">
        <f t="shared" si="1240"/>
        <v/>
      </c>
      <c r="S1239" s="51" t="str">
        <f t="shared" si="1240"/>
        <v/>
      </c>
      <c r="T1239" s="51" t="str">
        <f t="shared" si="1240"/>
        <v/>
      </c>
      <c r="U1239" s="52"/>
      <c r="V1239" s="52"/>
      <c r="W1239" s="52"/>
      <c r="X1239" s="52"/>
      <c r="Y1239" s="52"/>
      <c r="Z1239" s="52"/>
      <c r="AA1239" s="52"/>
      <c r="AB1239" s="52"/>
      <c r="AC1239" s="52"/>
      <c r="AD1239" s="52"/>
      <c r="AE1239" s="52"/>
      <c r="AF1239" s="52"/>
      <c r="AG1239" s="52"/>
      <c r="AH1239" s="52"/>
      <c r="AI1239" s="52"/>
      <c r="AJ1239" s="52"/>
      <c r="AK1239" s="52"/>
      <c r="AL1239" s="52"/>
      <c r="AM1239" s="52"/>
      <c r="AN1239" s="52"/>
      <c r="AO1239" s="52"/>
      <c r="AP1239" s="52"/>
      <c r="AQ1239" s="52"/>
      <c r="AR1239" s="52"/>
      <c r="AS1239" s="52"/>
      <c r="AT1239" s="52"/>
      <c r="AU1239" s="52"/>
      <c r="AV1239" s="52"/>
      <c r="AW1239" s="52"/>
      <c r="AX1239" s="52"/>
      <c r="AY1239" s="52"/>
      <c r="AZ1239" s="52"/>
      <c r="BA1239" s="52"/>
      <c r="BB1239" s="52"/>
      <c r="BC1239" s="52"/>
      <c r="BD1239" s="52"/>
      <c r="BE1239" s="52"/>
      <c r="BF1239" s="52"/>
      <c r="BG1239" s="52"/>
      <c r="BH1239" s="52"/>
      <c r="BI1239" s="52"/>
      <c r="BJ1239" s="52"/>
      <c r="BK1239" s="52"/>
      <c r="BL1239" s="52"/>
      <c r="BM1239" s="52"/>
      <c r="BN1239" s="52"/>
      <c r="BO1239" s="52"/>
    </row>
    <row r="1240">
      <c r="B1240" s="49"/>
      <c r="C1240" s="49" t="str">
        <f t="shared" si="2"/>
        <v/>
      </c>
      <c r="D1240" s="50" t="str">
        <f t="shared" si="3"/>
        <v/>
      </c>
      <c r="E1240" s="51" t="str">
        <f t="shared" ref="E1240:T1240" si="1241">IFERROR(VLOOKUP($A1240,INDIRECT("'" &amp; E$1 &amp; "'!$C:$G"), 5, FALSE),"")</f>
        <v/>
      </c>
      <c r="F1240" s="51" t="str">
        <f t="shared" si="1241"/>
        <v/>
      </c>
      <c r="G1240" s="51" t="str">
        <f t="shared" si="1241"/>
        <v/>
      </c>
      <c r="H1240" s="51" t="str">
        <f t="shared" si="1241"/>
        <v/>
      </c>
      <c r="I1240" s="51" t="str">
        <f t="shared" si="1241"/>
        <v/>
      </c>
      <c r="J1240" s="51" t="str">
        <f t="shared" si="1241"/>
        <v/>
      </c>
      <c r="K1240" s="51" t="str">
        <f t="shared" si="1241"/>
        <v/>
      </c>
      <c r="L1240" s="51" t="str">
        <f t="shared" si="1241"/>
        <v/>
      </c>
      <c r="M1240" s="51" t="str">
        <f t="shared" si="1241"/>
        <v/>
      </c>
      <c r="N1240" s="51" t="str">
        <f t="shared" si="1241"/>
        <v/>
      </c>
      <c r="O1240" s="51" t="str">
        <f t="shared" si="1241"/>
        <v/>
      </c>
      <c r="P1240" s="51" t="str">
        <f t="shared" si="1241"/>
        <v/>
      </c>
      <c r="Q1240" s="51" t="str">
        <f t="shared" si="1241"/>
        <v/>
      </c>
      <c r="R1240" s="51" t="str">
        <f t="shared" si="1241"/>
        <v/>
      </c>
      <c r="S1240" s="51" t="str">
        <f t="shared" si="1241"/>
        <v/>
      </c>
      <c r="T1240" s="51" t="str">
        <f t="shared" si="1241"/>
        <v/>
      </c>
      <c r="U1240" s="52"/>
      <c r="V1240" s="52"/>
      <c r="W1240" s="52"/>
      <c r="X1240" s="52"/>
      <c r="Y1240" s="52"/>
      <c r="Z1240" s="52"/>
      <c r="AA1240" s="52"/>
      <c r="AB1240" s="52"/>
      <c r="AC1240" s="52"/>
      <c r="AD1240" s="52"/>
      <c r="AE1240" s="52"/>
      <c r="AF1240" s="52"/>
      <c r="AG1240" s="52"/>
      <c r="AH1240" s="52"/>
      <c r="AI1240" s="52"/>
      <c r="AJ1240" s="52"/>
      <c r="AK1240" s="52"/>
      <c r="AL1240" s="52"/>
      <c r="AM1240" s="52"/>
      <c r="AN1240" s="52"/>
      <c r="AO1240" s="52"/>
      <c r="AP1240" s="52"/>
      <c r="AQ1240" s="52"/>
      <c r="AR1240" s="52"/>
      <c r="AS1240" s="52"/>
      <c r="AT1240" s="52"/>
      <c r="AU1240" s="52"/>
      <c r="AV1240" s="52"/>
      <c r="AW1240" s="52"/>
      <c r="AX1240" s="52"/>
      <c r="AY1240" s="52"/>
      <c r="AZ1240" s="52"/>
      <c r="BA1240" s="52"/>
      <c r="BB1240" s="52"/>
      <c r="BC1240" s="52"/>
      <c r="BD1240" s="52"/>
      <c r="BE1240" s="52"/>
      <c r="BF1240" s="52"/>
      <c r="BG1240" s="52"/>
      <c r="BH1240" s="52"/>
      <c r="BI1240" s="52"/>
      <c r="BJ1240" s="52"/>
      <c r="BK1240" s="52"/>
      <c r="BL1240" s="52"/>
      <c r="BM1240" s="52"/>
      <c r="BN1240" s="52"/>
      <c r="BO1240" s="52"/>
    </row>
    <row r="1241">
      <c r="B1241" s="49"/>
      <c r="C1241" s="49" t="str">
        <f t="shared" si="2"/>
        <v/>
      </c>
      <c r="D1241" s="50" t="str">
        <f t="shared" si="3"/>
        <v/>
      </c>
      <c r="E1241" s="51" t="str">
        <f t="shared" ref="E1241:T1241" si="1242">IFERROR(VLOOKUP($A1241,INDIRECT("'" &amp; E$1 &amp; "'!$C:$G"), 5, FALSE),"")</f>
        <v/>
      </c>
      <c r="F1241" s="51" t="str">
        <f t="shared" si="1242"/>
        <v/>
      </c>
      <c r="G1241" s="51" t="str">
        <f t="shared" si="1242"/>
        <v/>
      </c>
      <c r="H1241" s="51" t="str">
        <f t="shared" si="1242"/>
        <v/>
      </c>
      <c r="I1241" s="51" t="str">
        <f t="shared" si="1242"/>
        <v/>
      </c>
      <c r="J1241" s="51" t="str">
        <f t="shared" si="1242"/>
        <v/>
      </c>
      <c r="K1241" s="51" t="str">
        <f t="shared" si="1242"/>
        <v/>
      </c>
      <c r="L1241" s="51" t="str">
        <f t="shared" si="1242"/>
        <v/>
      </c>
      <c r="M1241" s="51" t="str">
        <f t="shared" si="1242"/>
        <v/>
      </c>
      <c r="N1241" s="51" t="str">
        <f t="shared" si="1242"/>
        <v/>
      </c>
      <c r="O1241" s="51" t="str">
        <f t="shared" si="1242"/>
        <v/>
      </c>
      <c r="P1241" s="51" t="str">
        <f t="shared" si="1242"/>
        <v/>
      </c>
      <c r="Q1241" s="51" t="str">
        <f t="shared" si="1242"/>
        <v/>
      </c>
      <c r="R1241" s="51" t="str">
        <f t="shared" si="1242"/>
        <v/>
      </c>
      <c r="S1241" s="51" t="str">
        <f t="shared" si="1242"/>
        <v/>
      </c>
      <c r="T1241" s="51" t="str">
        <f t="shared" si="1242"/>
        <v/>
      </c>
      <c r="U1241" s="52"/>
      <c r="V1241" s="52"/>
      <c r="W1241" s="52"/>
      <c r="X1241" s="52"/>
      <c r="Y1241" s="52"/>
      <c r="Z1241" s="52"/>
      <c r="AA1241" s="52"/>
      <c r="AB1241" s="52"/>
      <c r="AC1241" s="52"/>
      <c r="AD1241" s="52"/>
      <c r="AE1241" s="52"/>
      <c r="AF1241" s="52"/>
      <c r="AG1241" s="52"/>
      <c r="AH1241" s="52"/>
      <c r="AI1241" s="52"/>
      <c r="AJ1241" s="52"/>
      <c r="AK1241" s="52"/>
      <c r="AL1241" s="52"/>
      <c r="AM1241" s="52"/>
      <c r="AN1241" s="52"/>
      <c r="AO1241" s="52"/>
      <c r="AP1241" s="52"/>
      <c r="AQ1241" s="52"/>
      <c r="AR1241" s="52"/>
      <c r="AS1241" s="52"/>
      <c r="AT1241" s="52"/>
      <c r="AU1241" s="52"/>
      <c r="AV1241" s="52"/>
      <c r="AW1241" s="52"/>
      <c r="AX1241" s="52"/>
      <c r="AY1241" s="52"/>
      <c r="AZ1241" s="52"/>
      <c r="BA1241" s="52"/>
      <c r="BB1241" s="52"/>
      <c r="BC1241" s="52"/>
      <c r="BD1241" s="52"/>
      <c r="BE1241" s="52"/>
      <c r="BF1241" s="52"/>
      <c r="BG1241" s="52"/>
      <c r="BH1241" s="52"/>
      <c r="BI1241" s="52"/>
      <c r="BJ1241" s="52"/>
      <c r="BK1241" s="52"/>
      <c r="BL1241" s="52"/>
      <c r="BM1241" s="52"/>
      <c r="BN1241" s="52"/>
      <c r="BO1241" s="52"/>
    </row>
    <row r="1242">
      <c r="B1242" s="49"/>
      <c r="C1242" s="49" t="str">
        <f t="shared" si="2"/>
        <v/>
      </c>
      <c r="D1242" s="50" t="str">
        <f t="shared" si="3"/>
        <v/>
      </c>
      <c r="E1242" s="51" t="str">
        <f t="shared" ref="E1242:T1242" si="1243">IFERROR(VLOOKUP($A1242,INDIRECT("'" &amp; E$1 &amp; "'!$C:$G"), 5, FALSE),"")</f>
        <v/>
      </c>
      <c r="F1242" s="51" t="str">
        <f t="shared" si="1243"/>
        <v/>
      </c>
      <c r="G1242" s="51" t="str">
        <f t="shared" si="1243"/>
        <v/>
      </c>
      <c r="H1242" s="51" t="str">
        <f t="shared" si="1243"/>
        <v/>
      </c>
      <c r="I1242" s="51" t="str">
        <f t="shared" si="1243"/>
        <v/>
      </c>
      <c r="J1242" s="51" t="str">
        <f t="shared" si="1243"/>
        <v/>
      </c>
      <c r="K1242" s="51" t="str">
        <f t="shared" si="1243"/>
        <v/>
      </c>
      <c r="L1242" s="51" t="str">
        <f t="shared" si="1243"/>
        <v/>
      </c>
      <c r="M1242" s="51" t="str">
        <f t="shared" si="1243"/>
        <v/>
      </c>
      <c r="N1242" s="51" t="str">
        <f t="shared" si="1243"/>
        <v/>
      </c>
      <c r="O1242" s="51" t="str">
        <f t="shared" si="1243"/>
        <v/>
      </c>
      <c r="P1242" s="51" t="str">
        <f t="shared" si="1243"/>
        <v/>
      </c>
      <c r="Q1242" s="51" t="str">
        <f t="shared" si="1243"/>
        <v/>
      </c>
      <c r="R1242" s="51" t="str">
        <f t="shared" si="1243"/>
        <v/>
      </c>
      <c r="S1242" s="51" t="str">
        <f t="shared" si="1243"/>
        <v/>
      </c>
      <c r="T1242" s="51" t="str">
        <f t="shared" si="1243"/>
        <v/>
      </c>
      <c r="U1242" s="52"/>
      <c r="V1242" s="52"/>
      <c r="W1242" s="52"/>
      <c r="X1242" s="52"/>
      <c r="Y1242" s="52"/>
      <c r="Z1242" s="52"/>
      <c r="AA1242" s="52"/>
      <c r="AB1242" s="52"/>
      <c r="AC1242" s="52"/>
      <c r="AD1242" s="52"/>
      <c r="AE1242" s="52"/>
      <c r="AF1242" s="52"/>
      <c r="AG1242" s="52"/>
      <c r="AH1242" s="52"/>
      <c r="AI1242" s="52"/>
      <c r="AJ1242" s="52"/>
      <c r="AK1242" s="52"/>
      <c r="AL1242" s="52"/>
      <c r="AM1242" s="52"/>
      <c r="AN1242" s="52"/>
      <c r="AO1242" s="52"/>
      <c r="AP1242" s="52"/>
      <c r="AQ1242" s="52"/>
      <c r="AR1242" s="52"/>
      <c r="AS1242" s="52"/>
      <c r="AT1242" s="52"/>
      <c r="AU1242" s="52"/>
      <c r="AV1242" s="52"/>
      <c r="AW1242" s="52"/>
      <c r="AX1242" s="52"/>
      <c r="AY1242" s="52"/>
      <c r="AZ1242" s="52"/>
      <c r="BA1242" s="52"/>
      <c r="BB1242" s="52"/>
      <c r="BC1242" s="52"/>
      <c r="BD1242" s="52"/>
      <c r="BE1242" s="52"/>
      <c r="BF1242" s="52"/>
      <c r="BG1242" s="52"/>
      <c r="BH1242" s="52"/>
      <c r="BI1242" s="52"/>
      <c r="BJ1242" s="52"/>
      <c r="BK1242" s="52"/>
      <c r="BL1242" s="52"/>
      <c r="BM1242" s="52"/>
      <c r="BN1242" s="52"/>
      <c r="BO1242" s="52"/>
    </row>
    <row r="1243">
      <c r="B1243" s="49"/>
      <c r="C1243" s="49" t="str">
        <f t="shared" si="2"/>
        <v/>
      </c>
      <c r="D1243" s="50" t="str">
        <f t="shared" si="3"/>
        <v/>
      </c>
      <c r="E1243" s="51" t="str">
        <f t="shared" ref="E1243:T1243" si="1244">IFERROR(VLOOKUP($A1243,INDIRECT("'" &amp; E$1 &amp; "'!$C:$G"), 5, FALSE),"")</f>
        <v/>
      </c>
      <c r="F1243" s="51" t="str">
        <f t="shared" si="1244"/>
        <v/>
      </c>
      <c r="G1243" s="51" t="str">
        <f t="shared" si="1244"/>
        <v/>
      </c>
      <c r="H1243" s="51" t="str">
        <f t="shared" si="1244"/>
        <v/>
      </c>
      <c r="I1243" s="51" t="str">
        <f t="shared" si="1244"/>
        <v/>
      </c>
      <c r="J1243" s="51" t="str">
        <f t="shared" si="1244"/>
        <v/>
      </c>
      <c r="K1243" s="51" t="str">
        <f t="shared" si="1244"/>
        <v/>
      </c>
      <c r="L1243" s="51" t="str">
        <f t="shared" si="1244"/>
        <v/>
      </c>
      <c r="M1243" s="51" t="str">
        <f t="shared" si="1244"/>
        <v/>
      </c>
      <c r="N1243" s="51" t="str">
        <f t="shared" si="1244"/>
        <v/>
      </c>
      <c r="O1243" s="51" t="str">
        <f t="shared" si="1244"/>
        <v/>
      </c>
      <c r="P1243" s="51" t="str">
        <f t="shared" si="1244"/>
        <v/>
      </c>
      <c r="Q1243" s="51" t="str">
        <f t="shared" si="1244"/>
        <v/>
      </c>
      <c r="R1243" s="51" t="str">
        <f t="shared" si="1244"/>
        <v/>
      </c>
      <c r="S1243" s="51" t="str">
        <f t="shared" si="1244"/>
        <v/>
      </c>
      <c r="T1243" s="51" t="str">
        <f t="shared" si="1244"/>
        <v/>
      </c>
      <c r="U1243" s="52"/>
      <c r="V1243" s="52"/>
      <c r="W1243" s="52"/>
      <c r="X1243" s="52"/>
      <c r="Y1243" s="52"/>
      <c r="Z1243" s="52"/>
      <c r="AA1243" s="52"/>
      <c r="AB1243" s="52"/>
      <c r="AC1243" s="52"/>
      <c r="AD1243" s="52"/>
      <c r="AE1243" s="52"/>
      <c r="AF1243" s="52"/>
      <c r="AG1243" s="52"/>
      <c r="AH1243" s="52"/>
      <c r="AI1243" s="52"/>
      <c r="AJ1243" s="52"/>
      <c r="AK1243" s="52"/>
      <c r="AL1243" s="52"/>
      <c r="AM1243" s="52"/>
      <c r="AN1243" s="52"/>
      <c r="AO1243" s="52"/>
      <c r="AP1243" s="52"/>
      <c r="AQ1243" s="52"/>
      <c r="AR1243" s="52"/>
      <c r="AS1243" s="52"/>
      <c r="AT1243" s="52"/>
      <c r="AU1243" s="52"/>
      <c r="AV1243" s="52"/>
      <c r="AW1243" s="52"/>
      <c r="AX1243" s="52"/>
      <c r="AY1243" s="52"/>
      <c r="AZ1243" s="52"/>
      <c r="BA1243" s="52"/>
      <c r="BB1243" s="52"/>
      <c r="BC1243" s="52"/>
      <c r="BD1243" s="52"/>
      <c r="BE1243" s="52"/>
      <c r="BF1243" s="52"/>
      <c r="BG1243" s="52"/>
      <c r="BH1243" s="52"/>
      <c r="BI1243" s="52"/>
      <c r="BJ1243" s="52"/>
      <c r="BK1243" s="52"/>
      <c r="BL1243" s="52"/>
      <c r="BM1243" s="52"/>
      <c r="BN1243" s="52"/>
      <c r="BO1243" s="52"/>
    </row>
    <row r="1244">
      <c r="B1244" s="49"/>
      <c r="C1244" s="49" t="str">
        <f t="shared" si="2"/>
        <v/>
      </c>
      <c r="D1244" s="50" t="str">
        <f t="shared" si="3"/>
        <v/>
      </c>
      <c r="E1244" s="51" t="str">
        <f t="shared" ref="E1244:T1244" si="1245">IFERROR(VLOOKUP($A1244,INDIRECT("'" &amp; E$1 &amp; "'!$C:$G"), 5, FALSE),"")</f>
        <v/>
      </c>
      <c r="F1244" s="51" t="str">
        <f t="shared" si="1245"/>
        <v/>
      </c>
      <c r="G1244" s="51" t="str">
        <f t="shared" si="1245"/>
        <v/>
      </c>
      <c r="H1244" s="51" t="str">
        <f t="shared" si="1245"/>
        <v/>
      </c>
      <c r="I1244" s="51" t="str">
        <f t="shared" si="1245"/>
        <v/>
      </c>
      <c r="J1244" s="51" t="str">
        <f t="shared" si="1245"/>
        <v/>
      </c>
      <c r="K1244" s="51" t="str">
        <f t="shared" si="1245"/>
        <v/>
      </c>
      <c r="L1244" s="51" t="str">
        <f t="shared" si="1245"/>
        <v/>
      </c>
      <c r="M1244" s="51" t="str">
        <f t="shared" si="1245"/>
        <v/>
      </c>
      <c r="N1244" s="51" t="str">
        <f t="shared" si="1245"/>
        <v/>
      </c>
      <c r="O1244" s="51" t="str">
        <f t="shared" si="1245"/>
        <v/>
      </c>
      <c r="P1244" s="51" t="str">
        <f t="shared" si="1245"/>
        <v/>
      </c>
      <c r="Q1244" s="51" t="str">
        <f t="shared" si="1245"/>
        <v/>
      </c>
      <c r="R1244" s="51" t="str">
        <f t="shared" si="1245"/>
        <v/>
      </c>
      <c r="S1244" s="51" t="str">
        <f t="shared" si="1245"/>
        <v/>
      </c>
      <c r="T1244" s="51" t="str">
        <f t="shared" si="1245"/>
        <v/>
      </c>
      <c r="U1244" s="52"/>
      <c r="V1244" s="52"/>
      <c r="W1244" s="52"/>
      <c r="X1244" s="52"/>
      <c r="Y1244" s="52"/>
      <c r="Z1244" s="52"/>
      <c r="AA1244" s="52"/>
      <c r="AB1244" s="52"/>
      <c r="AC1244" s="52"/>
      <c r="AD1244" s="52"/>
      <c r="AE1244" s="52"/>
      <c r="AF1244" s="52"/>
      <c r="AG1244" s="52"/>
      <c r="AH1244" s="52"/>
      <c r="AI1244" s="52"/>
      <c r="AJ1244" s="52"/>
      <c r="AK1244" s="52"/>
      <c r="AL1244" s="52"/>
      <c r="AM1244" s="52"/>
      <c r="AN1244" s="52"/>
      <c r="AO1244" s="52"/>
      <c r="AP1244" s="52"/>
      <c r="AQ1244" s="52"/>
      <c r="AR1244" s="52"/>
      <c r="AS1244" s="52"/>
      <c r="AT1244" s="52"/>
      <c r="AU1244" s="52"/>
      <c r="AV1244" s="52"/>
      <c r="AW1244" s="52"/>
      <c r="AX1244" s="52"/>
      <c r="AY1244" s="52"/>
      <c r="AZ1244" s="52"/>
      <c r="BA1244" s="52"/>
      <c r="BB1244" s="52"/>
      <c r="BC1244" s="52"/>
      <c r="BD1244" s="52"/>
      <c r="BE1244" s="52"/>
      <c r="BF1244" s="52"/>
      <c r="BG1244" s="52"/>
      <c r="BH1244" s="52"/>
      <c r="BI1244" s="52"/>
      <c r="BJ1244" s="52"/>
      <c r="BK1244" s="52"/>
      <c r="BL1244" s="52"/>
      <c r="BM1244" s="52"/>
      <c r="BN1244" s="52"/>
      <c r="BO1244" s="52"/>
    </row>
    <row r="1245">
      <c r="B1245" s="49"/>
      <c r="C1245" s="49" t="str">
        <f t="shared" si="2"/>
        <v/>
      </c>
      <c r="D1245" s="50" t="str">
        <f t="shared" si="3"/>
        <v/>
      </c>
      <c r="E1245" s="51" t="str">
        <f t="shared" ref="E1245:T1245" si="1246">IFERROR(VLOOKUP($A1245,INDIRECT("'" &amp; E$1 &amp; "'!$C:$G"), 5, FALSE),"")</f>
        <v/>
      </c>
      <c r="F1245" s="51" t="str">
        <f t="shared" si="1246"/>
        <v/>
      </c>
      <c r="G1245" s="51" t="str">
        <f t="shared" si="1246"/>
        <v/>
      </c>
      <c r="H1245" s="51" t="str">
        <f t="shared" si="1246"/>
        <v/>
      </c>
      <c r="I1245" s="51" t="str">
        <f t="shared" si="1246"/>
        <v/>
      </c>
      <c r="J1245" s="51" t="str">
        <f t="shared" si="1246"/>
        <v/>
      </c>
      <c r="K1245" s="51" t="str">
        <f t="shared" si="1246"/>
        <v/>
      </c>
      <c r="L1245" s="51" t="str">
        <f t="shared" si="1246"/>
        <v/>
      </c>
      <c r="M1245" s="51" t="str">
        <f t="shared" si="1246"/>
        <v/>
      </c>
      <c r="N1245" s="51" t="str">
        <f t="shared" si="1246"/>
        <v/>
      </c>
      <c r="O1245" s="51" t="str">
        <f t="shared" si="1246"/>
        <v/>
      </c>
      <c r="P1245" s="51" t="str">
        <f t="shared" si="1246"/>
        <v/>
      </c>
      <c r="Q1245" s="51" t="str">
        <f t="shared" si="1246"/>
        <v/>
      </c>
      <c r="R1245" s="51" t="str">
        <f t="shared" si="1246"/>
        <v/>
      </c>
      <c r="S1245" s="51" t="str">
        <f t="shared" si="1246"/>
        <v/>
      </c>
      <c r="T1245" s="51" t="str">
        <f t="shared" si="1246"/>
        <v/>
      </c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2"/>
      <c r="AE1245" s="52"/>
      <c r="AF1245" s="52"/>
      <c r="AG1245" s="52"/>
      <c r="AH1245" s="52"/>
      <c r="AI1245" s="52"/>
      <c r="AJ1245" s="52"/>
      <c r="AK1245" s="52"/>
      <c r="AL1245" s="52"/>
      <c r="AM1245" s="52"/>
      <c r="AN1245" s="52"/>
      <c r="AO1245" s="52"/>
      <c r="AP1245" s="52"/>
      <c r="AQ1245" s="52"/>
      <c r="AR1245" s="52"/>
      <c r="AS1245" s="52"/>
      <c r="AT1245" s="52"/>
      <c r="AU1245" s="52"/>
      <c r="AV1245" s="52"/>
      <c r="AW1245" s="52"/>
      <c r="AX1245" s="52"/>
      <c r="AY1245" s="52"/>
      <c r="AZ1245" s="52"/>
      <c r="BA1245" s="52"/>
      <c r="BB1245" s="52"/>
      <c r="BC1245" s="52"/>
      <c r="BD1245" s="52"/>
      <c r="BE1245" s="52"/>
      <c r="BF1245" s="52"/>
      <c r="BG1245" s="52"/>
      <c r="BH1245" s="52"/>
      <c r="BI1245" s="52"/>
      <c r="BJ1245" s="52"/>
      <c r="BK1245" s="52"/>
      <c r="BL1245" s="52"/>
      <c r="BM1245" s="52"/>
      <c r="BN1245" s="52"/>
      <c r="BO1245" s="52"/>
    </row>
    <row r="1246">
      <c r="B1246" s="49"/>
      <c r="C1246" s="49" t="str">
        <f t="shared" si="2"/>
        <v/>
      </c>
      <c r="D1246" s="50" t="str">
        <f t="shared" si="3"/>
        <v/>
      </c>
      <c r="E1246" s="51" t="str">
        <f t="shared" ref="E1246:T1246" si="1247">IFERROR(VLOOKUP($A1246,INDIRECT("'" &amp; E$1 &amp; "'!$C:$G"), 5, FALSE),"")</f>
        <v/>
      </c>
      <c r="F1246" s="51" t="str">
        <f t="shared" si="1247"/>
        <v/>
      </c>
      <c r="G1246" s="51" t="str">
        <f t="shared" si="1247"/>
        <v/>
      </c>
      <c r="H1246" s="51" t="str">
        <f t="shared" si="1247"/>
        <v/>
      </c>
      <c r="I1246" s="51" t="str">
        <f t="shared" si="1247"/>
        <v/>
      </c>
      <c r="J1246" s="51" t="str">
        <f t="shared" si="1247"/>
        <v/>
      </c>
      <c r="K1246" s="51" t="str">
        <f t="shared" si="1247"/>
        <v/>
      </c>
      <c r="L1246" s="51" t="str">
        <f t="shared" si="1247"/>
        <v/>
      </c>
      <c r="M1246" s="51" t="str">
        <f t="shared" si="1247"/>
        <v/>
      </c>
      <c r="N1246" s="51" t="str">
        <f t="shared" si="1247"/>
        <v/>
      </c>
      <c r="O1246" s="51" t="str">
        <f t="shared" si="1247"/>
        <v/>
      </c>
      <c r="P1246" s="51" t="str">
        <f t="shared" si="1247"/>
        <v/>
      </c>
      <c r="Q1246" s="51" t="str">
        <f t="shared" si="1247"/>
        <v/>
      </c>
      <c r="R1246" s="51" t="str">
        <f t="shared" si="1247"/>
        <v/>
      </c>
      <c r="S1246" s="51" t="str">
        <f t="shared" si="1247"/>
        <v/>
      </c>
      <c r="T1246" s="51" t="str">
        <f t="shared" si="1247"/>
        <v/>
      </c>
      <c r="U1246" s="52"/>
      <c r="V1246" s="52"/>
      <c r="W1246" s="52"/>
      <c r="X1246" s="52"/>
      <c r="Y1246" s="52"/>
      <c r="Z1246" s="52"/>
      <c r="AA1246" s="52"/>
      <c r="AB1246" s="52"/>
      <c r="AC1246" s="52"/>
      <c r="AD1246" s="52"/>
      <c r="AE1246" s="52"/>
      <c r="AF1246" s="52"/>
      <c r="AG1246" s="52"/>
      <c r="AH1246" s="52"/>
      <c r="AI1246" s="52"/>
      <c r="AJ1246" s="52"/>
      <c r="AK1246" s="52"/>
      <c r="AL1246" s="52"/>
      <c r="AM1246" s="52"/>
      <c r="AN1246" s="52"/>
      <c r="AO1246" s="52"/>
      <c r="AP1246" s="52"/>
      <c r="AQ1246" s="52"/>
      <c r="AR1246" s="52"/>
      <c r="AS1246" s="52"/>
      <c r="AT1246" s="52"/>
      <c r="AU1246" s="52"/>
      <c r="AV1246" s="52"/>
      <c r="AW1246" s="52"/>
      <c r="AX1246" s="52"/>
      <c r="AY1246" s="52"/>
      <c r="AZ1246" s="52"/>
      <c r="BA1246" s="52"/>
      <c r="BB1246" s="52"/>
      <c r="BC1246" s="52"/>
      <c r="BD1246" s="52"/>
      <c r="BE1246" s="52"/>
      <c r="BF1246" s="52"/>
      <c r="BG1246" s="52"/>
      <c r="BH1246" s="52"/>
      <c r="BI1246" s="52"/>
      <c r="BJ1246" s="52"/>
      <c r="BK1246" s="52"/>
      <c r="BL1246" s="52"/>
      <c r="BM1246" s="52"/>
      <c r="BN1246" s="52"/>
      <c r="BO1246" s="52"/>
    </row>
    <row r="1247">
      <c r="B1247" s="49"/>
      <c r="C1247" s="49" t="str">
        <f t="shared" si="2"/>
        <v/>
      </c>
      <c r="D1247" s="50" t="str">
        <f t="shared" si="3"/>
        <v/>
      </c>
      <c r="E1247" s="51" t="str">
        <f t="shared" ref="E1247:T1247" si="1248">IFERROR(VLOOKUP($A1247,INDIRECT("'" &amp; E$1 &amp; "'!$C:$G"), 5, FALSE),"")</f>
        <v/>
      </c>
      <c r="F1247" s="51" t="str">
        <f t="shared" si="1248"/>
        <v/>
      </c>
      <c r="G1247" s="51" t="str">
        <f t="shared" si="1248"/>
        <v/>
      </c>
      <c r="H1247" s="51" t="str">
        <f t="shared" si="1248"/>
        <v/>
      </c>
      <c r="I1247" s="51" t="str">
        <f t="shared" si="1248"/>
        <v/>
      </c>
      <c r="J1247" s="51" t="str">
        <f t="shared" si="1248"/>
        <v/>
      </c>
      <c r="K1247" s="51" t="str">
        <f t="shared" si="1248"/>
        <v/>
      </c>
      <c r="L1247" s="51" t="str">
        <f t="shared" si="1248"/>
        <v/>
      </c>
      <c r="M1247" s="51" t="str">
        <f t="shared" si="1248"/>
        <v/>
      </c>
      <c r="N1247" s="51" t="str">
        <f t="shared" si="1248"/>
        <v/>
      </c>
      <c r="O1247" s="51" t="str">
        <f t="shared" si="1248"/>
        <v/>
      </c>
      <c r="P1247" s="51" t="str">
        <f t="shared" si="1248"/>
        <v/>
      </c>
      <c r="Q1247" s="51" t="str">
        <f t="shared" si="1248"/>
        <v/>
      </c>
      <c r="R1247" s="51" t="str">
        <f t="shared" si="1248"/>
        <v/>
      </c>
      <c r="S1247" s="51" t="str">
        <f t="shared" si="1248"/>
        <v/>
      </c>
      <c r="T1247" s="51" t="str">
        <f t="shared" si="1248"/>
        <v/>
      </c>
      <c r="U1247" s="52"/>
      <c r="V1247" s="52"/>
      <c r="W1247" s="52"/>
      <c r="X1247" s="52"/>
      <c r="Y1247" s="52"/>
      <c r="Z1247" s="52"/>
      <c r="AA1247" s="52"/>
      <c r="AB1247" s="52"/>
      <c r="AC1247" s="52"/>
      <c r="AD1247" s="52"/>
      <c r="AE1247" s="52"/>
      <c r="AF1247" s="52"/>
      <c r="AG1247" s="52"/>
      <c r="AH1247" s="52"/>
      <c r="AI1247" s="52"/>
      <c r="AJ1247" s="52"/>
      <c r="AK1247" s="52"/>
      <c r="AL1247" s="52"/>
      <c r="AM1247" s="52"/>
      <c r="AN1247" s="52"/>
      <c r="AO1247" s="52"/>
      <c r="AP1247" s="52"/>
      <c r="AQ1247" s="52"/>
      <c r="AR1247" s="52"/>
      <c r="AS1247" s="52"/>
      <c r="AT1247" s="52"/>
      <c r="AU1247" s="52"/>
      <c r="AV1247" s="52"/>
      <c r="AW1247" s="52"/>
      <c r="AX1247" s="52"/>
      <c r="AY1247" s="52"/>
      <c r="AZ1247" s="52"/>
      <c r="BA1247" s="52"/>
      <c r="BB1247" s="52"/>
      <c r="BC1247" s="52"/>
      <c r="BD1247" s="52"/>
      <c r="BE1247" s="52"/>
      <c r="BF1247" s="52"/>
      <c r="BG1247" s="52"/>
      <c r="BH1247" s="52"/>
      <c r="BI1247" s="52"/>
      <c r="BJ1247" s="52"/>
      <c r="BK1247" s="52"/>
      <c r="BL1247" s="52"/>
      <c r="BM1247" s="52"/>
      <c r="BN1247" s="52"/>
      <c r="BO1247" s="52"/>
    </row>
    <row r="1248">
      <c r="B1248" s="49"/>
      <c r="C1248" s="49" t="str">
        <f t="shared" si="2"/>
        <v/>
      </c>
      <c r="D1248" s="50" t="str">
        <f t="shared" si="3"/>
        <v/>
      </c>
      <c r="E1248" s="51" t="str">
        <f t="shared" ref="E1248:T1248" si="1249">IFERROR(VLOOKUP($A1248,INDIRECT("'" &amp; E$1 &amp; "'!$C:$G"), 5, FALSE),"")</f>
        <v/>
      </c>
      <c r="F1248" s="51" t="str">
        <f t="shared" si="1249"/>
        <v/>
      </c>
      <c r="G1248" s="51" t="str">
        <f t="shared" si="1249"/>
        <v/>
      </c>
      <c r="H1248" s="51" t="str">
        <f t="shared" si="1249"/>
        <v/>
      </c>
      <c r="I1248" s="51" t="str">
        <f t="shared" si="1249"/>
        <v/>
      </c>
      <c r="J1248" s="51" t="str">
        <f t="shared" si="1249"/>
        <v/>
      </c>
      <c r="K1248" s="51" t="str">
        <f t="shared" si="1249"/>
        <v/>
      </c>
      <c r="L1248" s="51" t="str">
        <f t="shared" si="1249"/>
        <v/>
      </c>
      <c r="M1248" s="51" t="str">
        <f t="shared" si="1249"/>
        <v/>
      </c>
      <c r="N1248" s="51" t="str">
        <f t="shared" si="1249"/>
        <v/>
      </c>
      <c r="O1248" s="51" t="str">
        <f t="shared" si="1249"/>
        <v/>
      </c>
      <c r="P1248" s="51" t="str">
        <f t="shared" si="1249"/>
        <v/>
      </c>
      <c r="Q1248" s="51" t="str">
        <f t="shared" si="1249"/>
        <v/>
      </c>
      <c r="R1248" s="51" t="str">
        <f t="shared" si="1249"/>
        <v/>
      </c>
      <c r="S1248" s="51" t="str">
        <f t="shared" si="1249"/>
        <v/>
      </c>
      <c r="T1248" s="51" t="str">
        <f t="shared" si="1249"/>
        <v/>
      </c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52"/>
      <c r="AI1248" s="52"/>
      <c r="AJ1248" s="52"/>
      <c r="AK1248" s="52"/>
      <c r="AL1248" s="52"/>
      <c r="AM1248" s="52"/>
      <c r="AN1248" s="52"/>
      <c r="AO1248" s="52"/>
      <c r="AP1248" s="52"/>
      <c r="AQ1248" s="52"/>
      <c r="AR1248" s="52"/>
      <c r="AS1248" s="52"/>
      <c r="AT1248" s="52"/>
      <c r="AU1248" s="52"/>
      <c r="AV1248" s="52"/>
      <c r="AW1248" s="52"/>
      <c r="AX1248" s="52"/>
      <c r="AY1248" s="52"/>
      <c r="AZ1248" s="52"/>
      <c r="BA1248" s="52"/>
      <c r="BB1248" s="52"/>
      <c r="BC1248" s="52"/>
      <c r="BD1248" s="52"/>
      <c r="BE1248" s="52"/>
      <c r="BF1248" s="52"/>
      <c r="BG1248" s="52"/>
      <c r="BH1248" s="52"/>
      <c r="BI1248" s="52"/>
      <c r="BJ1248" s="52"/>
      <c r="BK1248" s="52"/>
      <c r="BL1248" s="52"/>
      <c r="BM1248" s="52"/>
      <c r="BN1248" s="52"/>
      <c r="BO1248" s="52"/>
    </row>
    <row r="1249">
      <c r="B1249" s="49"/>
      <c r="C1249" s="49" t="str">
        <f t="shared" si="2"/>
        <v/>
      </c>
      <c r="D1249" s="50" t="str">
        <f t="shared" si="3"/>
        <v/>
      </c>
      <c r="E1249" s="51" t="str">
        <f t="shared" ref="E1249:T1249" si="1250">IFERROR(VLOOKUP($A1249,INDIRECT("'" &amp; E$1 &amp; "'!$C:$G"), 5, FALSE),"")</f>
        <v/>
      </c>
      <c r="F1249" s="51" t="str">
        <f t="shared" si="1250"/>
        <v/>
      </c>
      <c r="G1249" s="51" t="str">
        <f t="shared" si="1250"/>
        <v/>
      </c>
      <c r="H1249" s="51" t="str">
        <f t="shared" si="1250"/>
        <v/>
      </c>
      <c r="I1249" s="51" t="str">
        <f t="shared" si="1250"/>
        <v/>
      </c>
      <c r="J1249" s="51" t="str">
        <f t="shared" si="1250"/>
        <v/>
      </c>
      <c r="K1249" s="51" t="str">
        <f t="shared" si="1250"/>
        <v/>
      </c>
      <c r="L1249" s="51" t="str">
        <f t="shared" si="1250"/>
        <v/>
      </c>
      <c r="M1249" s="51" t="str">
        <f t="shared" si="1250"/>
        <v/>
      </c>
      <c r="N1249" s="51" t="str">
        <f t="shared" si="1250"/>
        <v/>
      </c>
      <c r="O1249" s="51" t="str">
        <f t="shared" si="1250"/>
        <v/>
      </c>
      <c r="P1249" s="51" t="str">
        <f t="shared" si="1250"/>
        <v/>
      </c>
      <c r="Q1249" s="51" t="str">
        <f t="shared" si="1250"/>
        <v/>
      </c>
      <c r="R1249" s="51" t="str">
        <f t="shared" si="1250"/>
        <v/>
      </c>
      <c r="S1249" s="51" t="str">
        <f t="shared" si="1250"/>
        <v/>
      </c>
      <c r="T1249" s="51" t="str">
        <f t="shared" si="1250"/>
        <v/>
      </c>
      <c r="U1249" s="52"/>
      <c r="V1249" s="52"/>
      <c r="W1249" s="52"/>
      <c r="X1249" s="52"/>
      <c r="Y1249" s="52"/>
      <c r="Z1249" s="52"/>
      <c r="AA1249" s="52"/>
      <c r="AB1249" s="52"/>
      <c r="AC1249" s="52"/>
      <c r="AD1249" s="52"/>
      <c r="AE1249" s="52"/>
      <c r="AF1249" s="52"/>
      <c r="AG1249" s="52"/>
      <c r="AH1249" s="52"/>
      <c r="AI1249" s="52"/>
      <c r="AJ1249" s="52"/>
      <c r="AK1249" s="52"/>
      <c r="AL1249" s="52"/>
      <c r="AM1249" s="52"/>
      <c r="AN1249" s="52"/>
      <c r="AO1249" s="52"/>
      <c r="AP1249" s="52"/>
      <c r="AQ1249" s="52"/>
      <c r="AR1249" s="52"/>
      <c r="AS1249" s="52"/>
      <c r="AT1249" s="52"/>
      <c r="AU1249" s="52"/>
      <c r="AV1249" s="52"/>
      <c r="AW1249" s="52"/>
      <c r="AX1249" s="52"/>
      <c r="AY1249" s="52"/>
      <c r="AZ1249" s="52"/>
      <c r="BA1249" s="52"/>
      <c r="BB1249" s="52"/>
      <c r="BC1249" s="52"/>
      <c r="BD1249" s="52"/>
      <c r="BE1249" s="52"/>
      <c r="BF1249" s="52"/>
      <c r="BG1249" s="52"/>
      <c r="BH1249" s="52"/>
      <c r="BI1249" s="52"/>
      <c r="BJ1249" s="52"/>
      <c r="BK1249" s="52"/>
      <c r="BL1249" s="52"/>
      <c r="BM1249" s="52"/>
      <c r="BN1249" s="52"/>
      <c r="BO1249" s="52"/>
    </row>
    <row r="1250">
      <c r="B1250" s="49"/>
      <c r="C1250" s="49" t="str">
        <f t="shared" si="2"/>
        <v/>
      </c>
      <c r="D1250" s="50" t="str">
        <f t="shared" si="3"/>
        <v/>
      </c>
      <c r="E1250" s="51" t="str">
        <f t="shared" ref="E1250:T1250" si="1251">IFERROR(VLOOKUP($A1250,INDIRECT("'" &amp; E$1 &amp; "'!$C:$G"), 5, FALSE),"")</f>
        <v/>
      </c>
      <c r="F1250" s="51" t="str">
        <f t="shared" si="1251"/>
        <v/>
      </c>
      <c r="G1250" s="51" t="str">
        <f t="shared" si="1251"/>
        <v/>
      </c>
      <c r="H1250" s="51" t="str">
        <f t="shared" si="1251"/>
        <v/>
      </c>
      <c r="I1250" s="51" t="str">
        <f t="shared" si="1251"/>
        <v/>
      </c>
      <c r="J1250" s="51" t="str">
        <f t="shared" si="1251"/>
        <v/>
      </c>
      <c r="K1250" s="51" t="str">
        <f t="shared" si="1251"/>
        <v/>
      </c>
      <c r="L1250" s="51" t="str">
        <f t="shared" si="1251"/>
        <v/>
      </c>
      <c r="M1250" s="51" t="str">
        <f t="shared" si="1251"/>
        <v/>
      </c>
      <c r="N1250" s="51" t="str">
        <f t="shared" si="1251"/>
        <v/>
      </c>
      <c r="O1250" s="51" t="str">
        <f t="shared" si="1251"/>
        <v/>
      </c>
      <c r="P1250" s="51" t="str">
        <f t="shared" si="1251"/>
        <v/>
      </c>
      <c r="Q1250" s="51" t="str">
        <f t="shared" si="1251"/>
        <v/>
      </c>
      <c r="R1250" s="51" t="str">
        <f t="shared" si="1251"/>
        <v/>
      </c>
      <c r="S1250" s="51" t="str">
        <f t="shared" si="1251"/>
        <v/>
      </c>
      <c r="T1250" s="51" t="str">
        <f t="shared" si="1251"/>
        <v/>
      </c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2"/>
      <c r="AE1250" s="52"/>
      <c r="AF1250" s="52"/>
      <c r="AG1250" s="52"/>
      <c r="AH1250" s="52"/>
      <c r="AI1250" s="52"/>
      <c r="AJ1250" s="52"/>
      <c r="AK1250" s="52"/>
      <c r="AL1250" s="52"/>
      <c r="AM1250" s="52"/>
      <c r="AN1250" s="52"/>
      <c r="AO1250" s="52"/>
      <c r="AP1250" s="52"/>
      <c r="AQ1250" s="52"/>
      <c r="AR1250" s="52"/>
      <c r="AS1250" s="52"/>
      <c r="AT1250" s="52"/>
      <c r="AU1250" s="52"/>
      <c r="AV1250" s="52"/>
      <c r="AW1250" s="52"/>
      <c r="AX1250" s="52"/>
      <c r="AY1250" s="52"/>
      <c r="AZ1250" s="52"/>
      <c r="BA1250" s="52"/>
      <c r="BB1250" s="52"/>
      <c r="BC1250" s="52"/>
      <c r="BD1250" s="52"/>
      <c r="BE1250" s="52"/>
      <c r="BF1250" s="52"/>
      <c r="BG1250" s="52"/>
      <c r="BH1250" s="52"/>
      <c r="BI1250" s="52"/>
      <c r="BJ1250" s="52"/>
      <c r="BK1250" s="52"/>
      <c r="BL1250" s="52"/>
      <c r="BM1250" s="52"/>
      <c r="BN1250" s="52"/>
      <c r="BO1250" s="52"/>
    </row>
    <row r="1251">
      <c r="B1251" s="49"/>
      <c r="C1251" s="49" t="str">
        <f t="shared" si="2"/>
        <v/>
      </c>
      <c r="D1251" s="50" t="str">
        <f t="shared" si="3"/>
        <v/>
      </c>
      <c r="E1251" s="51" t="str">
        <f t="shared" ref="E1251:T1251" si="1252">IFERROR(VLOOKUP($A1251,INDIRECT("'" &amp; E$1 &amp; "'!$C:$G"), 5, FALSE),"")</f>
        <v/>
      </c>
      <c r="F1251" s="51" t="str">
        <f t="shared" si="1252"/>
        <v/>
      </c>
      <c r="G1251" s="51" t="str">
        <f t="shared" si="1252"/>
        <v/>
      </c>
      <c r="H1251" s="51" t="str">
        <f t="shared" si="1252"/>
        <v/>
      </c>
      <c r="I1251" s="51" t="str">
        <f t="shared" si="1252"/>
        <v/>
      </c>
      <c r="J1251" s="51" t="str">
        <f t="shared" si="1252"/>
        <v/>
      </c>
      <c r="K1251" s="51" t="str">
        <f t="shared" si="1252"/>
        <v/>
      </c>
      <c r="L1251" s="51" t="str">
        <f t="shared" si="1252"/>
        <v/>
      </c>
      <c r="M1251" s="51" t="str">
        <f t="shared" si="1252"/>
        <v/>
      </c>
      <c r="N1251" s="51" t="str">
        <f t="shared" si="1252"/>
        <v/>
      </c>
      <c r="O1251" s="51" t="str">
        <f t="shared" si="1252"/>
        <v/>
      </c>
      <c r="P1251" s="51" t="str">
        <f t="shared" si="1252"/>
        <v/>
      </c>
      <c r="Q1251" s="51" t="str">
        <f t="shared" si="1252"/>
        <v/>
      </c>
      <c r="R1251" s="51" t="str">
        <f t="shared" si="1252"/>
        <v/>
      </c>
      <c r="S1251" s="51" t="str">
        <f t="shared" si="1252"/>
        <v/>
      </c>
      <c r="T1251" s="51" t="str">
        <f t="shared" si="1252"/>
        <v/>
      </c>
      <c r="U1251" s="52"/>
      <c r="V1251" s="52"/>
      <c r="W1251" s="52"/>
      <c r="X1251" s="52"/>
      <c r="Y1251" s="52"/>
      <c r="Z1251" s="52"/>
      <c r="AA1251" s="52"/>
      <c r="AB1251" s="52"/>
      <c r="AC1251" s="52"/>
      <c r="AD1251" s="52"/>
      <c r="AE1251" s="52"/>
      <c r="AF1251" s="52"/>
      <c r="AG1251" s="52"/>
      <c r="AH1251" s="52"/>
      <c r="AI1251" s="52"/>
      <c r="AJ1251" s="52"/>
      <c r="AK1251" s="52"/>
      <c r="AL1251" s="52"/>
      <c r="AM1251" s="52"/>
      <c r="AN1251" s="52"/>
      <c r="AO1251" s="52"/>
      <c r="AP1251" s="52"/>
      <c r="AQ1251" s="52"/>
      <c r="AR1251" s="52"/>
      <c r="AS1251" s="52"/>
      <c r="AT1251" s="52"/>
      <c r="AU1251" s="52"/>
      <c r="AV1251" s="52"/>
      <c r="AW1251" s="52"/>
      <c r="AX1251" s="52"/>
      <c r="AY1251" s="52"/>
      <c r="AZ1251" s="52"/>
      <c r="BA1251" s="52"/>
      <c r="BB1251" s="52"/>
      <c r="BC1251" s="52"/>
      <c r="BD1251" s="52"/>
      <c r="BE1251" s="52"/>
      <c r="BF1251" s="52"/>
      <c r="BG1251" s="52"/>
      <c r="BH1251" s="52"/>
      <c r="BI1251" s="52"/>
      <c r="BJ1251" s="52"/>
      <c r="BK1251" s="52"/>
      <c r="BL1251" s="52"/>
      <c r="BM1251" s="52"/>
      <c r="BN1251" s="52"/>
      <c r="BO1251" s="52"/>
    </row>
    <row r="1252">
      <c r="B1252" s="49"/>
      <c r="C1252" s="49" t="str">
        <f t="shared" si="2"/>
        <v/>
      </c>
      <c r="D1252" s="50" t="str">
        <f t="shared" si="3"/>
        <v/>
      </c>
      <c r="E1252" s="51" t="str">
        <f t="shared" ref="E1252:T1252" si="1253">IFERROR(VLOOKUP($A1252,INDIRECT("'" &amp; E$1 &amp; "'!$C:$G"), 5, FALSE),"")</f>
        <v/>
      </c>
      <c r="F1252" s="51" t="str">
        <f t="shared" si="1253"/>
        <v/>
      </c>
      <c r="G1252" s="51" t="str">
        <f t="shared" si="1253"/>
        <v/>
      </c>
      <c r="H1252" s="51" t="str">
        <f t="shared" si="1253"/>
        <v/>
      </c>
      <c r="I1252" s="51" t="str">
        <f t="shared" si="1253"/>
        <v/>
      </c>
      <c r="J1252" s="51" t="str">
        <f t="shared" si="1253"/>
        <v/>
      </c>
      <c r="K1252" s="51" t="str">
        <f t="shared" si="1253"/>
        <v/>
      </c>
      <c r="L1252" s="51" t="str">
        <f t="shared" si="1253"/>
        <v/>
      </c>
      <c r="M1252" s="51" t="str">
        <f t="shared" si="1253"/>
        <v/>
      </c>
      <c r="N1252" s="51" t="str">
        <f t="shared" si="1253"/>
        <v/>
      </c>
      <c r="O1252" s="51" t="str">
        <f t="shared" si="1253"/>
        <v/>
      </c>
      <c r="P1252" s="51" t="str">
        <f t="shared" si="1253"/>
        <v/>
      </c>
      <c r="Q1252" s="51" t="str">
        <f t="shared" si="1253"/>
        <v/>
      </c>
      <c r="R1252" s="51" t="str">
        <f t="shared" si="1253"/>
        <v/>
      </c>
      <c r="S1252" s="51" t="str">
        <f t="shared" si="1253"/>
        <v/>
      </c>
      <c r="T1252" s="51" t="str">
        <f t="shared" si="1253"/>
        <v/>
      </c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2"/>
      <c r="AE1252" s="52"/>
      <c r="AF1252" s="52"/>
      <c r="AG1252" s="52"/>
      <c r="AH1252" s="52"/>
      <c r="AI1252" s="52"/>
      <c r="AJ1252" s="52"/>
      <c r="AK1252" s="52"/>
      <c r="AL1252" s="52"/>
      <c r="AM1252" s="52"/>
      <c r="AN1252" s="52"/>
      <c r="AO1252" s="52"/>
      <c r="AP1252" s="52"/>
      <c r="AQ1252" s="52"/>
      <c r="AR1252" s="52"/>
      <c r="AS1252" s="52"/>
      <c r="AT1252" s="52"/>
      <c r="AU1252" s="52"/>
      <c r="AV1252" s="52"/>
      <c r="AW1252" s="52"/>
      <c r="AX1252" s="52"/>
      <c r="AY1252" s="52"/>
      <c r="AZ1252" s="52"/>
      <c r="BA1252" s="52"/>
      <c r="BB1252" s="52"/>
      <c r="BC1252" s="52"/>
      <c r="BD1252" s="52"/>
      <c r="BE1252" s="52"/>
      <c r="BF1252" s="52"/>
      <c r="BG1252" s="52"/>
      <c r="BH1252" s="52"/>
      <c r="BI1252" s="52"/>
      <c r="BJ1252" s="52"/>
      <c r="BK1252" s="52"/>
      <c r="BL1252" s="52"/>
      <c r="BM1252" s="52"/>
      <c r="BN1252" s="52"/>
      <c r="BO1252" s="52"/>
    </row>
    <row r="1253">
      <c r="B1253" s="49"/>
      <c r="C1253" s="49" t="str">
        <f t="shared" si="2"/>
        <v/>
      </c>
      <c r="D1253" s="50" t="str">
        <f t="shared" si="3"/>
        <v/>
      </c>
      <c r="E1253" s="51" t="str">
        <f t="shared" ref="E1253:T1253" si="1254">IFERROR(VLOOKUP($A1253,INDIRECT("'" &amp; E$1 &amp; "'!$C:$G"), 5, FALSE),"")</f>
        <v/>
      </c>
      <c r="F1253" s="51" t="str">
        <f t="shared" si="1254"/>
        <v/>
      </c>
      <c r="G1253" s="51" t="str">
        <f t="shared" si="1254"/>
        <v/>
      </c>
      <c r="H1253" s="51" t="str">
        <f t="shared" si="1254"/>
        <v/>
      </c>
      <c r="I1253" s="51" t="str">
        <f t="shared" si="1254"/>
        <v/>
      </c>
      <c r="J1253" s="51" t="str">
        <f t="shared" si="1254"/>
        <v/>
      </c>
      <c r="K1253" s="51" t="str">
        <f t="shared" si="1254"/>
        <v/>
      </c>
      <c r="L1253" s="51" t="str">
        <f t="shared" si="1254"/>
        <v/>
      </c>
      <c r="M1253" s="51" t="str">
        <f t="shared" si="1254"/>
        <v/>
      </c>
      <c r="N1253" s="51" t="str">
        <f t="shared" si="1254"/>
        <v/>
      </c>
      <c r="O1253" s="51" t="str">
        <f t="shared" si="1254"/>
        <v/>
      </c>
      <c r="P1253" s="51" t="str">
        <f t="shared" si="1254"/>
        <v/>
      </c>
      <c r="Q1253" s="51" t="str">
        <f t="shared" si="1254"/>
        <v/>
      </c>
      <c r="R1253" s="51" t="str">
        <f t="shared" si="1254"/>
        <v/>
      </c>
      <c r="S1253" s="51" t="str">
        <f t="shared" si="1254"/>
        <v/>
      </c>
      <c r="T1253" s="51" t="str">
        <f t="shared" si="1254"/>
        <v/>
      </c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2"/>
      <c r="AS1253" s="52"/>
      <c r="AT1253" s="52"/>
      <c r="AU1253" s="52"/>
      <c r="AV1253" s="52"/>
      <c r="AW1253" s="52"/>
      <c r="AX1253" s="52"/>
      <c r="AY1253" s="52"/>
      <c r="AZ1253" s="52"/>
      <c r="BA1253" s="52"/>
      <c r="BB1253" s="52"/>
      <c r="BC1253" s="52"/>
      <c r="BD1253" s="52"/>
      <c r="BE1253" s="52"/>
      <c r="BF1253" s="52"/>
      <c r="BG1253" s="52"/>
      <c r="BH1253" s="52"/>
      <c r="BI1253" s="52"/>
      <c r="BJ1253" s="52"/>
      <c r="BK1253" s="52"/>
      <c r="BL1253" s="52"/>
      <c r="BM1253" s="52"/>
      <c r="BN1253" s="52"/>
      <c r="BO1253" s="52"/>
    </row>
    <row r="1254">
      <c r="B1254" s="49"/>
      <c r="C1254" s="49" t="str">
        <f t="shared" si="2"/>
        <v/>
      </c>
      <c r="D1254" s="50" t="str">
        <f t="shared" si="3"/>
        <v/>
      </c>
      <c r="E1254" s="51" t="str">
        <f t="shared" ref="E1254:T1254" si="1255">IFERROR(VLOOKUP($A1254,INDIRECT("'" &amp; E$1 &amp; "'!$C:$G"), 5, FALSE),"")</f>
        <v/>
      </c>
      <c r="F1254" s="51" t="str">
        <f t="shared" si="1255"/>
        <v/>
      </c>
      <c r="G1254" s="51" t="str">
        <f t="shared" si="1255"/>
        <v/>
      </c>
      <c r="H1254" s="51" t="str">
        <f t="shared" si="1255"/>
        <v/>
      </c>
      <c r="I1254" s="51" t="str">
        <f t="shared" si="1255"/>
        <v/>
      </c>
      <c r="J1254" s="51" t="str">
        <f t="shared" si="1255"/>
        <v/>
      </c>
      <c r="K1254" s="51" t="str">
        <f t="shared" si="1255"/>
        <v/>
      </c>
      <c r="L1254" s="51" t="str">
        <f t="shared" si="1255"/>
        <v/>
      </c>
      <c r="M1254" s="51" t="str">
        <f t="shared" si="1255"/>
        <v/>
      </c>
      <c r="N1254" s="51" t="str">
        <f t="shared" si="1255"/>
        <v/>
      </c>
      <c r="O1254" s="51" t="str">
        <f t="shared" si="1255"/>
        <v/>
      </c>
      <c r="P1254" s="51" t="str">
        <f t="shared" si="1255"/>
        <v/>
      </c>
      <c r="Q1254" s="51" t="str">
        <f t="shared" si="1255"/>
        <v/>
      </c>
      <c r="R1254" s="51" t="str">
        <f t="shared" si="1255"/>
        <v/>
      </c>
      <c r="S1254" s="51" t="str">
        <f t="shared" si="1255"/>
        <v/>
      </c>
      <c r="T1254" s="51" t="str">
        <f t="shared" si="1255"/>
        <v/>
      </c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2"/>
      <c r="AE1254" s="52"/>
      <c r="AF1254" s="52"/>
      <c r="AG1254" s="52"/>
      <c r="AH1254" s="52"/>
      <c r="AI1254" s="52"/>
      <c r="AJ1254" s="52"/>
      <c r="AK1254" s="52"/>
      <c r="AL1254" s="52"/>
      <c r="AM1254" s="52"/>
      <c r="AN1254" s="52"/>
      <c r="AO1254" s="52"/>
      <c r="AP1254" s="52"/>
      <c r="AQ1254" s="52"/>
      <c r="AR1254" s="52"/>
      <c r="AS1254" s="52"/>
      <c r="AT1254" s="52"/>
      <c r="AU1254" s="52"/>
      <c r="AV1254" s="52"/>
      <c r="AW1254" s="52"/>
      <c r="AX1254" s="52"/>
      <c r="AY1254" s="52"/>
      <c r="AZ1254" s="52"/>
      <c r="BA1254" s="52"/>
      <c r="BB1254" s="52"/>
      <c r="BC1254" s="52"/>
      <c r="BD1254" s="52"/>
      <c r="BE1254" s="52"/>
      <c r="BF1254" s="52"/>
      <c r="BG1254" s="52"/>
      <c r="BH1254" s="52"/>
      <c r="BI1254" s="52"/>
      <c r="BJ1254" s="52"/>
      <c r="BK1254" s="52"/>
      <c r="BL1254" s="52"/>
      <c r="BM1254" s="52"/>
      <c r="BN1254" s="52"/>
      <c r="BO1254" s="52"/>
    </row>
    <row r="1255">
      <c r="B1255" s="49"/>
      <c r="C1255" s="49" t="str">
        <f t="shared" si="2"/>
        <v/>
      </c>
      <c r="D1255" s="50" t="str">
        <f t="shared" si="3"/>
        <v/>
      </c>
      <c r="E1255" s="51" t="str">
        <f t="shared" ref="E1255:T1255" si="1256">IFERROR(VLOOKUP($A1255,INDIRECT("'" &amp; E$1 &amp; "'!$C:$G"), 5, FALSE),"")</f>
        <v/>
      </c>
      <c r="F1255" s="51" t="str">
        <f t="shared" si="1256"/>
        <v/>
      </c>
      <c r="G1255" s="51" t="str">
        <f t="shared" si="1256"/>
        <v/>
      </c>
      <c r="H1255" s="51" t="str">
        <f t="shared" si="1256"/>
        <v/>
      </c>
      <c r="I1255" s="51" t="str">
        <f t="shared" si="1256"/>
        <v/>
      </c>
      <c r="J1255" s="51" t="str">
        <f t="shared" si="1256"/>
        <v/>
      </c>
      <c r="K1255" s="51" t="str">
        <f t="shared" si="1256"/>
        <v/>
      </c>
      <c r="L1255" s="51" t="str">
        <f t="shared" si="1256"/>
        <v/>
      </c>
      <c r="M1255" s="51" t="str">
        <f t="shared" si="1256"/>
        <v/>
      </c>
      <c r="N1255" s="51" t="str">
        <f t="shared" si="1256"/>
        <v/>
      </c>
      <c r="O1255" s="51" t="str">
        <f t="shared" si="1256"/>
        <v/>
      </c>
      <c r="P1255" s="51" t="str">
        <f t="shared" si="1256"/>
        <v/>
      </c>
      <c r="Q1255" s="51" t="str">
        <f t="shared" si="1256"/>
        <v/>
      </c>
      <c r="R1255" s="51" t="str">
        <f t="shared" si="1256"/>
        <v/>
      </c>
      <c r="S1255" s="51" t="str">
        <f t="shared" si="1256"/>
        <v/>
      </c>
      <c r="T1255" s="51" t="str">
        <f t="shared" si="1256"/>
        <v/>
      </c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2"/>
      <c r="AE1255" s="52"/>
      <c r="AF1255" s="52"/>
      <c r="AG1255" s="52"/>
      <c r="AH1255" s="52"/>
      <c r="AI1255" s="52"/>
      <c r="AJ1255" s="52"/>
      <c r="AK1255" s="52"/>
      <c r="AL1255" s="52"/>
      <c r="AM1255" s="52"/>
      <c r="AN1255" s="52"/>
      <c r="AO1255" s="52"/>
      <c r="AP1255" s="52"/>
      <c r="AQ1255" s="52"/>
      <c r="AR1255" s="52"/>
      <c r="AS1255" s="52"/>
      <c r="AT1255" s="52"/>
      <c r="AU1255" s="52"/>
      <c r="AV1255" s="52"/>
      <c r="AW1255" s="52"/>
      <c r="AX1255" s="52"/>
      <c r="AY1255" s="52"/>
      <c r="AZ1255" s="52"/>
      <c r="BA1255" s="52"/>
      <c r="BB1255" s="52"/>
      <c r="BC1255" s="52"/>
      <c r="BD1255" s="52"/>
      <c r="BE1255" s="52"/>
      <c r="BF1255" s="52"/>
      <c r="BG1255" s="52"/>
      <c r="BH1255" s="52"/>
      <c r="BI1255" s="52"/>
      <c r="BJ1255" s="52"/>
      <c r="BK1255" s="52"/>
      <c r="BL1255" s="52"/>
      <c r="BM1255" s="52"/>
      <c r="BN1255" s="52"/>
      <c r="BO1255" s="52"/>
    </row>
    <row r="1256">
      <c r="B1256" s="49"/>
      <c r="C1256" s="49" t="str">
        <f t="shared" si="2"/>
        <v/>
      </c>
      <c r="D1256" s="50" t="str">
        <f t="shared" si="3"/>
        <v/>
      </c>
      <c r="E1256" s="51" t="str">
        <f t="shared" ref="E1256:T1256" si="1257">IFERROR(VLOOKUP($A1256,INDIRECT("'" &amp; E$1 &amp; "'!$C:$G"), 5, FALSE),"")</f>
        <v/>
      </c>
      <c r="F1256" s="51" t="str">
        <f t="shared" si="1257"/>
        <v/>
      </c>
      <c r="G1256" s="51" t="str">
        <f t="shared" si="1257"/>
        <v/>
      </c>
      <c r="H1256" s="51" t="str">
        <f t="shared" si="1257"/>
        <v/>
      </c>
      <c r="I1256" s="51" t="str">
        <f t="shared" si="1257"/>
        <v/>
      </c>
      <c r="J1256" s="51" t="str">
        <f t="shared" si="1257"/>
        <v/>
      </c>
      <c r="K1256" s="51" t="str">
        <f t="shared" si="1257"/>
        <v/>
      </c>
      <c r="L1256" s="51" t="str">
        <f t="shared" si="1257"/>
        <v/>
      </c>
      <c r="M1256" s="51" t="str">
        <f t="shared" si="1257"/>
        <v/>
      </c>
      <c r="N1256" s="51" t="str">
        <f t="shared" si="1257"/>
        <v/>
      </c>
      <c r="O1256" s="51" t="str">
        <f t="shared" si="1257"/>
        <v/>
      </c>
      <c r="P1256" s="51" t="str">
        <f t="shared" si="1257"/>
        <v/>
      </c>
      <c r="Q1256" s="51" t="str">
        <f t="shared" si="1257"/>
        <v/>
      </c>
      <c r="R1256" s="51" t="str">
        <f t="shared" si="1257"/>
        <v/>
      </c>
      <c r="S1256" s="51" t="str">
        <f t="shared" si="1257"/>
        <v/>
      </c>
      <c r="T1256" s="51" t="str">
        <f t="shared" si="1257"/>
        <v/>
      </c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2"/>
      <c r="AE1256" s="52"/>
      <c r="AF1256" s="52"/>
      <c r="AG1256" s="52"/>
      <c r="AH1256" s="52"/>
      <c r="AI1256" s="52"/>
      <c r="AJ1256" s="52"/>
      <c r="AK1256" s="52"/>
      <c r="AL1256" s="52"/>
      <c r="AM1256" s="52"/>
      <c r="AN1256" s="52"/>
      <c r="AO1256" s="52"/>
      <c r="AP1256" s="52"/>
      <c r="AQ1256" s="52"/>
      <c r="AR1256" s="52"/>
      <c r="AS1256" s="52"/>
      <c r="AT1256" s="52"/>
      <c r="AU1256" s="52"/>
      <c r="AV1256" s="52"/>
      <c r="AW1256" s="52"/>
      <c r="AX1256" s="52"/>
      <c r="AY1256" s="52"/>
      <c r="AZ1256" s="52"/>
      <c r="BA1256" s="52"/>
      <c r="BB1256" s="52"/>
      <c r="BC1256" s="52"/>
      <c r="BD1256" s="52"/>
      <c r="BE1256" s="52"/>
      <c r="BF1256" s="52"/>
      <c r="BG1256" s="52"/>
      <c r="BH1256" s="52"/>
      <c r="BI1256" s="52"/>
      <c r="BJ1256" s="52"/>
      <c r="BK1256" s="52"/>
      <c r="BL1256" s="52"/>
      <c r="BM1256" s="52"/>
      <c r="BN1256" s="52"/>
      <c r="BO1256" s="52"/>
    </row>
    <row r="1257">
      <c r="B1257" s="49"/>
      <c r="C1257" s="49" t="str">
        <f t="shared" si="2"/>
        <v/>
      </c>
      <c r="D1257" s="50" t="str">
        <f t="shared" si="3"/>
        <v/>
      </c>
      <c r="E1257" s="51" t="str">
        <f t="shared" ref="E1257:T1257" si="1258">IFERROR(VLOOKUP($A1257,INDIRECT("'" &amp; E$1 &amp; "'!$C:$G"), 5, FALSE),"")</f>
        <v/>
      </c>
      <c r="F1257" s="51" t="str">
        <f t="shared" si="1258"/>
        <v/>
      </c>
      <c r="G1257" s="51" t="str">
        <f t="shared" si="1258"/>
        <v/>
      </c>
      <c r="H1257" s="51" t="str">
        <f t="shared" si="1258"/>
        <v/>
      </c>
      <c r="I1257" s="51" t="str">
        <f t="shared" si="1258"/>
        <v/>
      </c>
      <c r="J1257" s="51" t="str">
        <f t="shared" si="1258"/>
        <v/>
      </c>
      <c r="K1257" s="51" t="str">
        <f t="shared" si="1258"/>
        <v/>
      </c>
      <c r="L1257" s="51" t="str">
        <f t="shared" si="1258"/>
        <v/>
      </c>
      <c r="M1257" s="51" t="str">
        <f t="shared" si="1258"/>
        <v/>
      </c>
      <c r="N1257" s="51" t="str">
        <f t="shared" si="1258"/>
        <v/>
      </c>
      <c r="O1257" s="51" t="str">
        <f t="shared" si="1258"/>
        <v/>
      </c>
      <c r="P1257" s="51" t="str">
        <f t="shared" si="1258"/>
        <v/>
      </c>
      <c r="Q1257" s="51" t="str">
        <f t="shared" si="1258"/>
        <v/>
      </c>
      <c r="R1257" s="51" t="str">
        <f t="shared" si="1258"/>
        <v/>
      </c>
      <c r="S1257" s="51" t="str">
        <f t="shared" si="1258"/>
        <v/>
      </c>
      <c r="T1257" s="51" t="str">
        <f t="shared" si="1258"/>
        <v/>
      </c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2"/>
      <c r="AE1257" s="52"/>
      <c r="AF1257" s="52"/>
      <c r="AG1257" s="52"/>
      <c r="AH1257" s="52"/>
      <c r="AI1257" s="52"/>
      <c r="AJ1257" s="52"/>
      <c r="AK1257" s="52"/>
      <c r="AL1257" s="52"/>
      <c r="AM1257" s="52"/>
      <c r="AN1257" s="52"/>
      <c r="AO1257" s="52"/>
      <c r="AP1257" s="52"/>
      <c r="AQ1257" s="52"/>
      <c r="AR1257" s="52"/>
      <c r="AS1257" s="52"/>
      <c r="AT1257" s="52"/>
      <c r="AU1257" s="52"/>
      <c r="AV1257" s="52"/>
      <c r="AW1257" s="52"/>
      <c r="AX1257" s="52"/>
      <c r="AY1257" s="52"/>
      <c r="AZ1257" s="52"/>
      <c r="BA1257" s="52"/>
      <c r="BB1257" s="52"/>
      <c r="BC1257" s="52"/>
      <c r="BD1257" s="52"/>
      <c r="BE1257" s="52"/>
      <c r="BF1257" s="52"/>
      <c r="BG1257" s="52"/>
      <c r="BH1257" s="52"/>
      <c r="BI1257" s="52"/>
      <c r="BJ1257" s="52"/>
      <c r="BK1257" s="52"/>
      <c r="BL1257" s="52"/>
      <c r="BM1257" s="52"/>
      <c r="BN1257" s="52"/>
      <c r="BO1257" s="52"/>
    </row>
    <row r="1258">
      <c r="B1258" s="49"/>
      <c r="C1258" s="49" t="str">
        <f t="shared" si="2"/>
        <v/>
      </c>
      <c r="D1258" s="50" t="str">
        <f t="shared" si="3"/>
        <v/>
      </c>
      <c r="E1258" s="51" t="str">
        <f t="shared" ref="E1258:T1258" si="1259">IFERROR(VLOOKUP($A1258,INDIRECT("'" &amp; E$1 &amp; "'!$C:$G"), 5, FALSE),"")</f>
        <v/>
      </c>
      <c r="F1258" s="51" t="str">
        <f t="shared" si="1259"/>
        <v/>
      </c>
      <c r="G1258" s="51" t="str">
        <f t="shared" si="1259"/>
        <v/>
      </c>
      <c r="H1258" s="51" t="str">
        <f t="shared" si="1259"/>
        <v/>
      </c>
      <c r="I1258" s="51" t="str">
        <f t="shared" si="1259"/>
        <v/>
      </c>
      <c r="J1258" s="51" t="str">
        <f t="shared" si="1259"/>
        <v/>
      </c>
      <c r="K1258" s="51" t="str">
        <f t="shared" si="1259"/>
        <v/>
      </c>
      <c r="L1258" s="51" t="str">
        <f t="shared" si="1259"/>
        <v/>
      </c>
      <c r="M1258" s="51" t="str">
        <f t="shared" si="1259"/>
        <v/>
      </c>
      <c r="N1258" s="51" t="str">
        <f t="shared" si="1259"/>
        <v/>
      </c>
      <c r="O1258" s="51" t="str">
        <f t="shared" si="1259"/>
        <v/>
      </c>
      <c r="P1258" s="51" t="str">
        <f t="shared" si="1259"/>
        <v/>
      </c>
      <c r="Q1258" s="51" t="str">
        <f t="shared" si="1259"/>
        <v/>
      </c>
      <c r="R1258" s="51" t="str">
        <f t="shared" si="1259"/>
        <v/>
      </c>
      <c r="S1258" s="51" t="str">
        <f t="shared" si="1259"/>
        <v/>
      </c>
      <c r="T1258" s="51" t="str">
        <f t="shared" si="1259"/>
        <v/>
      </c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  <c r="AH1258" s="52"/>
      <c r="AI1258" s="52"/>
      <c r="AJ1258" s="52"/>
      <c r="AK1258" s="52"/>
      <c r="AL1258" s="52"/>
      <c r="AM1258" s="52"/>
      <c r="AN1258" s="52"/>
      <c r="AO1258" s="52"/>
      <c r="AP1258" s="52"/>
      <c r="AQ1258" s="52"/>
      <c r="AR1258" s="52"/>
      <c r="AS1258" s="52"/>
      <c r="AT1258" s="52"/>
      <c r="AU1258" s="52"/>
      <c r="AV1258" s="52"/>
      <c r="AW1258" s="52"/>
      <c r="AX1258" s="52"/>
      <c r="AY1258" s="52"/>
      <c r="AZ1258" s="52"/>
      <c r="BA1258" s="52"/>
      <c r="BB1258" s="52"/>
      <c r="BC1258" s="52"/>
      <c r="BD1258" s="52"/>
      <c r="BE1258" s="52"/>
      <c r="BF1258" s="52"/>
      <c r="BG1258" s="52"/>
      <c r="BH1258" s="52"/>
      <c r="BI1258" s="52"/>
      <c r="BJ1258" s="52"/>
      <c r="BK1258" s="52"/>
      <c r="BL1258" s="52"/>
      <c r="BM1258" s="52"/>
      <c r="BN1258" s="52"/>
      <c r="BO1258" s="52"/>
    </row>
    <row r="1259">
      <c r="B1259" s="49"/>
      <c r="C1259" s="49" t="str">
        <f t="shared" si="2"/>
        <v/>
      </c>
      <c r="D1259" s="50" t="str">
        <f t="shared" si="3"/>
        <v/>
      </c>
      <c r="E1259" s="51" t="str">
        <f t="shared" ref="E1259:T1259" si="1260">IFERROR(VLOOKUP($A1259,INDIRECT("'" &amp; E$1 &amp; "'!$C:$G"), 5, FALSE),"")</f>
        <v/>
      </c>
      <c r="F1259" s="51" t="str">
        <f t="shared" si="1260"/>
        <v/>
      </c>
      <c r="G1259" s="51" t="str">
        <f t="shared" si="1260"/>
        <v/>
      </c>
      <c r="H1259" s="51" t="str">
        <f t="shared" si="1260"/>
        <v/>
      </c>
      <c r="I1259" s="51" t="str">
        <f t="shared" si="1260"/>
        <v/>
      </c>
      <c r="J1259" s="51" t="str">
        <f t="shared" si="1260"/>
        <v/>
      </c>
      <c r="K1259" s="51" t="str">
        <f t="shared" si="1260"/>
        <v/>
      </c>
      <c r="L1259" s="51" t="str">
        <f t="shared" si="1260"/>
        <v/>
      </c>
      <c r="M1259" s="51" t="str">
        <f t="shared" si="1260"/>
        <v/>
      </c>
      <c r="N1259" s="51" t="str">
        <f t="shared" si="1260"/>
        <v/>
      </c>
      <c r="O1259" s="51" t="str">
        <f t="shared" si="1260"/>
        <v/>
      </c>
      <c r="P1259" s="51" t="str">
        <f t="shared" si="1260"/>
        <v/>
      </c>
      <c r="Q1259" s="51" t="str">
        <f t="shared" si="1260"/>
        <v/>
      </c>
      <c r="R1259" s="51" t="str">
        <f t="shared" si="1260"/>
        <v/>
      </c>
      <c r="S1259" s="51" t="str">
        <f t="shared" si="1260"/>
        <v/>
      </c>
      <c r="T1259" s="51" t="str">
        <f t="shared" si="1260"/>
        <v/>
      </c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2"/>
      <c r="AE1259" s="52"/>
      <c r="AF1259" s="52"/>
      <c r="AG1259" s="52"/>
      <c r="AH1259" s="52"/>
      <c r="AI1259" s="52"/>
      <c r="AJ1259" s="52"/>
      <c r="AK1259" s="52"/>
      <c r="AL1259" s="52"/>
      <c r="AM1259" s="52"/>
      <c r="AN1259" s="52"/>
      <c r="AO1259" s="52"/>
      <c r="AP1259" s="52"/>
      <c r="AQ1259" s="52"/>
      <c r="AR1259" s="52"/>
      <c r="AS1259" s="52"/>
      <c r="AT1259" s="52"/>
      <c r="AU1259" s="52"/>
      <c r="AV1259" s="52"/>
      <c r="AW1259" s="52"/>
      <c r="AX1259" s="52"/>
      <c r="AY1259" s="52"/>
      <c r="AZ1259" s="52"/>
      <c r="BA1259" s="52"/>
      <c r="BB1259" s="52"/>
      <c r="BC1259" s="52"/>
      <c r="BD1259" s="52"/>
      <c r="BE1259" s="52"/>
      <c r="BF1259" s="52"/>
      <c r="BG1259" s="52"/>
      <c r="BH1259" s="52"/>
      <c r="BI1259" s="52"/>
      <c r="BJ1259" s="52"/>
      <c r="BK1259" s="52"/>
      <c r="BL1259" s="52"/>
      <c r="BM1259" s="52"/>
      <c r="BN1259" s="52"/>
      <c r="BO1259" s="52"/>
    </row>
    <row r="1260">
      <c r="B1260" s="49"/>
      <c r="C1260" s="49" t="str">
        <f t="shared" si="2"/>
        <v/>
      </c>
      <c r="D1260" s="50" t="str">
        <f t="shared" si="3"/>
        <v/>
      </c>
      <c r="E1260" s="51" t="str">
        <f t="shared" ref="E1260:T1260" si="1261">IFERROR(VLOOKUP($A1260,INDIRECT("'" &amp; E$1 &amp; "'!$C:$G"), 5, FALSE),"")</f>
        <v/>
      </c>
      <c r="F1260" s="51" t="str">
        <f t="shared" si="1261"/>
        <v/>
      </c>
      <c r="G1260" s="51" t="str">
        <f t="shared" si="1261"/>
        <v/>
      </c>
      <c r="H1260" s="51" t="str">
        <f t="shared" si="1261"/>
        <v/>
      </c>
      <c r="I1260" s="51" t="str">
        <f t="shared" si="1261"/>
        <v/>
      </c>
      <c r="J1260" s="51" t="str">
        <f t="shared" si="1261"/>
        <v/>
      </c>
      <c r="K1260" s="51" t="str">
        <f t="shared" si="1261"/>
        <v/>
      </c>
      <c r="L1260" s="51" t="str">
        <f t="shared" si="1261"/>
        <v/>
      </c>
      <c r="M1260" s="51" t="str">
        <f t="shared" si="1261"/>
        <v/>
      </c>
      <c r="N1260" s="51" t="str">
        <f t="shared" si="1261"/>
        <v/>
      </c>
      <c r="O1260" s="51" t="str">
        <f t="shared" si="1261"/>
        <v/>
      </c>
      <c r="P1260" s="51" t="str">
        <f t="shared" si="1261"/>
        <v/>
      </c>
      <c r="Q1260" s="51" t="str">
        <f t="shared" si="1261"/>
        <v/>
      </c>
      <c r="R1260" s="51" t="str">
        <f t="shared" si="1261"/>
        <v/>
      </c>
      <c r="S1260" s="51" t="str">
        <f t="shared" si="1261"/>
        <v/>
      </c>
      <c r="T1260" s="51" t="str">
        <f t="shared" si="1261"/>
        <v/>
      </c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  <c r="AH1260" s="52"/>
      <c r="AI1260" s="52"/>
      <c r="AJ1260" s="52"/>
      <c r="AK1260" s="52"/>
      <c r="AL1260" s="52"/>
      <c r="AM1260" s="52"/>
      <c r="AN1260" s="52"/>
      <c r="AO1260" s="52"/>
      <c r="AP1260" s="52"/>
      <c r="AQ1260" s="52"/>
      <c r="AR1260" s="52"/>
      <c r="AS1260" s="52"/>
      <c r="AT1260" s="52"/>
      <c r="AU1260" s="52"/>
      <c r="AV1260" s="52"/>
      <c r="AW1260" s="52"/>
      <c r="AX1260" s="52"/>
      <c r="AY1260" s="52"/>
      <c r="AZ1260" s="52"/>
      <c r="BA1260" s="52"/>
      <c r="BB1260" s="52"/>
      <c r="BC1260" s="52"/>
      <c r="BD1260" s="52"/>
      <c r="BE1260" s="52"/>
      <c r="BF1260" s="52"/>
      <c r="BG1260" s="52"/>
      <c r="BH1260" s="52"/>
      <c r="BI1260" s="52"/>
      <c r="BJ1260" s="52"/>
      <c r="BK1260" s="52"/>
      <c r="BL1260" s="52"/>
      <c r="BM1260" s="52"/>
      <c r="BN1260" s="52"/>
      <c r="BO1260" s="52"/>
    </row>
    <row r="1261">
      <c r="B1261" s="49"/>
      <c r="C1261" s="49" t="str">
        <f t="shared" si="2"/>
        <v/>
      </c>
      <c r="D1261" s="50" t="str">
        <f t="shared" si="3"/>
        <v/>
      </c>
      <c r="E1261" s="51" t="str">
        <f t="shared" ref="E1261:T1261" si="1262">IFERROR(VLOOKUP($A1261,INDIRECT("'" &amp; E$1 &amp; "'!$C:$G"), 5, FALSE),"")</f>
        <v/>
      </c>
      <c r="F1261" s="51" t="str">
        <f t="shared" si="1262"/>
        <v/>
      </c>
      <c r="G1261" s="51" t="str">
        <f t="shared" si="1262"/>
        <v/>
      </c>
      <c r="H1261" s="51" t="str">
        <f t="shared" si="1262"/>
        <v/>
      </c>
      <c r="I1261" s="51" t="str">
        <f t="shared" si="1262"/>
        <v/>
      </c>
      <c r="J1261" s="51" t="str">
        <f t="shared" si="1262"/>
        <v/>
      </c>
      <c r="K1261" s="51" t="str">
        <f t="shared" si="1262"/>
        <v/>
      </c>
      <c r="L1261" s="51" t="str">
        <f t="shared" si="1262"/>
        <v/>
      </c>
      <c r="M1261" s="51" t="str">
        <f t="shared" si="1262"/>
        <v/>
      </c>
      <c r="N1261" s="51" t="str">
        <f t="shared" si="1262"/>
        <v/>
      </c>
      <c r="O1261" s="51" t="str">
        <f t="shared" si="1262"/>
        <v/>
      </c>
      <c r="P1261" s="51" t="str">
        <f t="shared" si="1262"/>
        <v/>
      </c>
      <c r="Q1261" s="51" t="str">
        <f t="shared" si="1262"/>
        <v/>
      </c>
      <c r="R1261" s="51" t="str">
        <f t="shared" si="1262"/>
        <v/>
      </c>
      <c r="S1261" s="51" t="str">
        <f t="shared" si="1262"/>
        <v/>
      </c>
      <c r="T1261" s="51" t="str">
        <f t="shared" si="1262"/>
        <v/>
      </c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2"/>
      <c r="AE1261" s="52"/>
      <c r="AF1261" s="52"/>
      <c r="AG1261" s="52"/>
      <c r="AH1261" s="52"/>
      <c r="AI1261" s="52"/>
      <c r="AJ1261" s="52"/>
      <c r="AK1261" s="52"/>
      <c r="AL1261" s="52"/>
      <c r="AM1261" s="52"/>
      <c r="AN1261" s="52"/>
      <c r="AO1261" s="52"/>
      <c r="AP1261" s="52"/>
      <c r="AQ1261" s="52"/>
      <c r="AR1261" s="52"/>
      <c r="AS1261" s="52"/>
      <c r="AT1261" s="52"/>
      <c r="AU1261" s="52"/>
      <c r="AV1261" s="52"/>
      <c r="AW1261" s="52"/>
      <c r="AX1261" s="52"/>
      <c r="AY1261" s="52"/>
      <c r="AZ1261" s="52"/>
      <c r="BA1261" s="52"/>
      <c r="BB1261" s="52"/>
      <c r="BC1261" s="52"/>
      <c r="BD1261" s="52"/>
      <c r="BE1261" s="52"/>
      <c r="BF1261" s="52"/>
      <c r="BG1261" s="52"/>
      <c r="BH1261" s="52"/>
      <c r="BI1261" s="52"/>
      <c r="BJ1261" s="52"/>
      <c r="BK1261" s="52"/>
      <c r="BL1261" s="52"/>
      <c r="BM1261" s="52"/>
      <c r="BN1261" s="52"/>
      <c r="BO1261" s="52"/>
    </row>
    <row r="1262">
      <c r="B1262" s="49"/>
      <c r="C1262" s="49" t="str">
        <f t="shared" si="2"/>
        <v/>
      </c>
      <c r="D1262" s="50" t="str">
        <f t="shared" si="3"/>
        <v/>
      </c>
      <c r="E1262" s="51" t="str">
        <f t="shared" ref="E1262:T1262" si="1263">IFERROR(VLOOKUP($A1262,INDIRECT("'" &amp; E$1 &amp; "'!$C:$G"), 5, FALSE),"")</f>
        <v/>
      </c>
      <c r="F1262" s="51" t="str">
        <f t="shared" si="1263"/>
        <v/>
      </c>
      <c r="G1262" s="51" t="str">
        <f t="shared" si="1263"/>
        <v/>
      </c>
      <c r="H1262" s="51" t="str">
        <f t="shared" si="1263"/>
        <v/>
      </c>
      <c r="I1262" s="51" t="str">
        <f t="shared" si="1263"/>
        <v/>
      </c>
      <c r="J1262" s="51" t="str">
        <f t="shared" si="1263"/>
        <v/>
      </c>
      <c r="K1262" s="51" t="str">
        <f t="shared" si="1263"/>
        <v/>
      </c>
      <c r="L1262" s="51" t="str">
        <f t="shared" si="1263"/>
        <v/>
      </c>
      <c r="M1262" s="51" t="str">
        <f t="shared" si="1263"/>
        <v/>
      </c>
      <c r="N1262" s="51" t="str">
        <f t="shared" si="1263"/>
        <v/>
      </c>
      <c r="O1262" s="51" t="str">
        <f t="shared" si="1263"/>
        <v/>
      </c>
      <c r="P1262" s="51" t="str">
        <f t="shared" si="1263"/>
        <v/>
      </c>
      <c r="Q1262" s="51" t="str">
        <f t="shared" si="1263"/>
        <v/>
      </c>
      <c r="R1262" s="51" t="str">
        <f t="shared" si="1263"/>
        <v/>
      </c>
      <c r="S1262" s="51" t="str">
        <f t="shared" si="1263"/>
        <v/>
      </c>
      <c r="T1262" s="51" t="str">
        <f t="shared" si="1263"/>
        <v/>
      </c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2"/>
      <c r="AE1262" s="52"/>
      <c r="AF1262" s="52"/>
      <c r="AG1262" s="52"/>
      <c r="AH1262" s="52"/>
      <c r="AI1262" s="52"/>
      <c r="AJ1262" s="52"/>
      <c r="AK1262" s="52"/>
      <c r="AL1262" s="52"/>
      <c r="AM1262" s="52"/>
      <c r="AN1262" s="52"/>
      <c r="AO1262" s="52"/>
      <c r="AP1262" s="52"/>
      <c r="AQ1262" s="52"/>
      <c r="AR1262" s="52"/>
      <c r="AS1262" s="52"/>
      <c r="AT1262" s="52"/>
      <c r="AU1262" s="52"/>
      <c r="AV1262" s="52"/>
      <c r="AW1262" s="52"/>
      <c r="AX1262" s="52"/>
      <c r="AY1262" s="52"/>
      <c r="AZ1262" s="52"/>
      <c r="BA1262" s="52"/>
      <c r="BB1262" s="52"/>
      <c r="BC1262" s="52"/>
      <c r="BD1262" s="52"/>
      <c r="BE1262" s="52"/>
      <c r="BF1262" s="52"/>
      <c r="BG1262" s="52"/>
      <c r="BH1262" s="52"/>
      <c r="BI1262" s="52"/>
      <c r="BJ1262" s="52"/>
      <c r="BK1262" s="52"/>
      <c r="BL1262" s="52"/>
      <c r="BM1262" s="52"/>
      <c r="BN1262" s="52"/>
      <c r="BO1262" s="52"/>
    </row>
    <row r="1263">
      <c r="B1263" s="49"/>
      <c r="C1263" s="49" t="str">
        <f t="shared" si="2"/>
        <v/>
      </c>
      <c r="D1263" s="50" t="str">
        <f t="shared" si="3"/>
        <v/>
      </c>
      <c r="E1263" s="51" t="str">
        <f t="shared" ref="E1263:T1263" si="1264">IFERROR(VLOOKUP($A1263,INDIRECT("'" &amp; E$1 &amp; "'!$C:$G"), 5, FALSE),"")</f>
        <v/>
      </c>
      <c r="F1263" s="51" t="str">
        <f t="shared" si="1264"/>
        <v/>
      </c>
      <c r="G1263" s="51" t="str">
        <f t="shared" si="1264"/>
        <v/>
      </c>
      <c r="H1263" s="51" t="str">
        <f t="shared" si="1264"/>
        <v/>
      </c>
      <c r="I1263" s="51" t="str">
        <f t="shared" si="1264"/>
        <v/>
      </c>
      <c r="J1263" s="51" t="str">
        <f t="shared" si="1264"/>
        <v/>
      </c>
      <c r="K1263" s="51" t="str">
        <f t="shared" si="1264"/>
        <v/>
      </c>
      <c r="L1263" s="51" t="str">
        <f t="shared" si="1264"/>
        <v/>
      </c>
      <c r="M1263" s="51" t="str">
        <f t="shared" si="1264"/>
        <v/>
      </c>
      <c r="N1263" s="51" t="str">
        <f t="shared" si="1264"/>
        <v/>
      </c>
      <c r="O1263" s="51" t="str">
        <f t="shared" si="1264"/>
        <v/>
      </c>
      <c r="P1263" s="51" t="str">
        <f t="shared" si="1264"/>
        <v/>
      </c>
      <c r="Q1263" s="51" t="str">
        <f t="shared" si="1264"/>
        <v/>
      </c>
      <c r="R1263" s="51" t="str">
        <f t="shared" si="1264"/>
        <v/>
      </c>
      <c r="S1263" s="51" t="str">
        <f t="shared" si="1264"/>
        <v/>
      </c>
      <c r="T1263" s="51" t="str">
        <f t="shared" si="1264"/>
        <v/>
      </c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2"/>
      <c r="AE1263" s="52"/>
      <c r="AF1263" s="52"/>
      <c r="AG1263" s="52"/>
      <c r="AH1263" s="52"/>
      <c r="AI1263" s="52"/>
      <c r="AJ1263" s="52"/>
      <c r="AK1263" s="52"/>
      <c r="AL1263" s="52"/>
      <c r="AM1263" s="52"/>
      <c r="AN1263" s="52"/>
      <c r="AO1263" s="52"/>
      <c r="AP1263" s="52"/>
      <c r="AQ1263" s="52"/>
      <c r="AR1263" s="52"/>
      <c r="AS1263" s="52"/>
      <c r="AT1263" s="52"/>
      <c r="AU1263" s="52"/>
      <c r="AV1263" s="52"/>
      <c r="AW1263" s="52"/>
      <c r="AX1263" s="52"/>
      <c r="AY1263" s="52"/>
      <c r="AZ1263" s="52"/>
      <c r="BA1263" s="52"/>
      <c r="BB1263" s="52"/>
      <c r="BC1263" s="52"/>
      <c r="BD1263" s="52"/>
      <c r="BE1263" s="52"/>
      <c r="BF1263" s="52"/>
      <c r="BG1263" s="52"/>
      <c r="BH1263" s="52"/>
      <c r="BI1263" s="52"/>
      <c r="BJ1263" s="52"/>
      <c r="BK1263" s="52"/>
      <c r="BL1263" s="52"/>
      <c r="BM1263" s="52"/>
      <c r="BN1263" s="52"/>
      <c r="BO1263" s="52"/>
    </row>
    <row r="1264">
      <c r="B1264" s="49"/>
      <c r="C1264" s="49" t="str">
        <f t="shared" si="2"/>
        <v/>
      </c>
      <c r="D1264" s="50" t="str">
        <f t="shared" si="3"/>
        <v/>
      </c>
      <c r="E1264" s="51" t="str">
        <f t="shared" ref="E1264:T1264" si="1265">IFERROR(VLOOKUP($A1264,INDIRECT("'" &amp; E$1 &amp; "'!$C:$G"), 5, FALSE),"")</f>
        <v/>
      </c>
      <c r="F1264" s="51" t="str">
        <f t="shared" si="1265"/>
        <v/>
      </c>
      <c r="G1264" s="51" t="str">
        <f t="shared" si="1265"/>
        <v/>
      </c>
      <c r="H1264" s="51" t="str">
        <f t="shared" si="1265"/>
        <v/>
      </c>
      <c r="I1264" s="51" t="str">
        <f t="shared" si="1265"/>
        <v/>
      </c>
      <c r="J1264" s="51" t="str">
        <f t="shared" si="1265"/>
        <v/>
      </c>
      <c r="K1264" s="51" t="str">
        <f t="shared" si="1265"/>
        <v/>
      </c>
      <c r="L1264" s="51" t="str">
        <f t="shared" si="1265"/>
        <v/>
      </c>
      <c r="M1264" s="51" t="str">
        <f t="shared" si="1265"/>
        <v/>
      </c>
      <c r="N1264" s="51" t="str">
        <f t="shared" si="1265"/>
        <v/>
      </c>
      <c r="O1264" s="51" t="str">
        <f t="shared" si="1265"/>
        <v/>
      </c>
      <c r="P1264" s="51" t="str">
        <f t="shared" si="1265"/>
        <v/>
      </c>
      <c r="Q1264" s="51" t="str">
        <f t="shared" si="1265"/>
        <v/>
      </c>
      <c r="R1264" s="51" t="str">
        <f t="shared" si="1265"/>
        <v/>
      </c>
      <c r="S1264" s="51" t="str">
        <f t="shared" si="1265"/>
        <v/>
      </c>
      <c r="T1264" s="51" t="str">
        <f t="shared" si="1265"/>
        <v/>
      </c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2"/>
      <c r="AE1264" s="52"/>
      <c r="AF1264" s="52"/>
      <c r="AG1264" s="52"/>
      <c r="AH1264" s="52"/>
      <c r="AI1264" s="52"/>
      <c r="AJ1264" s="52"/>
      <c r="AK1264" s="52"/>
      <c r="AL1264" s="52"/>
      <c r="AM1264" s="52"/>
      <c r="AN1264" s="52"/>
      <c r="AO1264" s="52"/>
      <c r="AP1264" s="52"/>
      <c r="AQ1264" s="52"/>
      <c r="AR1264" s="52"/>
      <c r="AS1264" s="52"/>
      <c r="AT1264" s="52"/>
      <c r="AU1264" s="52"/>
      <c r="AV1264" s="52"/>
      <c r="AW1264" s="52"/>
      <c r="AX1264" s="52"/>
      <c r="AY1264" s="52"/>
      <c r="AZ1264" s="52"/>
      <c r="BA1264" s="52"/>
      <c r="BB1264" s="52"/>
      <c r="BC1264" s="52"/>
      <c r="BD1264" s="52"/>
      <c r="BE1264" s="52"/>
      <c r="BF1264" s="52"/>
      <c r="BG1264" s="52"/>
      <c r="BH1264" s="52"/>
      <c r="BI1264" s="52"/>
      <c r="BJ1264" s="52"/>
      <c r="BK1264" s="52"/>
      <c r="BL1264" s="52"/>
      <c r="BM1264" s="52"/>
      <c r="BN1264" s="52"/>
      <c r="BO1264" s="52"/>
    </row>
    <row r="1265">
      <c r="B1265" s="49"/>
      <c r="C1265" s="49" t="str">
        <f t="shared" si="2"/>
        <v/>
      </c>
      <c r="D1265" s="50" t="str">
        <f t="shared" si="3"/>
        <v/>
      </c>
      <c r="E1265" s="51" t="str">
        <f t="shared" ref="E1265:T1265" si="1266">IFERROR(VLOOKUP($A1265,INDIRECT("'" &amp; E$1 &amp; "'!$C:$G"), 5, FALSE),"")</f>
        <v/>
      </c>
      <c r="F1265" s="51" t="str">
        <f t="shared" si="1266"/>
        <v/>
      </c>
      <c r="G1265" s="51" t="str">
        <f t="shared" si="1266"/>
        <v/>
      </c>
      <c r="H1265" s="51" t="str">
        <f t="shared" si="1266"/>
        <v/>
      </c>
      <c r="I1265" s="51" t="str">
        <f t="shared" si="1266"/>
        <v/>
      </c>
      <c r="J1265" s="51" t="str">
        <f t="shared" si="1266"/>
        <v/>
      </c>
      <c r="K1265" s="51" t="str">
        <f t="shared" si="1266"/>
        <v/>
      </c>
      <c r="L1265" s="51" t="str">
        <f t="shared" si="1266"/>
        <v/>
      </c>
      <c r="M1265" s="51" t="str">
        <f t="shared" si="1266"/>
        <v/>
      </c>
      <c r="N1265" s="51" t="str">
        <f t="shared" si="1266"/>
        <v/>
      </c>
      <c r="O1265" s="51" t="str">
        <f t="shared" si="1266"/>
        <v/>
      </c>
      <c r="P1265" s="51" t="str">
        <f t="shared" si="1266"/>
        <v/>
      </c>
      <c r="Q1265" s="51" t="str">
        <f t="shared" si="1266"/>
        <v/>
      </c>
      <c r="R1265" s="51" t="str">
        <f t="shared" si="1266"/>
        <v/>
      </c>
      <c r="S1265" s="51" t="str">
        <f t="shared" si="1266"/>
        <v/>
      </c>
      <c r="T1265" s="51" t="str">
        <f t="shared" si="1266"/>
        <v/>
      </c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2"/>
      <c r="AE1265" s="52"/>
      <c r="AF1265" s="52"/>
      <c r="AG1265" s="52"/>
      <c r="AH1265" s="52"/>
      <c r="AI1265" s="52"/>
      <c r="AJ1265" s="52"/>
      <c r="AK1265" s="52"/>
      <c r="AL1265" s="52"/>
      <c r="AM1265" s="52"/>
      <c r="AN1265" s="52"/>
      <c r="AO1265" s="52"/>
      <c r="AP1265" s="52"/>
      <c r="AQ1265" s="52"/>
      <c r="AR1265" s="52"/>
      <c r="AS1265" s="52"/>
      <c r="AT1265" s="52"/>
      <c r="AU1265" s="52"/>
      <c r="AV1265" s="52"/>
      <c r="AW1265" s="52"/>
      <c r="AX1265" s="52"/>
      <c r="AY1265" s="52"/>
      <c r="AZ1265" s="52"/>
      <c r="BA1265" s="52"/>
      <c r="BB1265" s="52"/>
      <c r="BC1265" s="52"/>
      <c r="BD1265" s="52"/>
      <c r="BE1265" s="52"/>
      <c r="BF1265" s="52"/>
      <c r="BG1265" s="52"/>
      <c r="BH1265" s="52"/>
      <c r="BI1265" s="52"/>
      <c r="BJ1265" s="52"/>
      <c r="BK1265" s="52"/>
      <c r="BL1265" s="52"/>
      <c r="BM1265" s="52"/>
      <c r="BN1265" s="52"/>
      <c r="BO1265" s="52"/>
    </row>
    <row r="1266">
      <c r="B1266" s="49"/>
      <c r="C1266" s="49" t="str">
        <f t="shared" si="2"/>
        <v/>
      </c>
      <c r="D1266" s="50" t="str">
        <f t="shared" si="3"/>
        <v/>
      </c>
      <c r="E1266" s="51" t="str">
        <f t="shared" ref="E1266:T1266" si="1267">IFERROR(VLOOKUP($A1266,INDIRECT("'" &amp; E$1 &amp; "'!$C:$G"), 5, FALSE),"")</f>
        <v/>
      </c>
      <c r="F1266" s="51" t="str">
        <f t="shared" si="1267"/>
        <v/>
      </c>
      <c r="G1266" s="51" t="str">
        <f t="shared" si="1267"/>
        <v/>
      </c>
      <c r="H1266" s="51" t="str">
        <f t="shared" si="1267"/>
        <v/>
      </c>
      <c r="I1266" s="51" t="str">
        <f t="shared" si="1267"/>
        <v/>
      </c>
      <c r="J1266" s="51" t="str">
        <f t="shared" si="1267"/>
        <v/>
      </c>
      <c r="K1266" s="51" t="str">
        <f t="shared" si="1267"/>
        <v/>
      </c>
      <c r="L1266" s="51" t="str">
        <f t="shared" si="1267"/>
        <v/>
      </c>
      <c r="M1266" s="51" t="str">
        <f t="shared" si="1267"/>
        <v/>
      </c>
      <c r="N1266" s="51" t="str">
        <f t="shared" si="1267"/>
        <v/>
      </c>
      <c r="O1266" s="51" t="str">
        <f t="shared" si="1267"/>
        <v/>
      </c>
      <c r="P1266" s="51" t="str">
        <f t="shared" si="1267"/>
        <v/>
      </c>
      <c r="Q1266" s="51" t="str">
        <f t="shared" si="1267"/>
        <v/>
      </c>
      <c r="R1266" s="51" t="str">
        <f t="shared" si="1267"/>
        <v/>
      </c>
      <c r="S1266" s="51" t="str">
        <f t="shared" si="1267"/>
        <v/>
      </c>
      <c r="T1266" s="51" t="str">
        <f t="shared" si="1267"/>
        <v/>
      </c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2"/>
      <c r="AE1266" s="52"/>
      <c r="AF1266" s="52"/>
      <c r="AG1266" s="52"/>
      <c r="AH1266" s="52"/>
      <c r="AI1266" s="52"/>
      <c r="AJ1266" s="52"/>
      <c r="AK1266" s="52"/>
      <c r="AL1266" s="52"/>
      <c r="AM1266" s="52"/>
      <c r="AN1266" s="52"/>
      <c r="AO1266" s="52"/>
      <c r="AP1266" s="52"/>
      <c r="AQ1266" s="52"/>
      <c r="AR1266" s="52"/>
      <c r="AS1266" s="52"/>
      <c r="AT1266" s="52"/>
      <c r="AU1266" s="52"/>
      <c r="AV1266" s="52"/>
      <c r="AW1266" s="52"/>
      <c r="AX1266" s="52"/>
      <c r="AY1266" s="52"/>
      <c r="AZ1266" s="52"/>
      <c r="BA1266" s="52"/>
      <c r="BB1266" s="52"/>
      <c r="BC1266" s="52"/>
      <c r="BD1266" s="52"/>
      <c r="BE1266" s="52"/>
      <c r="BF1266" s="52"/>
      <c r="BG1266" s="52"/>
      <c r="BH1266" s="52"/>
      <c r="BI1266" s="52"/>
      <c r="BJ1266" s="52"/>
      <c r="BK1266" s="52"/>
      <c r="BL1266" s="52"/>
      <c r="BM1266" s="52"/>
      <c r="BN1266" s="52"/>
      <c r="BO1266" s="52"/>
    </row>
    <row r="1267">
      <c r="B1267" s="49"/>
      <c r="C1267" s="49" t="str">
        <f t="shared" si="2"/>
        <v/>
      </c>
      <c r="D1267" s="50" t="str">
        <f t="shared" si="3"/>
        <v/>
      </c>
      <c r="E1267" s="51" t="str">
        <f t="shared" ref="E1267:T1267" si="1268">IFERROR(VLOOKUP($A1267,INDIRECT("'" &amp; E$1 &amp; "'!$C:$G"), 5, FALSE),"")</f>
        <v/>
      </c>
      <c r="F1267" s="51" t="str">
        <f t="shared" si="1268"/>
        <v/>
      </c>
      <c r="G1267" s="51" t="str">
        <f t="shared" si="1268"/>
        <v/>
      </c>
      <c r="H1267" s="51" t="str">
        <f t="shared" si="1268"/>
        <v/>
      </c>
      <c r="I1267" s="51" t="str">
        <f t="shared" si="1268"/>
        <v/>
      </c>
      <c r="J1267" s="51" t="str">
        <f t="shared" si="1268"/>
        <v/>
      </c>
      <c r="K1267" s="51" t="str">
        <f t="shared" si="1268"/>
        <v/>
      </c>
      <c r="L1267" s="51" t="str">
        <f t="shared" si="1268"/>
        <v/>
      </c>
      <c r="M1267" s="51" t="str">
        <f t="shared" si="1268"/>
        <v/>
      </c>
      <c r="N1267" s="51" t="str">
        <f t="shared" si="1268"/>
        <v/>
      </c>
      <c r="O1267" s="51" t="str">
        <f t="shared" si="1268"/>
        <v/>
      </c>
      <c r="P1267" s="51" t="str">
        <f t="shared" si="1268"/>
        <v/>
      </c>
      <c r="Q1267" s="51" t="str">
        <f t="shared" si="1268"/>
        <v/>
      </c>
      <c r="R1267" s="51" t="str">
        <f t="shared" si="1268"/>
        <v/>
      </c>
      <c r="S1267" s="51" t="str">
        <f t="shared" si="1268"/>
        <v/>
      </c>
      <c r="T1267" s="51" t="str">
        <f t="shared" si="1268"/>
        <v/>
      </c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2"/>
      <c r="AE1267" s="52"/>
      <c r="AF1267" s="52"/>
      <c r="AG1267" s="52"/>
      <c r="AH1267" s="52"/>
      <c r="AI1267" s="52"/>
      <c r="AJ1267" s="52"/>
      <c r="AK1267" s="52"/>
      <c r="AL1267" s="52"/>
      <c r="AM1267" s="52"/>
      <c r="AN1267" s="52"/>
      <c r="AO1267" s="52"/>
      <c r="AP1267" s="52"/>
      <c r="AQ1267" s="52"/>
      <c r="AR1267" s="52"/>
      <c r="AS1267" s="52"/>
      <c r="AT1267" s="52"/>
      <c r="AU1267" s="52"/>
      <c r="AV1267" s="52"/>
      <c r="AW1267" s="52"/>
      <c r="AX1267" s="52"/>
      <c r="AY1267" s="52"/>
      <c r="AZ1267" s="52"/>
      <c r="BA1267" s="52"/>
      <c r="BB1267" s="52"/>
      <c r="BC1267" s="52"/>
      <c r="BD1267" s="52"/>
      <c r="BE1267" s="52"/>
      <c r="BF1267" s="52"/>
      <c r="BG1267" s="52"/>
      <c r="BH1267" s="52"/>
      <c r="BI1267" s="52"/>
      <c r="BJ1267" s="52"/>
      <c r="BK1267" s="52"/>
      <c r="BL1267" s="52"/>
      <c r="BM1267" s="52"/>
      <c r="BN1267" s="52"/>
      <c r="BO1267" s="52"/>
    </row>
    <row r="1268">
      <c r="B1268" s="49"/>
      <c r="C1268" s="49" t="str">
        <f t="shared" si="2"/>
        <v/>
      </c>
      <c r="D1268" s="50" t="str">
        <f t="shared" si="3"/>
        <v/>
      </c>
      <c r="E1268" s="51" t="str">
        <f t="shared" ref="E1268:T1268" si="1269">IFERROR(VLOOKUP($A1268,INDIRECT("'" &amp; E$1 &amp; "'!$C:$G"), 5, FALSE),"")</f>
        <v/>
      </c>
      <c r="F1268" s="51" t="str">
        <f t="shared" si="1269"/>
        <v/>
      </c>
      <c r="G1268" s="51" t="str">
        <f t="shared" si="1269"/>
        <v/>
      </c>
      <c r="H1268" s="51" t="str">
        <f t="shared" si="1269"/>
        <v/>
      </c>
      <c r="I1268" s="51" t="str">
        <f t="shared" si="1269"/>
        <v/>
      </c>
      <c r="J1268" s="51" t="str">
        <f t="shared" si="1269"/>
        <v/>
      </c>
      <c r="K1268" s="51" t="str">
        <f t="shared" si="1269"/>
        <v/>
      </c>
      <c r="L1268" s="51" t="str">
        <f t="shared" si="1269"/>
        <v/>
      </c>
      <c r="M1268" s="51" t="str">
        <f t="shared" si="1269"/>
        <v/>
      </c>
      <c r="N1268" s="51" t="str">
        <f t="shared" si="1269"/>
        <v/>
      </c>
      <c r="O1268" s="51" t="str">
        <f t="shared" si="1269"/>
        <v/>
      </c>
      <c r="P1268" s="51" t="str">
        <f t="shared" si="1269"/>
        <v/>
      </c>
      <c r="Q1268" s="51" t="str">
        <f t="shared" si="1269"/>
        <v/>
      </c>
      <c r="R1268" s="51" t="str">
        <f t="shared" si="1269"/>
        <v/>
      </c>
      <c r="S1268" s="51" t="str">
        <f t="shared" si="1269"/>
        <v/>
      </c>
      <c r="T1268" s="51" t="str">
        <f t="shared" si="1269"/>
        <v/>
      </c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2"/>
      <c r="AE1268" s="52"/>
      <c r="AF1268" s="52"/>
      <c r="AG1268" s="52"/>
      <c r="AH1268" s="52"/>
      <c r="AI1268" s="52"/>
      <c r="AJ1268" s="52"/>
      <c r="AK1268" s="52"/>
      <c r="AL1268" s="52"/>
      <c r="AM1268" s="52"/>
      <c r="AN1268" s="52"/>
      <c r="AO1268" s="52"/>
      <c r="AP1268" s="52"/>
      <c r="AQ1268" s="52"/>
      <c r="AR1268" s="52"/>
      <c r="AS1268" s="52"/>
      <c r="AT1268" s="52"/>
      <c r="AU1268" s="52"/>
      <c r="AV1268" s="52"/>
      <c r="AW1268" s="52"/>
      <c r="AX1268" s="52"/>
      <c r="AY1268" s="52"/>
      <c r="AZ1268" s="52"/>
      <c r="BA1268" s="52"/>
      <c r="BB1268" s="52"/>
      <c r="BC1268" s="52"/>
      <c r="BD1268" s="52"/>
      <c r="BE1268" s="52"/>
      <c r="BF1268" s="52"/>
      <c r="BG1268" s="52"/>
      <c r="BH1268" s="52"/>
      <c r="BI1268" s="52"/>
      <c r="BJ1268" s="52"/>
      <c r="BK1268" s="52"/>
      <c r="BL1268" s="52"/>
      <c r="BM1268" s="52"/>
      <c r="BN1268" s="52"/>
      <c r="BO1268" s="52"/>
    </row>
    <row r="1269">
      <c r="B1269" s="49"/>
      <c r="C1269" s="49" t="str">
        <f t="shared" si="2"/>
        <v/>
      </c>
      <c r="D1269" s="50" t="str">
        <f t="shared" si="3"/>
        <v/>
      </c>
      <c r="E1269" s="51" t="str">
        <f t="shared" ref="E1269:T1269" si="1270">IFERROR(VLOOKUP($A1269,INDIRECT("'" &amp; E$1 &amp; "'!$C:$G"), 5, FALSE),"")</f>
        <v/>
      </c>
      <c r="F1269" s="51" t="str">
        <f t="shared" si="1270"/>
        <v/>
      </c>
      <c r="G1269" s="51" t="str">
        <f t="shared" si="1270"/>
        <v/>
      </c>
      <c r="H1269" s="51" t="str">
        <f t="shared" si="1270"/>
        <v/>
      </c>
      <c r="I1269" s="51" t="str">
        <f t="shared" si="1270"/>
        <v/>
      </c>
      <c r="J1269" s="51" t="str">
        <f t="shared" si="1270"/>
        <v/>
      </c>
      <c r="K1269" s="51" t="str">
        <f t="shared" si="1270"/>
        <v/>
      </c>
      <c r="L1269" s="51" t="str">
        <f t="shared" si="1270"/>
        <v/>
      </c>
      <c r="M1269" s="51" t="str">
        <f t="shared" si="1270"/>
        <v/>
      </c>
      <c r="N1269" s="51" t="str">
        <f t="shared" si="1270"/>
        <v/>
      </c>
      <c r="O1269" s="51" t="str">
        <f t="shared" si="1270"/>
        <v/>
      </c>
      <c r="P1269" s="51" t="str">
        <f t="shared" si="1270"/>
        <v/>
      </c>
      <c r="Q1269" s="51" t="str">
        <f t="shared" si="1270"/>
        <v/>
      </c>
      <c r="R1269" s="51" t="str">
        <f t="shared" si="1270"/>
        <v/>
      </c>
      <c r="S1269" s="51" t="str">
        <f t="shared" si="1270"/>
        <v/>
      </c>
      <c r="T1269" s="51" t="str">
        <f t="shared" si="1270"/>
        <v/>
      </c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2"/>
      <c r="AE1269" s="52"/>
      <c r="AF1269" s="52"/>
      <c r="AG1269" s="52"/>
      <c r="AH1269" s="52"/>
      <c r="AI1269" s="52"/>
      <c r="AJ1269" s="52"/>
      <c r="AK1269" s="52"/>
      <c r="AL1269" s="52"/>
      <c r="AM1269" s="52"/>
      <c r="AN1269" s="52"/>
      <c r="AO1269" s="52"/>
      <c r="AP1269" s="52"/>
      <c r="AQ1269" s="52"/>
      <c r="AR1269" s="52"/>
      <c r="AS1269" s="52"/>
      <c r="AT1269" s="52"/>
      <c r="AU1269" s="52"/>
      <c r="AV1269" s="52"/>
      <c r="AW1269" s="52"/>
      <c r="AX1269" s="52"/>
      <c r="AY1269" s="52"/>
      <c r="AZ1269" s="52"/>
      <c r="BA1269" s="52"/>
      <c r="BB1269" s="52"/>
      <c r="BC1269" s="52"/>
      <c r="BD1269" s="52"/>
      <c r="BE1269" s="52"/>
      <c r="BF1269" s="52"/>
      <c r="BG1269" s="52"/>
      <c r="BH1269" s="52"/>
      <c r="BI1269" s="52"/>
      <c r="BJ1269" s="52"/>
      <c r="BK1269" s="52"/>
      <c r="BL1269" s="52"/>
      <c r="BM1269" s="52"/>
      <c r="BN1269" s="52"/>
      <c r="BO1269" s="52"/>
    </row>
    <row r="1270">
      <c r="B1270" s="49"/>
      <c r="C1270" s="49" t="str">
        <f t="shared" si="2"/>
        <v/>
      </c>
      <c r="D1270" s="50" t="str">
        <f t="shared" si="3"/>
        <v/>
      </c>
      <c r="E1270" s="51" t="str">
        <f t="shared" ref="E1270:T1270" si="1271">IFERROR(VLOOKUP($A1270,INDIRECT("'" &amp; E$1 &amp; "'!$C:$G"), 5, FALSE),"")</f>
        <v/>
      </c>
      <c r="F1270" s="51" t="str">
        <f t="shared" si="1271"/>
        <v/>
      </c>
      <c r="G1270" s="51" t="str">
        <f t="shared" si="1271"/>
        <v/>
      </c>
      <c r="H1270" s="51" t="str">
        <f t="shared" si="1271"/>
        <v/>
      </c>
      <c r="I1270" s="51" t="str">
        <f t="shared" si="1271"/>
        <v/>
      </c>
      <c r="J1270" s="51" t="str">
        <f t="shared" si="1271"/>
        <v/>
      </c>
      <c r="K1270" s="51" t="str">
        <f t="shared" si="1271"/>
        <v/>
      </c>
      <c r="L1270" s="51" t="str">
        <f t="shared" si="1271"/>
        <v/>
      </c>
      <c r="M1270" s="51" t="str">
        <f t="shared" si="1271"/>
        <v/>
      </c>
      <c r="N1270" s="51" t="str">
        <f t="shared" si="1271"/>
        <v/>
      </c>
      <c r="O1270" s="51" t="str">
        <f t="shared" si="1271"/>
        <v/>
      </c>
      <c r="P1270" s="51" t="str">
        <f t="shared" si="1271"/>
        <v/>
      </c>
      <c r="Q1270" s="51" t="str">
        <f t="shared" si="1271"/>
        <v/>
      </c>
      <c r="R1270" s="51" t="str">
        <f t="shared" si="1271"/>
        <v/>
      </c>
      <c r="S1270" s="51" t="str">
        <f t="shared" si="1271"/>
        <v/>
      </c>
      <c r="T1270" s="51" t="str">
        <f t="shared" si="1271"/>
        <v/>
      </c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2"/>
      <c r="AE1270" s="52"/>
      <c r="AF1270" s="52"/>
      <c r="AG1270" s="52"/>
      <c r="AH1270" s="52"/>
      <c r="AI1270" s="52"/>
      <c r="AJ1270" s="52"/>
      <c r="AK1270" s="52"/>
      <c r="AL1270" s="52"/>
      <c r="AM1270" s="52"/>
      <c r="AN1270" s="52"/>
      <c r="AO1270" s="52"/>
      <c r="AP1270" s="52"/>
      <c r="AQ1270" s="52"/>
      <c r="AR1270" s="52"/>
      <c r="AS1270" s="52"/>
      <c r="AT1270" s="52"/>
      <c r="AU1270" s="52"/>
      <c r="AV1270" s="52"/>
      <c r="AW1270" s="52"/>
      <c r="AX1270" s="52"/>
      <c r="AY1270" s="52"/>
      <c r="AZ1270" s="52"/>
      <c r="BA1270" s="52"/>
      <c r="BB1270" s="52"/>
      <c r="BC1270" s="52"/>
      <c r="BD1270" s="52"/>
      <c r="BE1270" s="52"/>
      <c r="BF1270" s="52"/>
      <c r="BG1270" s="52"/>
      <c r="BH1270" s="52"/>
      <c r="BI1270" s="52"/>
      <c r="BJ1270" s="52"/>
      <c r="BK1270" s="52"/>
      <c r="BL1270" s="52"/>
      <c r="BM1270" s="52"/>
      <c r="BN1270" s="52"/>
      <c r="BO1270" s="52"/>
    </row>
    <row r="1271">
      <c r="B1271" s="49"/>
      <c r="C1271" s="49" t="str">
        <f t="shared" si="2"/>
        <v/>
      </c>
      <c r="D1271" s="50" t="str">
        <f t="shared" si="3"/>
        <v/>
      </c>
      <c r="E1271" s="51" t="str">
        <f t="shared" ref="E1271:T1271" si="1272">IFERROR(VLOOKUP($A1271,INDIRECT("'" &amp; E$1 &amp; "'!$C:$G"), 5, FALSE),"")</f>
        <v/>
      </c>
      <c r="F1271" s="51" t="str">
        <f t="shared" si="1272"/>
        <v/>
      </c>
      <c r="G1271" s="51" t="str">
        <f t="shared" si="1272"/>
        <v/>
      </c>
      <c r="H1271" s="51" t="str">
        <f t="shared" si="1272"/>
        <v/>
      </c>
      <c r="I1271" s="51" t="str">
        <f t="shared" si="1272"/>
        <v/>
      </c>
      <c r="J1271" s="51" t="str">
        <f t="shared" si="1272"/>
        <v/>
      </c>
      <c r="K1271" s="51" t="str">
        <f t="shared" si="1272"/>
        <v/>
      </c>
      <c r="L1271" s="51" t="str">
        <f t="shared" si="1272"/>
        <v/>
      </c>
      <c r="M1271" s="51" t="str">
        <f t="shared" si="1272"/>
        <v/>
      </c>
      <c r="N1271" s="51" t="str">
        <f t="shared" si="1272"/>
        <v/>
      </c>
      <c r="O1271" s="51" t="str">
        <f t="shared" si="1272"/>
        <v/>
      </c>
      <c r="P1271" s="51" t="str">
        <f t="shared" si="1272"/>
        <v/>
      </c>
      <c r="Q1271" s="51" t="str">
        <f t="shared" si="1272"/>
        <v/>
      </c>
      <c r="R1271" s="51" t="str">
        <f t="shared" si="1272"/>
        <v/>
      </c>
      <c r="S1271" s="51" t="str">
        <f t="shared" si="1272"/>
        <v/>
      </c>
      <c r="T1271" s="51" t="str">
        <f t="shared" si="1272"/>
        <v/>
      </c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2"/>
      <c r="AS1271" s="52"/>
      <c r="AT1271" s="52"/>
      <c r="AU1271" s="52"/>
      <c r="AV1271" s="52"/>
      <c r="AW1271" s="52"/>
      <c r="AX1271" s="52"/>
      <c r="AY1271" s="52"/>
      <c r="AZ1271" s="52"/>
      <c r="BA1271" s="52"/>
      <c r="BB1271" s="52"/>
      <c r="BC1271" s="52"/>
      <c r="BD1271" s="52"/>
      <c r="BE1271" s="52"/>
      <c r="BF1271" s="52"/>
      <c r="BG1271" s="52"/>
      <c r="BH1271" s="52"/>
      <c r="BI1271" s="52"/>
      <c r="BJ1271" s="52"/>
      <c r="BK1271" s="52"/>
      <c r="BL1271" s="52"/>
      <c r="BM1271" s="52"/>
      <c r="BN1271" s="52"/>
      <c r="BO1271" s="52"/>
    </row>
    <row r="1272">
      <c r="B1272" s="49"/>
      <c r="C1272" s="49" t="str">
        <f t="shared" si="2"/>
        <v/>
      </c>
      <c r="D1272" s="50" t="str">
        <f t="shared" si="3"/>
        <v/>
      </c>
      <c r="E1272" s="51" t="str">
        <f t="shared" ref="E1272:T1272" si="1273">IFERROR(VLOOKUP($A1272,INDIRECT("'" &amp; E$1 &amp; "'!$C:$G"), 5, FALSE),"")</f>
        <v/>
      </c>
      <c r="F1272" s="51" t="str">
        <f t="shared" si="1273"/>
        <v/>
      </c>
      <c r="G1272" s="51" t="str">
        <f t="shared" si="1273"/>
        <v/>
      </c>
      <c r="H1272" s="51" t="str">
        <f t="shared" si="1273"/>
        <v/>
      </c>
      <c r="I1272" s="51" t="str">
        <f t="shared" si="1273"/>
        <v/>
      </c>
      <c r="J1272" s="51" t="str">
        <f t="shared" si="1273"/>
        <v/>
      </c>
      <c r="K1272" s="51" t="str">
        <f t="shared" si="1273"/>
        <v/>
      </c>
      <c r="L1272" s="51" t="str">
        <f t="shared" si="1273"/>
        <v/>
      </c>
      <c r="M1272" s="51" t="str">
        <f t="shared" si="1273"/>
        <v/>
      </c>
      <c r="N1272" s="51" t="str">
        <f t="shared" si="1273"/>
        <v/>
      </c>
      <c r="O1272" s="51" t="str">
        <f t="shared" si="1273"/>
        <v/>
      </c>
      <c r="P1272" s="51" t="str">
        <f t="shared" si="1273"/>
        <v/>
      </c>
      <c r="Q1272" s="51" t="str">
        <f t="shared" si="1273"/>
        <v/>
      </c>
      <c r="R1272" s="51" t="str">
        <f t="shared" si="1273"/>
        <v/>
      </c>
      <c r="S1272" s="51" t="str">
        <f t="shared" si="1273"/>
        <v/>
      </c>
      <c r="T1272" s="51" t="str">
        <f t="shared" si="1273"/>
        <v/>
      </c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I1272" s="52"/>
      <c r="AJ1272" s="52"/>
      <c r="AK1272" s="52"/>
      <c r="AL1272" s="52"/>
      <c r="AM1272" s="52"/>
      <c r="AN1272" s="52"/>
      <c r="AO1272" s="52"/>
      <c r="AP1272" s="52"/>
      <c r="AQ1272" s="52"/>
      <c r="AR1272" s="52"/>
      <c r="AS1272" s="52"/>
      <c r="AT1272" s="52"/>
      <c r="AU1272" s="52"/>
      <c r="AV1272" s="52"/>
      <c r="AW1272" s="52"/>
      <c r="AX1272" s="52"/>
      <c r="AY1272" s="52"/>
      <c r="AZ1272" s="52"/>
      <c r="BA1272" s="52"/>
      <c r="BB1272" s="52"/>
      <c r="BC1272" s="52"/>
      <c r="BD1272" s="52"/>
      <c r="BE1272" s="52"/>
      <c r="BF1272" s="52"/>
      <c r="BG1272" s="52"/>
      <c r="BH1272" s="52"/>
      <c r="BI1272" s="52"/>
      <c r="BJ1272" s="52"/>
      <c r="BK1272" s="52"/>
      <c r="BL1272" s="52"/>
      <c r="BM1272" s="52"/>
      <c r="BN1272" s="52"/>
      <c r="BO1272" s="52"/>
    </row>
    <row r="1273">
      <c r="B1273" s="49"/>
      <c r="C1273" s="49" t="str">
        <f t="shared" si="2"/>
        <v/>
      </c>
      <c r="D1273" s="50" t="str">
        <f t="shared" si="3"/>
        <v/>
      </c>
      <c r="E1273" s="51" t="str">
        <f t="shared" ref="E1273:T1273" si="1274">IFERROR(VLOOKUP($A1273,INDIRECT("'" &amp; E$1 &amp; "'!$C:$G"), 5, FALSE),"")</f>
        <v/>
      </c>
      <c r="F1273" s="51" t="str">
        <f t="shared" si="1274"/>
        <v/>
      </c>
      <c r="G1273" s="51" t="str">
        <f t="shared" si="1274"/>
        <v/>
      </c>
      <c r="H1273" s="51" t="str">
        <f t="shared" si="1274"/>
        <v/>
      </c>
      <c r="I1273" s="51" t="str">
        <f t="shared" si="1274"/>
        <v/>
      </c>
      <c r="J1273" s="51" t="str">
        <f t="shared" si="1274"/>
        <v/>
      </c>
      <c r="K1273" s="51" t="str">
        <f t="shared" si="1274"/>
        <v/>
      </c>
      <c r="L1273" s="51" t="str">
        <f t="shared" si="1274"/>
        <v/>
      </c>
      <c r="M1273" s="51" t="str">
        <f t="shared" si="1274"/>
        <v/>
      </c>
      <c r="N1273" s="51" t="str">
        <f t="shared" si="1274"/>
        <v/>
      </c>
      <c r="O1273" s="51" t="str">
        <f t="shared" si="1274"/>
        <v/>
      </c>
      <c r="P1273" s="51" t="str">
        <f t="shared" si="1274"/>
        <v/>
      </c>
      <c r="Q1273" s="51" t="str">
        <f t="shared" si="1274"/>
        <v/>
      </c>
      <c r="R1273" s="51" t="str">
        <f t="shared" si="1274"/>
        <v/>
      </c>
      <c r="S1273" s="51" t="str">
        <f t="shared" si="1274"/>
        <v/>
      </c>
      <c r="T1273" s="51" t="str">
        <f t="shared" si="1274"/>
        <v/>
      </c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2"/>
      <c r="AE1273" s="52"/>
      <c r="AF1273" s="52"/>
      <c r="AG1273" s="52"/>
      <c r="AH1273" s="52"/>
      <c r="AI1273" s="52"/>
      <c r="AJ1273" s="52"/>
      <c r="AK1273" s="52"/>
      <c r="AL1273" s="52"/>
      <c r="AM1273" s="52"/>
      <c r="AN1273" s="52"/>
      <c r="AO1273" s="52"/>
      <c r="AP1273" s="52"/>
      <c r="AQ1273" s="52"/>
      <c r="AR1273" s="52"/>
      <c r="AS1273" s="52"/>
      <c r="AT1273" s="52"/>
      <c r="AU1273" s="52"/>
      <c r="AV1273" s="52"/>
      <c r="AW1273" s="52"/>
      <c r="AX1273" s="52"/>
      <c r="AY1273" s="52"/>
      <c r="AZ1273" s="52"/>
      <c r="BA1273" s="52"/>
      <c r="BB1273" s="52"/>
      <c r="BC1273" s="52"/>
      <c r="BD1273" s="52"/>
      <c r="BE1273" s="52"/>
      <c r="BF1273" s="52"/>
      <c r="BG1273" s="52"/>
      <c r="BH1273" s="52"/>
      <c r="BI1273" s="52"/>
      <c r="BJ1273" s="52"/>
      <c r="BK1273" s="52"/>
      <c r="BL1273" s="52"/>
      <c r="BM1273" s="52"/>
      <c r="BN1273" s="52"/>
      <c r="BO1273" s="52"/>
    </row>
    <row r="1274">
      <c r="B1274" s="49"/>
      <c r="C1274" s="49" t="str">
        <f t="shared" si="2"/>
        <v/>
      </c>
      <c r="D1274" s="50" t="str">
        <f t="shared" si="3"/>
        <v/>
      </c>
      <c r="E1274" s="51" t="str">
        <f t="shared" ref="E1274:T1274" si="1275">IFERROR(VLOOKUP($A1274,INDIRECT("'" &amp; E$1 &amp; "'!$C:$G"), 5, FALSE),"")</f>
        <v/>
      </c>
      <c r="F1274" s="51" t="str">
        <f t="shared" si="1275"/>
        <v/>
      </c>
      <c r="G1274" s="51" t="str">
        <f t="shared" si="1275"/>
        <v/>
      </c>
      <c r="H1274" s="51" t="str">
        <f t="shared" si="1275"/>
        <v/>
      </c>
      <c r="I1274" s="51" t="str">
        <f t="shared" si="1275"/>
        <v/>
      </c>
      <c r="J1274" s="51" t="str">
        <f t="shared" si="1275"/>
        <v/>
      </c>
      <c r="K1274" s="51" t="str">
        <f t="shared" si="1275"/>
        <v/>
      </c>
      <c r="L1274" s="51" t="str">
        <f t="shared" si="1275"/>
        <v/>
      </c>
      <c r="M1274" s="51" t="str">
        <f t="shared" si="1275"/>
        <v/>
      </c>
      <c r="N1274" s="51" t="str">
        <f t="shared" si="1275"/>
        <v/>
      </c>
      <c r="O1274" s="51" t="str">
        <f t="shared" si="1275"/>
        <v/>
      </c>
      <c r="P1274" s="51" t="str">
        <f t="shared" si="1275"/>
        <v/>
      </c>
      <c r="Q1274" s="51" t="str">
        <f t="shared" si="1275"/>
        <v/>
      </c>
      <c r="R1274" s="51" t="str">
        <f t="shared" si="1275"/>
        <v/>
      </c>
      <c r="S1274" s="51" t="str">
        <f t="shared" si="1275"/>
        <v/>
      </c>
      <c r="T1274" s="51" t="str">
        <f t="shared" si="1275"/>
        <v/>
      </c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2"/>
      <c r="AE1274" s="52"/>
      <c r="AF1274" s="52"/>
      <c r="AG1274" s="52"/>
      <c r="AH1274" s="52"/>
      <c r="AI1274" s="52"/>
      <c r="AJ1274" s="52"/>
      <c r="AK1274" s="52"/>
      <c r="AL1274" s="52"/>
      <c r="AM1274" s="52"/>
      <c r="AN1274" s="52"/>
      <c r="AO1274" s="52"/>
      <c r="AP1274" s="52"/>
      <c r="AQ1274" s="52"/>
      <c r="AR1274" s="52"/>
      <c r="AS1274" s="52"/>
      <c r="AT1274" s="52"/>
      <c r="AU1274" s="52"/>
      <c r="AV1274" s="52"/>
      <c r="AW1274" s="52"/>
      <c r="AX1274" s="52"/>
      <c r="AY1274" s="52"/>
      <c r="AZ1274" s="52"/>
      <c r="BA1274" s="52"/>
      <c r="BB1274" s="52"/>
      <c r="BC1274" s="52"/>
      <c r="BD1274" s="52"/>
      <c r="BE1274" s="52"/>
      <c r="BF1274" s="52"/>
      <c r="BG1274" s="52"/>
      <c r="BH1274" s="52"/>
      <c r="BI1274" s="52"/>
      <c r="BJ1274" s="52"/>
      <c r="BK1274" s="52"/>
      <c r="BL1274" s="52"/>
      <c r="BM1274" s="52"/>
      <c r="BN1274" s="52"/>
      <c r="BO1274" s="52"/>
    </row>
    <row r="1275">
      <c r="B1275" s="49"/>
      <c r="C1275" s="49" t="str">
        <f t="shared" si="2"/>
        <v/>
      </c>
      <c r="D1275" s="50" t="str">
        <f t="shared" si="3"/>
        <v/>
      </c>
      <c r="E1275" s="51" t="str">
        <f t="shared" ref="E1275:T1275" si="1276">IFERROR(VLOOKUP($A1275,INDIRECT("'" &amp; E$1 &amp; "'!$C:$G"), 5, FALSE),"")</f>
        <v/>
      </c>
      <c r="F1275" s="51" t="str">
        <f t="shared" si="1276"/>
        <v/>
      </c>
      <c r="G1275" s="51" t="str">
        <f t="shared" si="1276"/>
        <v/>
      </c>
      <c r="H1275" s="51" t="str">
        <f t="shared" si="1276"/>
        <v/>
      </c>
      <c r="I1275" s="51" t="str">
        <f t="shared" si="1276"/>
        <v/>
      </c>
      <c r="J1275" s="51" t="str">
        <f t="shared" si="1276"/>
        <v/>
      </c>
      <c r="K1275" s="51" t="str">
        <f t="shared" si="1276"/>
        <v/>
      </c>
      <c r="L1275" s="51" t="str">
        <f t="shared" si="1276"/>
        <v/>
      </c>
      <c r="M1275" s="51" t="str">
        <f t="shared" si="1276"/>
        <v/>
      </c>
      <c r="N1275" s="51" t="str">
        <f t="shared" si="1276"/>
        <v/>
      </c>
      <c r="O1275" s="51" t="str">
        <f t="shared" si="1276"/>
        <v/>
      </c>
      <c r="P1275" s="51" t="str">
        <f t="shared" si="1276"/>
        <v/>
      </c>
      <c r="Q1275" s="51" t="str">
        <f t="shared" si="1276"/>
        <v/>
      </c>
      <c r="R1275" s="51" t="str">
        <f t="shared" si="1276"/>
        <v/>
      </c>
      <c r="S1275" s="51" t="str">
        <f t="shared" si="1276"/>
        <v/>
      </c>
      <c r="T1275" s="51" t="str">
        <f t="shared" si="1276"/>
        <v/>
      </c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2"/>
      <c r="AE1275" s="52"/>
      <c r="AF1275" s="52"/>
      <c r="AG1275" s="52"/>
      <c r="AH1275" s="52"/>
      <c r="AI1275" s="52"/>
      <c r="AJ1275" s="52"/>
      <c r="AK1275" s="52"/>
      <c r="AL1275" s="52"/>
      <c r="AM1275" s="52"/>
      <c r="AN1275" s="52"/>
      <c r="AO1275" s="52"/>
      <c r="AP1275" s="52"/>
      <c r="AQ1275" s="52"/>
      <c r="AR1275" s="52"/>
      <c r="AS1275" s="52"/>
      <c r="AT1275" s="52"/>
      <c r="AU1275" s="52"/>
      <c r="AV1275" s="52"/>
      <c r="AW1275" s="52"/>
      <c r="AX1275" s="52"/>
      <c r="AY1275" s="52"/>
      <c r="AZ1275" s="52"/>
      <c r="BA1275" s="52"/>
      <c r="BB1275" s="52"/>
      <c r="BC1275" s="52"/>
      <c r="BD1275" s="52"/>
      <c r="BE1275" s="52"/>
      <c r="BF1275" s="52"/>
      <c r="BG1275" s="52"/>
      <c r="BH1275" s="52"/>
      <c r="BI1275" s="52"/>
      <c r="BJ1275" s="52"/>
      <c r="BK1275" s="52"/>
      <c r="BL1275" s="52"/>
      <c r="BM1275" s="52"/>
      <c r="BN1275" s="52"/>
      <c r="BO1275" s="52"/>
    </row>
    <row r="1276">
      <c r="B1276" s="49"/>
      <c r="C1276" s="49" t="str">
        <f t="shared" si="2"/>
        <v/>
      </c>
      <c r="D1276" s="50" t="str">
        <f t="shared" si="3"/>
        <v/>
      </c>
      <c r="E1276" s="51" t="str">
        <f t="shared" ref="E1276:T1276" si="1277">IFERROR(VLOOKUP($A1276,INDIRECT("'" &amp; E$1 &amp; "'!$C:$G"), 5, FALSE),"")</f>
        <v/>
      </c>
      <c r="F1276" s="51" t="str">
        <f t="shared" si="1277"/>
        <v/>
      </c>
      <c r="G1276" s="51" t="str">
        <f t="shared" si="1277"/>
        <v/>
      </c>
      <c r="H1276" s="51" t="str">
        <f t="shared" si="1277"/>
        <v/>
      </c>
      <c r="I1276" s="51" t="str">
        <f t="shared" si="1277"/>
        <v/>
      </c>
      <c r="J1276" s="51" t="str">
        <f t="shared" si="1277"/>
        <v/>
      </c>
      <c r="K1276" s="51" t="str">
        <f t="shared" si="1277"/>
        <v/>
      </c>
      <c r="L1276" s="51" t="str">
        <f t="shared" si="1277"/>
        <v/>
      </c>
      <c r="M1276" s="51" t="str">
        <f t="shared" si="1277"/>
        <v/>
      </c>
      <c r="N1276" s="51" t="str">
        <f t="shared" si="1277"/>
        <v/>
      </c>
      <c r="O1276" s="51" t="str">
        <f t="shared" si="1277"/>
        <v/>
      </c>
      <c r="P1276" s="51" t="str">
        <f t="shared" si="1277"/>
        <v/>
      </c>
      <c r="Q1276" s="51" t="str">
        <f t="shared" si="1277"/>
        <v/>
      </c>
      <c r="R1276" s="51" t="str">
        <f t="shared" si="1277"/>
        <v/>
      </c>
      <c r="S1276" s="51" t="str">
        <f t="shared" si="1277"/>
        <v/>
      </c>
      <c r="T1276" s="51" t="str">
        <f t="shared" si="1277"/>
        <v/>
      </c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52"/>
      <c r="AN1276" s="52"/>
      <c r="AO1276" s="52"/>
      <c r="AP1276" s="52"/>
      <c r="AQ1276" s="52"/>
      <c r="AR1276" s="52"/>
      <c r="AS1276" s="52"/>
      <c r="AT1276" s="52"/>
      <c r="AU1276" s="52"/>
      <c r="AV1276" s="52"/>
      <c r="AW1276" s="52"/>
      <c r="AX1276" s="52"/>
      <c r="AY1276" s="52"/>
      <c r="AZ1276" s="52"/>
      <c r="BA1276" s="52"/>
      <c r="BB1276" s="52"/>
      <c r="BC1276" s="52"/>
      <c r="BD1276" s="52"/>
      <c r="BE1276" s="52"/>
      <c r="BF1276" s="52"/>
      <c r="BG1276" s="52"/>
      <c r="BH1276" s="52"/>
      <c r="BI1276" s="52"/>
      <c r="BJ1276" s="52"/>
      <c r="BK1276" s="52"/>
      <c r="BL1276" s="52"/>
      <c r="BM1276" s="52"/>
      <c r="BN1276" s="52"/>
      <c r="BO1276" s="52"/>
    </row>
    <row r="1277">
      <c r="B1277" s="49"/>
      <c r="C1277" s="49" t="str">
        <f t="shared" si="2"/>
        <v/>
      </c>
      <c r="D1277" s="50" t="str">
        <f t="shared" si="3"/>
        <v/>
      </c>
      <c r="E1277" s="51" t="str">
        <f t="shared" ref="E1277:T1277" si="1278">IFERROR(VLOOKUP($A1277,INDIRECT("'" &amp; E$1 &amp; "'!$C:$G"), 5, FALSE),"")</f>
        <v/>
      </c>
      <c r="F1277" s="51" t="str">
        <f t="shared" si="1278"/>
        <v/>
      </c>
      <c r="G1277" s="51" t="str">
        <f t="shared" si="1278"/>
        <v/>
      </c>
      <c r="H1277" s="51" t="str">
        <f t="shared" si="1278"/>
        <v/>
      </c>
      <c r="I1277" s="51" t="str">
        <f t="shared" si="1278"/>
        <v/>
      </c>
      <c r="J1277" s="51" t="str">
        <f t="shared" si="1278"/>
        <v/>
      </c>
      <c r="K1277" s="51" t="str">
        <f t="shared" si="1278"/>
        <v/>
      </c>
      <c r="L1277" s="51" t="str">
        <f t="shared" si="1278"/>
        <v/>
      </c>
      <c r="M1277" s="51" t="str">
        <f t="shared" si="1278"/>
        <v/>
      </c>
      <c r="N1277" s="51" t="str">
        <f t="shared" si="1278"/>
        <v/>
      </c>
      <c r="O1277" s="51" t="str">
        <f t="shared" si="1278"/>
        <v/>
      </c>
      <c r="P1277" s="51" t="str">
        <f t="shared" si="1278"/>
        <v/>
      </c>
      <c r="Q1277" s="51" t="str">
        <f t="shared" si="1278"/>
        <v/>
      </c>
      <c r="R1277" s="51" t="str">
        <f t="shared" si="1278"/>
        <v/>
      </c>
      <c r="S1277" s="51" t="str">
        <f t="shared" si="1278"/>
        <v/>
      </c>
      <c r="T1277" s="51" t="str">
        <f t="shared" si="1278"/>
        <v/>
      </c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2"/>
      <c r="AE1277" s="52"/>
      <c r="AF1277" s="52"/>
      <c r="AG1277" s="52"/>
      <c r="AH1277" s="52"/>
      <c r="AI1277" s="52"/>
      <c r="AJ1277" s="52"/>
      <c r="AK1277" s="52"/>
      <c r="AL1277" s="52"/>
      <c r="AM1277" s="52"/>
      <c r="AN1277" s="52"/>
      <c r="AO1277" s="52"/>
      <c r="AP1277" s="52"/>
      <c r="AQ1277" s="52"/>
      <c r="AR1277" s="52"/>
      <c r="AS1277" s="52"/>
      <c r="AT1277" s="52"/>
      <c r="AU1277" s="52"/>
      <c r="AV1277" s="52"/>
      <c r="AW1277" s="52"/>
      <c r="AX1277" s="52"/>
      <c r="AY1277" s="52"/>
      <c r="AZ1277" s="52"/>
      <c r="BA1277" s="52"/>
      <c r="BB1277" s="52"/>
      <c r="BC1277" s="52"/>
      <c r="BD1277" s="52"/>
      <c r="BE1277" s="52"/>
      <c r="BF1277" s="52"/>
      <c r="BG1277" s="52"/>
      <c r="BH1277" s="52"/>
      <c r="BI1277" s="52"/>
      <c r="BJ1277" s="52"/>
      <c r="BK1277" s="52"/>
      <c r="BL1277" s="52"/>
      <c r="BM1277" s="52"/>
      <c r="BN1277" s="52"/>
      <c r="BO1277" s="52"/>
    </row>
    <row r="1278">
      <c r="B1278" s="49"/>
      <c r="C1278" s="49" t="str">
        <f t="shared" si="2"/>
        <v/>
      </c>
      <c r="D1278" s="50" t="str">
        <f t="shared" si="3"/>
        <v/>
      </c>
      <c r="E1278" s="51" t="str">
        <f t="shared" ref="E1278:T1278" si="1279">IFERROR(VLOOKUP($A1278,INDIRECT("'" &amp; E$1 &amp; "'!$C:$G"), 5, FALSE),"")</f>
        <v/>
      </c>
      <c r="F1278" s="51" t="str">
        <f t="shared" si="1279"/>
        <v/>
      </c>
      <c r="G1278" s="51" t="str">
        <f t="shared" si="1279"/>
        <v/>
      </c>
      <c r="H1278" s="51" t="str">
        <f t="shared" si="1279"/>
        <v/>
      </c>
      <c r="I1278" s="51" t="str">
        <f t="shared" si="1279"/>
        <v/>
      </c>
      <c r="J1278" s="51" t="str">
        <f t="shared" si="1279"/>
        <v/>
      </c>
      <c r="K1278" s="51" t="str">
        <f t="shared" si="1279"/>
        <v/>
      </c>
      <c r="L1278" s="51" t="str">
        <f t="shared" si="1279"/>
        <v/>
      </c>
      <c r="M1278" s="51" t="str">
        <f t="shared" si="1279"/>
        <v/>
      </c>
      <c r="N1278" s="51" t="str">
        <f t="shared" si="1279"/>
        <v/>
      </c>
      <c r="O1278" s="51" t="str">
        <f t="shared" si="1279"/>
        <v/>
      </c>
      <c r="P1278" s="51" t="str">
        <f t="shared" si="1279"/>
        <v/>
      </c>
      <c r="Q1278" s="51" t="str">
        <f t="shared" si="1279"/>
        <v/>
      </c>
      <c r="R1278" s="51" t="str">
        <f t="shared" si="1279"/>
        <v/>
      </c>
      <c r="S1278" s="51" t="str">
        <f t="shared" si="1279"/>
        <v/>
      </c>
      <c r="T1278" s="51" t="str">
        <f t="shared" si="1279"/>
        <v/>
      </c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2"/>
      <c r="AE1278" s="52"/>
      <c r="AF1278" s="52"/>
      <c r="AG1278" s="52"/>
      <c r="AH1278" s="52"/>
      <c r="AI1278" s="52"/>
      <c r="AJ1278" s="52"/>
      <c r="AK1278" s="52"/>
      <c r="AL1278" s="52"/>
      <c r="AM1278" s="52"/>
      <c r="AN1278" s="52"/>
      <c r="AO1278" s="52"/>
      <c r="AP1278" s="52"/>
      <c r="AQ1278" s="52"/>
      <c r="AR1278" s="52"/>
      <c r="AS1278" s="52"/>
      <c r="AT1278" s="52"/>
      <c r="AU1278" s="52"/>
      <c r="AV1278" s="52"/>
      <c r="AW1278" s="52"/>
      <c r="AX1278" s="52"/>
      <c r="AY1278" s="52"/>
      <c r="AZ1278" s="52"/>
      <c r="BA1278" s="52"/>
      <c r="BB1278" s="52"/>
      <c r="BC1278" s="52"/>
      <c r="BD1278" s="52"/>
      <c r="BE1278" s="52"/>
      <c r="BF1278" s="52"/>
      <c r="BG1278" s="52"/>
      <c r="BH1278" s="52"/>
      <c r="BI1278" s="52"/>
      <c r="BJ1278" s="52"/>
      <c r="BK1278" s="52"/>
      <c r="BL1278" s="52"/>
      <c r="BM1278" s="52"/>
      <c r="BN1278" s="52"/>
      <c r="BO1278" s="52"/>
    </row>
    <row r="1279">
      <c r="B1279" s="49"/>
      <c r="C1279" s="49" t="str">
        <f t="shared" si="2"/>
        <v/>
      </c>
      <c r="D1279" s="50" t="str">
        <f t="shared" si="3"/>
        <v/>
      </c>
      <c r="E1279" s="51" t="str">
        <f t="shared" ref="E1279:T1279" si="1280">IFERROR(VLOOKUP($A1279,INDIRECT("'" &amp; E$1 &amp; "'!$C:$G"), 5, FALSE),"")</f>
        <v/>
      </c>
      <c r="F1279" s="51" t="str">
        <f t="shared" si="1280"/>
        <v/>
      </c>
      <c r="G1279" s="51" t="str">
        <f t="shared" si="1280"/>
        <v/>
      </c>
      <c r="H1279" s="51" t="str">
        <f t="shared" si="1280"/>
        <v/>
      </c>
      <c r="I1279" s="51" t="str">
        <f t="shared" si="1280"/>
        <v/>
      </c>
      <c r="J1279" s="51" t="str">
        <f t="shared" si="1280"/>
        <v/>
      </c>
      <c r="K1279" s="51" t="str">
        <f t="shared" si="1280"/>
        <v/>
      </c>
      <c r="L1279" s="51" t="str">
        <f t="shared" si="1280"/>
        <v/>
      </c>
      <c r="M1279" s="51" t="str">
        <f t="shared" si="1280"/>
        <v/>
      </c>
      <c r="N1279" s="51" t="str">
        <f t="shared" si="1280"/>
        <v/>
      </c>
      <c r="O1279" s="51" t="str">
        <f t="shared" si="1280"/>
        <v/>
      </c>
      <c r="P1279" s="51" t="str">
        <f t="shared" si="1280"/>
        <v/>
      </c>
      <c r="Q1279" s="51" t="str">
        <f t="shared" si="1280"/>
        <v/>
      </c>
      <c r="R1279" s="51" t="str">
        <f t="shared" si="1280"/>
        <v/>
      </c>
      <c r="S1279" s="51" t="str">
        <f t="shared" si="1280"/>
        <v/>
      </c>
      <c r="T1279" s="51" t="str">
        <f t="shared" si="1280"/>
        <v/>
      </c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2"/>
      <c r="AE1279" s="52"/>
      <c r="AF1279" s="52"/>
      <c r="AG1279" s="52"/>
      <c r="AH1279" s="52"/>
      <c r="AI1279" s="52"/>
      <c r="AJ1279" s="52"/>
      <c r="AK1279" s="52"/>
      <c r="AL1279" s="52"/>
      <c r="AM1279" s="52"/>
      <c r="AN1279" s="52"/>
      <c r="AO1279" s="52"/>
      <c r="AP1279" s="52"/>
      <c r="AQ1279" s="52"/>
      <c r="AR1279" s="52"/>
      <c r="AS1279" s="52"/>
      <c r="AT1279" s="52"/>
      <c r="AU1279" s="52"/>
      <c r="AV1279" s="52"/>
      <c r="AW1279" s="52"/>
      <c r="AX1279" s="52"/>
      <c r="AY1279" s="52"/>
      <c r="AZ1279" s="52"/>
      <c r="BA1279" s="52"/>
      <c r="BB1279" s="52"/>
      <c r="BC1279" s="52"/>
      <c r="BD1279" s="52"/>
      <c r="BE1279" s="52"/>
      <c r="BF1279" s="52"/>
      <c r="BG1279" s="52"/>
      <c r="BH1279" s="52"/>
      <c r="BI1279" s="52"/>
      <c r="BJ1279" s="52"/>
      <c r="BK1279" s="52"/>
      <c r="BL1279" s="52"/>
      <c r="BM1279" s="52"/>
      <c r="BN1279" s="52"/>
      <c r="BO1279" s="52"/>
    </row>
    <row r="1280">
      <c r="B1280" s="49"/>
      <c r="C1280" s="49" t="str">
        <f t="shared" si="2"/>
        <v/>
      </c>
      <c r="D1280" s="50" t="str">
        <f t="shared" si="3"/>
        <v/>
      </c>
      <c r="E1280" s="51" t="str">
        <f t="shared" ref="E1280:T1280" si="1281">IFERROR(VLOOKUP($A1280,INDIRECT("'" &amp; E$1 &amp; "'!$C:$G"), 5, FALSE),"")</f>
        <v/>
      </c>
      <c r="F1280" s="51" t="str">
        <f t="shared" si="1281"/>
        <v/>
      </c>
      <c r="G1280" s="51" t="str">
        <f t="shared" si="1281"/>
        <v/>
      </c>
      <c r="H1280" s="51" t="str">
        <f t="shared" si="1281"/>
        <v/>
      </c>
      <c r="I1280" s="51" t="str">
        <f t="shared" si="1281"/>
        <v/>
      </c>
      <c r="J1280" s="51" t="str">
        <f t="shared" si="1281"/>
        <v/>
      </c>
      <c r="K1280" s="51" t="str">
        <f t="shared" si="1281"/>
        <v/>
      </c>
      <c r="L1280" s="51" t="str">
        <f t="shared" si="1281"/>
        <v/>
      </c>
      <c r="M1280" s="51" t="str">
        <f t="shared" si="1281"/>
        <v/>
      </c>
      <c r="N1280" s="51" t="str">
        <f t="shared" si="1281"/>
        <v/>
      </c>
      <c r="O1280" s="51" t="str">
        <f t="shared" si="1281"/>
        <v/>
      </c>
      <c r="P1280" s="51" t="str">
        <f t="shared" si="1281"/>
        <v/>
      </c>
      <c r="Q1280" s="51" t="str">
        <f t="shared" si="1281"/>
        <v/>
      </c>
      <c r="R1280" s="51" t="str">
        <f t="shared" si="1281"/>
        <v/>
      </c>
      <c r="S1280" s="51" t="str">
        <f t="shared" si="1281"/>
        <v/>
      </c>
      <c r="T1280" s="51" t="str">
        <f t="shared" si="1281"/>
        <v/>
      </c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I1280" s="52"/>
      <c r="AJ1280" s="52"/>
      <c r="AK1280" s="52"/>
      <c r="AL1280" s="52"/>
      <c r="AM1280" s="52"/>
      <c r="AN1280" s="52"/>
      <c r="AO1280" s="52"/>
      <c r="AP1280" s="52"/>
      <c r="AQ1280" s="52"/>
      <c r="AR1280" s="52"/>
      <c r="AS1280" s="52"/>
      <c r="AT1280" s="52"/>
      <c r="AU1280" s="52"/>
      <c r="AV1280" s="52"/>
      <c r="AW1280" s="52"/>
      <c r="AX1280" s="52"/>
      <c r="AY1280" s="52"/>
      <c r="AZ1280" s="52"/>
      <c r="BA1280" s="52"/>
      <c r="BB1280" s="52"/>
      <c r="BC1280" s="52"/>
      <c r="BD1280" s="52"/>
      <c r="BE1280" s="52"/>
      <c r="BF1280" s="52"/>
      <c r="BG1280" s="52"/>
      <c r="BH1280" s="52"/>
      <c r="BI1280" s="52"/>
      <c r="BJ1280" s="52"/>
      <c r="BK1280" s="52"/>
      <c r="BL1280" s="52"/>
      <c r="BM1280" s="52"/>
      <c r="BN1280" s="52"/>
      <c r="BO1280" s="52"/>
    </row>
    <row r="1281">
      <c r="B1281" s="49"/>
      <c r="C1281" s="49" t="str">
        <f t="shared" si="2"/>
        <v/>
      </c>
      <c r="D1281" s="50" t="str">
        <f t="shared" si="3"/>
        <v/>
      </c>
      <c r="E1281" s="51" t="str">
        <f t="shared" ref="E1281:T1281" si="1282">IFERROR(VLOOKUP($A1281,INDIRECT("'" &amp; E$1 &amp; "'!$C:$G"), 5, FALSE),"")</f>
        <v/>
      </c>
      <c r="F1281" s="51" t="str">
        <f t="shared" si="1282"/>
        <v/>
      </c>
      <c r="G1281" s="51" t="str">
        <f t="shared" si="1282"/>
        <v/>
      </c>
      <c r="H1281" s="51" t="str">
        <f t="shared" si="1282"/>
        <v/>
      </c>
      <c r="I1281" s="51" t="str">
        <f t="shared" si="1282"/>
        <v/>
      </c>
      <c r="J1281" s="51" t="str">
        <f t="shared" si="1282"/>
        <v/>
      </c>
      <c r="K1281" s="51" t="str">
        <f t="shared" si="1282"/>
        <v/>
      </c>
      <c r="L1281" s="51" t="str">
        <f t="shared" si="1282"/>
        <v/>
      </c>
      <c r="M1281" s="51" t="str">
        <f t="shared" si="1282"/>
        <v/>
      </c>
      <c r="N1281" s="51" t="str">
        <f t="shared" si="1282"/>
        <v/>
      </c>
      <c r="O1281" s="51" t="str">
        <f t="shared" si="1282"/>
        <v/>
      </c>
      <c r="P1281" s="51" t="str">
        <f t="shared" si="1282"/>
        <v/>
      </c>
      <c r="Q1281" s="51" t="str">
        <f t="shared" si="1282"/>
        <v/>
      </c>
      <c r="R1281" s="51" t="str">
        <f t="shared" si="1282"/>
        <v/>
      </c>
      <c r="S1281" s="51" t="str">
        <f t="shared" si="1282"/>
        <v/>
      </c>
      <c r="T1281" s="51" t="str">
        <f t="shared" si="1282"/>
        <v/>
      </c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2"/>
      <c r="AE1281" s="52"/>
      <c r="AF1281" s="52"/>
      <c r="AG1281" s="52"/>
      <c r="AH1281" s="52"/>
      <c r="AI1281" s="52"/>
      <c r="AJ1281" s="52"/>
      <c r="AK1281" s="52"/>
      <c r="AL1281" s="52"/>
      <c r="AM1281" s="52"/>
      <c r="AN1281" s="52"/>
      <c r="AO1281" s="52"/>
      <c r="AP1281" s="52"/>
      <c r="AQ1281" s="52"/>
      <c r="AR1281" s="52"/>
      <c r="AS1281" s="52"/>
      <c r="AT1281" s="52"/>
      <c r="AU1281" s="52"/>
      <c r="AV1281" s="52"/>
      <c r="AW1281" s="52"/>
      <c r="AX1281" s="52"/>
      <c r="AY1281" s="52"/>
      <c r="AZ1281" s="52"/>
      <c r="BA1281" s="52"/>
      <c r="BB1281" s="52"/>
      <c r="BC1281" s="52"/>
      <c r="BD1281" s="52"/>
      <c r="BE1281" s="52"/>
      <c r="BF1281" s="52"/>
      <c r="BG1281" s="52"/>
      <c r="BH1281" s="52"/>
      <c r="BI1281" s="52"/>
      <c r="BJ1281" s="52"/>
      <c r="BK1281" s="52"/>
      <c r="BL1281" s="52"/>
      <c r="BM1281" s="52"/>
      <c r="BN1281" s="52"/>
      <c r="BO1281" s="52"/>
    </row>
    <row r="1282">
      <c r="B1282" s="49"/>
      <c r="C1282" s="49" t="str">
        <f t="shared" si="2"/>
        <v/>
      </c>
      <c r="D1282" s="50" t="str">
        <f t="shared" si="3"/>
        <v/>
      </c>
      <c r="E1282" s="51" t="str">
        <f t="shared" ref="E1282:T1282" si="1283">IFERROR(VLOOKUP($A1282,INDIRECT("'" &amp; E$1 &amp; "'!$C:$G"), 5, FALSE),"")</f>
        <v/>
      </c>
      <c r="F1282" s="51" t="str">
        <f t="shared" si="1283"/>
        <v/>
      </c>
      <c r="G1282" s="51" t="str">
        <f t="shared" si="1283"/>
        <v/>
      </c>
      <c r="H1282" s="51" t="str">
        <f t="shared" si="1283"/>
        <v/>
      </c>
      <c r="I1282" s="51" t="str">
        <f t="shared" si="1283"/>
        <v/>
      </c>
      <c r="J1282" s="51" t="str">
        <f t="shared" si="1283"/>
        <v/>
      </c>
      <c r="K1282" s="51" t="str">
        <f t="shared" si="1283"/>
        <v/>
      </c>
      <c r="L1282" s="51" t="str">
        <f t="shared" si="1283"/>
        <v/>
      </c>
      <c r="M1282" s="51" t="str">
        <f t="shared" si="1283"/>
        <v/>
      </c>
      <c r="N1282" s="51" t="str">
        <f t="shared" si="1283"/>
        <v/>
      </c>
      <c r="O1282" s="51" t="str">
        <f t="shared" si="1283"/>
        <v/>
      </c>
      <c r="P1282" s="51" t="str">
        <f t="shared" si="1283"/>
        <v/>
      </c>
      <c r="Q1282" s="51" t="str">
        <f t="shared" si="1283"/>
        <v/>
      </c>
      <c r="R1282" s="51" t="str">
        <f t="shared" si="1283"/>
        <v/>
      </c>
      <c r="S1282" s="51" t="str">
        <f t="shared" si="1283"/>
        <v/>
      </c>
      <c r="T1282" s="51" t="str">
        <f t="shared" si="1283"/>
        <v/>
      </c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2"/>
      <c r="AE1282" s="52"/>
      <c r="AF1282" s="52"/>
      <c r="AG1282" s="52"/>
      <c r="AH1282" s="52"/>
      <c r="AI1282" s="52"/>
      <c r="AJ1282" s="52"/>
      <c r="AK1282" s="52"/>
      <c r="AL1282" s="52"/>
      <c r="AM1282" s="52"/>
      <c r="AN1282" s="52"/>
      <c r="AO1282" s="52"/>
      <c r="AP1282" s="52"/>
      <c r="AQ1282" s="52"/>
      <c r="AR1282" s="52"/>
      <c r="AS1282" s="52"/>
      <c r="AT1282" s="52"/>
      <c r="AU1282" s="52"/>
      <c r="AV1282" s="52"/>
      <c r="AW1282" s="52"/>
      <c r="AX1282" s="52"/>
      <c r="AY1282" s="52"/>
      <c r="AZ1282" s="52"/>
      <c r="BA1282" s="52"/>
      <c r="BB1282" s="52"/>
      <c r="BC1282" s="52"/>
      <c r="BD1282" s="52"/>
      <c r="BE1282" s="52"/>
      <c r="BF1282" s="52"/>
      <c r="BG1282" s="52"/>
      <c r="BH1282" s="52"/>
      <c r="BI1282" s="52"/>
      <c r="BJ1282" s="52"/>
      <c r="BK1282" s="52"/>
      <c r="BL1282" s="52"/>
      <c r="BM1282" s="52"/>
      <c r="BN1282" s="52"/>
      <c r="BO1282" s="52"/>
    </row>
    <row r="1283">
      <c r="B1283" s="49"/>
      <c r="C1283" s="49" t="str">
        <f t="shared" si="2"/>
        <v/>
      </c>
      <c r="D1283" s="50" t="str">
        <f t="shared" si="3"/>
        <v/>
      </c>
      <c r="E1283" s="51" t="str">
        <f t="shared" ref="E1283:T1283" si="1284">IFERROR(VLOOKUP($A1283,INDIRECT("'" &amp; E$1 &amp; "'!$C:$G"), 5, FALSE),"")</f>
        <v/>
      </c>
      <c r="F1283" s="51" t="str">
        <f t="shared" si="1284"/>
        <v/>
      </c>
      <c r="G1283" s="51" t="str">
        <f t="shared" si="1284"/>
        <v/>
      </c>
      <c r="H1283" s="51" t="str">
        <f t="shared" si="1284"/>
        <v/>
      </c>
      <c r="I1283" s="51" t="str">
        <f t="shared" si="1284"/>
        <v/>
      </c>
      <c r="J1283" s="51" t="str">
        <f t="shared" si="1284"/>
        <v/>
      </c>
      <c r="K1283" s="51" t="str">
        <f t="shared" si="1284"/>
        <v/>
      </c>
      <c r="L1283" s="51" t="str">
        <f t="shared" si="1284"/>
        <v/>
      </c>
      <c r="M1283" s="51" t="str">
        <f t="shared" si="1284"/>
        <v/>
      </c>
      <c r="N1283" s="51" t="str">
        <f t="shared" si="1284"/>
        <v/>
      </c>
      <c r="O1283" s="51" t="str">
        <f t="shared" si="1284"/>
        <v/>
      </c>
      <c r="P1283" s="51" t="str">
        <f t="shared" si="1284"/>
        <v/>
      </c>
      <c r="Q1283" s="51" t="str">
        <f t="shared" si="1284"/>
        <v/>
      </c>
      <c r="R1283" s="51" t="str">
        <f t="shared" si="1284"/>
        <v/>
      </c>
      <c r="S1283" s="51" t="str">
        <f t="shared" si="1284"/>
        <v/>
      </c>
      <c r="T1283" s="51" t="str">
        <f t="shared" si="1284"/>
        <v/>
      </c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2"/>
      <c r="AE1283" s="52"/>
      <c r="AF1283" s="52"/>
      <c r="AG1283" s="52"/>
      <c r="AH1283" s="52"/>
      <c r="AI1283" s="52"/>
      <c r="AJ1283" s="52"/>
      <c r="AK1283" s="52"/>
      <c r="AL1283" s="52"/>
      <c r="AM1283" s="52"/>
      <c r="AN1283" s="52"/>
      <c r="AO1283" s="52"/>
      <c r="AP1283" s="52"/>
      <c r="AQ1283" s="52"/>
      <c r="AR1283" s="52"/>
      <c r="AS1283" s="52"/>
      <c r="AT1283" s="52"/>
      <c r="AU1283" s="52"/>
      <c r="AV1283" s="52"/>
      <c r="AW1283" s="52"/>
      <c r="AX1283" s="52"/>
      <c r="AY1283" s="52"/>
      <c r="AZ1283" s="52"/>
      <c r="BA1283" s="52"/>
      <c r="BB1283" s="52"/>
      <c r="BC1283" s="52"/>
      <c r="BD1283" s="52"/>
      <c r="BE1283" s="52"/>
      <c r="BF1283" s="52"/>
      <c r="BG1283" s="52"/>
      <c r="BH1283" s="52"/>
      <c r="BI1283" s="52"/>
      <c r="BJ1283" s="52"/>
      <c r="BK1283" s="52"/>
      <c r="BL1283" s="52"/>
      <c r="BM1283" s="52"/>
      <c r="BN1283" s="52"/>
      <c r="BO1283" s="52"/>
    </row>
    <row r="1284">
      <c r="B1284" s="49"/>
      <c r="C1284" s="49" t="str">
        <f t="shared" si="2"/>
        <v/>
      </c>
      <c r="D1284" s="50" t="str">
        <f t="shared" si="3"/>
        <v/>
      </c>
      <c r="E1284" s="51" t="str">
        <f t="shared" ref="E1284:T1284" si="1285">IFERROR(VLOOKUP($A1284,INDIRECT("'" &amp; E$1 &amp; "'!$C:$G"), 5, FALSE),"")</f>
        <v/>
      </c>
      <c r="F1284" s="51" t="str">
        <f t="shared" si="1285"/>
        <v/>
      </c>
      <c r="G1284" s="51" t="str">
        <f t="shared" si="1285"/>
        <v/>
      </c>
      <c r="H1284" s="51" t="str">
        <f t="shared" si="1285"/>
        <v/>
      </c>
      <c r="I1284" s="51" t="str">
        <f t="shared" si="1285"/>
        <v/>
      </c>
      <c r="J1284" s="51" t="str">
        <f t="shared" si="1285"/>
        <v/>
      </c>
      <c r="K1284" s="51" t="str">
        <f t="shared" si="1285"/>
        <v/>
      </c>
      <c r="L1284" s="51" t="str">
        <f t="shared" si="1285"/>
        <v/>
      </c>
      <c r="M1284" s="51" t="str">
        <f t="shared" si="1285"/>
        <v/>
      </c>
      <c r="N1284" s="51" t="str">
        <f t="shared" si="1285"/>
        <v/>
      </c>
      <c r="O1284" s="51" t="str">
        <f t="shared" si="1285"/>
        <v/>
      </c>
      <c r="P1284" s="51" t="str">
        <f t="shared" si="1285"/>
        <v/>
      </c>
      <c r="Q1284" s="51" t="str">
        <f t="shared" si="1285"/>
        <v/>
      </c>
      <c r="R1284" s="51" t="str">
        <f t="shared" si="1285"/>
        <v/>
      </c>
      <c r="S1284" s="51" t="str">
        <f t="shared" si="1285"/>
        <v/>
      </c>
      <c r="T1284" s="51" t="str">
        <f t="shared" si="1285"/>
        <v/>
      </c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2"/>
      <c r="AE1284" s="52"/>
      <c r="AF1284" s="52"/>
      <c r="AG1284" s="52"/>
      <c r="AH1284" s="52"/>
      <c r="AI1284" s="52"/>
      <c r="AJ1284" s="52"/>
      <c r="AK1284" s="52"/>
      <c r="AL1284" s="52"/>
      <c r="AM1284" s="52"/>
      <c r="AN1284" s="52"/>
      <c r="AO1284" s="52"/>
      <c r="AP1284" s="52"/>
      <c r="AQ1284" s="52"/>
      <c r="AR1284" s="52"/>
      <c r="AS1284" s="52"/>
      <c r="AT1284" s="52"/>
      <c r="AU1284" s="52"/>
      <c r="AV1284" s="52"/>
      <c r="AW1284" s="52"/>
      <c r="AX1284" s="52"/>
      <c r="AY1284" s="52"/>
      <c r="AZ1284" s="52"/>
      <c r="BA1284" s="52"/>
      <c r="BB1284" s="52"/>
      <c r="BC1284" s="52"/>
      <c r="BD1284" s="52"/>
      <c r="BE1284" s="52"/>
      <c r="BF1284" s="52"/>
      <c r="BG1284" s="52"/>
      <c r="BH1284" s="52"/>
      <c r="BI1284" s="52"/>
      <c r="BJ1284" s="52"/>
      <c r="BK1284" s="52"/>
      <c r="BL1284" s="52"/>
      <c r="BM1284" s="52"/>
      <c r="BN1284" s="52"/>
      <c r="BO1284" s="52"/>
    </row>
    <row r="1285">
      <c r="B1285" s="49"/>
      <c r="C1285" s="49" t="str">
        <f t="shared" si="2"/>
        <v/>
      </c>
      <c r="D1285" s="50" t="str">
        <f t="shared" si="3"/>
        <v/>
      </c>
      <c r="E1285" s="51" t="str">
        <f t="shared" ref="E1285:T1285" si="1286">IFERROR(VLOOKUP($A1285,INDIRECT("'" &amp; E$1 &amp; "'!$C:$G"), 5, FALSE),"")</f>
        <v/>
      </c>
      <c r="F1285" s="51" t="str">
        <f t="shared" si="1286"/>
        <v/>
      </c>
      <c r="G1285" s="51" t="str">
        <f t="shared" si="1286"/>
        <v/>
      </c>
      <c r="H1285" s="51" t="str">
        <f t="shared" si="1286"/>
        <v/>
      </c>
      <c r="I1285" s="51" t="str">
        <f t="shared" si="1286"/>
        <v/>
      </c>
      <c r="J1285" s="51" t="str">
        <f t="shared" si="1286"/>
        <v/>
      </c>
      <c r="K1285" s="51" t="str">
        <f t="shared" si="1286"/>
        <v/>
      </c>
      <c r="L1285" s="51" t="str">
        <f t="shared" si="1286"/>
        <v/>
      </c>
      <c r="M1285" s="51" t="str">
        <f t="shared" si="1286"/>
        <v/>
      </c>
      <c r="N1285" s="51" t="str">
        <f t="shared" si="1286"/>
        <v/>
      </c>
      <c r="O1285" s="51" t="str">
        <f t="shared" si="1286"/>
        <v/>
      </c>
      <c r="P1285" s="51" t="str">
        <f t="shared" si="1286"/>
        <v/>
      </c>
      <c r="Q1285" s="51" t="str">
        <f t="shared" si="1286"/>
        <v/>
      </c>
      <c r="R1285" s="51" t="str">
        <f t="shared" si="1286"/>
        <v/>
      </c>
      <c r="S1285" s="51" t="str">
        <f t="shared" si="1286"/>
        <v/>
      </c>
      <c r="T1285" s="51" t="str">
        <f t="shared" si="1286"/>
        <v/>
      </c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2"/>
      <c r="AE1285" s="52"/>
      <c r="AF1285" s="52"/>
      <c r="AG1285" s="52"/>
      <c r="AH1285" s="52"/>
      <c r="AI1285" s="52"/>
      <c r="AJ1285" s="52"/>
      <c r="AK1285" s="52"/>
      <c r="AL1285" s="52"/>
      <c r="AM1285" s="52"/>
      <c r="AN1285" s="52"/>
      <c r="AO1285" s="52"/>
      <c r="AP1285" s="52"/>
      <c r="AQ1285" s="52"/>
      <c r="AR1285" s="52"/>
      <c r="AS1285" s="52"/>
      <c r="AT1285" s="52"/>
      <c r="AU1285" s="52"/>
      <c r="AV1285" s="52"/>
      <c r="AW1285" s="52"/>
      <c r="AX1285" s="52"/>
      <c r="AY1285" s="52"/>
      <c r="AZ1285" s="52"/>
      <c r="BA1285" s="52"/>
      <c r="BB1285" s="52"/>
      <c r="BC1285" s="52"/>
      <c r="BD1285" s="52"/>
      <c r="BE1285" s="52"/>
      <c r="BF1285" s="52"/>
      <c r="BG1285" s="52"/>
      <c r="BH1285" s="52"/>
      <c r="BI1285" s="52"/>
      <c r="BJ1285" s="52"/>
      <c r="BK1285" s="52"/>
      <c r="BL1285" s="52"/>
      <c r="BM1285" s="52"/>
      <c r="BN1285" s="52"/>
      <c r="BO1285" s="52"/>
    </row>
    <row r="1286">
      <c r="B1286" s="49"/>
      <c r="C1286" s="49" t="str">
        <f t="shared" si="2"/>
        <v/>
      </c>
      <c r="D1286" s="50" t="str">
        <f t="shared" si="3"/>
        <v/>
      </c>
      <c r="E1286" s="51" t="str">
        <f t="shared" ref="E1286:T1286" si="1287">IFERROR(VLOOKUP($A1286,INDIRECT("'" &amp; E$1 &amp; "'!$C:$G"), 5, FALSE),"")</f>
        <v/>
      </c>
      <c r="F1286" s="51" t="str">
        <f t="shared" si="1287"/>
        <v/>
      </c>
      <c r="G1286" s="51" t="str">
        <f t="shared" si="1287"/>
        <v/>
      </c>
      <c r="H1286" s="51" t="str">
        <f t="shared" si="1287"/>
        <v/>
      </c>
      <c r="I1286" s="51" t="str">
        <f t="shared" si="1287"/>
        <v/>
      </c>
      <c r="J1286" s="51" t="str">
        <f t="shared" si="1287"/>
        <v/>
      </c>
      <c r="K1286" s="51" t="str">
        <f t="shared" si="1287"/>
        <v/>
      </c>
      <c r="L1286" s="51" t="str">
        <f t="shared" si="1287"/>
        <v/>
      </c>
      <c r="M1286" s="51" t="str">
        <f t="shared" si="1287"/>
        <v/>
      </c>
      <c r="N1286" s="51" t="str">
        <f t="shared" si="1287"/>
        <v/>
      </c>
      <c r="O1286" s="51" t="str">
        <f t="shared" si="1287"/>
        <v/>
      </c>
      <c r="P1286" s="51" t="str">
        <f t="shared" si="1287"/>
        <v/>
      </c>
      <c r="Q1286" s="51" t="str">
        <f t="shared" si="1287"/>
        <v/>
      </c>
      <c r="R1286" s="51" t="str">
        <f t="shared" si="1287"/>
        <v/>
      </c>
      <c r="S1286" s="51" t="str">
        <f t="shared" si="1287"/>
        <v/>
      </c>
      <c r="T1286" s="51" t="str">
        <f t="shared" si="1287"/>
        <v/>
      </c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2"/>
      <c r="AE1286" s="52"/>
      <c r="AF1286" s="52"/>
      <c r="AG1286" s="52"/>
      <c r="AH1286" s="52"/>
      <c r="AI1286" s="52"/>
      <c r="AJ1286" s="52"/>
      <c r="AK1286" s="52"/>
      <c r="AL1286" s="52"/>
      <c r="AM1286" s="52"/>
      <c r="AN1286" s="52"/>
      <c r="AO1286" s="52"/>
      <c r="AP1286" s="52"/>
      <c r="AQ1286" s="52"/>
      <c r="AR1286" s="52"/>
      <c r="AS1286" s="52"/>
      <c r="AT1286" s="52"/>
      <c r="AU1286" s="52"/>
      <c r="AV1286" s="52"/>
      <c r="AW1286" s="52"/>
      <c r="AX1286" s="52"/>
      <c r="AY1286" s="52"/>
      <c r="AZ1286" s="52"/>
      <c r="BA1286" s="52"/>
      <c r="BB1286" s="52"/>
      <c r="BC1286" s="52"/>
      <c r="BD1286" s="52"/>
      <c r="BE1286" s="52"/>
      <c r="BF1286" s="52"/>
      <c r="BG1286" s="52"/>
      <c r="BH1286" s="52"/>
      <c r="BI1286" s="52"/>
      <c r="BJ1286" s="52"/>
      <c r="BK1286" s="52"/>
      <c r="BL1286" s="52"/>
      <c r="BM1286" s="52"/>
      <c r="BN1286" s="52"/>
      <c r="BO1286" s="52"/>
    </row>
    <row r="1287">
      <c r="B1287" s="49"/>
      <c r="C1287" s="49" t="str">
        <f t="shared" si="2"/>
        <v/>
      </c>
      <c r="D1287" s="50" t="str">
        <f t="shared" si="3"/>
        <v/>
      </c>
      <c r="E1287" s="51" t="str">
        <f t="shared" ref="E1287:T1287" si="1288">IFERROR(VLOOKUP($A1287,INDIRECT("'" &amp; E$1 &amp; "'!$C:$G"), 5, FALSE),"")</f>
        <v/>
      </c>
      <c r="F1287" s="51" t="str">
        <f t="shared" si="1288"/>
        <v/>
      </c>
      <c r="G1287" s="51" t="str">
        <f t="shared" si="1288"/>
        <v/>
      </c>
      <c r="H1287" s="51" t="str">
        <f t="shared" si="1288"/>
        <v/>
      </c>
      <c r="I1287" s="51" t="str">
        <f t="shared" si="1288"/>
        <v/>
      </c>
      <c r="J1287" s="51" t="str">
        <f t="shared" si="1288"/>
        <v/>
      </c>
      <c r="K1287" s="51" t="str">
        <f t="shared" si="1288"/>
        <v/>
      </c>
      <c r="L1287" s="51" t="str">
        <f t="shared" si="1288"/>
        <v/>
      </c>
      <c r="M1287" s="51" t="str">
        <f t="shared" si="1288"/>
        <v/>
      </c>
      <c r="N1287" s="51" t="str">
        <f t="shared" si="1288"/>
        <v/>
      </c>
      <c r="O1287" s="51" t="str">
        <f t="shared" si="1288"/>
        <v/>
      </c>
      <c r="P1287" s="51" t="str">
        <f t="shared" si="1288"/>
        <v/>
      </c>
      <c r="Q1287" s="51" t="str">
        <f t="shared" si="1288"/>
        <v/>
      </c>
      <c r="R1287" s="51" t="str">
        <f t="shared" si="1288"/>
        <v/>
      </c>
      <c r="S1287" s="51" t="str">
        <f t="shared" si="1288"/>
        <v/>
      </c>
      <c r="T1287" s="51" t="str">
        <f t="shared" si="1288"/>
        <v/>
      </c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2"/>
      <c r="AE1287" s="52"/>
      <c r="AF1287" s="52"/>
      <c r="AG1287" s="52"/>
      <c r="AH1287" s="52"/>
      <c r="AI1287" s="52"/>
      <c r="AJ1287" s="52"/>
      <c r="AK1287" s="52"/>
      <c r="AL1287" s="52"/>
      <c r="AM1287" s="52"/>
      <c r="AN1287" s="52"/>
      <c r="AO1287" s="52"/>
      <c r="AP1287" s="52"/>
      <c r="AQ1287" s="52"/>
      <c r="AR1287" s="52"/>
      <c r="AS1287" s="52"/>
      <c r="AT1287" s="52"/>
      <c r="AU1287" s="52"/>
      <c r="AV1287" s="52"/>
      <c r="AW1287" s="52"/>
      <c r="AX1287" s="52"/>
      <c r="AY1287" s="52"/>
      <c r="AZ1287" s="52"/>
      <c r="BA1287" s="52"/>
      <c r="BB1287" s="52"/>
      <c r="BC1287" s="52"/>
      <c r="BD1287" s="52"/>
      <c r="BE1287" s="52"/>
      <c r="BF1287" s="52"/>
      <c r="BG1287" s="52"/>
      <c r="BH1287" s="52"/>
      <c r="BI1287" s="52"/>
      <c r="BJ1287" s="52"/>
      <c r="BK1287" s="52"/>
      <c r="BL1287" s="52"/>
      <c r="BM1287" s="52"/>
      <c r="BN1287" s="52"/>
      <c r="BO1287" s="52"/>
    </row>
    <row r="1288">
      <c r="B1288" s="49"/>
      <c r="C1288" s="49" t="str">
        <f t="shared" si="2"/>
        <v/>
      </c>
      <c r="D1288" s="50" t="str">
        <f t="shared" si="3"/>
        <v/>
      </c>
      <c r="E1288" s="51" t="str">
        <f t="shared" ref="E1288:T1288" si="1289">IFERROR(VLOOKUP($A1288,INDIRECT("'" &amp; E$1 &amp; "'!$C:$G"), 5, FALSE),"")</f>
        <v/>
      </c>
      <c r="F1288" s="51" t="str">
        <f t="shared" si="1289"/>
        <v/>
      </c>
      <c r="G1288" s="51" t="str">
        <f t="shared" si="1289"/>
        <v/>
      </c>
      <c r="H1288" s="51" t="str">
        <f t="shared" si="1289"/>
        <v/>
      </c>
      <c r="I1288" s="51" t="str">
        <f t="shared" si="1289"/>
        <v/>
      </c>
      <c r="J1288" s="51" t="str">
        <f t="shared" si="1289"/>
        <v/>
      </c>
      <c r="K1288" s="51" t="str">
        <f t="shared" si="1289"/>
        <v/>
      </c>
      <c r="L1288" s="51" t="str">
        <f t="shared" si="1289"/>
        <v/>
      </c>
      <c r="M1288" s="51" t="str">
        <f t="shared" si="1289"/>
        <v/>
      </c>
      <c r="N1288" s="51" t="str">
        <f t="shared" si="1289"/>
        <v/>
      </c>
      <c r="O1288" s="51" t="str">
        <f t="shared" si="1289"/>
        <v/>
      </c>
      <c r="P1288" s="51" t="str">
        <f t="shared" si="1289"/>
        <v/>
      </c>
      <c r="Q1288" s="51" t="str">
        <f t="shared" si="1289"/>
        <v/>
      </c>
      <c r="R1288" s="51" t="str">
        <f t="shared" si="1289"/>
        <v/>
      </c>
      <c r="S1288" s="51" t="str">
        <f t="shared" si="1289"/>
        <v/>
      </c>
      <c r="T1288" s="51" t="str">
        <f t="shared" si="1289"/>
        <v/>
      </c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2"/>
      <c r="AE1288" s="52"/>
      <c r="AF1288" s="52"/>
      <c r="AG1288" s="52"/>
      <c r="AH1288" s="52"/>
      <c r="AI1288" s="52"/>
      <c r="AJ1288" s="52"/>
      <c r="AK1288" s="52"/>
      <c r="AL1288" s="52"/>
      <c r="AM1288" s="52"/>
      <c r="AN1288" s="52"/>
      <c r="AO1288" s="52"/>
      <c r="AP1288" s="52"/>
      <c r="AQ1288" s="52"/>
      <c r="AR1288" s="52"/>
      <c r="AS1288" s="52"/>
      <c r="AT1288" s="52"/>
      <c r="AU1288" s="52"/>
      <c r="AV1288" s="52"/>
      <c r="AW1288" s="52"/>
      <c r="AX1288" s="52"/>
      <c r="AY1288" s="52"/>
      <c r="AZ1288" s="52"/>
      <c r="BA1288" s="52"/>
      <c r="BB1288" s="52"/>
      <c r="BC1288" s="52"/>
      <c r="BD1288" s="52"/>
      <c r="BE1288" s="52"/>
      <c r="BF1288" s="52"/>
      <c r="BG1288" s="52"/>
      <c r="BH1288" s="52"/>
      <c r="BI1288" s="52"/>
      <c r="BJ1288" s="52"/>
      <c r="BK1288" s="52"/>
      <c r="BL1288" s="52"/>
      <c r="BM1288" s="52"/>
      <c r="BN1288" s="52"/>
      <c r="BO1288" s="52"/>
    </row>
    <row r="1289">
      <c r="B1289" s="49"/>
      <c r="C1289" s="49" t="str">
        <f t="shared" si="2"/>
        <v/>
      </c>
      <c r="D1289" s="50" t="str">
        <f t="shared" si="3"/>
        <v/>
      </c>
      <c r="E1289" s="51" t="str">
        <f t="shared" ref="E1289:T1289" si="1290">IFERROR(VLOOKUP($A1289,INDIRECT("'" &amp; E$1 &amp; "'!$C:$G"), 5, FALSE),"")</f>
        <v/>
      </c>
      <c r="F1289" s="51" t="str">
        <f t="shared" si="1290"/>
        <v/>
      </c>
      <c r="G1289" s="51" t="str">
        <f t="shared" si="1290"/>
        <v/>
      </c>
      <c r="H1289" s="51" t="str">
        <f t="shared" si="1290"/>
        <v/>
      </c>
      <c r="I1289" s="51" t="str">
        <f t="shared" si="1290"/>
        <v/>
      </c>
      <c r="J1289" s="51" t="str">
        <f t="shared" si="1290"/>
        <v/>
      </c>
      <c r="K1289" s="51" t="str">
        <f t="shared" si="1290"/>
        <v/>
      </c>
      <c r="L1289" s="51" t="str">
        <f t="shared" si="1290"/>
        <v/>
      </c>
      <c r="M1289" s="51" t="str">
        <f t="shared" si="1290"/>
        <v/>
      </c>
      <c r="N1289" s="51" t="str">
        <f t="shared" si="1290"/>
        <v/>
      </c>
      <c r="O1289" s="51" t="str">
        <f t="shared" si="1290"/>
        <v/>
      </c>
      <c r="P1289" s="51" t="str">
        <f t="shared" si="1290"/>
        <v/>
      </c>
      <c r="Q1289" s="51" t="str">
        <f t="shared" si="1290"/>
        <v/>
      </c>
      <c r="R1289" s="51" t="str">
        <f t="shared" si="1290"/>
        <v/>
      </c>
      <c r="S1289" s="51" t="str">
        <f t="shared" si="1290"/>
        <v/>
      </c>
      <c r="T1289" s="51" t="str">
        <f t="shared" si="1290"/>
        <v/>
      </c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2"/>
      <c r="AE1289" s="52"/>
      <c r="AF1289" s="52"/>
      <c r="AG1289" s="52"/>
      <c r="AH1289" s="52"/>
      <c r="AI1289" s="52"/>
      <c r="AJ1289" s="52"/>
      <c r="AK1289" s="52"/>
      <c r="AL1289" s="52"/>
      <c r="AM1289" s="52"/>
      <c r="AN1289" s="52"/>
      <c r="AO1289" s="52"/>
      <c r="AP1289" s="52"/>
      <c r="AQ1289" s="52"/>
      <c r="AR1289" s="52"/>
      <c r="AS1289" s="52"/>
      <c r="AT1289" s="52"/>
      <c r="AU1289" s="52"/>
      <c r="AV1289" s="52"/>
      <c r="AW1289" s="52"/>
      <c r="AX1289" s="52"/>
      <c r="AY1289" s="52"/>
      <c r="AZ1289" s="52"/>
      <c r="BA1289" s="52"/>
      <c r="BB1289" s="52"/>
      <c r="BC1289" s="52"/>
      <c r="BD1289" s="52"/>
      <c r="BE1289" s="52"/>
      <c r="BF1289" s="52"/>
      <c r="BG1289" s="52"/>
      <c r="BH1289" s="52"/>
      <c r="BI1289" s="52"/>
      <c r="BJ1289" s="52"/>
      <c r="BK1289" s="52"/>
      <c r="BL1289" s="52"/>
      <c r="BM1289" s="52"/>
      <c r="BN1289" s="52"/>
      <c r="BO1289" s="52"/>
    </row>
    <row r="1290">
      <c r="B1290" s="49"/>
      <c r="C1290" s="49" t="str">
        <f t="shared" si="2"/>
        <v/>
      </c>
      <c r="D1290" s="50" t="str">
        <f t="shared" si="3"/>
        <v/>
      </c>
      <c r="E1290" s="51" t="str">
        <f t="shared" ref="E1290:T1290" si="1291">IFERROR(VLOOKUP($A1290,INDIRECT("'" &amp; E$1 &amp; "'!$C:$G"), 5, FALSE),"")</f>
        <v/>
      </c>
      <c r="F1290" s="51" t="str">
        <f t="shared" si="1291"/>
        <v/>
      </c>
      <c r="G1290" s="51" t="str">
        <f t="shared" si="1291"/>
        <v/>
      </c>
      <c r="H1290" s="51" t="str">
        <f t="shared" si="1291"/>
        <v/>
      </c>
      <c r="I1290" s="51" t="str">
        <f t="shared" si="1291"/>
        <v/>
      </c>
      <c r="J1290" s="51" t="str">
        <f t="shared" si="1291"/>
        <v/>
      </c>
      <c r="K1290" s="51" t="str">
        <f t="shared" si="1291"/>
        <v/>
      </c>
      <c r="L1290" s="51" t="str">
        <f t="shared" si="1291"/>
        <v/>
      </c>
      <c r="M1290" s="51" t="str">
        <f t="shared" si="1291"/>
        <v/>
      </c>
      <c r="N1290" s="51" t="str">
        <f t="shared" si="1291"/>
        <v/>
      </c>
      <c r="O1290" s="51" t="str">
        <f t="shared" si="1291"/>
        <v/>
      </c>
      <c r="P1290" s="51" t="str">
        <f t="shared" si="1291"/>
        <v/>
      </c>
      <c r="Q1290" s="51" t="str">
        <f t="shared" si="1291"/>
        <v/>
      </c>
      <c r="R1290" s="51" t="str">
        <f t="shared" si="1291"/>
        <v/>
      </c>
      <c r="S1290" s="51" t="str">
        <f t="shared" si="1291"/>
        <v/>
      </c>
      <c r="T1290" s="51" t="str">
        <f t="shared" si="1291"/>
        <v/>
      </c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2"/>
      <c r="AE1290" s="52"/>
      <c r="AF1290" s="52"/>
      <c r="AG1290" s="52"/>
      <c r="AH1290" s="52"/>
      <c r="AI1290" s="52"/>
      <c r="AJ1290" s="52"/>
      <c r="AK1290" s="52"/>
      <c r="AL1290" s="52"/>
      <c r="AM1290" s="52"/>
      <c r="AN1290" s="52"/>
      <c r="AO1290" s="52"/>
      <c r="AP1290" s="52"/>
      <c r="AQ1290" s="52"/>
      <c r="AR1290" s="52"/>
      <c r="AS1290" s="52"/>
      <c r="AT1290" s="52"/>
      <c r="AU1290" s="52"/>
      <c r="AV1290" s="52"/>
      <c r="AW1290" s="52"/>
      <c r="AX1290" s="52"/>
      <c r="AY1290" s="52"/>
      <c r="AZ1290" s="52"/>
      <c r="BA1290" s="52"/>
      <c r="BB1290" s="52"/>
      <c r="BC1290" s="52"/>
      <c r="BD1290" s="52"/>
      <c r="BE1290" s="52"/>
      <c r="BF1290" s="52"/>
      <c r="BG1290" s="52"/>
      <c r="BH1290" s="52"/>
      <c r="BI1290" s="52"/>
      <c r="BJ1290" s="52"/>
      <c r="BK1290" s="52"/>
      <c r="BL1290" s="52"/>
      <c r="BM1290" s="52"/>
      <c r="BN1290" s="52"/>
      <c r="BO1290" s="52"/>
    </row>
    <row r="1291">
      <c r="B1291" s="49"/>
      <c r="C1291" s="49" t="str">
        <f t="shared" si="2"/>
        <v/>
      </c>
      <c r="D1291" s="50" t="str">
        <f t="shared" si="3"/>
        <v/>
      </c>
      <c r="E1291" s="51" t="str">
        <f t="shared" ref="E1291:T1291" si="1292">IFERROR(VLOOKUP($A1291,INDIRECT("'" &amp; E$1 &amp; "'!$C:$G"), 5, FALSE),"")</f>
        <v/>
      </c>
      <c r="F1291" s="51" t="str">
        <f t="shared" si="1292"/>
        <v/>
      </c>
      <c r="G1291" s="51" t="str">
        <f t="shared" si="1292"/>
        <v/>
      </c>
      <c r="H1291" s="51" t="str">
        <f t="shared" si="1292"/>
        <v/>
      </c>
      <c r="I1291" s="51" t="str">
        <f t="shared" si="1292"/>
        <v/>
      </c>
      <c r="J1291" s="51" t="str">
        <f t="shared" si="1292"/>
        <v/>
      </c>
      <c r="K1291" s="51" t="str">
        <f t="shared" si="1292"/>
        <v/>
      </c>
      <c r="L1291" s="51" t="str">
        <f t="shared" si="1292"/>
        <v/>
      </c>
      <c r="M1291" s="51" t="str">
        <f t="shared" si="1292"/>
        <v/>
      </c>
      <c r="N1291" s="51" t="str">
        <f t="shared" si="1292"/>
        <v/>
      </c>
      <c r="O1291" s="51" t="str">
        <f t="shared" si="1292"/>
        <v/>
      </c>
      <c r="P1291" s="51" t="str">
        <f t="shared" si="1292"/>
        <v/>
      </c>
      <c r="Q1291" s="51" t="str">
        <f t="shared" si="1292"/>
        <v/>
      </c>
      <c r="R1291" s="51" t="str">
        <f t="shared" si="1292"/>
        <v/>
      </c>
      <c r="S1291" s="51" t="str">
        <f t="shared" si="1292"/>
        <v/>
      </c>
      <c r="T1291" s="51" t="str">
        <f t="shared" si="1292"/>
        <v/>
      </c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2"/>
      <c r="AE1291" s="52"/>
      <c r="AF1291" s="52"/>
      <c r="AG1291" s="52"/>
      <c r="AH1291" s="52"/>
      <c r="AI1291" s="52"/>
      <c r="AJ1291" s="52"/>
      <c r="AK1291" s="52"/>
      <c r="AL1291" s="52"/>
      <c r="AM1291" s="52"/>
      <c r="AN1291" s="52"/>
      <c r="AO1291" s="52"/>
      <c r="AP1291" s="52"/>
      <c r="AQ1291" s="52"/>
      <c r="AR1291" s="52"/>
      <c r="AS1291" s="52"/>
      <c r="AT1291" s="52"/>
      <c r="AU1291" s="52"/>
      <c r="AV1291" s="52"/>
      <c r="AW1291" s="52"/>
      <c r="AX1291" s="52"/>
      <c r="AY1291" s="52"/>
      <c r="AZ1291" s="52"/>
      <c r="BA1291" s="52"/>
      <c r="BB1291" s="52"/>
      <c r="BC1291" s="52"/>
      <c r="BD1291" s="52"/>
      <c r="BE1291" s="52"/>
      <c r="BF1291" s="52"/>
      <c r="BG1291" s="52"/>
      <c r="BH1291" s="52"/>
      <c r="BI1291" s="52"/>
      <c r="BJ1291" s="52"/>
      <c r="BK1291" s="52"/>
      <c r="BL1291" s="52"/>
      <c r="BM1291" s="52"/>
      <c r="BN1291" s="52"/>
      <c r="BO1291" s="52"/>
    </row>
    <row r="1292">
      <c r="B1292" s="49"/>
      <c r="C1292" s="49" t="str">
        <f t="shared" si="2"/>
        <v/>
      </c>
      <c r="D1292" s="50" t="str">
        <f t="shared" si="3"/>
        <v/>
      </c>
      <c r="E1292" s="51" t="str">
        <f t="shared" ref="E1292:T1292" si="1293">IFERROR(VLOOKUP($A1292,INDIRECT("'" &amp; E$1 &amp; "'!$C:$G"), 5, FALSE),"")</f>
        <v/>
      </c>
      <c r="F1292" s="51" t="str">
        <f t="shared" si="1293"/>
        <v/>
      </c>
      <c r="G1292" s="51" t="str">
        <f t="shared" si="1293"/>
        <v/>
      </c>
      <c r="H1292" s="51" t="str">
        <f t="shared" si="1293"/>
        <v/>
      </c>
      <c r="I1292" s="51" t="str">
        <f t="shared" si="1293"/>
        <v/>
      </c>
      <c r="J1292" s="51" t="str">
        <f t="shared" si="1293"/>
        <v/>
      </c>
      <c r="K1292" s="51" t="str">
        <f t="shared" si="1293"/>
        <v/>
      </c>
      <c r="L1292" s="51" t="str">
        <f t="shared" si="1293"/>
        <v/>
      </c>
      <c r="M1292" s="51" t="str">
        <f t="shared" si="1293"/>
        <v/>
      </c>
      <c r="N1292" s="51" t="str">
        <f t="shared" si="1293"/>
        <v/>
      </c>
      <c r="O1292" s="51" t="str">
        <f t="shared" si="1293"/>
        <v/>
      </c>
      <c r="P1292" s="51" t="str">
        <f t="shared" si="1293"/>
        <v/>
      </c>
      <c r="Q1292" s="51" t="str">
        <f t="shared" si="1293"/>
        <v/>
      </c>
      <c r="R1292" s="51" t="str">
        <f t="shared" si="1293"/>
        <v/>
      </c>
      <c r="S1292" s="51" t="str">
        <f t="shared" si="1293"/>
        <v/>
      </c>
      <c r="T1292" s="51" t="str">
        <f t="shared" si="1293"/>
        <v/>
      </c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2"/>
      <c r="AE1292" s="52"/>
      <c r="AF1292" s="52"/>
      <c r="AG1292" s="52"/>
      <c r="AH1292" s="52"/>
      <c r="AI1292" s="52"/>
      <c r="AJ1292" s="52"/>
      <c r="AK1292" s="52"/>
      <c r="AL1292" s="52"/>
      <c r="AM1292" s="52"/>
      <c r="AN1292" s="52"/>
      <c r="AO1292" s="52"/>
      <c r="AP1292" s="52"/>
      <c r="AQ1292" s="52"/>
      <c r="AR1292" s="52"/>
      <c r="AS1292" s="52"/>
      <c r="AT1292" s="52"/>
      <c r="AU1292" s="52"/>
      <c r="AV1292" s="52"/>
      <c r="AW1292" s="52"/>
      <c r="AX1292" s="52"/>
      <c r="AY1292" s="52"/>
      <c r="AZ1292" s="52"/>
      <c r="BA1292" s="52"/>
      <c r="BB1292" s="52"/>
      <c r="BC1292" s="52"/>
      <c r="BD1292" s="52"/>
      <c r="BE1292" s="52"/>
      <c r="BF1292" s="52"/>
      <c r="BG1292" s="52"/>
      <c r="BH1292" s="52"/>
      <c r="BI1292" s="52"/>
      <c r="BJ1292" s="52"/>
      <c r="BK1292" s="52"/>
      <c r="BL1292" s="52"/>
      <c r="BM1292" s="52"/>
      <c r="BN1292" s="52"/>
      <c r="BO1292" s="52"/>
    </row>
    <row r="1293">
      <c r="B1293" s="49"/>
      <c r="C1293" s="49" t="str">
        <f t="shared" si="2"/>
        <v/>
      </c>
      <c r="D1293" s="50" t="str">
        <f t="shared" si="3"/>
        <v/>
      </c>
      <c r="E1293" s="51" t="str">
        <f t="shared" ref="E1293:T1293" si="1294">IFERROR(VLOOKUP($A1293,INDIRECT("'" &amp; E$1 &amp; "'!$C:$G"), 5, FALSE),"")</f>
        <v/>
      </c>
      <c r="F1293" s="51" t="str">
        <f t="shared" si="1294"/>
        <v/>
      </c>
      <c r="G1293" s="51" t="str">
        <f t="shared" si="1294"/>
        <v/>
      </c>
      <c r="H1293" s="51" t="str">
        <f t="shared" si="1294"/>
        <v/>
      </c>
      <c r="I1293" s="51" t="str">
        <f t="shared" si="1294"/>
        <v/>
      </c>
      <c r="J1293" s="51" t="str">
        <f t="shared" si="1294"/>
        <v/>
      </c>
      <c r="K1293" s="51" t="str">
        <f t="shared" si="1294"/>
        <v/>
      </c>
      <c r="L1293" s="51" t="str">
        <f t="shared" si="1294"/>
        <v/>
      </c>
      <c r="M1293" s="51" t="str">
        <f t="shared" si="1294"/>
        <v/>
      </c>
      <c r="N1293" s="51" t="str">
        <f t="shared" si="1294"/>
        <v/>
      </c>
      <c r="O1293" s="51" t="str">
        <f t="shared" si="1294"/>
        <v/>
      </c>
      <c r="P1293" s="51" t="str">
        <f t="shared" si="1294"/>
        <v/>
      </c>
      <c r="Q1293" s="51" t="str">
        <f t="shared" si="1294"/>
        <v/>
      </c>
      <c r="R1293" s="51" t="str">
        <f t="shared" si="1294"/>
        <v/>
      </c>
      <c r="S1293" s="51" t="str">
        <f t="shared" si="1294"/>
        <v/>
      </c>
      <c r="T1293" s="51" t="str">
        <f t="shared" si="1294"/>
        <v/>
      </c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2"/>
      <c r="AE1293" s="52"/>
      <c r="AF1293" s="52"/>
      <c r="AG1293" s="52"/>
      <c r="AH1293" s="52"/>
      <c r="AI1293" s="52"/>
      <c r="AJ1293" s="52"/>
      <c r="AK1293" s="52"/>
      <c r="AL1293" s="52"/>
      <c r="AM1293" s="52"/>
      <c r="AN1293" s="52"/>
      <c r="AO1293" s="52"/>
      <c r="AP1293" s="52"/>
      <c r="AQ1293" s="52"/>
      <c r="AR1293" s="52"/>
      <c r="AS1293" s="52"/>
      <c r="AT1293" s="52"/>
      <c r="AU1293" s="52"/>
      <c r="AV1293" s="52"/>
      <c r="AW1293" s="52"/>
      <c r="AX1293" s="52"/>
      <c r="AY1293" s="52"/>
      <c r="AZ1293" s="52"/>
      <c r="BA1293" s="52"/>
      <c r="BB1293" s="52"/>
      <c r="BC1293" s="52"/>
      <c r="BD1293" s="52"/>
      <c r="BE1293" s="52"/>
      <c r="BF1293" s="52"/>
      <c r="BG1293" s="52"/>
      <c r="BH1293" s="52"/>
      <c r="BI1293" s="52"/>
      <c r="BJ1293" s="52"/>
      <c r="BK1293" s="52"/>
      <c r="BL1293" s="52"/>
      <c r="BM1293" s="52"/>
      <c r="BN1293" s="52"/>
      <c r="BO1293" s="52"/>
    </row>
    <row r="1294">
      <c r="B1294" s="49"/>
      <c r="C1294" s="49" t="str">
        <f t="shared" si="2"/>
        <v/>
      </c>
      <c r="D1294" s="50" t="str">
        <f t="shared" si="3"/>
        <v/>
      </c>
      <c r="E1294" s="51" t="str">
        <f t="shared" ref="E1294:T1294" si="1295">IFERROR(VLOOKUP($A1294,INDIRECT("'" &amp; E$1 &amp; "'!$C:$G"), 5, FALSE),"")</f>
        <v/>
      </c>
      <c r="F1294" s="51" t="str">
        <f t="shared" si="1295"/>
        <v/>
      </c>
      <c r="G1294" s="51" t="str">
        <f t="shared" si="1295"/>
        <v/>
      </c>
      <c r="H1294" s="51" t="str">
        <f t="shared" si="1295"/>
        <v/>
      </c>
      <c r="I1294" s="51" t="str">
        <f t="shared" si="1295"/>
        <v/>
      </c>
      <c r="J1294" s="51" t="str">
        <f t="shared" si="1295"/>
        <v/>
      </c>
      <c r="K1294" s="51" t="str">
        <f t="shared" si="1295"/>
        <v/>
      </c>
      <c r="L1294" s="51" t="str">
        <f t="shared" si="1295"/>
        <v/>
      </c>
      <c r="M1294" s="51" t="str">
        <f t="shared" si="1295"/>
        <v/>
      </c>
      <c r="N1294" s="51" t="str">
        <f t="shared" si="1295"/>
        <v/>
      </c>
      <c r="O1294" s="51" t="str">
        <f t="shared" si="1295"/>
        <v/>
      </c>
      <c r="P1294" s="51" t="str">
        <f t="shared" si="1295"/>
        <v/>
      </c>
      <c r="Q1294" s="51" t="str">
        <f t="shared" si="1295"/>
        <v/>
      </c>
      <c r="R1294" s="51" t="str">
        <f t="shared" si="1295"/>
        <v/>
      </c>
      <c r="S1294" s="51" t="str">
        <f t="shared" si="1295"/>
        <v/>
      </c>
      <c r="T1294" s="51" t="str">
        <f t="shared" si="1295"/>
        <v/>
      </c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2"/>
      <c r="AE1294" s="52"/>
      <c r="AF1294" s="52"/>
      <c r="AG1294" s="52"/>
      <c r="AH1294" s="52"/>
      <c r="AI1294" s="52"/>
      <c r="AJ1294" s="52"/>
      <c r="AK1294" s="52"/>
      <c r="AL1294" s="52"/>
      <c r="AM1294" s="52"/>
      <c r="AN1294" s="52"/>
      <c r="AO1294" s="52"/>
      <c r="AP1294" s="52"/>
      <c r="AQ1294" s="52"/>
      <c r="AR1294" s="52"/>
      <c r="AS1294" s="52"/>
      <c r="AT1294" s="52"/>
      <c r="AU1294" s="52"/>
      <c r="AV1294" s="52"/>
      <c r="AW1294" s="52"/>
      <c r="AX1294" s="52"/>
      <c r="AY1294" s="52"/>
      <c r="AZ1294" s="52"/>
      <c r="BA1294" s="52"/>
      <c r="BB1294" s="52"/>
      <c r="BC1294" s="52"/>
      <c r="BD1294" s="52"/>
      <c r="BE1294" s="52"/>
      <c r="BF1294" s="52"/>
      <c r="BG1294" s="52"/>
      <c r="BH1294" s="52"/>
      <c r="BI1294" s="52"/>
      <c r="BJ1294" s="52"/>
      <c r="BK1294" s="52"/>
      <c r="BL1294" s="52"/>
      <c r="BM1294" s="52"/>
      <c r="BN1294" s="52"/>
      <c r="BO1294" s="52"/>
    </row>
    <row r="1295">
      <c r="B1295" s="49"/>
      <c r="C1295" s="49" t="str">
        <f t="shared" si="2"/>
        <v/>
      </c>
      <c r="D1295" s="50" t="str">
        <f t="shared" si="3"/>
        <v/>
      </c>
      <c r="E1295" s="51" t="str">
        <f t="shared" ref="E1295:T1295" si="1296">IFERROR(VLOOKUP($A1295,INDIRECT("'" &amp; E$1 &amp; "'!$C:$G"), 5, FALSE),"")</f>
        <v/>
      </c>
      <c r="F1295" s="51" t="str">
        <f t="shared" si="1296"/>
        <v/>
      </c>
      <c r="G1295" s="51" t="str">
        <f t="shared" si="1296"/>
        <v/>
      </c>
      <c r="H1295" s="51" t="str">
        <f t="shared" si="1296"/>
        <v/>
      </c>
      <c r="I1295" s="51" t="str">
        <f t="shared" si="1296"/>
        <v/>
      </c>
      <c r="J1295" s="51" t="str">
        <f t="shared" si="1296"/>
        <v/>
      </c>
      <c r="K1295" s="51" t="str">
        <f t="shared" si="1296"/>
        <v/>
      </c>
      <c r="L1295" s="51" t="str">
        <f t="shared" si="1296"/>
        <v/>
      </c>
      <c r="M1295" s="51" t="str">
        <f t="shared" si="1296"/>
        <v/>
      </c>
      <c r="N1295" s="51" t="str">
        <f t="shared" si="1296"/>
        <v/>
      </c>
      <c r="O1295" s="51" t="str">
        <f t="shared" si="1296"/>
        <v/>
      </c>
      <c r="P1295" s="51" t="str">
        <f t="shared" si="1296"/>
        <v/>
      </c>
      <c r="Q1295" s="51" t="str">
        <f t="shared" si="1296"/>
        <v/>
      </c>
      <c r="R1295" s="51" t="str">
        <f t="shared" si="1296"/>
        <v/>
      </c>
      <c r="S1295" s="51" t="str">
        <f t="shared" si="1296"/>
        <v/>
      </c>
      <c r="T1295" s="51" t="str">
        <f t="shared" si="1296"/>
        <v/>
      </c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2"/>
      <c r="AE1295" s="52"/>
      <c r="AF1295" s="52"/>
      <c r="AG1295" s="52"/>
      <c r="AH1295" s="52"/>
      <c r="AI1295" s="52"/>
      <c r="AJ1295" s="52"/>
      <c r="AK1295" s="52"/>
      <c r="AL1295" s="52"/>
      <c r="AM1295" s="52"/>
      <c r="AN1295" s="52"/>
      <c r="AO1295" s="52"/>
      <c r="AP1295" s="52"/>
      <c r="AQ1295" s="52"/>
      <c r="AR1295" s="52"/>
      <c r="AS1295" s="52"/>
      <c r="AT1295" s="52"/>
      <c r="AU1295" s="52"/>
      <c r="AV1295" s="52"/>
      <c r="AW1295" s="52"/>
      <c r="AX1295" s="52"/>
      <c r="AY1295" s="52"/>
      <c r="AZ1295" s="52"/>
      <c r="BA1295" s="52"/>
      <c r="BB1295" s="52"/>
      <c r="BC1295" s="52"/>
      <c r="BD1295" s="52"/>
      <c r="BE1295" s="52"/>
      <c r="BF1295" s="52"/>
      <c r="BG1295" s="52"/>
      <c r="BH1295" s="52"/>
      <c r="BI1295" s="52"/>
      <c r="BJ1295" s="52"/>
      <c r="BK1295" s="52"/>
      <c r="BL1295" s="52"/>
      <c r="BM1295" s="52"/>
      <c r="BN1295" s="52"/>
      <c r="BO1295" s="52"/>
    </row>
    <row r="1296">
      <c r="B1296" s="49"/>
      <c r="C1296" s="49" t="str">
        <f t="shared" si="2"/>
        <v/>
      </c>
      <c r="D1296" s="50" t="str">
        <f t="shared" si="3"/>
        <v/>
      </c>
      <c r="E1296" s="51" t="str">
        <f t="shared" ref="E1296:T1296" si="1297">IFERROR(VLOOKUP($A1296,INDIRECT("'" &amp; E$1 &amp; "'!$C:$G"), 5, FALSE),"")</f>
        <v/>
      </c>
      <c r="F1296" s="51" t="str">
        <f t="shared" si="1297"/>
        <v/>
      </c>
      <c r="G1296" s="51" t="str">
        <f t="shared" si="1297"/>
        <v/>
      </c>
      <c r="H1296" s="51" t="str">
        <f t="shared" si="1297"/>
        <v/>
      </c>
      <c r="I1296" s="51" t="str">
        <f t="shared" si="1297"/>
        <v/>
      </c>
      <c r="J1296" s="51" t="str">
        <f t="shared" si="1297"/>
        <v/>
      </c>
      <c r="K1296" s="51" t="str">
        <f t="shared" si="1297"/>
        <v/>
      </c>
      <c r="L1296" s="51" t="str">
        <f t="shared" si="1297"/>
        <v/>
      </c>
      <c r="M1296" s="51" t="str">
        <f t="shared" si="1297"/>
        <v/>
      </c>
      <c r="N1296" s="51" t="str">
        <f t="shared" si="1297"/>
        <v/>
      </c>
      <c r="O1296" s="51" t="str">
        <f t="shared" si="1297"/>
        <v/>
      </c>
      <c r="P1296" s="51" t="str">
        <f t="shared" si="1297"/>
        <v/>
      </c>
      <c r="Q1296" s="51" t="str">
        <f t="shared" si="1297"/>
        <v/>
      </c>
      <c r="R1296" s="51" t="str">
        <f t="shared" si="1297"/>
        <v/>
      </c>
      <c r="S1296" s="51" t="str">
        <f t="shared" si="1297"/>
        <v/>
      </c>
      <c r="T1296" s="51" t="str">
        <f t="shared" si="1297"/>
        <v/>
      </c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2"/>
      <c r="AE1296" s="52"/>
      <c r="AF1296" s="52"/>
      <c r="AG1296" s="52"/>
      <c r="AH1296" s="52"/>
      <c r="AI1296" s="52"/>
      <c r="AJ1296" s="52"/>
      <c r="AK1296" s="52"/>
      <c r="AL1296" s="52"/>
      <c r="AM1296" s="52"/>
      <c r="AN1296" s="52"/>
      <c r="AO1296" s="52"/>
      <c r="AP1296" s="52"/>
      <c r="AQ1296" s="52"/>
      <c r="AR1296" s="52"/>
      <c r="AS1296" s="52"/>
      <c r="AT1296" s="52"/>
      <c r="AU1296" s="52"/>
      <c r="AV1296" s="52"/>
      <c r="AW1296" s="52"/>
      <c r="AX1296" s="52"/>
      <c r="AY1296" s="52"/>
      <c r="AZ1296" s="52"/>
      <c r="BA1296" s="52"/>
      <c r="BB1296" s="52"/>
      <c r="BC1296" s="52"/>
      <c r="BD1296" s="52"/>
      <c r="BE1296" s="52"/>
      <c r="BF1296" s="52"/>
      <c r="BG1296" s="52"/>
      <c r="BH1296" s="52"/>
      <c r="BI1296" s="52"/>
      <c r="BJ1296" s="52"/>
      <c r="BK1296" s="52"/>
      <c r="BL1296" s="52"/>
      <c r="BM1296" s="52"/>
      <c r="BN1296" s="52"/>
      <c r="BO1296" s="52"/>
    </row>
    <row r="1297">
      <c r="B1297" s="49"/>
      <c r="C1297" s="49" t="str">
        <f t="shared" si="2"/>
        <v/>
      </c>
      <c r="D1297" s="50" t="str">
        <f t="shared" si="3"/>
        <v/>
      </c>
      <c r="E1297" s="51" t="str">
        <f t="shared" ref="E1297:T1297" si="1298">IFERROR(VLOOKUP($A1297,INDIRECT("'" &amp; E$1 &amp; "'!$C:$G"), 5, FALSE),"")</f>
        <v/>
      </c>
      <c r="F1297" s="51" t="str">
        <f t="shared" si="1298"/>
        <v/>
      </c>
      <c r="G1297" s="51" t="str">
        <f t="shared" si="1298"/>
        <v/>
      </c>
      <c r="H1297" s="51" t="str">
        <f t="shared" si="1298"/>
        <v/>
      </c>
      <c r="I1297" s="51" t="str">
        <f t="shared" si="1298"/>
        <v/>
      </c>
      <c r="J1297" s="51" t="str">
        <f t="shared" si="1298"/>
        <v/>
      </c>
      <c r="K1297" s="51" t="str">
        <f t="shared" si="1298"/>
        <v/>
      </c>
      <c r="L1297" s="51" t="str">
        <f t="shared" si="1298"/>
        <v/>
      </c>
      <c r="M1297" s="51" t="str">
        <f t="shared" si="1298"/>
        <v/>
      </c>
      <c r="N1297" s="51" t="str">
        <f t="shared" si="1298"/>
        <v/>
      </c>
      <c r="O1297" s="51" t="str">
        <f t="shared" si="1298"/>
        <v/>
      </c>
      <c r="P1297" s="51" t="str">
        <f t="shared" si="1298"/>
        <v/>
      </c>
      <c r="Q1297" s="51" t="str">
        <f t="shared" si="1298"/>
        <v/>
      </c>
      <c r="R1297" s="51" t="str">
        <f t="shared" si="1298"/>
        <v/>
      </c>
      <c r="S1297" s="51" t="str">
        <f t="shared" si="1298"/>
        <v/>
      </c>
      <c r="T1297" s="51" t="str">
        <f t="shared" si="1298"/>
        <v/>
      </c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2"/>
      <c r="AE1297" s="52"/>
      <c r="AF1297" s="52"/>
      <c r="AG1297" s="52"/>
      <c r="AH1297" s="52"/>
      <c r="AI1297" s="52"/>
      <c r="AJ1297" s="52"/>
      <c r="AK1297" s="52"/>
      <c r="AL1297" s="52"/>
      <c r="AM1297" s="52"/>
      <c r="AN1297" s="52"/>
      <c r="AO1297" s="52"/>
      <c r="AP1297" s="52"/>
      <c r="AQ1297" s="52"/>
      <c r="AR1297" s="52"/>
      <c r="AS1297" s="52"/>
      <c r="AT1297" s="52"/>
      <c r="AU1297" s="52"/>
      <c r="AV1297" s="52"/>
      <c r="AW1297" s="52"/>
      <c r="AX1297" s="52"/>
      <c r="AY1297" s="52"/>
      <c r="AZ1297" s="52"/>
      <c r="BA1297" s="52"/>
      <c r="BB1297" s="52"/>
      <c r="BC1297" s="52"/>
      <c r="BD1297" s="52"/>
      <c r="BE1297" s="52"/>
      <c r="BF1297" s="52"/>
      <c r="BG1297" s="52"/>
      <c r="BH1297" s="52"/>
      <c r="BI1297" s="52"/>
      <c r="BJ1297" s="52"/>
      <c r="BK1297" s="52"/>
      <c r="BL1297" s="52"/>
      <c r="BM1297" s="52"/>
      <c r="BN1297" s="52"/>
      <c r="BO1297" s="52"/>
    </row>
    <row r="1298">
      <c r="B1298" s="49"/>
      <c r="C1298" s="49" t="str">
        <f t="shared" si="2"/>
        <v/>
      </c>
      <c r="D1298" s="50" t="str">
        <f t="shared" si="3"/>
        <v/>
      </c>
      <c r="E1298" s="51" t="str">
        <f t="shared" ref="E1298:T1298" si="1299">IFERROR(VLOOKUP($A1298,INDIRECT("'" &amp; E$1 &amp; "'!$C:$G"), 5, FALSE),"")</f>
        <v/>
      </c>
      <c r="F1298" s="51" t="str">
        <f t="shared" si="1299"/>
        <v/>
      </c>
      <c r="G1298" s="51" t="str">
        <f t="shared" si="1299"/>
        <v/>
      </c>
      <c r="H1298" s="51" t="str">
        <f t="shared" si="1299"/>
        <v/>
      </c>
      <c r="I1298" s="51" t="str">
        <f t="shared" si="1299"/>
        <v/>
      </c>
      <c r="J1298" s="51" t="str">
        <f t="shared" si="1299"/>
        <v/>
      </c>
      <c r="K1298" s="51" t="str">
        <f t="shared" si="1299"/>
        <v/>
      </c>
      <c r="L1298" s="51" t="str">
        <f t="shared" si="1299"/>
        <v/>
      </c>
      <c r="M1298" s="51" t="str">
        <f t="shared" si="1299"/>
        <v/>
      </c>
      <c r="N1298" s="51" t="str">
        <f t="shared" si="1299"/>
        <v/>
      </c>
      <c r="O1298" s="51" t="str">
        <f t="shared" si="1299"/>
        <v/>
      </c>
      <c r="P1298" s="51" t="str">
        <f t="shared" si="1299"/>
        <v/>
      </c>
      <c r="Q1298" s="51" t="str">
        <f t="shared" si="1299"/>
        <v/>
      </c>
      <c r="R1298" s="51" t="str">
        <f t="shared" si="1299"/>
        <v/>
      </c>
      <c r="S1298" s="51" t="str">
        <f t="shared" si="1299"/>
        <v/>
      </c>
      <c r="T1298" s="51" t="str">
        <f t="shared" si="1299"/>
        <v/>
      </c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2"/>
      <c r="AE1298" s="52"/>
      <c r="AF1298" s="52"/>
      <c r="AG1298" s="52"/>
      <c r="AH1298" s="52"/>
      <c r="AI1298" s="52"/>
      <c r="AJ1298" s="52"/>
      <c r="AK1298" s="52"/>
      <c r="AL1298" s="52"/>
      <c r="AM1298" s="52"/>
      <c r="AN1298" s="52"/>
      <c r="AO1298" s="52"/>
      <c r="AP1298" s="52"/>
      <c r="AQ1298" s="52"/>
      <c r="AR1298" s="52"/>
      <c r="AS1298" s="52"/>
      <c r="AT1298" s="52"/>
      <c r="AU1298" s="52"/>
      <c r="AV1298" s="52"/>
      <c r="AW1298" s="52"/>
      <c r="AX1298" s="52"/>
      <c r="AY1298" s="52"/>
      <c r="AZ1298" s="52"/>
      <c r="BA1298" s="52"/>
      <c r="BB1298" s="52"/>
      <c r="BC1298" s="52"/>
      <c r="BD1298" s="52"/>
      <c r="BE1298" s="52"/>
      <c r="BF1298" s="52"/>
      <c r="BG1298" s="52"/>
      <c r="BH1298" s="52"/>
      <c r="BI1298" s="52"/>
      <c r="BJ1298" s="52"/>
      <c r="BK1298" s="52"/>
      <c r="BL1298" s="52"/>
      <c r="BM1298" s="52"/>
      <c r="BN1298" s="52"/>
      <c r="BO1298" s="52"/>
    </row>
    <row r="1299">
      <c r="B1299" s="49"/>
      <c r="C1299" s="49" t="str">
        <f t="shared" si="2"/>
        <v/>
      </c>
      <c r="D1299" s="50" t="str">
        <f t="shared" si="3"/>
        <v/>
      </c>
      <c r="E1299" s="51" t="str">
        <f t="shared" ref="E1299:T1299" si="1300">IFERROR(VLOOKUP($A1299,INDIRECT("'" &amp; E$1 &amp; "'!$C:$G"), 5, FALSE),"")</f>
        <v/>
      </c>
      <c r="F1299" s="51" t="str">
        <f t="shared" si="1300"/>
        <v/>
      </c>
      <c r="G1299" s="51" t="str">
        <f t="shared" si="1300"/>
        <v/>
      </c>
      <c r="H1299" s="51" t="str">
        <f t="shared" si="1300"/>
        <v/>
      </c>
      <c r="I1299" s="51" t="str">
        <f t="shared" si="1300"/>
        <v/>
      </c>
      <c r="J1299" s="51" t="str">
        <f t="shared" si="1300"/>
        <v/>
      </c>
      <c r="K1299" s="51" t="str">
        <f t="shared" si="1300"/>
        <v/>
      </c>
      <c r="L1299" s="51" t="str">
        <f t="shared" si="1300"/>
        <v/>
      </c>
      <c r="M1299" s="51" t="str">
        <f t="shared" si="1300"/>
        <v/>
      </c>
      <c r="N1299" s="51" t="str">
        <f t="shared" si="1300"/>
        <v/>
      </c>
      <c r="O1299" s="51" t="str">
        <f t="shared" si="1300"/>
        <v/>
      </c>
      <c r="P1299" s="51" t="str">
        <f t="shared" si="1300"/>
        <v/>
      </c>
      <c r="Q1299" s="51" t="str">
        <f t="shared" si="1300"/>
        <v/>
      </c>
      <c r="R1299" s="51" t="str">
        <f t="shared" si="1300"/>
        <v/>
      </c>
      <c r="S1299" s="51" t="str">
        <f t="shared" si="1300"/>
        <v/>
      </c>
      <c r="T1299" s="51" t="str">
        <f t="shared" si="1300"/>
        <v/>
      </c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2"/>
      <c r="AE1299" s="52"/>
      <c r="AF1299" s="52"/>
      <c r="AG1299" s="52"/>
      <c r="AH1299" s="52"/>
      <c r="AI1299" s="52"/>
      <c r="AJ1299" s="52"/>
      <c r="AK1299" s="52"/>
      <c r="AL1299" s="52"/>
      <c r="AM1299" s="52"/>
      <c r="AN1299" s="52"/>
      <c r="AO1299" s="52"/>
      <c r="AP1299" s="52"/>
      <c r="AQ1299" s="52"/>
      <c r="AR1299" s="52"/>
      <c r="AS1299" s="52"/>
      <c r="AT1299" s="52"/>
      <c r="AU1299" s="52"/>
      <c r="AV1299" s="52"/>
      <c r="AW1299" s="52"/>
      <c r="AX1299" s="52"/>
      <c r="AY1299" s="52"/>
      <c r="AZ1299" s="52"/>
      <c r="BA1299" s="52"/>
      <c r="BB1299" s="52"/>
      <c r="BC1299" s="52"/>
      <c r="BD1299" s="52"/>
      <c r="BE1299" s="52"/>
      <c r="BF1299" s="52"/>
      <c r="BG1299" s="52"/>
      <c r="BH1299" s="52"/>
      <c r="BI1299" s="52"/>
      <c r="BJ1299" s="52"/>
      <c r="BK1299" s="52"/>
      <c r="BL1299" s="52"/>
      <c r="BM1299" s="52"/>
      <c r="BN1299" s="52"/>
      <c r="BO1299" s="52"/>
    </row>
    <row r="1300">
      <c r="B1300" s="49"/>
      <c r="C1300" s="49" t="str">
        <f t="shared" si="2"/>
        <v/>
      </c>
      <c r="D1300" s="50" t="str">
        <f t="shared" si="3"/>
        <v/>
      </c>
      <c r="E1300" s="51" t="str">
        <f t="shared" ref="E1300:T1300" si="1301">IFERROR(VLOOKUP($A1300,INDIRECT("'" &amp; E$1 &amp; "'!$C:$G"), 5, FALSE),"")</f>
        <v/>
      </c>
      <c r="F1300" s="51" t="str">
        <f t="shared" si="1301"/>
        <v/>
      </c>
      <c r="G1300" s="51" t="str">
        <f t="shared" si="1301"/>
        <v/>
      </c>
      <c r="H1300" s="51" t="str">
        <f t="shared" si="1301"/>
        <v/>
      </c>
      <c r="I1300" s="51" t="str">
        <f t="shared" si="1301"/>
        <v/>
      </c>
      <c r="J1300" s="51" t="str">
        <f t="shared" si="1301"/>
        <v/>
      </c>
      <c r="K1300" s="51" t="str">
        <f t="shared" si="1301"/>
        <v/>
      </c>
      <c r="L1300" s="51" t="str">
        <f t="shared" si="1301"/>
        <v/>
      </c>
      <c r="M1300" s="51" t="str">
        <f t="shared" si="1301"/>
        <v/>
      </c>
      <c r="N1300" s="51" t="str">
        <f t="shared" si="1301"/>
        <v/>
      </c>
      <c r="O1300" s="51" t="str">
        <f t="shared" si="1301"/>
        <v/>
      </c>
      <c r="P1300" s="51" t="str">
        <f t="shared" si="1301"/>
        <v/>
      </c>
      <c r="Q1300" s="51" t="str">
        <f t="shared" si="1301"/>
        <v/>
      </c>
      <c r="R1300" s="51" t="str">
        <f t="shared" si="1301"/>
        <v/>
      </c>
      <c r="S1300" s="51" t="str">
        <f t="shared" si="1301"/>
        <v/>
      </c>
      <c r="T1300" s="51" t="str">
        <f t="shared" si="1301"/>
        <v/>
      </c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2"/>
      <c r="AE1300" s="52"/>
      <c r="AF1300" s="52"/>
      <c r="AG1300" s="52"/>
      <c r="AH1300" s="52"/>
      <c r="AI1300" s="52"/>
      <c r="AJ1300" s="52"/>
      <c r="AK1300" s="52"/>
      <c r="AL1300" s="52"/>
      <c r="AM1300" s="52"/>
      <c r="AN1300" s="52"/>
      <c r="AO1300" s="52"/>
      <c r="AP1300" s="52"/>
      <c r="AQ1300" s="52"/>
      <c r="AR1300" s="52"/>
      <c r="AS1300" s="52"/>
      <c r="AT1300" s="52"/>
      <c r="AU1300" s="52"/>
      <c r="AV1300" s="52"/>
      <c r="AW1300" s="52"/>
      <c r="AX1300" s="52"/>
      <c r="AY1300" s="52"/>
      <c r="AZ1300" s="52"/>
      <c r="BA1300" s="52"/>
      <c r="BB1300" s="52"/>
      <c r="BC1300" s="52"/>
      <c r="BD1300" s="52"/>
      <c r="BE1300" s="52"/>
      <c r="BF1300" s="52"/>
      <c r="BG1300" s="52"/>
      <c r="BH1300" s="52"/>
      <c r="BI1300" s="52"/>
      <c r="BJ1300" s="52"/>
      <c r="BK1300" s="52"/>
      <c r="BL1300" s="52"/>
      <c r="BM1300" s="52"/>
      <c r="BN1300" s="52"/>
      <c r="BO1300" s="52"/>
    </row>
    <row r="1301">
      <c r="B1301" s="49"/>
      <c r="C1301" s="49" t="str">
        <f t="shared" si="2"/>
        <v/>
      </c>
      <c r="D1301" s="50" t="str">
        <f t="shared" si="3"/>
        <v/>
      </c>
      <c r="E1301" s="51" t="str">
        <f t="shared" ref="E1301:T1301" si="1302">IFERROR(VLOOKUP($A1301,INDIRECT("'" &amp; E$1 &amp; "'!$C:$G"), 5, FALSE),"")</f>
        <v/>
      </c>
      <c r="F1301" s="51" t="str">
        <f t="shared" si="1302"/>
        <v/>
      </c>
      <c r="G1301" s="51" t="str">
        <f t="shared" si="1302"/>
        <v/>
      </c>
      <c r="H1301" s="51" t="str">
        <f t="shared" si="1302"/>
        <v/>
      </c>
      <c r="I1301" s="51" t="str">
        <f t="shared" si="1302"/>
        <v/>
      </c>
      <c r="J1301" s="51" t="str">
        <f t="shared" si="1302"/>
        <v/>
      </c>
      <c r="K1301" s="51" t="str">
        <f t="shared" si="1302"/>
        <v/>
      </c>
      <c r="L1301" s="51" t="str">
        <f t="shared" si="1302"/>
        <v/>
      </c>
      <c r="M1301" s="51" t="str">
        <f t="shared" si="1302"/>
        <v/>
      </c>
      <c r="N1301" s="51" t="str">
        <f t="shared" si="1302"/>
        <v/>
      </c>
      <c r="O1301" s="51" t="str">
        <f t="shared" si="1302"/>
        <v/>
      </c>
      <c r="P1301" s="51" t="str">
        <f t="shared" si="1302"/>
        <v/>
      </c>
      <c r="Q1301" s="51" t="str">
        <f t="shared" si="1302"/>
        <v/>
      </c>
      <c r="R1301" s="51" t="str">
        <f t="shared" si="1302"/>
        <v/>
      </c>
      <c r="S1301" s="51" t="str">
        <f t="shared" si="1302"/>
        <v/>
      </c>
      <c r="T1301" s="51" t="str">
        <f t="shared" si="1302"/>
        <v/>
      </c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52"/>
      <c r="AI1301" s="52"/>
      <c r="AJ1301" s="52"/>
      <c r="AK1301" s="52"/>
      <c r="AL1301" s="52"/>
      <c r="AM1301" s="52"/>
      <c r="AN1301" s="52"/>
      <c r="AO1301" s="52"/>
      <c r="AP1301" s="52"/>
      <c r="AQ1301" s="52"/>
      <c r="AR1301" s="52"/>
      <c r="AS1301" s="52"/>
      <c r="AT1301" s="52"/>
      <c r="AU1301" s="52"/>
      <c r="AV1301" s="52"/>
      <c r="AW1301" s="52"/>
      <c r="AX1301" s="52"/>
      <c r="AY1301" s="52"/>
      <c r="AZ1301" s="52"/>
      <c r="BA1301" s="52"/>
      <c r="BB1301" s="52"/>
      <c r="BC1301" s="52"/>
      <c r="BD1301" s="52"/>
      <c r="BE1301" s="52"/>
      <c r="BF1301" s="52"/>
      <c r="BG1301" s="52"/>
      <c r="BH1301" s="52"/>
      <c r="BI1301" s="52"/>
      <c r="BJ1301" s="52"/>
      <c r="BK1301" s="52"/>
      <c r="BL1301" s="52"/>
      <c r="BM1301" s="52"/>
      <c r="BN1301" s="52"/>
      <c r="BO1301" s="52"/>
    </row>
    <row r="1302">
      <c r="B1302" s="49"/>
      <c r="C1302" s="49" t="str">
        <f t="shared" si="2"/>
        <v/>
      </c>
      <c r="D1302" s="50" t="str">
        <f t="shared" si="3"/>
        <v/>
      </c>
      <c r="E1302" s="51" t="str">
        <f t="shared" ref="E1302:T1302" si="1303">IFERROR(VLOOKUP($A1302,INDIRECT("'" &amp; E$1 &amp; "'!$C:$G"), 5, FALSE),"")</f>
        <v/>
      </c>
      <c r="F1302" s="51" t="str">
        <f t="shared" si="1303"/>
        <v/>
      </c>
      <c r="G1302" s="51" t="str">
        <f t="shared" si="1303"/>
        <v/>
      </c>
      <c r="H1302" s="51" t="str">
        <f t="shared" si="1303"/>
        <v/>
      </c>
      <c r="I1302" s="51" t="str">
        <f t="shared" si="1303"/>
        <v/>
      </c>
      <c r="J1302" s="51" t="str">
        <f t="shared" si="1303"/>
        <v/>
      </c>
      <c r="K1302" s="51" t="str">
        <f t="shared" si="1303"/>
        <v/>
      </c>
      <c r="L1302" s="51" t="str">
        <f t="shared" si="1303"/>
        <v/>
      </c>
      <c r="M1302" s="51" t="str">
        <f t="shared" si="1303"/>
        <v/>
      </c>
      <c r="N1302" s="51" t="str">
        <f t="shared" si="1303"/>
        <v/>
      </c>
      <c r="O1302" s="51" t="str">
        <f t="shared" si="1303"/>
        <v/>
      </c>
      <c r="P1302" s="51" t="str">
        <f t="shared" si="1303"/>
        <v/>
      </c>
      <c r="Q1302" s="51" t="str">
        <f t="shared" si="1303"/>
        <v/>
      </c>
      <c r="R1302" s="51" t="str">
        <f t="shared" si="1303"/>
        <v/>
      </c>
      <c r="S1302" s="51" t="str">
        <f t="shared" si="1303"/>
        <v/>
      </c>
      <c r="T1302" s="51" t="str">
        <f t="shared" si="1303"/>
        <v/>
      </c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2"/>
      <c r="AE1302" s="52"/>
      <c r="AF1302" s="52"/>
      <c r="AG1302" s="52"/>
      <c r="AH1302" s="52"/>
      <c r="AI1302" s="52"/>
      <c r="AJ1302" s="52"/>
      <c r="AK1302" s="52"/>
      <c r="AL1302" s="52"/>
      <c r="AM1302" s="52"/>
      <c r="AN1302" s="52"/>
      <c r="AO1302" s="52"/>
      <c r="AP1302" s="52"/>
      <c r="AQ1302" s="52"/>
      <c r="AR1302" s="52"/>
      <c r="AS1302" s="52"/>
      <c r="AT1302" s="52"/>
      <c r="AU1302" s="52"/>
      <c r="AV1302" s="52"/>
      <c r="AW1302" s="52"/>
      <c r="AX1302" s="52"/>
      <c r="AY1302" s="52"/>
      <c r="AZ1302" s="52"/>
      <c r="BA1302" s="52"/>
      <c r="BB1302" s="52"/>
      <c r="BC1302" s="52"/>
      <c r="BD1302" s="52"/>
      <c r="BE1302" s="52"/>
      <c r="BF1302" s="52"/>
      <c r="BG1302" s="52"/>
      <c r="BH1302" s="52"/>
      <c r="BI1302" s="52"/>
      <c r="BJ1302" s="52"/>
      <c r="BK1302" s="52"/>
      <c r="BL1302" s="52"/>
      <c r="BM1302" s="52"/>
      <c r="BN1302" s="52"/>
      <c r="BO1302" s="52"/>
    </row>
    <row r="1303">
      <c r="B1303" s="49"/>
      <c r="C1303" s="49" t="str">
        <f t="shared" si="2"/>
        <v/>
      </c>
      <c r="D1303" s="50" t="str">
        <f t="shared" si="3"/>
        <v/>
      </c>
      <c r="E1303" s="51" t="str">
        <f t="shared" ref="E1303:T1303" si="1304">IFERROR(VLOOKUP($A1303,INDIRECT("'" &amp; E$1 &amp; "'!$C:$G"), 5, FALSE),"")</f>
        <v/>
      </c>
      <c r="F1303" s="51" t="str">
        <f t="shared" si="1304"/>
        <v/>
      </c>
      <c r="G1303" s="51" t="str">
        <f t="shared" si="1304"/>
        <v/>
      </c>
      <c r="H1303" s="51" t="str">
        <f t="shared" si="1304"/>
        <v/>
      </c>
      <c r="I1303" s="51" t="str">
        <f t="shared" si="1304"/>
        <v/>
      </c>
      <c r="J1303" s="51" t="str">
        <f t="shared" si="1304"/>
        <v/>
      </c>
      <c r="K1303" s="51" t="str">
        <f t="shared" si="1304"/>
        <v/>
      </c>
      <c r="L1303" s="51" t="str">
        <f t="shared" si="1304"/>
        <v/>
      </c>
      <c r="M1303" s="51" t="str">
        <f t="shared" si="1304"/>
        <v/>
      </c>
      <c r="N1303" s="51" t="str">
        <f t="shared" si="1304"/>
        <v/>
      </c>
      <c r="O1303" s="51" t="str">
        <f t="shared" si="1304"/>
        <v/>
      </c>
      <c r="P1303" s="51" t="str">
        <f t="shared" si="1304"/>
        <v/>
      </c>
      <c r="Q1303" s="51" t="str">
        <f t="shared" si="1304"/>
        <v/>
      </c>
      <c r="R1303" s="51" t="str">
        <f t="shared" si="1304"/>
        <v/>
      </c>
      <c r="S1303" s="51" t="str">
        <f t="shared" si="1304"/>
        <v/>
      </c>
      <c r="T1303" s="51" t="str">
        <f t="shared" si="1304"/>
        <v/>
      </c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2"/>
      <c r="AE1303" s="52"/>
      <c r="AF1303" s="52"/>
      <c r="AG1303" s="52"/>
      <c r="AH1303" s="52"/>
      <c r="AI1303" s="52"/>
      <c r="AJ1303" s="52"/>
      <c r="AK1303" s="52"/>
      <c r="AL1303" s="52"/>
      <c r="AM1303" s="52"/>
      <c r="AN1303" s="52"/>
      <c r="AO1303" s="52"/>
      <c r="AP1303" s="52"/>
      <c r="AQ1303" s="52"/>
      <c r="AR1303" s="52"/>
      <c r="AS1303" s="52"/>
      <c r="AT1303" s="52"/>
      <c r="AU1303" s="52"/>
      <c r="AV1303" s="52"/>
      <c r="AW1303" s="52"/>
      <c r="AX1303" s="52"/>
      <c r="AY1303" s="52"/>
      <c r="AZ1303" s="52"/>
      <c r="BA1303" s="52"/>
      <c r="BB1303" s="52"/>
      <c r="BC1303" s="52"/>
      <c r="BD1303" s="52"/>
      <c r="BE1303" s="52"/>
      <c r="BF1303" s="52"/>
      <c r="BG1303" s="52"/>
      <c r="BH1303" s="52"/>
      <c r="BI1303" s="52"/>
      <c r="BJ1303" s="52"/>
      <c r="BK1303" s="52"/>
      <c r="BL1303" s="52"/>
      <c r="BM1303" s="52"/>
      <c r="BN1303" s="52"/>
      <c r="BO1303" s="52"/>
    </row>
    <row r="1304">
      <c r="B1304" s="49"/>
      <c r="C1304" s="49" t="str">
        <f t="shared" si="2"/>
        <v/>
      </c>
      <c r="D1304" s="50" t="str">
        <f t="shared" si="3"/>
        <v/>
      </c>
      <c r="E1304" s="51" t="str">
        <f t="shared" ref="E1304:T1304" si="1305">IFERROR(VLOOKUP($A1304,INDIRECT("'" &amp; E$1 &amp; "'!$C:$G"), 5, FALSE),"")</f>
        <v/>
      </c>
      <c r="F1304" s="51" t="str">
        <f t="shared" si="1305"/>
        <v/>
      </c>
      <c r="G1304" s="51" t="str">
        <f t="shared" si="1305"/>
        <v/>
      </c>
      <c r="H1304" s="51" t="str">
        <f t="shared" si="1305"/>
        <v/>
      </c>
      <c r="I1304" s="51" t="str">
        <f t="shared" si="1305"/>
        <v/>
      </c>
      <c r="J1304" s="51" t="str">
        <f t="shared" si="1305"/>
        <v/>
      </c>
      <c r="K1304" s="51" t="str">
        <f t="shared" si="1305"/>
        <v/>
      </c>
      <c r="L1304" s="51" t="str">
        <f t="shared" si="1305"/>
        <v/>
      </c>
      <c r="M1304" s="51" t="str">
        <f t="shared" si="1305"/>
        <v/>
      </c>
      <c r="N1304" s="51" t="str">
        <f t="shared" si="1305"/>
        <v/>
      </c>
      <c r="O1304" s="51" t="str">
        <f t="shared" si="1305"/>
        <v/>
      </c>
      <c r="P1304" s="51" t="str">
        <f t="shared" si="1305"/>
        <v/>
      </c>
      <c r="Q1304" s="51" t="str">
        <f t="shared" si="1305"/>
        <v/>
      </c>
      <c r="R1304" s="51" t="str">
        <f t="shared" si="1305"/>
        <v/>
      </c>
      <c r="S1304" s="51" t="str">
        <f t="shared" si="1305"/>
        <v/>
      </c>
      <c r="T1304" s="51" t="str">
        <f t="shared" si="1305"/>
        <v/>
      </c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2"/>
      <c r="AE1304" s="52"/>
      <c r="AF1304" s="52"/>
      <c r="AG1304" s="52"/>
      <c r="AH1304" s="52"/>
      <c r="AI1304" s="52"/>
      <c r="AJ1304" s="52"/>
      <c r="AK1304" s="52"/>
      <c r="AL1304" s="52"/>
      <c r="AM1304" s="52"/>
      <c r="AN1304" s="52"/>
      <c r="AO1304" s="52"/>
      <c r="AP1304" s="52"/>
      <c r="AQ1304" s="52"/>
      <c r="AR1304" s="52"/>
      <c r="AS1304" s="52"/>
      <c r="AT1304" s="52"/>
      <c r="AU1304" s="52"/>
      <c r="AV1304" s="52"/>
      <c r="AW1304" s="52"/>
      <c r="AX1304" s="52"/>
      <c r="AY1304" s="52"/>
      <c r="AZ1304" s="52"/>
      <c r="BA1304" s="52"/>
      <c r="BB1304" s="52"/>
      <c r="BC1304" s="52"/>
      <c r="BD1304" s="52"/>
      <c r="BE1304" s="52"/>
      <c r="BF1304" s="52"/>
      <c r="BG1304" s="52"/>
      <c r="BH1304" s="52"/>
      <c r="BI1304" s="52"/>
      <c r="BJ1304" s="52"/>
      <c r="BK1304" s="52"/>
      <c r="BL1304" s="52"/>
      <c r="BM1304" s="52"/>
      <c r="BN1304" s="52"/>
      <c r="BO1304" s="52"/>
    </row>
    <row r="1305">
      <c r="B1305" s="49"/>
      <c r="C1305" s="49" t="str">
        <f t="shared" si="2"/>
        <v/>
      </c>
      <c r="D1305" s="50" t="str">
        <f t="shared" si="3"/>
        <v/>
      </c>
      <c r="E1305" s="51" t="str">
        <f t="shared" ref="E1305:T1305" si="1306">IFERROR(VLOOKUP($A1305,INDIRECT("'" &amp; E$1 &amp; "'!$C:$G"), 5, FALSE),"")</f>
        <v/>
      </c>
      <c r="F1305" s="51" t="str">
        <f t="shared" si="1306"/>
        <v/>
      </c>
      <c r="G1305" s="51" t="str">
        <f t="shared" si="1306"/>
        <v/>
      </c>
      <c r="H1305" s="51" t="str">
        <f t="shared" si="1306"/>
        <v/>
      </c>
      <c r="I1305" s="51" t="str">
        <f t="shared" si="1306"/>
        <v/>
      </c>
      <c r="J1305" s="51" t="str">
        <f t="shared" si="1306"/>
        <v/>
      </c>
      <c r="K1305" s="51" t="str">
        <f t="shared" si="1306"/>
        <v/>
      </c>
      <c r="L1305" s="51" t="str">
        <f t="shared" si="1306"/>
        <v/>
      </c>
      <c r="M1305" s="51" t="str">
        <f t="shared" si="1306"/>
        <v/>
      </c>
      <c r="N1305" s="51" t="str">
        <f t="shared" si="1306"/>
        <v/>
      </c>
      <c r="O1305" s="51" t="str">
        <f t="shared" si="1306"/>
        <v/>
      </c>
      <c r="P1305" s="51" t="str">
        <f t="shared" si="1306"/>
        <v/>
      </c>
      <c r="Q1305" s="51" t="str">
        <f t="shared" si="1306"/>
        <v/>
      </c>
      <c r="R1305" s="51" t="str">
        <f t="shared" si="1306"/>
        <v/>
      </c>
      <c r="S1305" s="51" t="str">
        <f t="shared" si="1306"/>
        <v/>
      </c>
      <c r="T1305" s="51" t="str">
        <f t="shared" si="1306"/>
        <v/>
      </c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2"/>
      <c r="AE1305" s="52"/>
      <c r="AF1305" s="52"/>
      <c r="AG1305" s="52"/>
      <c r="AH1305" s="52"/>
      <c r="AI1305" s="52"/>
      <c r="AJ1305" s="52"/>
      <c r="AK1305" s="52"/>
      <c r="AL1305" s="52"/>
      <c r="AM1305" s="52"/>
      <c r="AN1305" s="52"/>
      <c r="AO1305" s="52"/>
      <c r="AP1305" s="52"/>
      <c r="AQ1305" s="52"/>
      <c r="AR1305" s="52"/>
      <c r="AS1305" s="52"/>
      <c r="AT1305" s="52"/>
      <c r="AU1305" s="52"/>
      <c r="AV1305" s="52"/>
      <c r="AW1305" s="52"/>
      <c r="AX1305" s="52"/>
      <c r="AY1305" s="52"/>
      <c r="AZ1305" s="52"/>
      <c r="BA1305" s="52"/>
      <c r="BB1305" s="52"/>
      <c r="BC1305" s="52"/>
      <c r="BD1305" s="52"/>
      <c r="BE1305" s="52"/>
      <c r="BF1305" s="52"/>
      <c r="BG1305" s="52"/>
      <c r="BH1305" s="52"/>
      <c r="BI1305" s="52"/>
      <c r="BJ1305" s="52"/>
      <c r="BK1305" s="52"/>
      <c r="BL1305" s="52"/>
      <c r="BM1305" s="52"/>
      <c r="BN1305" s="52"/>
      <c r="BO1305" s="52"/>
    </row>
    <row r="1306">
      <c r="B1306" s="49"/>
      <c r="C1306" s="49" t="str">
        <f t="shared" si="2"/>
        <v/>
      </c>
      <c r="D1306" s="50" t="str">
        <f t="shared" si="3"/>
        <v/>
      </c>
      <c r="E1306" s="51" t="str">
        <f t="shared" ref="E1306:T1306" si="1307">IFERROR(VLOOKUP($A1306,INDIRECT("'" &amp; E$1 &amp; "'!$C:$G"), 5, FALSE),"")</f>
        <v/>
      </c>
      <c r="F1306" s="51" t="str">
        <f t="shared" si="1307"/>
        <v/>
      </c>
      <c r="G1306" s="51" t="str">
        <f t="shared" si="1307"/>
        <v/>
      </c>
      <c r="H1306" s="51" t="str">
        <f t="shared" si="1307"/>
        <v/>
      </c>
      <c r="I1306" s="51" t="str">
        <f t="shared" si="1307"/>
        <v/>
      </c>
      <c r="J1306" s="51" t="str">
        <f t="shared" si="1307"/>
        <v/>
      </c>
      <c r="K1306" s="51" t="str">
        <f t="shared" si="1307"/>
        <v/>
      </c>
      <c r="L1306" s="51" t="str">
        <f t="shared" si="1307"/>
        <v/>
      </c>
      <c r="M1306" s="51" t="str">
        <f t="shared" si="1307"/>
        <v/>
      </c>
      <c r="N1306" s="51" t="str">
        <f t="shared" si="1307"/>
        <v/>
      </c>
      <c r="O1306" s="51" t="str">
        <f t="shared" si="1307"/>
        <v/>
      </c>
      <c r="P1306" s="51" t="str">
        <f t="shared" si="1307"/>
        <v/>
      </c>
      <c r="Q1306" s="51" t="str">
        <f t="shared" si="1307"/>
        <v/>
      </c>
      <c r="R1306" s="51" t="str">
        <f t="shared" si="1307"/>
        <v/>
      </c>
      <c r="S1306" s="51" t="str">
        <f t="shared" si="1307"/>
        <v/>
      </c>
      <c r="T1306" s="51" t="str">
        <f t="shared" si="1307"/>
        <v/>
      </c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2"/>
      <c r="AE1306" s="52"/>
      <c r="AF1306" s="52"/>
      <c r="AG1306" s="52"/>
      <c r="AH1306" s="52"/>
      <c r="AI1306" s="52"/>
      <c r="AJ1306" s="52"/>
      <c r="AK1306" s="52"/>
      <c r="AL1306" s="52"/>
      <c r="AM1306" s="52"/>
      <c r="AN1306" s="52"/>
      <c r="AO1306" s="52"/>
      <c r="AP1306" s="52"/>
      <c r="AQ1306" s="52"/>
      <c r="AR1306" s="52"/>
      <c r="AS1306" s="52"/>
      <c r="AT1306" s="52"/>
      <c r="AU1306" s="52"/>
      <c r="AV1306" s="52"/>
      <c r="AW1306" s="52"/>
      <c r="AX1306" s="52"/>
      <c r="AY1306" s="52"/>
      <c r="AZ1306" s="52"/>
      <c r="BA1306" s="52"/>
      <c r="BB1306" s="52"/>
      <c r="BC1306" s="52"/>
      <c r="BD1306" s="52"/>
      <c r="BE1306" s="52"/>
      <c r="BF1306" s="52"/>
      <c r="BG1306" s="52"/>
      <c r="BH1306" s="52"/>
      <c r="BI1306" s="52"/>
      <c r="BJ1306" s="52"/>
      <c r="BK1306" s="52"/>
      <c r="BL1306" s="52"/>
      <c r="BM1306" s="52"/>
      <c r="BN1306" s="52"/>
      <c r="BO1306" s="52"/>
    </row>
    <row r="1307">
      <c r="B1307" s="49"/>
      <c r="C1307" s="49" t="str">
        <f t="shared" si="2"/>
        <v/>
      </c>
      <c r="D1307" s="50" t="str">
        <f t="shared" si="3"/>
        <v/>
      </c>
      <c r="E1307" s="51" t="str">
        <f t="shared" ref="E1307:T1307" si="1308">IFERROR(VLOOKUP($A1307,INDIRECT("'" &amp; E$1 &amp; "'!$C:$G"), 5, FALSE),"")</f>
        <v/>
      </c>
      <c r="F1307" s="51" t="str">
        <f t="shared" si="1308"/>
        <v/>
      </c>
      <c r="G1307" s="51" t="str">
        <f t="shared" si="1308"/>
        <v/>
      </c>
      <c r="H1307" s="51" t="str">
        <f t="shared" si="1308"/>
        <v/>
      </c>
      <c r="I1307" s="51" t="str">
        <f t="shared" si="1308"/>
        <v/>
      </c>
      <c r="J1307" s="51" t="str">
        <f t="shared" si="1308"/>
        <v/>
      </c>
      <c r="K1307" s="51" t="str">
        <f t="shared" si="1308"/>
        <v/>
      </c>
      <c r="L1307" s="51" t="str">
        <f t="shared" si="1308"/>
        <v/>
      </c>
      <c r="M1307" s="51" t="str">
        <f t="shared" si="1308"/>
        <v/>
      </c>
      <c r="N1307" s="51" t="str">
        <f t="shared" si="1308"/>
        <v/>
      </c>
      <c r="O1307" s="51" t="str">
        <f t="shared" si="1308"/>
        <v/>
      </c>
      <c r="P1307" s="51" t="str">
        <f t="shared" si="1308"/>
        <v/>
      </c>
      <c r="Q1307" s="51" t="str">
        <f t="shared" si="1308"/>
        <v/>
      </c>
      <c r="R1307" s="51" t="str">
        <f t="shared" si="1308"/>
        <v/>
      </c>
      <c r="S1307" s="51" t="str">
        <f t="shared" si="1308"/>
        <v/>
      </c>
      <c r="T1307" s="51" t="str">
        <f t="shared" si="1308"/>
        <v/>
      </c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2"/>
      <c r="AM1307" s="52"/>
      <c r="AN1307" s="52"/>
      <c r="AO1307" s="52"/>
      <c r="AP1307" s="52"/>
      <c r="AQ1307" s="52"/>
      <c r="AR1307" s="52"/>
      <c r="AS1307" s="52"/>
      <c r="AT1307" s="52"/>
      <c r="AU1307" s="52"/>
      <c r="AV1307" s="52"/>
      <c r="AW1307" s="52"/>
      <c r="AX1307" s="52"/>
      <c r="AY1307" s="52"/>
      <c r="AZ1307" s="52"/>
      <c r="BA1307" s="52"/>
      <c r="BB1307" s="52"/>
      <c r="BC1307" s="52"/>
      <c r="BD1307" s="52"/>
      <c r="BE1307" s="52"/>
      <c r="BF1307" s="52"/>
      <c r="BG1307" s="52"/>
      <c r="BH1307" s="52"/>
      <c r="BI1307" s="52"/>
      <c r="BJ1307" s="52"/>
      <c r="BK1307" s="52"/>
      <c r="BL1307" s="52"/>
      <c r="BM1307" s="52"/>
      <c r="BN1307" s="52"/>
      <c r="BO1307" s="52"/>
    </row>
    <row r="1308">
      <c r="B1308" s="49"/>
      <c r="C1308" s="49" t="str">
        <f t="shared" si="2"/>
        <v/>
      </c>
      <c r="D1308" s="50" t="str">
        <f t="shared" si="3"/>
        <v/>
      </c>
      <c r="E1308" s="51" t="str">
        <f t="shared" ref="E1308:T1308" si="1309">IFERROR(VLOOKUP($A1308,INDIRECT("'" &amp; E$1 &amp; "'!$C:$G"), 5, FALSE),"")</f>
        <v/>
      </c>
      <c r="F1308" s="51" t="str">
        <f t="shared" si="1309"/>
        <v/>
      </c>
      <c r="G1308" s="51" t="str">
        <f t="shared" si="1309"/>
        <v/>
      </c>
      <c r="H1308" s="51" t="str">
        <f t="shared" si="1309"/>
        <v/>
      </c>
      <c r="I1308" s="51" t="str">
        <f t="shared" si="1309"/>
        <v/>
      </c>
      <c r="J1308" s="51" t="str">
        <f t="shared" si="1309"/>
        <v/>
      </c>
      <c r="K1308" s="51" t="str">
        <f t="shared" si="1309"/>
        <v/>
      </c>
      <c r="L1308" s="51" t="str">
        <f t="shared" si="1309"/>
        <v/>
      </c>
      <c r="M1308" s="51" t="str">
        <f t="shared" si="1309"/>
        <v/>
      </c>
      <c r="N1308" s="51" t="str">
        <f t="shared" si="1309"/>
        <v/>
      </c>
      <c r="O1308" s="51" t="str">
        <f t="shared" si="1309"/>
        <v/>
      </c>
      <c r="P1308" s="51" t="str">
        <f t="shared" si="1309"/>
        <v/>
      </c>
      <c r="Q1308" s="51" t="str">
        <f t="shared" si="1309"/>
        <v/>
      </c>
      <c r="R1308" s="51" t="str">
        <f t="shared" si="1309"/>
        <v/>
      </c>
      <c r="S1308" s="51" t="str">
        <f t="shared" si="1309"/>
        <v/>
      </c>
      <c r="T1308" s="51" t="str">
        <f t="shared" si="1309"/>
        <v/>
      </c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2"/>
      <c r="AE1308" s="52"/>
      <c r="AF1308" s="52"/>
      <c r="AG1308" s="52"/>
      <c r="AH1308" s="52"/>
      <c r="AI1308" s="52"/>
      <c r="AJ1308" s="52"/>
      <c r="AK1308" s="52"/>
      <c r="AL1308" s="52"/>
      <c r="AM1308" s="52"/>
      <c r="AN1308" s="52"/>
      <c r="AO1308" s="52"/>
      <c r="AP1308" s="52"/>
      <c r="AQ1308" s="52"/>
      <c r="AR1308" s="52"/>
      <c r="AS1308" s="52"/>
      <c r="AT1308" s="52"/>
      <c r="AU1308" s="52"/>
      <c r="AV1308" s="52"/>
      <c r="AW1308" s="52"/>
      <c r="AX1308" s="52"/>
      <c r="AY1308" s="52"/>
      <c r="AZ1308" s="52"/>
      <c r="BA1308" s="52"/>
      <c r="BB1308" s="52"/>
      <c r="BC1308" s="52"/>
      <c r="BD1308" s="52"/>
      <c r="BE1308" s="52"/>
      <c r="BF1308" s="52"/>
      <c r="BG1308" s="52"/>
      <c r="BH1308" s="52"/>
      <c r="BI1308" s="52"/>
      <c r="BJ1308" s="52"/>
      <c r="BK1308" s="52"/>
      <c r="BL1308" s="52"/>
      <c r="BM1308" s="52"/>
      <c r="BN1308" s="52"/>
      <c r="BO1308" s="52"/>
    </row>
    <row r="1309">
      <c r="B1309" s="49"/>
      <c r="C1309" s="49" t="str">
        <f t="shared" si="2"/>
        <v/>
      </c>
      <c r="D1309" s="50" t="str">
        <f t="shared" si="3"/>
        <v/>
      </c>
      <c r="E1309" s="51" t="str">
        <f t="shared" ref="E1309:T1309" si="1310">IFERROR(VLOOKUP($A1309,INDIRECT("'" &amp; E$1 &amp; "'!$C:$G"), 5, FALSE),"")</f>
        <v/>
      </c>
      <c r="F1309" s="51" t="str">
        <f t="shared" si="1310"/>
        <v/>
      </c>
      <c r="G1309" s="51" t="str">
        <f t="shared" si="1310"/>
        <v/>
      </c>
      <c r="H1309" s="51" t="str">
        <f t="shared" si="1310"/>
        <v/>
      </c>
      <c r="I1309" s="51" t="str">
        <f t="shared" si="1310"/>
        <v/>
      </c>
      <c r="J1309" s="51" t="str">
        <f t="shared" si="1310"/>
        <v/>
      </c>
      <c r="K1309" s="51" t="str">
        <f t="shared" si="1310"/>
        <v/>
      </c>
      <c r="L1309" s="51" t="str">
        <f t="shared" si="1310"/>
        <v/>
      </c>
      <c r="M1309" s="51" t="str">
        <f t="shared" si="1310"/>
        <v/>
      </c>
      <c r="N1309" s="51" t="str">
        <f t="shared" si="1310"/>
        <v/>
      </c>
      <c r="O1309" s="51" t="str">
        <f t="shared" si="1310"/>
        <v/>
      </c>
      <c r="P1309" s="51" t="str">
        <f t="shared" si="1310"/>
        <v/>
      </c>
      <c r="Q1309" s="51" t="str">
        <f t="shared" si="1310"/>
        <v/>
      </c>
      <c r="R1309" s="51" t="str">
        <f t="shared" si="1310"/>
        <v/>
      </c>
      <c r="S1309" s="51" t="str">
        <f t="shared" si="1310"/>
        <v/>
      </c>
      <c r="T1309" s="51" t="str">
        <f t="shared" si="1310"/>
        <v/>
      </c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2"/>
      <c r="AE1309" s="52"/>
      <c r="AF1309" s="52"/>
      <c r="AG1309" s="52"/>
      <c r="AH1309" s="52"/>
      <c r="AI1309" s="52"/>
      <c r="AJ1309" s="52"/>
      <c r="AK1309" s="52"/>
      <c r="AL1309" s="52"/>
      <c r="AM1309" s="52"/>
      <c r="AN1309" s="52"/>
      <c r="AO1309" s="52"/>
      <c r="AP1309" s="52"/>
      <c r="AQ1309" s="52"/>
      <c r="AR1309" s="52"/>
      <c r="AS1309" s="52"/>
      <c r="AT1309" s="52"/>
      <c r="AU1309" s="52"/>
      <c r="AV1309" s="52"/>
      <c r="AW1309" s="52"/>
      <c r="AX1309" s="52"/>
      <c r="AY1309" s="52"/>
      <c r="AZ1309" s="52"/>
      <c r="BA1309" s="52"/>
      <c r="BB1309" s="52"/>
      <c r="BC1309" s="52"/>
      <c r="BD1309" s="52"/>
      <c r="BE1309" s="52"/>
      <c r="BF1309" s="52"/>
      <c r="BG1309" s="52"/>
      <c r="BH1309" s="52"/>
      <c r="BI1309" s="52"/>
      <c r="BJ1309" s="52"/>
      <c r="BK1309" s="52"/>
      <c r="BL1309" s="52"/>
      <c r="BM1309" s="52"/>
      <c r="BN1309" s="52"/>
      <c r="BO1309" s="52"/>
    </row>
    <row r="1310">
      <c r="B1310" s="49"/>
      <c r="C1310" s="49" t="str">
        <f t="shared" si="2"/>
        <v/>
      </c>
      <c r="D1310" s="50" t="str">
        <f t="shared" si="3"/>
        <v/>
      </c>
      <c r="E1310" s="51" t="str">
        <f t="shared" ref="E1310:T1310" si="1311">IFERROR(VLOOKUP($A1310,INDIRECT("'" &amp; E$1 &amp; "'!$C:$G"), 5, FALSE),"")</f>
        <v/>
      </c>
      <c r="F1310" s="51" t="str">
        <f t="shared" si="1311"/>
        <v/>
      </c>
      <c r="G1310" s="51" t="str">
        <f t="shared" si="1311"/>
        <v/>
      </c>
      <c r="H1310" s="51" t="str">
        <f t="shared" si="1311"/>
        <v/>
      </c>
      <c r="I1310" s="51" t="str">
        <f t="shared" si="1311"/>
        <v/>
      </c>
      <c r="J1310" s="51" t="str">
        <f t="shared" si="1311"/>
        <v/>
      </c>
      <c r="K1310" s="51" t="str">
        <f t="shared" si="1311"/>
        <v/>
      </c>
      <c r="L1310" s="51" t="str">
        <f t="shared" si="1311"/>
        <v/>
      </c>
      <c r="M1310" s="51" t="str">
        <f t="shared" si="1311"/>
        <v/>
      </c>
      <c r="N1310" s="51" t="str">
        <f t="shared" si="1311"/>
        <v/>
      </c>
      <c r="O1310" s="51" t="str">
        <f t="shared" si="1311"/>
        <v/>
      </c>
      <c r="P1310" s="51" t="str">
        <f t="shared" si="1311"/>
        <v/>
      </c>
      <c r="Q1310" s="51" t="str">
        <f t="shared" si="1311"/>
        <v/>
      </c>
      <c r="R1310" s="51" t="str">
        <f t="shared" si="1311"/>
        <v/>
      </c>
      <c r="S1310" s="51" t="str">
        <f t="shared" si="1311"/>
        <v/>
      </c>
      <c r="T1310" s="51" t="str">
        <f t="shared" si="1311"/>
        <v/>
      </c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2"/>
      <c r="AE1310" s="52"/>
      <c r="AF1310" s="52"/>
      <c r="AG1310" s="52"/>
      <c r="AH1310" s="52"/>
      <c r="AI1310" s="52"/>
      <c r="AJ1310" s="52"/>
      <c r="AK1310" s="52"/>
      <c r="AL1310" s="52"/>
      <c r="AM1310" s="52"/>
      <c r="AN1310" s="52"/>
      <c r="AO1310" s="52"/>
      <c r="AP1310" s="52"/>
      <c r="AQ1310" s="52"/>
      <c r="AR1310" s="52"/>
      <c r="AS1310" s="52"/>
      <c r="AT1310" s="52"/>
      <c r="AU1310" s="52"/>
      <c r="AV1310" s="52"/>
      <c r="AW1310" s="52"/>
      <c r="AX1310" s="52"/>
      <c r="AY1310" s="52"/>
      <c r="AZ1310" s="52"/>
      <c r="BA1310" s="52"/>
      <c r="BB1310" s="52"/>
      <c r="BC1310" s="52"/>
      <c r="BD1310" s="52"/>
      <c r="BE1310" s="52"/>
      <c r="BF1310" s="52"/>
      <c r="BG1310" s="52"/>
      <c r="BH1310" s="52"/>
      <c r="BI1310" s="52"/>
      <c r="BJ1310" s="52"/>
      <c r="BK1310" s="52"/>
      <c r="BL1310" s="52"/>
      <c r="BM1310" s="52"/>
      <c r="BN1310" s="52"/>
      <c r="BO1310" s="52"/>
    </row>
    <row r="1311">
      <c r="B1311" s="49"/>
      <c r="C1311" s="49" t="str">
        <f t="shared" si="2"/>
        <v/>
      </c>
      <c r="D1311" s="50" t="str">
        <f t="shared" si="3"/>
        <v/>
      </c>
      <c r="E1311" s="51" t="str">
        <f t="shared" ref="E1311:T1311" si="1312">IFERROR(VLOOKUP($A1311,INDIRECT("'" &amp; E$1 &amp; "'!$C:$G"), 5, FALSE),"")</f>
        <v/>
      </c>
      <c r="F1311" s="51" t="str">
        <f t="shared" si="1312"/>
        <v/>
      </c>
      <c r="G1311" s="51" t="str">
        <f t="shared" si="1312"/>
        <v/>
      </c>
      <c r="H1311" s="51" t="str">
        <f t="shared" si="1312"/>
        <v/>
      </c>
      <c r="I1311" s="51" t="str">
        <f t="shared" si="1312"/>
        <v/>
      </c>
      <c r="J1311" s="51" t="str">
        <f t="shared" si="1312"/>
        <v/>
      </c>
      <c r="K1311" s="51" t="str">
        <f t="shared" si="1312"/>
        <v/>
      </c>
      <c r="L1311" s="51" t="str">
        <f t="shared" si="1312"/>
        <v/>
      </c>
      <c r="M1311" s="51" t="str">
        <f t="shared" si="1312"/>
        <v/>
      </c>
      <c r="N1311" s="51" t="str">
        <f t="shared" si="1312"/>
        <v/>
      </c>
      <c r="O1311" s="51" t="str">
        <f t="shared" si="1312"/>
        <v/>
      </c>
      <c r="P1311" s="51" t="str">
        <f t="shared" si="1312"/>
        <v/>
      </c>
      <c r="Q1311" s="51" t="str">
        <f t="shared" si="1312"/>
        <v/>
      </c>
      <c r="R1311" s="51" t="str">
        <f t="shared" si="1312"/>
        <v/>
      </c>
      <c r="S1311" s="51" t="str">
        <f t="shared" si="1312"/>
        <v/>
      </c>
      <c r="T1311" s="51" t="str">
        <f t="shared" si="1312"/>
        <v/>
      </c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2"/>
      <c r="AE1311" s="52"/>
      <c r="AF1311" s="52"/>
      <c r="AG1311" s="52"/>
      <c r="AH1311" s="52"/>
      <c r="AI1311" s="52"/>
      <c r="AJ1311" s="52"/>
      <c r="AK1311" s="52"/>
      <c r="AL1311" s="52"/>
      <c r="AM1311" s="52"/>
      <c r="AN1311" s="52"/>
      <c r="AO1311" s="52"/>
      <c r="AP1311" s="52"/>
      <c r="AQ1311" s="52"/>
      <c r="AR1311" s="52"/>
      <c r="AS1311" s="52"/>
      <c r="AT1311" s="52"/>
      <c r="AU1311" s="52"/>
      <c r="AV1311" s="52"/>
      <c r="AW1311" s="52"/>
      <c r="AX1311" s="52"/>
      <c r="AY1311" s="52"/>
      <c r="AZ1311" s="52"/>
      <c r="BA1311" s="52"/>
      <c r="BB1311" s="52"/>
      <c r="BC1311" s="52"/>
      <c r="BD1311" s="52"/>
      <c r="BE1311" s="52"/>
      <c r="BF1311" s="52"/>
      <c r="BG1311" s="52"/>
      <c r="BH1311" s="52"/>
      <c r="BI1311" s="52"/>
      <c r="BJ1311" s="52"/>
      <c r="BK1311" s="52"/>
      <c r="BL1311" s="52"/>
      <c r="BM1311" s="52"/>
      <c r="BN1311" s="52"/>
      <c r="BO1311" s="52"/>
    </row>
    <row r="1312">
      <c r="B1312" s="49"/>
      <c r="C1312" s="49" t="str">
        <f t="shared" si="2"/>
        <v/>
      </c>
      <c r="D1312" s="50" t="str">
        <f t="shared" si="3"/>
        <v/>
      </c>
      <c r="E1312" s="51" t="str">
        <f t="shared" ref="E1312:T1312" si="1313">IFERROR(VLOOKUP($A1312,INDIRECT("'" &amp; E$1 &amp; "'!$C:$G"), 5, FALSE),"")</f>
        <v/>
      </c>
      <c r="F1312" s="51" t="str">
        <f t="shared" si="1313"/>
        <v/>
      </c>
      <c r="G1312" s="51" t="str">
        <f t="shared" si="1313"/>
        <v/>
      </c>
      <c r="H1312" s="51" t="str">
        <f t="shared" si="1313"/>
        <v/>
      </c>
      <c r="I1312" s="51" t="str">
        <f t="shared" si="1313"/>
        <v/>
      </c>
      <c r="J1312" s="51" t="str">
        <f t="shared" si="1313"/>
        <v/>
      </c>
      <c r="K1312" s="51" t="str">
        <f t="shared" si="1313"/>
        <v/>
      </c>
      <c r="L1312" s="51" t="str">
        <f t="shared" si="1313"/>
        <v/>
      </c>
      <c r="M1312" s="51" t="str">
        <f t="shared" si="1313"/>
        <v/>
      </c>
      <c r="N1312" s="51" t="str">
        <f t="shared" si="1313"/>
        <v/>
      </c>
      <c r="O1312" s="51" t="str">
        <f t="shared" si="1313"/>
        <v/>
      </c>
      <c r="P1312" s="51" t="str">
        <f t="shared" si="1313"/>
        <v/>
      </c>
      <c r="Q1312" s="51" t="str">
        <f t="shared" si="1313"/>
        <v/>
      </c>
      <c r="R1312" s="51" t="str">
        <f t="shared" si="1313"/>
        <v/>
      </c>
      <c r="S1312" s="51" t="str">
        <f t="shared" si="1313"/>
        <v/>
      </c>
      <c r="T1312" s="51" t="str">
        <f t="shared" si="1313"/>
        <v/>
      </c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2"/>
      <c r="AE1312" s="52"/>
      <c r="AF1312" s="52"/>
      <c r="AG1312" s="52"/>
      <c r="AH1312" s="52"/>
      <c r="AI1312" s="52"/>
      <c r="AJ1312" s="52"/>
      <c r="AK1312" s="52"/>
      <c r="AL1312" s="52"/>
      <c r="AM1312" s="52"/>
      <c r="AN1312" s="52"/>
      <c r="AO1312" s="52"/>
      <c r="AP1312" s="52"/>
      <c r="AQ1312" s="52"/>
      <c r="AR1312" s="52"/>
      <c r="AS1312" s="52"/>
      <c r="AT1312" s="52"/>
      <c r="AU1312" s="52"/>
      <c r="AV1312" s="52"/>
      <c r="AW1312" s="52"/>
      <c r="AX1312" s="52"/>
      <c r="AY1312" s="52"/>
      <c r="AZ1312" s="52"/>
      <c r="BA1312" s="52"/>
      <c r="BB1312" s="52"/>
      <c r="BC1312" s="52"/>
      <c r="BD1312" s="52"/>
      <c r="BE1312" s="52"/>
      <c r="BF1312" s="52"/>
      <c r="BG1312" s="52"/>
      <c r="BH1312" s="52"/>
      <c r="BI1312" s="52"/>
      <c r="BJ1312" s="52"/>
      <c r="BK1312" s="52"/>
      <c r="BL1312" s="52"/>
      <c r="BM1312" s="52"/>
      <c r="BN1312" s="52"/>
      <c r="BO1312" s="52"/>
    </row>
    <row r="1313">
      <c r="B1313" s="49"/>
      <c r="C1313" s="49" t="str">
        <f t="shared" si="2"/>
        <v/>
      </c>
      <c r="D1313" s="50" t="str">
        <f t="shared" si="3"/>
        <v/>
      </c>
      <c r="E1313" s="51" t="str">
        <f t="shared" ref="E1313:T1313" si="1314">IFERROR(VLOOKUP($A1313,INDIRECT("'" &amp; E$1 &amp; "'!$C:$G"), 5, FALSE),"")</f>
        <v/>
      </c>
      <c r="F1313" s="51" t="str">
        <f t="shared" si="1314"/>
        <v/>
      </c>
      <c r="G1313" s="51" t="str">
        <f t="shared" si="1314"/>
        <v/>
      </c>
      <c r="H1313" s="51" t="str">
        <f t="shared" si="1314"/>
        <v/>
      </c>
      <c r="I1313" s="51" t="str">
        <f t="shared" si="1314"/>
        <v/>
      </c>
      <c r="J1313" s="51" t="str">
        <f t="shared" si="1314"/>
        <v/>
      </c>
      <c r="K1313" s="51" t="str">
        <f t="shared" si="1314"/>
        <v/>
      </c>
      <c r="L1313" s="51" t="str">
        <f t="shared" si="1314"/>
        <v/>
      </c>
      <c r="M1313" s="51" t="str">
        <f t="shared" si="1314"/>
        <v/>
      </c>
      <c r="N1313" s="51" t="str">
        <f t="shared" si="1314"/>
        <v/>
      </c>
      <c r="O1313" s="51" t="str">
        <f t="shared" si="1314"/>
        <v/>
      </c>
      <c r="P1313" s="51" t="str">
        <f t="shared" si="1314"/>
        <v/>
      </c>
      <c r="Q1313" s="51" t="str">
        <f t="shared" si="1314"/>
        <v/>
      </c>
      <c r="R1313" s="51" t="str">
        <f t="shared" si="1314"/>
        <v/>
      </c>
      <c r="S1313" s="51" t="str">
        <f t="shared" si="1314"/>
        <v/>
      </c>
      <c r="T1313" s="51" t="str">
        <f t="shared" si="1314"/>
        <v/>
      </c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2"/>
      <c r="AE1313" s="52"/>
      <c r="AF1313" s="52"/>
      <c r="AG1313" s="52"/>
      <c r="AH1313" s="52"/>
      <c r="AI1313" s="52"/>
      <c r="AJ1313" s="52"/>
      <c r="AK1313" s="52"/>
      <c r="AL1313" s="52"/>
      <c r="AM1313" s="52"/>
      <c r="AN1313" s="52"/>
      <c r="AO1313" s="52"/>
      <c r="AP1313" s="52"/>
      <c r="AQ1313" s="52"/>
      <c r="AR1313" s="52"/>
      <c r="AS1313" s="52"/>
      <c r="AT1313" s="52"/>
      <c r="AU1313" s="52"/>
      <c r="AV1313" s="52"/>
      <c r="AW1313" s="52"/>
      <c r="AX1313" s="52"/>
      <c r="AY1313" s="52"/>
      <c r="AZ1313" s="52"/>
      <c r="BA1313" s="52"/>
      <c r="BB1313" s="52"/>
      <c r="BC1313" s="52"/>
      <c r="BD1313" s="52"/>
      <c r="BE1313" s="52"/>
      <c r="BF1313" s="52"/>
      <c r="BG1313" s="52"/>
      <c r="BH1313" s="52"/>
      <c r="BI1313" s="52"/>
      <c r="BJ1313" s="52"/>
      <c r="BK1313" s="52"/>
      <c r="BL1313" s="52"/>
      <c r="BM1313" s="52"/>
      <c r="BN1313" s="52"/>
      <c r="BO1313" s="52"/>
    </row>
    <row r="1314">
      <c r="B1314" s="49"/>
      <c r="C1314" s="49" t="str">
        <f t="shared" si="2"/>
        <v/>
      </c>
      <c r="D1314" s="50" t="str">
        <f t="shared" si="3"/>
        <v/>
      </c>
      <c r="E1314" s="51" t="str">
        <f t="shared" ref="E1314:T1314" si="1315">IFERROR(VLOOKUP($A1314,INDIRECT("'" &amp; E$1 &amp; "'!$C:$G"), 5, FALSE),"")</f>
        <v/>
      </c>
      <c r="F1314" s="51" t="str">
        <f t="shared" si="1315"/>
        <v/>
      </c>
      <c r="G1314" s="51" t="str">
        <f t="shared" si="1315"/>
        <v/>
      </c>
      <c r="H1314" s="51" t="str">
        <f t="shared" si="1315"/>
        <v/>
      </c>
      <c r="I1314" s="51" t="str">
        <f t="shared" si="1315"/>
        <v/>
      </c>
      <c r="J1314" s="51" t="str">
        <f t="shared" si="1315"/>
        <v/>
      </c>
      <c r="K1314" s="51" t="str">
        <f t="shared" si="1315"/>
        <v/>
      </c>
      <c r="L1314" s="51" t="str">
        <f t="shared" si="1315"/>
        <v/>
      </c>
      <c r="M1314" s="51" t="str">
        <f t="shared" si="1315"/>
        <v/>
      </c>
      <c r="N1314" s="51" t="str">
        <f t="shared" si="1315"/>
        <v/>
      </c>
      <c r="O1314" s="51" t="str">
        <f t="shared" si="1315"/>
        <v/>
      </c>
      <c r="P1314" s="51" t="str">
        <f t="shared" si="1315"/>
        <v/>
      </c>
      <c r="Q1314" s="51" t="str">
        <f t="shared" si="1315"/>
        <v/>
      </c>
      <c r="R1314" s="51" t="str">
        <f t="shared" si="1315"/>
        <v/>
      </c>
      <c r="S1314" s="51" t="str">
        <f t="shared" si="1315"/>
        <v/>
      </c>
      <c r="T1314" s="51" t="str">
        <f t="shared" si="1315"/>
        <v/>
      </c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52"/>
      <c r="AN1314" s="52"/>
      <c r="AO1314" s="52"/>
      <c r="AP1314" s="52"/>
      <c r="AQ1314" s="52"/>
      <c r="AR1314" s="52"/>
      <c r="AS1314" s="52"/>
      <c r="AT1314" s="52"/>
      <c r="AU1314" s="52"/>
      <c r="AV1314" s="52"/>
      <c r="AW1314" s="52"/>
      <c r="AX1314" s="52"/>
      <c r="AY1314" s="52"/>
      <c r="AZ1314" s="52"/>
      <c r="BA1314" s="52"/>
      <c r="BB1314" s="52"/>
      <c r="BC1314" s="52"/>
      <c r="BD1314" s="52"/>
      <c r="BE1314" s="52"/>
      <c r="BF1314" s="52"/>
      <c r="BG1314" s="52"/>
      <c r="BH1314" s="52"/>
      <c r="BI1314" s="52"/>
      <c r="BJ1314" s="52"/>
      <c r="BK1314" s="52"/>
      <c r="BL1314" s="52"/>
      <c r="BM1314" s="52"/>
      <c r="BN1314" s="52"/>
      <c r="BO1314" s="52"/>
    </row>
    <row r="1315">
      <c r="B1315" s="49"/>
      <c r="C1315" s="49" t="str">
        <f t="shared" si="2"/>
        <v/>
      </c>
      <c r="D1315" s="50" t="str">
        <f t="shared" si="3"/>
        <v/>
      </c>
      <c r="E1315" s="51" t="str">
        <f t="shared" ref="E1315:T1315" si="1316">IFERROR(VLOOKUP($A1315,INDIRECT("'" &amp; E$1 &amp; "'!$C:$G"), 5, FALSE),"")</f>
        <v/>
      </c>
      <c r="F1315" s="51" t="str">
        <f t="shared" si="1316"/>
        <v/>
      </c>
      <c r="G1315" s="51" t="str">
        <f t="shared" si="1316"/>
        <v/>
      </c>
      <c r="H1315" s="51" t="str">
        <f t="shared" si="1316"/>
        <v/>
      </c>
      <c r="I1315" s="51" t="str">
        <f t="shared" si="1316"/>
        <v/>
      </c>
      <c r="J1315" s="51" t="str">
        <f t="shared" si="1316"/>
        <v/>
      </c>
      <c r="K1315" s="51" t="str">
        <f t="shared" si="1316"/>
        <v/>
      </c>
      <c r="L1315" s="51" t="str">
        <f t="shared" si="1316"/>
        <v/>
      </c>
      <c r="M1315" s="51" t="str">
        <f t="shared" si="1316"/>
        <v/>
      </c>
      <c r="N1315" s="51" t="str">
        <f t="shared" si="1316"/>
        <v/>
      </c>
      <c r="O1315" s="51" t="str">
        <f t="shared" si="1316"/>
        <v/>
      </c>
      <c r="P1315" s="51" t="str">
        <f t="shared" si="1316"/>
        <v/>
      </c>
      <c r="Q1315" s="51" t="str">
        <f t="shared" si="1316"/>
        <v/>
      </c>
      <c r="R1315" s="51" t="str">
        <f t="shared" si="1316"/>
        <v/>
      </c>
      <c r="S1315" s="51" t="str">
        <f t="shared" si="1316"/>
        <v/>
      </c>
      <c r="T1315" s="51" t="str">
        <f t="shared" si="1316"/>
        <v/>
      </c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2"/>
      <c r="AE1315" s="52"/>
      <c r="AF1315" s="52"/>
      <c r="AG1315" s="52"/>
      <c r="AH1315" s="52"/>
      <c r="AI1315" s="52"/>
      <c r="AJ1315" s="52"/>
      <c r="AK1315" s="52"/>
      <c r="AL1315" s="52"/>
      <c r="AM1315" s="52"/>
      <c r="AN1315" s="52"/>
      <c r="AO1315" s="52"/>
      <c r="AP1315" s="52"/>
      <c r="AQ1315" s="52"/>
      <c r="AR1315" s="52"/>
      <c r="AS1315" s="52"/>
      <c r="AT1315" s="52"/>
      <c r="AU1315" s="52"/>
      <c r="AV1315" s="52"/>
      <c r="AW1315" s="52"/>
      <c r="AX1315" s="52"/>
      <c r="AY1315" s="52"/>
      <c r="AZ1315" s="52"/>
      <c r="BA1315" s="52"/>
      <c r="BB1315" s="52"/>
      <c r="BC1315" s="52"/>
      <c r="BD1315" s="52"/>
      <c r="BE1315" s="52"/>
      <c r="BF1315" s="52"/>
      <c r="BG1315" s="52"/>
      <c r="BH1315" s="52"/>
      <c r="BI1315" s="52"/>
      <c r="BJ1315" s="52"/>
      <c r="BK1315" s="52"/>
      <c r="BL1315" s="52"/>
      <c r="BM1315" s="52"/>
      <c r="BN1315" s="52"/>
      <c r="BO1315" s="52"/>
    </row>
    <row r="1316">
      <c r="B1316" s="49"/>
      <c r="C1316" s="49" t="str">
        <f t="shared" si="2"/>
        <v/>
      </c>
      <c r="D1316" s="50" t="str">
        <f t="shared" si="3"/>
        <v/>
      </c>
      <c r="E1316" s="51" t="str">
        <f t="shared" ref="E1316:T1316" si="1317">IFERROR(VLOOKUP($A1316,INDIRECT("'" &amp; E$1 &amp; "'!$C:$G"), 5, FALSE),"")</f>
        <v/>
      </c>
      <c r="F1316" s="51" t="str">
        <f t="shared" si="1317"/>
        <v/>
      </c>
      <c r="G1316" s="51" t="str">
        <f t="shared" si="1317"/>
        <v/>
      </c>
      <c r="H1316" s="51" t="str">
        <f t="shared" si="1317"/>
        <v/>
      </c>
      <c r="I1316" s="51" t="str">
        <f t="shared" si="1317"/>
        <v/>
      </c>
      <c r="J1316" s="51" t="str">
        <f t="shared" si="1317"/>
        <v/>
      </c>
      <c r="K1316" s="51" t="str">
        <f t="shared" si="1317"/>
        <v/>
      </c>
      <c r="L1316" s="51" t="str">
        <f t="shared" si="1317"/>
        <v/>
      </c>
      <c r="M1316" s="51" t="str">
        <f t="shared" si="1317"/>
        <v/>
      </c>
      <c r="N1316" s="51" t="str">
        <f t="shared" si="1317"/>
        <v/>
      </c>
      <c r="O1316" s="51" t="str">
        <f t="shared" si="1317"/>
        <v/>
      </c>
      <c r="P1316" s="51" t="str">
        <f t="shared" si="1317"/>
        <v/>
      </c>
      <c r="Q1316" s="51" t="str">
        <f t="shared" si="1317"/>
        <v/>
      </c>
      <c r="R1316" s="51" t="str">
        <f t="shared" si="1317"/>
        <v/>
      </c>
      <c r="S1316" s="51" t="str">
        <f t="shared" si="1317"/>
        <v/>
      </c>
      <c r="T1316" s="51" t="str">
        <f t="shared" si="1317"/>
        <v/>
      </c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2"/>
      <c r="AE1316" s="52"/>
      <c r="AF1316" s="52"/>
      <c r="AG1316" s="52"/>
      <c r="AH1316" s="52"/>
      <c r="AI1316" s="52"/>
      <c r="AJ1316" s="52"/>
      <c r="AK1316" s="52"/>
      <c r="AL1316" s="52"/>
      <c r="AM1316" s="52"/>
      <c r="AN1316" s="52"/>
      <c r="AO1316" s="52"/>
      <c r="AP1316" s="52"/>
      <c r="AQ1316" s="52"/>
      <c r="AR1316" s="52"/>
      <c r="AS1316" s="52"/>
      <c r="AT1316" s="52"/>
      <c r="AU1316" s="52"/>
      <c r="AV1316" s="52"/>
      <c r="AW1316" s="52"/>
      <c r="AX1316" s="52"/>
      <c r="AY1316" s="52"/>
      <c r="AZ1316" s="52"/>
      <c r="BA1316" s="52"/>
      <c r="BB1316" s="52"/>
      <c r="BC1316" s="52"/>
      <c r="BD1316" s="52"/>
      <c r="BE1316" s="52"/>
      <c r="BF1316" s="52"/>
      <c r="BG1316" s="52"/>
      <c r="BH1316" s="52"/>
      <c r="BI1316" s="52"/>
      <c r="BJ1316" s="52"/>
      <c r="BK1316" s="52"/>
      <c r="BL1316" s="52"/>
      <c r="BM1316" s="52"/>
      <c r="BN1316" s="52"/>
      <c r="BO1316" s="52"/>
    </row>
    <row r="1317">
      <c r="B1317" s="49"/>
      <c r="C1317" s="49" t="str">
        <f t="shared" si="2"/>
        <v/>
      </c>
      <c r="D1317" s="50" t="str">
        <f t="shared" si="3"/>
        <v/>
      </c>
      <c r="E1317" s="51" t="str">
        <f t="shared" ref="E1317:T1317" si="1318">IFERROR(VLOOKUP($A1317,INDIRECT("'" &amp; E$1 &amp; "'!$C:$G"), 5, FALSE),"")</f>
        <v/>
      </c>
      <c r="F1317" s="51" t="str">
        <f t="shared" si="1318"/>
        <v/>
      </c>
      <c r="G1317" s="51" t="str">
        <f t="shared" si="1318"/>
        <v/>
      </c>
      <c r="H1317" s="51" t="str">
        <f t="shared" si="1318"/>
        <v/>
      </c>
      <c r="I1317" s="51" t="str">
        <f t="shared" si="1318"/>
        <v/>
      </c>
      <c r="J1317" s="51" t="str">
        <f t="shared" si="1318"/>
        <v/>
      </c>
      <c r="K1317" s="51" t="str">
        <f t="shared" si="1318"/>
        <v/>
      </c>
      <c r="L1317" s="51" t="str">
        <f t="shared" si="1318"/>
        <v/>
      </c>
      <c r="M1317" s="51" t="str">
        <f t="shared" si="1318"/>
        <v/>
      </c>
      <c r="N1317" s="51" t="str">
        <f t="shared" si="1318"/>
        <v/>
      </c>
      <c r="O1317" s="51" t="str">
        <f t="shared" si="1318"/>
        <v/>
      </c>
      <c r="P1317" s="51" t="str">
        <f t="shared" si="1318"/>
        <v/>
      </c>
      <c r="Q1317" s="51" t="str">
        <f t="shared" si="1318"/>
        <v/>
      </c>
      <c r="R1317" s="51" t="str">
        <f t="shared" si="1318"/>
        <v/>
      </c>
      <c r="S1317" s="51" t="str">
        <f t="shared" si="1318"/>
        <v/>
      </c>
      <c r="T1317" s="51" t="str">
        <f t="shared" si="1318"/>
        <v/>
      </c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2"/>
      <c r="AM1317" s="52"/>
      <c r="AN1317" s="52"/>
      <c r="AO1317" s="52"/>
      <c r="AP1317" s="52"/>
      <c r="AQ1317" s="52"/>
      <c r="AR1317" s="52"/>
      <c r="AS1317" s="52"/>
      <c r="AT1317" s="52"/>
      <c r="AU1317" s="52"/>
      <c r="AV1317" s="52"/>
      <c r="AW1317" s="52"/>
      <c r="AX1317" s="52"/>
      <c r="AY1317" s="52"/>
      <c r="AZ1317" s="52"/>
      <c r="BA1317" s="52"/>
      <c r="BB1317" s="52"/>
      <c r="BC1317" s="52"/>
      <c r="BD1317" s="52"/>
      <c r="BE1317" s="52"/>
      <c r="BF1317" s="52"/>
      <c r="BG1317" s="52"/>
      <c r="BH1317" s="52"/>
      <c r="BI1317" s="52"/>
      <c r="BJ1317" s="52"/>
      <c r="BK1317" s="52"/>
      <c r="BL1317" s="52"/>
      <c r="BM1317" s="52"/>
      <c r="BN1317" s="52"/>
      <c r="BO1317" s="52"/>
    </row>
    <row r="1318">
      <c r="B1318" s="49"/>
      <c r="C1318" s="49" t="str">
        <f t="shared" si="2"/>
        <v/>
      </c>
      <c r="D1318" s="50" t="str">
        <f t="shared" si="3"/>
        <v/>
      </c>
      <c r="E1318" s="51" t="str">
        <f t="shared" ref="E1318:T1318" si="1319">IFERROR(VLOOKUP($A1318,INDIRECT("'" &amp; E$1 &amp; "'!$C:$G"), 5, FALSE),"")</f>
        <v/>
      </c>
      <c r="F1318" s="51" t="str">
        <f t="shared" si="1319"/>
        <v/>
      </c>
      <c r="G1318" s="51" t="str">
        <f t="shared" si="1319"/>
        <v/>
      </c>
      <c r="H1318" s="51" t="str">
        <f t="shared" si="1319"/>
        <v/>
      </c>
      <c r="I1318" s="51" t="str">
        <f t="shared" si="1319"/>
        <v/>
      </c>
      <c r="J1318" s="51" t="str">
        <f t="shared" si="1319"/>
        <v/>
      </c>
      <c r="K1318" s="51" t="str">
        <f t="shared" si="1319"/>
        <v/>
      </c>
      <c r="L1318" s="51" t="str">
        <f t="shared" si="1319"/>
        <v/>
      </c>
      <c r="M1318" s="51" t="str">
        <f t="shared" si="1319"/>
        <v/>
      </c>
      <c r="N1318" s="51" t="str">
        <f t="shared" si="1319"/>
        <v/>
      </c>
      <c r="O1318" s="51" t="str">
        <f t="shared" si="1319"/>
        <v/>
      </c>
      <c r="P1318" s="51" t="str">
        <f t="shared" si="1319"/>
        <v/>
      </c>
      <c r="Q1318" s="51" t="str">
        <f t="shared" si="1319"/>
        <v/>
      </c>
      <c r="R1318" s="51" t="str">
        <f t="shared" si="1319"/>
        <v/>
      </c>
      <c r="S1318" s="51" t="str">
        <f t="shared" si="1319"/>
        <v/>
      </c>
      <c r="T1318" s="51" t="str">
        <f t="shared" si="1319"/>
        <v/>
      </c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2"/>
      <c r="AE1318" s="52"/>
      <c r="AF1318" s="52"/>
      <c r="AG1318" s="52"/>
      <c r="AH1318" s="52"/>
      <c r="AI1318" s="52"/>
      <c r="AJ1318" s="52"/>
      <c r="AK1318" s="52"/>
      <c r="AL1318" s="52"/>
      <c r="AM1318" s="52"/>
      <c r="AN1318" s="52"/>
      <c r="AO1318" s="52"/>
      <c r="AP1318" s="52"/>
      <c r="AQ1318" s="52"/>
      <c r="AR1318" s="52"/>
      <c r="AS1318" s="52"/>
      <c r="AT1318" s="52"/>
      <c r="AU1318" s="52"/>
      <c r="AV1318" s="52"/>
      <c r="AW1318" s="52"/>
      <c r="AX1318" s="52"/>
      <c r="AY1318" s="52"/>
      <c r="AZ1318" s="52"/>
      <c r="BA1318" s="52"/>
      <c r="BB1318" s="52"/>
      <c r="BC1318" s="52"/>
      <c r="BD1318" s="52"/>
      <c r="BE1318" s="52"/>
      <c r="BF1318" s="52"/>
      <c r="BG1318" s="52"/>
      <c r="BH1318" s="52"/>
      <c r="BI1318" s="52"/>
      <c r="BJ1318" s="52"/>
      <c r="BK1318" s="52"/>
      <c r="BL1318" s="52"/>
      <c r="BM1318" s="52"/>
      <c r="BN1318" s="52"/>
      <c r="BO1318" s="52"/>
    </row>
    <row r="1319">
      <c r="B1319" s="49"/>
      <c r="C1319" s="49" t="str">
        <f t="shared" si="2"/>
        <v/>
      </c>
      <c r="D1319" s="50" t="str">
        <f t="shared" si="3"/>
        <v/>
      </c>
      <c r="E1319" s="51" t="str">
        <f t="shared" ref="E1319:T1319" si="1320">IFERROR(VLOOKUP($A1319,INDIRECT("'" &amp; E$1 &amp; "'!$C:$G"), 5, FALSE),"")</f>
        <v/>
      </c>
      <c r="F1319" s="51" t="str">
        <f t="shared" si="1320"/>
        <v/>
      </c>
      <c r="G1319" s="51" t="str">
        <f t="shared" si="1320"/>
        <v/>
      </c>
      <c r="H1319" s="51" t="str">
        <f t="shared" si="1320"/>
        <v/>
      </c>
      <c r="I1319" s="51" t="str">
        <f t="shared" si="1320"/>
        <v/>
      </c>
      <c r="J1319" s="51" t="str">
        <f t="shared" si="1320"/>
        <v/>
      </c>
      <c r="K1319" s="51" t="str">
        <f t="shared" si="1320"/>
        <v/>
      </c>
      <c r="L1319" s="51" t="str">
        <f t="shared" si="1320"/>
        <v/>
      </c>
      <c r="M1319" s="51" t="str">
        <f t="shared" si="1320"/>
        <v/>
      </c>
      <c r="N1319" s="51" t="str">
        <f t="shared" si="1320"/>
        <v/>
      </c>
      <c r="O1319" s="51" t="str">
        <f t="shared" si="1320"/>
        <v/>
      </c>
      <c r="P1319" s="51" t="str">
        <f t="shared" si="1320"/>
        <v/>
      </c>
      <c r="Q1319" s="51" t="str">
        <f t="shared" si="1320"/>
        <v/>
      </c>
      <c r="R1319" s="51" t="str">
        <f t="shared" si="1320"/>
        <v/>
      </c>
      <c r="S1319" s="51" t="str">
        <f t="shared" si="1320"/>
        <v/>
      </c>
      <c r="T1319" s="51" t="str">
        <f t="shared" si="1320"/>
        <v/>
      </c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2"/>
      <c r="AE1319" s="52"/>
      <c r="AF1319" s="52"/>
      <c r="AG1319" s="52"/>
      <c r="AH1319" s="52"/>
      <c r="AI1319" s="52"/>
      <c r="AJ1319" s="52"/>
      <c r="AK1319" s="52"/>
      <c r="AL1319" s="52"/>
      <c r="AM1319" s="52"/>
      <c r="AN1319" s="52"/>
      <c r="AO1319" s="52"/>
      <c r="AP1319" s="52"/>
      <c r="AQ1319" s="52"/>
      <c r="AR1319" s="52"/>
      <c r="AS1319" s="52"/>
      <c r="AT1319" s="52"/>
      <c r="AU1319" s="52"/>
      <c r="AV1319" s="52"/>
      <c r="AW1319" s="52"/>
      <c r="AX1319" s="52"/>
      <c r="AY1319" s="52"/>
      <c r="AZ1319" s="52"/>
      <c r="BA1319" s="52"/>
      <c r="BB1319" s="52"/>
      <c r="BC1319" s="52"/>
      <c r="BD1319" s="52"/>
      <c r="BE1319" s="52"/>
      <c r="BF1319" s="52"/>
      <c r="BG1319" s="52"/>
      <c r="BH1319" s="52"/>
      <c r="BI1319" s="52"/>
      <c r="BJ1319" s="52"/>
      <c r="BK1319" s="52"/>
      <c r="BL1319" s="52"/>
      <c r="BM1319" s="52"/>
      <c r="BN1319" s="52"/>
      <c r="BO1319" s="52"/>
    </row>
    <row r="1320">
      <c r="B1320" s="49"/>
      <c r="C1320" s="49" t="str">
        <f t="shared" si="2"/>
        <v/>
      </c>
      <c r="D1320" s="50" t="str">
        <f t="shared" si="3"/>
        <v/>
      </c>
      <c r="E1320" s="51" t="str">
        <f t="shared" ref="E1320:T1320" si="1321">IFERROR(VLOOKUP($A1320,INDIRECT("'" &amp; E$1 &amp; "'!$C:$G"), 5, FALSE),"")</f>
        <v/>
      </c>
      <c r="F1320" s="51" t="str">
        <f t="shared" si="1321"/>
        <v/>
      </c>
      <c r="G1320" s="51" t="str">
        <f t="shared" si="1321"/>
        <v/>
      </c>
      <c r="H1320" s="51" t="str">
        <f t="shared" si="1321"/>
        <v/>
      </c>
      <c r="I1320" s="51" t="str">
        <f t="shared" si="1321"/>
        <v/>
      </c>
      <c r="J1320" s="51" t="str">
        <f t="shared" si="1321"/>
        <v/>
      </c>
      <c r="K1320" s="51" t="str">
        <f t="shared" si="1321"/>
        <v/>
      </c>
      <c r="L1320" s="51" t="str">
        <f t="shared" si="1321"/>
        <v/>
      </c>
      <c r="M1320" s="51" t="str">
        <f t="shared" si="1321"/>
        <v/>
      </c>
      <c r="N1320" s="51" t="str">
        <f t="shared" si="1321"/>
        <v/>
      </c>
      <c r="O1320" s="51" t="str">
        <f t="shared" si="1321"/>
        <v/>
      </c>
      <c r="P1320" s="51" t="str">
        <f t="shared" si="1321"/>
        <v/>
      </c>
      <c r="Q1320" s="51" t="str">
        <f t="shared" si="1321"/>
        <v/>
      </c>
      <c r="R1320" s="51" t="str">
        <f t="shared" si="1321"/>
        <v/>
      </c>
      <c r="S1320" s="51" t="str">
        <f t="shared" si="1321"/>
        <v/>
      </c>
      <c r="T1320" s="51" t="str">
        <f t="shared" si="1321"/>
        <v/>
      </c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2"/>
      <c r="AE1320" s="52"/>
      <c r="AF1320" s="52"/>
      <c r="AG1320" s="52"/>
      <c r="AH1320" s="52"/>
      <c r="AI1320" s="52"/>
      <c r="AJ1320" s="52"/>
      <c r="AK1320" s="52"/>
      <c r="AL1320" s="52"/>
      <c r="AM1320" s="52"/>
      <c r="AN1320" s="52"/>
      <c r="AO1320" s="52"/>
      <c r="AP1320" s="52"/>
      <c r="AQ1320" s="52"/>
      <c r="AR1320" s="52"/>
      <c r="AS1320" s="52"/>
      <c r="AT1320" s="52"/>
      <c r="AU1320" s="52"/>
      <c r="AV1320" s="52"/>
      <c r="AW1320" s="52"/>
      <c r="AX1320" s="52"/>
      <c r="AY1320" s="52"/>
      <c r="AZ1320" s="52"/>
      <c r="BA1320" s="52"/>
      <c r="BB1320" s="52"/>
      <c r="BC1320" s="52"/>
      <c r="BD1320" s="52"/>
      <c r="BE1320" s="52"/>
      <c r="BF1320" s="52"/>
      <c r="BG1320" s="52"/>
      <c r="BH1320" s="52"/>
      <c r="BI1320" s="52"/>
      <c r="BJ1320" s="52"/>
      <c r="BK1320" s="52"/>
      <c r="BL1320" s="52"/>
      <c r="BM1320" s="52"/>
      <c r="BN1320" s="52"/>
      <c r="BO1320" s="52"/>
    </row>
    <row r="1321">
      <c r="B1321" s="49"/>
      <c r="C1321" s="49" t="str">
        <f t="shared" si="2"/>
        <v/>
      </c>
      <c r="D1321" s="50" t="str">
        <f t="shared" si="3"/>
        <v/>
      </c>
      <c r="E1321" s="51" t="str">
        <f t="shared" ref="E1321:T1321" si="1322">IFERROR(VLOOKUP($A1321,INDIRECT("'" &amp; E$1 &amp; "'!$C:$G"), 5, FALSE),"")</f>
        <v/>
      </c>
      <c r="F1321" s="51" t="str">
        <f t="shared" si="1322"/>
        <v/>
      </c>
      <c r="G1321" s="51" t="str">
        <f t="shared" si="1322"/>
        <v/>
      </c>
      <c r="H1321" s="51" t="str">
        <f t="shared" si="1322"/>
        <v/>
      </c>
      <c r="I1321" s="51" t="str">
        <f t="shared" si="1322"/>
        <v/>
      </c>
      <c r="J1321" s="51" t="str">
        <f t="shared" si="1322"/>
        <v/>
      </c>
      <c r="K1321" s="51" t="str">
        <f t="shared" si="1322"/>
        <v/>
      </c>
      <c r="L1321" s="51" t="str">
        <f t="shared" si="1322"/>
        <v/>
      </c>
      <c r="M1321" s="51" t="str">
        <f t="shared" si="1322"/>
        <v/>
      </c>
      <c r="N1321" s="51" t="str">
        <f t="shared" si="1322"/>
        <v/>
      </c>
      <c r="O1321" s="51" t="str">
        <f t="shared" si="1322"/>
        <v/>
      </c>
      <c r="P1321" s="51" t="str">
        <f t="shared" si="1322"/>
        <v/>
      </c>
      <c r="Q1321" s="51" t="str">
        <f t="shared" si="1322"/>
        <v/>
      </c>
      <c r="R1321" s="51" t="str">
        <f t="shared" si="1322"/>
        <v/>
      </c>
      <c r="S1321" s="51" t="str">
        <f t="shared" si="1322"/>
        <v/>
      </c>
      <c r="T1321" s="51" t="str">
        <f t="shared" si="1322"/>
        <v/>
      </c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2"/>
      <c r="AE1321" s="52"/>
      <c r="AF1321" s="52"/>
      <c r="AG1321" s="52"/>
      <c r="AH1321" s="52"/>
      <c r="AI1321" s="52"/>
      <c r="AJ1321" s="52"/>
      <c r="AK1321" s="52"/>
      <c r="AL1321" s="52"/>
      <c r="AM1321" s="52"/>
      <c r="AN1321" s="52"/>
      <c r="AO1321" s="52"/>
      <c r="AP1321" s="52"/>
      <c r="AQ1321" s="52"/>
      <c r="AR1321" s="52"/>
      <c r="AS1321" s="52"/>
      <c r="AT1321" s="52"/>
      <c r="AU1321" s="52"/>
      <c r="AV1321" s="52"/>
      <c r="AW1321" s="52"/>
      <c r="AX1321" s="52"/>
      <c r="AY1321" s="52"/>
      <c r="AZ1321" s="52"/>
      <c r="BA1321" s="52"/>
      <c r="BB1321" s="52"/>
      <c r="BC1321" s="52"/>
      <c r="BD1321" s="52"/>
      <c r="BE1321" s="52"/>
      <c r="BF1321" s="52"/>
      <c r="BG1321" s="52"/>
      <c r="BH1321" s="52"/>
      <c r="BI1321" s="52"/>
      <c r="BJ1321" s="52"/>
      <c r="BK1321" s="52"/>
      <c r="BL1321" s="52"/>
      <c r="BM1321" s="52"/>
      <c r="BN1321" s="52"/>
      <c r="BO1321" s="52"/>
    </row>
    <row r="1322">
      <c r="B1322" s="49"/>
      <c r="C1322" s="49" t="str">
        <f t="shared" si="2"/>
        <v/>
      </c>
      <c r="D1322" s="50" t="str">
        <f t="shared" si="3"/>
        <v/>
      </c>
      <c r="E1322" s="51" t="str">
        <f t="shared" ref="E1322:T1322" si="1323">IFERROR(VLOOKUP($A1322,INDIRECT("'" &amp; E$1 &amp; "'!$C:$G"), 5, FALSE),"")</f>
        <v/>
      </c>
      <c r="F1322" s="51" t="str">
        <f t="shared" si="1323"/>
        <v/>
      </c>
      <c r="G1322" s="51" t="str">
        <f t="shared" si="1323"/>
        <v/>
      </c>
      <c r="H1322" s="51" t="str">
        <f t="shared" si="1323"/>
        <v/>
      </c>
      <c r="I1322" s="51" t="str">
        <f t="shared" si="1323"/>
        <v/>
      </c>
      <c r="J1322" s="51" t="str">
        <f t="shared" si="1323"/>
        <v/>
      </c>
      <c r="K1322" s="51" t="str">
        <f t="shared" si="1323"/>
        <v/>
      </c>
      <c r="L1322" s="51" t="str">
        <f t="shared" si="1323"/>
        <v/>
      </c>
      <c r="M1322" s="51" t="str">
        <f t="shared" si="1323"/>
        <v/>
      </c>
      <c r="N1322" s="51" t="str">
        <f t="shared" si="1323"/>
        <v/>
      </c>
      <c r="O1322" s="51" t="str">
        <f t="shared" si="1323"/>
        <v/>
      </c>
      <c r="P1322" s="51" t="str">
        <f t="shared" si="1323"/>
        <v/>
      </c>
      <c r="Q1322" s="51" t="str">
        <f t="shared" si="1323"/>
        <v/>
      </c>
      <c r="R1322" s="51" t="str">
        <f t="shared" si="1323"/>
        <v/>
      </c>
      <c r="S1322" s="51" t="str">
        <f t="shared" si="1323"/>
        <v/>
      </c>
      <c r="T1322" s="51" t="str">
        <f t="shared" si="1323"/>
        <v/>
      </c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2"/>
      <c r="AE1322" s="52"/>
      <c r="AF1322" s="52"/>
      <c r="AG1322" s="52"/>
      <c r="AH1322" s="52"/>
      <c r="AI1322" s="52"/>
      <c r="AJ1322" s="52"/>
      <c r="AK1322" s="52"/>
      <c r="AL1322" s="52"/>
      <c r="AM1322" s="52"/>
      <c r="AN1322" s="52"/>
      <c r="AO1322" s="52"/>
      <c r="AP1322" s="52"/>
      <c r="AQ1322" s="52"/>
      <c r="AR1322" s="52"/>
      <c r="AS1322" s="52"/>
      <c r="AT1322" s="52"/>
      <c r="AU1322" s="52"/>
      <c r="AV1322" s="52"/>
      <c r="AW1322" s="52"/>
      <c r="AX1322" s="52"/>
      <c r="AY1322" s="52"/>
      <c r="AZ1322" s="52"/>
      <c r="BA1322" s="52"/>
      <c r="BB1322" s="52"/>
      <c r="BC1322" s="52"/>
      <c r="BD1322" s="52"/>
      <c r="BE1322" s="52"/>
      <c r="BF1322" s="52"/>
      <c r="BG1322" s="52"/>
      <c r="BH1322" s="52"/>
      <c r="BI1322" s="52"/>
      <c r="BJ1322" s="52"/>
      <c r="BK1322" s="52"/>
      <c r="BL1322" s="52"/>
      <c r="BM1322" s="52"/>
      <c r="BN1322" s="52"/>
      <c r="BO1322" s="52"/>
    </row>
    <row r="1323">
      <c r="B1323" s="49"/>
      <c r="C1323" s="49" t="str">
        <f t="shared" si="2"/>
        <v/>
      </c>
      <c r="D1323" s="50" t="str">
        <f t="shared" si="3"/>
        <v/>
      </c>
      <c r="E1323" s="51" t="str">
        <f t="shared" ref="E1323:T1323" si="1324">IFERROR(VLOOKUP($A1323,INDIRECT("'" &amp; E$1 &amp; "'!$C:$G"), 5, FALSE),"")</f>
        <v/>
      </c>
      <c r="F1323" s="51" t="str">
        <f t="shared" si="1324"/>
        <v/>
      </c>
      <c r="G1323" s="51" t="str">
        <f t="shared" si="1324"/>
        <v/>
      </c>
      <c r="H1323" s="51" t="str">
        <f t="shared" si="1324"/>
        <v/>
      </c>
      <c r="I1323" s="51" t="str">
        <f t="shared" si="1324"/>
        <v/>
      </c>
      <c r="J1323" s="51" t="str">
        <f t="shared" si="1324"/>
        <v/>
      </c>
      <c r="K1323" s="51" t="str">
        <f t="shared" si="1324"/>
        <v/>
      </c>
      <c r="L1323" s="51" t="str">
        <f t="shared" si="1324"/>
        <v/>
      </c>
      <c r="M1323" s="51" t="str">
        <f t="shared" si="1324"/>
        <v/>
      </c>
      <c r="N1323" s="51" t="str">
        <f t="shared" si="1324"/>
        <v/>
      </c>
      <c r="O1323" s="51" t="str">
        <f t="shared" si="1324"/>
        <v/>
      </c>
      <c r="P1323" s="51" t="str">
        <f t="shared" si="1324"/>
        <v/>
      </c>
      <c r="Q1323" s="51" t="str">
        <f t="shared" si="1324"/>
        <v/>
      </c>
      <c r="R1323" s="51" t="str">
        <f t="shared" si="1324"/>
        <v/>
      </c>
      <c r="S1323" s="51" t="str">
        <f t="shared" si="1324"/>
        <v/>
      </c>
      <c r="T1323" s="51" t="str">
        <f t="shared" si="1324"/>
        <v/>
      </c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2"/>
      <c r="AE1323" s="52"/>
      <c r="AF1323" s="52"/>
      <c r="AG1323" s="52"/>
      <c r="AH1323" s="52"/>
      <c r="AI1323" s="52"/>
      <c r="AJ1323" s="52"/>
      <c r="AK1323" s="52"/>
      <c r="AL1323" s="52"/>
      <c r="AM1323" s="52"/>
      <c r="AN1323" s="52"/>
      <c r="AO1323" s="52"/>
      <c r="AP1323" s="52"/>
      <c r="AQ1323" s="52"/>
      <c r="AR1323" s="52"/>
      <c r="AS1323" s="52"/>
      <c r="AT1323" s="52"/>
      <c r="AU1323" s="52"/>
      <c r="AV1323" s="52"/>
      <c r="AW1323" s="52"/>
      <c r="AX1323" s="52"/>
      <c r="AY1323" s="52"/>
      <c r="AZ1323" s="52"/>
      <c r="BA1323" s="52"/>
      <c r="BB1323" s="52"/>
      <c r="BC1323" s="52"/>
      <c r="BD1323" s="52"/>
      <c r="BE1323" s="52"/>
      <c r="BF1323" s="52"/>
      <c r="BG1323" s="52"/>
      <c r="BH1323" s="52"/>
      <c r="BI1323" s="52"/>
      <c r="BJ1323" s="52"/>
      <c r="BK1323" s="52"/>
      <c r="BL1323" s="52"/>
      <c r="BM1323" s="52"/>
      <c r="BN1323" s="52"/>
      <c r="BO1323" s="52"/>
    </row>
    <row r="1324">
      <c r="B1324" s="49"/>
      <c r="C1324" s="49" t="str">
        <f t="shared" si="2"/>
        <v/>
      </c>
      <c r="D1324" s="50" t="str">
        <f t="shared" si="3"/>
        <v/>
      </c>
      <c r="E1324" s="51" t="str">
        <f t="shared" ref="E1324:T1324" si="1325">IFERROR(VLOOKUP($A1324,INDIRECT("'" &amp; E$1 &amp; "'!$C:$G"), 5, FALSE),"")</f>
        <v/>
      </c>
      <c r="F1324" s="51" t="str">
        <f t="shared" si="1325"/>
        <v/>
      </c>
      <c r="G1324" s="51" t="str">
        <f t="shared" si="1325"/>
        <v/>
      </c>
      <c r="H1324" s="51" t="str">
        <f t="shared" si="1325"/>
        <v/>
      </c>
      <c r="I1324" s="51" t="str">
        <f t="shared" si="1325"/>
        <v/>
      </c>
      <c r="J1324" s="51" t="str">
        <f t="shared" si="1325"/>
        <v/>
      </c>
      <c r="K1324" s="51" t="str">
        <f t="shared" si="1325"/>
        <v/>
      </c>
      <c r="L1324" s="51" t="str">
        <f t="shared" si="1325"/>
        <v/>
      </c>
      <c r="M1324" s="51" t="str">
        <f t="shared" si="1325"/>
        <v/>
      </c>
      <c r="N1324" s="51" t="str">
        <f t="shared" si="1325"/>
        <v/>
      </c>
      <c r="O1324" s="51" t="str">
        <f t="shared" si="1325"/>
        <v/>
      </c>
      <c r="P1324" s="51" t="str">
        <f t="shared" si="1325"/>
        <v/>
      </c>
      <c r="Q1324" s="51" t="str">
        <f t="shared" si="1325"/>
        <v/>
      </c>
      <c r="R1324" s="51" t="str">
        <f t="shared" si="1325"/>
        <v/>
      </c>
      <c r="S1324" s="51" t="str">
        <f t="shared" si="1325"/>
        <v/>
      </c>
      <c r="T1324" s="51" t="str">
        <f t="shared" si="1325"/>
        <v/>
      </c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2"/>
      <c r="AE1324" s="52"/>
      <c r="AF1324" s="52"/>
      <c r="AG1324" s="52"/>
      <c r="AH1324" s="52"/>
      <c r="AI1324" s="52"/>
      <c r="AJ1324" s="52"/>
      <c r="AK1324" s="52"/>
      <c r="AL1324" s="52"/>
      <c r="AM1324" s="52"/>
      <c r="AN1324" s="52"/>
      <c r="AO1324" s="52"/>
      <c r="AP1324" s="52"/>
      <c r="AQ1324" s="52"/>
      <c r="AR1324" s="52"/>
      <c r="AS1324" s="52"/>
      <c r="AT1324" s="52"/>
      <c r="AU1324" s="52"/>
      <c r="AV1324" s="52"/>
      <c r="AW1324" s="52"/>
      <c r="AX1324" s="52"/>
      <c r="AY1324" s="52"/>
      <c r="AZ1324" s="52"/>
      <c r="BA1324" s="52"/>
      <c r="BB1324" s="52"/>
      <c r="BC1324" s="52"/>
      <c r="BD1324" s="52"/>
      <c r="BE1324" s="52"/>
      <c r="BF1324" s="52"/>
      <c r="BG1324" s="52"/>
      <c r="BH1324" s="52"/>
      <c r="BI1324" s="52"/>
      <c r="BJ1324" s="52"/>
      <c r="BK1324" s="52"/>
      <c r="BL1324" s="52"/>
      <c r="BM1324" s="52"/>
      <c r="BN1324" s="52"/>
      <c r="BO1324" s="52"/>
    </row>
    <row r="1325">
      <c r="B1325" s="49"/>
      <c r="C1325" s="49" t="str">
        <f t="shared" si="2"/>
        <v/>
      </c>
      <c r="D1325" s="50" t="str">
        <f t="shared" si="3"/>
        <v/>
      </c>
      <c r="E1325" s="51" t="str">
        <f t="shared" ref="E1325:T1325" si="1326">IFERROR(VLOOKUP($A1325,INDIRECT("'" &amp; E$1 &amp; "'!$C:$G"), 5, FALSE),"")</f>
        <v/>
      </c>
      <c r="F1325" s="51" t="str">
        <f t="shared" si="1326"/>
        <v/>
      </c>
      <c r="G1325" s="51" t="str">
        <f t="shared" si="1326"/>
        <v/>
      </c>
      <c r="H1325" s="51" t="str">
        <f t="shared" si="1326"/>
        <v/>
      </c>
      <c r="I1325" s="51" t="str">
        <f t="shared" si="1326"/>
        <v/>
      </c>
      <c r="J1325" s="51" t="str">
        <f t="shared" si="1326"/>
        <v/>
      </c>
      <c r="K1325" s="51" t="str">
        <f t="shared" si="1326"/>
        <v/>
      </c>
      <c r="L1325" s="51" t="str">
        <f t="shared" si="1326"/>
        <v/>
      </c>
      <c r="M1325" s="51" t="str">
        <f t="shared" si="1326"/>
        <v/>
      </c>
      <c r="N1325" s="51" t="str">
        <f t="shared" si="1326"/>
        <v/>
      </c>
      <c r="O1325" s="51" t="str">
        <f t="shared" si="1326"/>
        <v/>
      </c>
      <c r="P1325" s="51" t="str">
        <f t="shared" si="1326"/>
        <v/>
      </c>
      <c r="Q1325" s="51" t="str">
        <f t="shared" si="1326"/>
        <v/>
      </c>
      <c r="R1325" s="51" t="str">
        <f t="shared" si="1326"/>
        <v/>
      </c>
      <c r="S1325" s="51" t="str">
        <f t="shared" si="1326"/>
        <v/>
      </c>
      <c r="T1325" s="51" t="str">
        <f t="shared" si="1326"/>
        <v/>
      </c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2"/>
      <c r="AE1325" s="52"/>
      <c r="AF1325" s="52"/>
      <c r="AG1325" s="52"/>
      <c r="AH1325" s="52"/>
      <c r="AI1325" s="52"/>
      <c r="AJ1325" s="52"/>
      <c r="AK1325" s="52"/>
      <c r="AL1325" s="52"/>
      <c r="AM1325" s="52"/>
      <c r="AN1325" s="52"/>
      <c r="AO1325" s="52"/>
      <c r="AP1325" s="52"/>
      <c r="AQ1325" s="52"/>
      <c r="AR1325" s="52"/>
      <c r="AS1325" s="52"/>
      <c r="AT1325" s="52"/>
      <c r="AU1325" s="52"/>
      <c r="AV1325" s="52"/>
      <c r="AW1325" s="52"/>
      <c r="AX1325" s="52"/>
      <c r="AY1325" s="52"/>
      <c r="AZ1325" s="52"/>
      <c r="BA1325" s="52"/>
      <c r="BB1325" s="52"/>
      <c r="BC1325" s="52"/>
      <c r="BD1325" s="52"/>
      <c r="BE1325" s="52"/>
      <c r="BF1325" s="52"/>
      <c r="BG1325" s="52"/>
      <c r="BH1325" s="52"/>
      <c r="BI1325" s="52"/>
      <c r="BJ1325" s="52"/>
      <c r="BK1325" s="52"/>
      <c r="BL1325" s="52"/>
      <c r="BM1325" s="52"/>
      <c r="BN1325" s="52"/>
      <c r="BO1325" s="52"/>
    </row>
    <row r="1326">
      <c r="B1326" s="49"/>
      <c r="C1326" s="49" t="str">
        <f t="shared" si="2"/>
        <v/>
      </c>
      <c r="D1326" s="50" t="str">
        <f t="shared" si="3"/>
        <v/>
      </c>
      <c r="E1326" s="51" t="str">
        <f t="shared" ref="E1326:T1326" si="1327">IFERROR(VLOOKUP($A1326,INDIRECT("'" &amp; E$1 &amp; "'!$C:$G"), 5, FALSE),"")</f>
        <v/>
      </c>
      <c r="F1326" s="51" t="str">
        <f t="shared" si="1327"/>
        <v/>
      </c>
      <c r="G1326" s="51" t="str">
        <f t="shared" si="1327"/>
        <v/>
      </c>
      <c r="H1326" s="51" t="str">
        <f t="shared" si="1327"/>
        <v/>
      </c>
      <c r="I1326" s="51" t="str">
        <f t="shared" si="1327"/>
        <v/>
      </c>
      <c r="J1326" s="51" t="str">
        <f t="shared" si="1327"/>
        <v/>
      </c>
      <c r="K1326" s="51" t="str">
        <f t="shared" si="1327"/>
        <v/>
      </c>
      <c r="L1326" s="51" t="str">
        <f t="shared" si="1327"/>
        <v/>
      </c>
      <c r="M1326" s="51" t="str">
        <f t="shared" si="1327"/>
        <v/>
      </c>
      <c r="N1326" s="51" t="str">
        <f t="shared" si="1327"/>
        <v/>
      </c>
      <c r="O1326" s="51" t="str">
        <f t="shared" si="1327"/>
        <v/>
      </c>
      <c r="P1326" s="51" t="str">
        <f t="shared" si="1327"/>
        <v/>
      </c>
      <c r="Q1326" s="51" t="str">
        <f t="shared" si="1327"/>
        <v/>
      </c>
      <c r="R1326" s="51" t="str">
        <f t="shared" si="1327"/>
        <v/>
      </c>
      <c r="S1326" s="51" t="str">
        <f t="shared" si="1327"/>
        <v/>
      </c>
      <c r="T1326" s="51" t="str">
        <f t="shared" si="1327"/>
        <v/>
      </c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2"/>
      <c r="AE1326" s="52"/>
      <c r="AF1326" s="52"/>
      <c r="AG1326" s="52"/>
      <c r="AH1326" s="52"/>
      <c r="AI1326" s="52"/>
      <c r="AJ1326" s="52"/>
      <c r="AK1326" s="52"/>
      <c r="AL1326" s="52"/>
      <c r="AM1326" s="52"/>
      <c r="AN1326" s="52"/>
      <c r="AO1326" s="52"/>
      <c r="AP1326" s="52"/>
      <c r="AQ1326" s="52"/>
      <c r="AR1326" s="52"/>
      <c r="AS1326" s="52"/>
      <c r="AT1326" s="52"/>
      <c r="AU1326" s="52"/>
      <c r="AV1326" s="52"/>
      <c r="AW1326" s="52"/>
      <c r="AX1326" s="52"/>
      <c r="AY1326" s="52"/>
      <c r="AZ1326" s="52"/>
      <c r="BA1326" s="52"/>
      <c r="BB1326" s="52"/>
      <c r="BC1326" s="52"/>
      <c r="BD1326" s="52"/>
      <c r="BE1326" s="52"/>
      <c r="BF1326" s="52"/>
      <c r="BG1326" s="52"/>
      <c r="BH1326" s="52"/>
      <c r="BI1326" s="52"/>
      <c r="BJ1326" s="52"/>
      <c r="BK1326" s="52"/>
      <c r="BL1326" s="52"/>
      <c r="BM1326" s="52"/>
      <c r="BN1326" s="52"/>
      <c r="BO1326" s="52"/>
    </row>
    <row r="1327">
      <c r="B1327" s="49"/>
      <c r="C1327" s="49" t="str">
        <f t="shared" si="2"/>
        <v/>
      </c>
      <c r="D1327" s="50" t="str">
        <f t="shared" si="3"/>
        <v/>
      </c>
      <c r="E1327" s="51" t="str">
        <f t="shared" ref="E1327:T1327" si="1328">IFERROR(VLOOKUP($A1327,INDIRECT("'" &amp; E$1 &amp; "'!$C:$G"), 5, FALSE),"")</f>
        <v/>
      </c>
      <c r="F1327" s="51" t="str">
        <f t="shared" si="1328"/>
        <v/>
      </c>
      <c r="G1327" s="51" t="str">
        <f t="shared" si="1328"/>
        <v/>
      </c>
      <c r="H1327" s="51" t="str">
        <f t="shared" si="1328"/>
        <v/>
      </c>
      <c r="I1327" s="51" t="str">
        <f t="shared" si="1328"/>
        <v/>
      </c>
      <c r="J1327" s="51" t="str">
        <f t="shared" si="1328"/>
        <v/>
      </c>
      <c r="K1327" s="51" t="str">
        <f t="shared" si="1328"/>
        <v/>
      </c>
      <c r="L1327" s="51" t="str">
        <f t="shared" si="1328"/>
        <v/>
      </c>
      <c r="M1327" s="51" t="str">
        <f t="shared" si="1328"/>
        <v/>
      </c>
      <c r="N1327" s="51" t="str">
        <f t="shared" si="1328"/>
        <v/>
      </c>
      <c r="O1327" s="51" t="str">
        <f t="shared" si="1328"/>
        <v/>
      </c>
      <c r="P1327" s="51" t="str">
        <f t="shared" si="1328"/>
        <v/>
      </c>
      <c r="Q1327" s="51" t="str">
        <f t="shared" si="1328"/>
        <v/>
      </c>
      <c r="R1327" s="51" t="str">
        <f t="shared" si="1328"/>
        <v/>
      </c>
      <c r="S1327" s="51" t="str">
        <f t="shared" si="1328"/>
        <v/>
      </c>
      <c r="T1327" s="51" t="str">
        <f t="shared" si="1328"/>
        <v/>
      </c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2"/>
      <c r="AE1327" s="52"/>
      <c r="AF1327" s="52"/>
      <c r="AG1327" s="52"/>
      <c r="AH1327" s="52"/>
      <c r="AI1327" s="52"/>
      <c r="AJ1327" s="52"/>
      <c r="AK1327" s="52"/>
      <c r="AL1327" s="52"/>
      <c r="AM1327" s="52"/>
      <c r="AN1327" s="52"/>
      <c r="AO1327" s="52"/>
      <c r="AP1327" s="52"/>
      <c r="AQ1327" s="52"/>
      <c r="AR1327" s="52"/>
      <c r="AS1327" s="52"/>
      <c r="AT1327" s="52"/>
      <c r="AU1327" s="52"/>
      <c r="AV1327" s="52"/>
      <c r="AW1327" s="52"/>
      <c r="AX1327" s="52"/>
      <c r="AY1327" s="52"/>
      <c r="AZ1327" s="52"/>
      <c r="BA1327" s="52"/>
      <c r="BB1327" s="52"/>
      <c r="BC1327" s="52"/>
      <c r="BD1327" s="52"/>
      <c r="BE1327" s="52"/>
      <c r="BF1327" s="52"/>
      <c r="BG1327" s="52"/>
      <c r="BH1327" s="52"/>
      <c r="BI1327" s="52"/>
      <c r="BJ1327" s="52"/>
      <c r="BK1327" s="52"/>
      <c r="BL1327" s="52"/>
      <c r="BM1327" s="52"/>
      <c r="BN1327" s="52"/>
      <c r="BO1327" s="52"/>
    </row>
    <row r="1328">
      <c r="B1328" s="49"/>
      <c r="C1328" s="49" t="str">
        <f t="shared" si="2"/>
        <v/>
      </c>
      <c r="D1328" s="50" t="str">
        <f t="shared" si="3"/>
        <v/>
      </c>
      <c r="E1328" s="51" t="str">
        <f t="shared" ref="E1328:T1328" si="1329">IFERROR(VLOOKUP($A1328,INDIRECT("'" &amp; E$1 &amp; "'!$C:$G"), 5, FALSE),"")</f>
        <v/>
      </c>
      <c r="F1328" s="51" t="str">
        <f t="shared" si="1329"/>
        <v/>
      </c>
      <c r="G1328" s="51" t="str">
        <f t="shared" si="1329"/>
        <v/>
      </c>
      <c r="H1328" s="51" t="str">
        <f t="shared" si="1329"/>
        <v/>
      </c>
      <c r="I1328" s="51" t="str">
        <f t="shared" si="1329"/>
        <v/>
      </c>
      <c r="J1328" s="51" t="str">
        <f t="shared" si="1329"/>
        <v/>
      </c>
      <c r="K1328" s="51" t="str">
        <f t="shared" si="1329"/>
        <v/>
      </c>
      <c r="L1328" s="51" t="str">
        <f t="shared" si="1329"/>
        <v/>
      </c>
      <c r="M1328" s="51" t="str">
        <f t="shared" si="1329"/>
        <v/>
      </c>
      <c r="N1328" s="51" t="str">
        <f t="shared" si="1329"/>
        <v/>
      </c>
      <c r="O1328" s="51" t="str">
        <f t="shared" si="1329"/>
        <v/>
      </c>
      <c r="P1328" s="51" t="str">
        <f t="shared" si="1329"/>
        <v/>
      </c>
      <c r="Q1328" s="51" t="str">
        <f t="shared" si="1329"/>
        <v/>
      </c>
      <c r="R1328" s="51" t="str">
        <f t="shared" si="1329"/>
        <v/>
      </c>
      <c r="S1328" s="51" t="str">
        <f t="shared" si="1329"/>
        <v/>
      </c>
      <c r="T1328" s="51" t="str">
        <f t="shared" si="1329"/>
        <v/>
      </c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2"/>
      <c r="AE1328" s="52"/>
      <c r="AF1328" s="52"/>
      <c r="AG1328" s="52"/>
      <c r="AH1328" s="52"/>
      <c r="AI1328" s="52"/>
      <c r="AJ1328" s="52"/>
      <c r="AK1328" s="52"/>
      <c r="AL1328" s="52"/>
      <c r="AM1328" s="52"/>
      <c r="AN1328" s="52"/>
      <c r="AO1328" s="52"/>
      <c r="AP1328" s="52"/>
      <c r="AQ1328" s="52"/>
      <c r="AR1328" s="52"/>
      <c r="AS1328" s="52"/>
      <c r="AT1328" s="52"/>
      <c r="AU1328" s="52"/>
      <c r="AV1328" s="52"/>
      <c r="AW1328" s="52"/>
      <c r="AX1328" s="52"/>
      <c r="AY1328" s="52"/>
      <c r="AZ1328" s="52"/>
      <c r="BA1328" s="52"/>
      <c r="BB1328" s="52"/>
      <c r="BC1328" s="52"/>
      <c r="BD1328" s="52"/>
      <c r="BE1328" s="52"/>
      <c r="BF1328" s="52"/>
      <c r="BG1328" s="52"/>
      <c r="BH1328" s="52"/>
      <c r="BI1328" s="52"/>
      <c r="BJ1328" s="52"/>
      <c r="BK1328" s="52"/>
      <c r="BL1328" s="52"/>
      <c r="BM1328" s="52"/>
      <c r="BN1328" s="52"/>
      <c r="BO1328" s="52"/>
    </row>
    <row r="1329">
      <c r="B1329" s="49"/>
      <c r="C1329" s="49" t="str">
        <f t="shared" si="2"/>
        <v/>
      </c>
      <c r="D1329" s="50" t="str">
        <f t="shared" si="3"/>
        <v/>
      </c>
      <c r="E1329" s="51" t="str">
        <f t="shared" ref="E1329:T1329" si="1330">IFERROR(VLOOKUP($A1329,INDIRECT("'" &amp; E$1 &amp; "'!$C:$G"), 5, FALSE),"")</f>
        <v/>
      </c>
      <c r="F1329" s="51" t="str">
        <f t="shared" si="1330"/>
        <v/>
      </c>
      <c r="G1329" s="51" t="str">
        <f t="shared" si="1330"/>
        <v/>
      </c>
      <c r="H1329" s="51" t="str">
        <f t="shared" si="1330"/>
        <v/>
      </c>
      <c r="I1329" s="51" t="str">
        <f t="shared" si="1330"/>
        <v/>
      </c>
      <c r="J1329" s="51" t="str">
        <f t="shared" si="1330"/>
        <v/>
      </c>
      <c r="K1329" s="51" t="str">
        <f t="shared" si="1330"/>
        <v/>
      </c>
      <c r="L1329" s="51" t="str">
        <f t="shared" si="1330"/>
        <v/>
      </c>
      <c r="M1329" s="51" t="str">
        <f t="shared" si="1330"/>
        <v/>
      </c>
      <c r="N1329" s="51" t="str">
        <f t="shared" si="1330"/>
        <v/>
      </c>
      <c r="O1329" s="51" t="str">
        <f t="shared" si="1330"/>
        <v/>
      </c>
      <c r="P1329" s="51" t="str">
        <f t="shared" si="1330"/>
        <v/>
      </c>
      <c r="Q1329" s="51" t="str">
        <f t="shared" si="1330"/>
        <v/>
      </c>
      <c r="R1329" s="51" t="str">
        <f t="shared" si="1330"/>
        <v/>
      </c>
      <c r="S1329" s="51" t="str">
        <f t="shared" si="1330"/>
        <v/>
      </c>
      <c r="T1329" s="51" t="str">
        <f t="shared" si="1330"/>
        <v/>
      </c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2"/>
      <c r="AE1329" s="52"/>
      <c r="AF1329" s="52"/>
      <c r="AG1329" s="52"/>
      <c r="AH1329" s="52"/>
      <c r="AI1329" s="52"/>
      <c r="AJ1329" s="52"/>
      <c r="AK1329" s="52"/>
      <c r="AL1329" s="52"/>
      <c r="AM1329" s="52"/>
      <c r="AN1329" s="52"/>
      <c r="AO1329" s="52"/>
      <c r="AP1329" s="52"/>
      <c r="AQ1329" s="52"/>
      <c r="AR1329" s="52"/>
      <c r="AS1329" s="52"/>
      <c r="AT1329" s="52"/>
      <c r="AU1329" s="52"/>
      <c r="AV1329" s="52"/>
      <c r="AW1329" s="52"/>
      <c r="AX1329" s="52"/>
      <c r="AY1329" s="52"/>
      <c r="AZ1329" s="52"/>
      <c r="BA1329" s="52"/>
      <c r="BB1329" s="52"/>
      <c r="BC1329" s="52"/>
      <c r="BD1329" s="52"/>
      <c r="BE1329" s="52"/>
      <c r="BF1329" s="52"/>
      <c r="BG1329" s="52"/>
      <c r="BH1329" s="52"/>
      <c r="BI1329" s="52"/>
      <c r="BJ1329" s="52"/>
      <c r="BK1329" s="52"/>
      <c r="BL1329" s="52"/>
      <c r="BM1329" s="52"/>
      <c r="BN1329" s="52"/>
      <c r="BO1329" s="52"/>
    </row>
    <row r="1330">
      <c r="B1330" s="49"/>
      <c r="C1330" s="49" t="str">
        <f t="shared" si="2"/>
        <v/>
      </c>
      <c r="D1330" s="50" t="str">
        <f t="shared" si="3"/>
        <v/>
      </c>
      <c r="E1330" s="51" t="str">
        <f t="shared" ref="E1330:T1330" si="1331">IFERROR(VLOOKUP($A1330,INDIRECT("'" &amp; E$1 &amp; "'!$C:$G"), 5, FALSE),"")</f>
        <v/>
      </c>
      <c r="F1330" s="51" t="str">
        <f t="shared" si="1331"/>
        <v/>
      </c>
      <c r="G1330" s="51" t="str">
        <f t="shared" si="1331"/>
        <v/>
      </c>
      <c r="H1330" s="51" t="str">
        <f t="shared" si="1331"/>
        <v/>
      </c>
      <c r="I1330" s="51" t="str">
        <f t="shared" si="1331"/>
        <v/>
      </c>
      <c r="J1330" s="51" t="str">
        <f t="shared" si="1331"/>
        <v/>
      </c>
      <c r="K1330" s="51" t="str">
        <f t="shared" si="1331"/>
        <v/>
      </c>
      <c r="L1330" s="51" t="str">
        <f t="shared" si="1331"/>
        <v/>
      </c>
      <c r="M1330" s="51" t="str">
        <f t="shared" si="1331"/>
        <v/>
      </c>
      <c r="N1330" s="51" t="str">
        <f t="shared" si="1331"/>
        <v/>
      </c>
      <c r="O1330" s="51" t="str">
        <f t="shared" si="1331"/>
        <v/>
      </c>
      <c r="P1330" s="51" t="str">
        <f t="shared" si="1331"/>
        <v/>
      </c>
      <c r="Q1330" s="51" t="str">
        <f t="shared" si="1331"/>
        <v/>
      </c>
      <c r="R1330" s="51" t="str">
        <f t="shared" si="1331"/>
        <v/>
      </c>
      <c r="S1330" s="51" t="str">
        <f t="shared" si="1331"/>
        <v/>
      </c>
      <c r="T1330" s="51" t="str">
        <f t="shared" si="1331"/>
        <v/>
      </c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2"/>
      <c r="AE1330" s="52"/>
      <c r="AF1330" s="52"/>
      <c r="AG1330" s="52"/>
      <c r="AH1330" s="52"/>
      <c r="AI1330" s="52"/>
      <c r="AJ1330" s="52"/>
      <c r="AK1330" s="52"/>
      <c r="AL1330" s="52"/>
      <c r="AM1330" s="52"/>
      <c r="AN1330" s="52"/>
      <c r="AO1330" s="52"/>
      <c r="AP1330" s="52"/>
      <c r="AQ1330" s="52"/>
      <c r="AR1330" s="52"/>
      <c r="AS1330" s="52"/>
      <c r="AT1330" s="52"/>
      <c r="AU1330" s="52"/>
      <c r="AV1330" s="52"/>
      <c r="AW1330" s="52"/>
      <c r="AX1330" s="52"/>
      <c r="AY1330" s="52"/>
      <c r="AZ1330" s="52"/>
      <c r="BA1330" s="52"/>
      <c r="BB1330" s="52"/>
      <c r="BC1330" s="52"/>
      <c r="BD1330" s="52"/>
      <c r="BE1330" s="52"/>
      <c r="BF1330" s="52"/>
      <c r="BG1330" s="52"/>
      <c r="BH1330" s="52"/>
      <c r="BI1330" s="52"/>
      <c r="BJ1330" s="52"/>
      <c r="BK1330" s="52"/>
      <c r="BL1330" s="52"/>
      <c r="BM1330" s="52"/>
      <c r="BN1330" s="52"/>
      <c r="BO1330" s="52"/>
    </row>
    <row r="1331">
      <c r="B1331" s="49"/>
      <c r="C1331" s="49" t="str">
        <f t="shared" si="2"/>
        <v/>
      </c>
      <c r="D1331" s="50" t="str">
        <f t="shared" si="3"/>
        <v/>
      </c>
      <c r="E1331" s="51" t="str">
        <f t="shared" ref="E1331:T1331" si="1332">IFERROR(VLOOKUP($A1331,INDIRECT("'" &amp; E$1 &amp; "'!$C:$G"), 5, FALSE),"")</f>
        <v/>
      </c>
      <c r="F1331" s="51" t="str">
        <f t="shared" si="1332"/>
        <v/>
      </c>
      <c r="G1331" s="51" t="str">
        <f t="shared" si="1332"/>
        <v/>
      </c>
      <c r="H1331" s="51" t="str">
        <f t="shared" si="1332"/>
        <v/>
      </c>
      <c r="I1331" s="51" t="str">
        <f t="shared" si="1332"/>
        <v/>
      </c>
      <c r="J1331" s="51" t="str">
        <f t="shared" si="1332"/>
        <v/>
      </c>
      <c r="K1331" s="51" t="str">
        <f t="shared" si="1332"/>
        <v/>
      </c>
      <c r="L1331" s="51" t="str">
        <f t="shared" si="1332"/>
        <v/>
      </c>
      <c r="M1331" s="51" t="str">
        <f t="shared" si="1332"/>
        <v/>
      </c>
      <c r="N1331" s="51" t="str">
        <f t="shared" si="1332"/>
        <v/>
      </c>
      <c r="O1331" s="51" t="str">
        <f t="shared" si="1332"/>
        <v/>
      </c>
      <c r="P1331" s="51" t="str">
        <f t="shared" si="1332"/>
        <v/>
      </c>
      <c r="Q1331" s="51" t="str">
        <f t="shared" si="1332"/>
        <v/>
      </c>
      <c r="R1331" s="51" t="str">
        <f t="shared" si="1332"/>
        <v/>
      </c>
      <c r="S1331" s="51" t="str">
        <f t="shared" si="1332"/>
        <v/>
      </c>
      <c r="T1331" s="51" t="str">
        <f t="shared" si="1332"/>
        <v/>
      </c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2"/>
      <c r="AE1331" s="52"/>
      <c r="AF1331" s="52"/>
      <c r="AG1331" s="52"/>
      <c r="AH1331" s="52"/>
      <c r="AI1331" s="52"/>
      <c r="AJ1331" s="52"/>
      <c r="AK1331" s="52"/>
      <c r="AL1331" s="52"/>
      <c r="AM1331" s="52"/>
      <c r="AN1331" s="52"/>
      <c r="AO1331" s="52"/>
      <c r="AP1331" s="52"/>
      <c r="AQ1331" s="52"/>
      <c r="AR1331" s="52"/>
      <c r="AS1331" s="52"/>
      <c r="AT1331" s="52"/>
      <c r="AU1331" s="52"/>
      <c r="AV1331" s="52"/>
      <c r="AW1331" s="52"/>
      <c r="AX1331" s="52"/>
      <c r="AY1331" s="52"/>
      <c r="AZ1331" s="52"/>
      <c r="BA1331" s="52"/>
      <c r="BB1331" s="52"/>
      <c r="BC1331" s="52"/>
      <c r="BD1331" s="52"/>
      <c r="BE1331" s="52"/>
      <c r="BF1331" s="52"/>
      <c r="BG1331" s="52"/>
      <c r="BH1331" s="52"/>
      <c r="BI1331" s="52"/>
      <c r="BJ1331" s="52"/>
      <c r="BK1331" s="52"/>
      <c r="BL1331" s="52"/>
      <c r="BM1331" s="52"/>
      <c r="BN1331" s="52"/>
      <c r="BO1331" s="52"/>
    </row>
    <row r="1332">
      <c r="B1332" s="49"/>
      <c r="C1332" s="49" t="str">
        <f t="shared" si="2"/>
        <v/>
      </c>
      <c r="D1332" s="50" t="str">
        <f t="shared" si="3"/>
        <v/>
      </c>
      <c r="E1332" s="51" t="str">
        <f t="shared" ref="E1332:T1332" si="1333">IFERROR(VLOOKUP($A1332,INDIRECT("'" &amp; E$1 &amp; "'!$C:$G"), 5, FALSE),"")</f>
        <v/>
      </c>
      <c r="F1332" s="51" t="str">
        <f t="shared" si="1333"/>
        <v/>
      </c>
      <c r="G1332" s="51" t="str">
        <f t="shared" si="1333"/>
        <v/>
      </c>
      <c r="H1332" s="51" t="str">
        <f t="shared" si="1333"/>
        <v/>
      </c>
      <c r="I1332" s="51" t="str">
        <f t="shared" si="1333"/>
        <v/>
      </c>
      <c r="J1332" s="51" t="str">
        <f t="shared" si="1333"/>
        <v/>
      </c>
      <c r="K1332" s="51" t="str">
        <f t="shared" si="1333"/>
        <v/>
      </c>
      <c r="L1332" s="51" t="str">
        <f t="shared" si="1333"/>
        <v/>
      </c>
      <c r="M1332" s="51" t="str">
        <f t="shared" si="1333"/>
        <v/>
      </c>
      <c r="N1332" s="51" t="str">
        <f t="shared" si="1333"/>
        <v/>
      </c>
      <c r="O1332" s="51" t="str">
        <f t="shared" si="1333"/>
        <v/>
      </c>
      <c r="P1332" s="51" t="str">
        <f t="shared" si="1333"/>
        <v/>
      </c>
      <c r="Q1332" s="51" t="str">
        <f t="shared" si="1333"/>
        <v/>
      </c>
      <c r="R1332" s="51" t="str">
        <f t="shared" si="1333"/>
        <v/>
      </c>
      <c r="S1332" s="51" t="str">
        <f t="shared" si="1333"/>
        <v/>
      </c>
      <c r="T1332" s="51" t="str">
        <f t="shared" si="1333"/>
        <v/>
      </c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2"/>
      <c r="AE1332" s="52"/>
      <c r="AF1332" s="52"/>
      <c r="AG1332" s="52"/>
      <c r="AH1332" s="52"/>
      <c r="AI1332" s="52"/>
      <c r="AJ1332" s="52"/>
      <c r="AK1332" s="52"/>
      <c r="AL1332" s="52"/>
      <c r="AM1332" s="52"/>
      <c r="AN1332" s="52"/>
      <c r="AO1332" s="52"/>
      <c r="AP1332" s="52"/>
      <c r="AQ1332" s="52"/>
      <c r="AR1332" s="52"/>
      <c r="AS1332" s="52"/>
      <c r="AT1332" s="52"/>
      <c r="AU1332" s="52"/>
      <c r="AV1332" s="52"/>
      <c r="AW1332" s="52"/>
      <c r="AX1332" s="52"/>
      <c r="AY1332" s="52"/>
      <c r="AZ1332" s="52"/>
      <c r="BA1332" s="52"/>
      <c r="BB1332" s="52"/>
      <c r="BC1332" s="52"/>
      <c r="BD1332" s="52"/>
      <c r="BE1332" s="52"/>
      <c r="BF1332" s="52"/>
      <c r="BG1332" s="52"/>
      <c r="BH1332" s="52"/>
      <c r="BI1332" s="52"/>
      <c r="BJ1332" s="52"/>
      <c r="BK1332" s="52"/>
      <c r="BL1332" s="52"/>
      <c r="BM1332" s="52"/>
      <c r="BN1332" s="52"/>
      <c r="BO1332" s="52"/>
    </row>
    <row r="1333">
      <c r="B1333" s="49"/>
      <c r="C1333" s="49" t="str">
        <f t="shared" si="2"/>
        <v/>
      </c>
      <c r="D1333" s="50" t="str">
        <f t="shared" si="3"/>
        <v/>
      </c>
      <c r="E1333" s="51" t="str">
        <f t="shared" ref="E1333:T1333" si="1334">IFERROR(VLOOKUP($A1333,INDIRECT("'" &amp; E$1 &amp; "'!$C:$G"), 5, FALSE),"")</f>
        <v/>
      </c>
      <c r="F1333" s="51" t="str">
        <f t="shared" si="1334"/>
        <v/>
      </c>
      <c r="G1333" s="51" t="str">
        <f t="shared" si="1334"/>
        <v/>
      </c>
      <c r="H1333" s="51" t="str">
        <f t="shared" si="1334"/>
        <v/>
      </c>
      <c r="I1333" s="51" t="str">
        <f t="shared" si="1334"/>
        <v/>
      </c>
      <c r="J1333" s="51" t="str">
        <f t="shared" si="1334"/>
        <v/>
      </c>
      <c r="K1333" s="51" t="str">
        <f t="shared" si="1334"/>
        <v/>
      </c>
      <c r="L1333" s="51" t="str">
        <f t="shared" si="1334"/>
        <v/>
      </c>
      <c r="M1333" s="51" t="str">
        <f t="shared" si="1334"/>
        <v/>
      </c>
      <c r="N1333" s="51" t="str">
        <f t="shared" si="1334"/>
        <v/>
      </c>
      <c r="O1333" s="51" t="str">
        <f t="shared" si="1334"/>
        <v/>
      </c>
      <c r="P1333" s="51" t="str">
        <f t="shared" si="1334"/>
        <v/>
      </c>
      <c r="Q1333" s="51" t="str">
        <f t="shared" si="1334"/>
        <v/>
      </c>
      <c r="R1333" s="51" t="str">
        <f t="shared" si="1334"/>
        <v/>
      </c>
      <c r="S1333" s="51" t="str">
        <f t="shared" si="1334"/>
        <v/>
      </c>
      <c r="T1333" s="51" t="str">
        <f t="shared" si="1334"/>
        <v/>
      </c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2"/>
      <c r="AE1333" s="52"/>
      <c r="AF1333" s="52"/>
      <c r="AG1333" s="52"/>
      <c r="AH1333" s="52"/>
      <c r="AI1333" s="52"/>
      <c r="AJ1333" s="52"/>
      <c r="AK1333" s="52"/>
      <c r="AL1333" s="52"/>
      <c r="AM1333" s="52"/>
      <c r="AN1333" s="52"/>
      <c r="AO1333" s="52"/>
      <c r="AP1333" s="52"/>
      <c r="AQ1333" s="52"/>
      <c r="AR1333" s="52"/>
      <c r="AS1333" s="52"/>
      <c r="AT1333" s="52"/>
      <c r="AU1333" s="52"/>
      <c r="AV1333" s="52"/>
      <c r="AW1333" s="52"/>
      <c r="AX1333" s="52"/>
      <c r="AY1333" s="52"/>
      <c r="AZ1333" s="52"/>
      <c r="BA1333" s="52"/>
      <c r="BB1333" s="52"/>
      <c r="BC1333" s="52"/>
      <c r="BD1333" s="52"/>
      <c r="BE1333" s="52"/>
      <c r="BF1333" s="52"/>
      <c r="BG1333" s="52"/>
      <c r="BH1333" s="52"/>
      <c r="BI1333" s="52"/>
      <c r="BJ1333" s="52"/>
      <c r="BK1333" s="52"/>
      <c r="BL1333" s="52"/>
      <c r="BM1333" s="52"/>
      <c r="BN1333" s="52"/>
      <c r="BO1333" s="52"/>
    </row>
    <row r="1334">
      <c r="B1334" s="49"/>
      <c r="C1334" s="49" t="str">
        <f t="shared" si="2"/>
        <v/>
      </c>
      <c r="D1334" s="50" t="str">
        <f t="shared" si="3"/>
        <v/>
      </c>
      <c r="E1334" s="51" t="str">
        <f t="shared" ref="E1334:T1334" si="1335">IFERROR(VLOOKUP($A1334,INDIRECT("'" &amp; E$1 &amp; "'!$C:$G"), 5, FALSE),"")</f>
        <v/>
      </c>
      <c r="F1334" s="51" t="str">
        <f t="shared" si="1335"/>
        <v/>
      </c>
      <c r="G1334" s="51" t="str">
        <f t="shared" si="1335"/>
        <v/>
      </c>
      <c r="H1334" s="51" t="str">
        <f t="shared" si="1335"/>
        <v/>
      </c>
      <c r="I1334" s="51" t="str">
        <f t="shared" si="1335"/>
        <v/>
      </c>
      <c r="J1334" s="51" t="str">
        <f t="shared" si="1335"/>
        <v/>
      </c>
      <c r="K1334" s="51" t="str">
        <f t="shared" si="1335"/>
        <v/>
      </c>
      <c r="L1334" s="51" t="str">
        <f t="shared" si="1335"/>
        <v/>
      </c>
      <c r="M1334" s="51" t="str">
        <f t="shared" si="1335"/>
        <v/>
      </c>
      <c r="N1334" s="51" t="str">
        <f t="shared" si="1335"/>
        <v/>
      </c>
      <c r="O1334" s="51" t="str">
        <f t="shared" si="1335"/>
        <v/>
      </c>
      <c r="P1334" s="51" t="str">
        <f t="shared" si="1335"/>
        <v/>
      </c>
      <c r="Q1334" s="51" t="str">
        <f t="shared" si="1335"/>
        <v/>
      </c>
      <c r="R1334" s="51" t="str">
        <f t="shared" si="1335"/>
        <v/>
      </c>
      <c r="S1334" s="51" t="str">
        <f t="shared" si="1335"/>
        <v/>
      </c>
      <c r="T1334" s="51" t="str">
        <f t="shared" si="1335"/>
        <v/>
      </c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2"/>
      <c r="AE1334" s="52"/>
      <c r="AF1334" s="52"/>
      <c r="AG1334" s="52"/>
      <c r="AH1334" s="52"/>
      <c r="AI1334" s="52"/>
      <c r="AJ1334" s="52"/>
      <c r="AK1334" s="52"/>
      <c r="AL1334" s="52"/>
      <c r="AM1334" s="52"/>
      <c r="AN1334" s="52"/>
      <c r="AO1334" s="52"/>
      <c r="AP1334" s="52"/>
      <c r="AQ1334" s="52"/>
      <c r="AR1334" s="52"/>
      <c r="AS1334" s="52"/>
      <c r="AT1334" s="52"/>
      <c r="AU1334" s="52"/>
      <c r="AV1334" s="52"/>
      <c r="AW1334" s="52"/>
      <c r="AX1334" s="52"/>
      <c r="AY1334" s="52"/>
      <c r="AZ1334" s="52"/>
      <c r="BA1334" s="52"/>
      <c r="BB1334" s="52"/>
      <c r="BC1334" s="52"/>
      <c r="BD1334" s="52"/>
      <c r="BE1334" s="52"/>
      <c r="BF1334" s="52"/>
      <c r="BG1334" s="52"/>
      <c r="BH1334" s="52"/>
      <c r="BI1334" s="52"/>
      <c r="BJ1334" s="52"/>
      <c r="BK1334" s="52"/>
      <c r="BL1334" s="52"/>
      <c r="BM1334" s="52"/>
      <c r="BN1334" s="52"/>
      <c r="BO1334" s="52"/>
    </row>
    <row r="1335">
      <c r="B1335" s="49"/>
      <c r="C1335" s="49" t="str">
        <f t="shared" si="2"/>
        <v/>
      </c>
      <c r="D1335" s="50" t="str">
        <f t="shared" si="3"/>
        <v/>
      </c>
      <c r="E1335" s="51" t="str">
        <f t="shared" ref="E1335:T1335" si="1336">IFERROR(VLOOKUP($A1335,INDIRECT("'" &amp; E$1 &amp; "'!$C:$G"), 5, FALSE),"")</f>
        <v/>
      </c>
      <c r="F1335" s="51" t="str">
        <f t="shared" si="1336"/>
        <v/>
      </c>
      <c r="G1335" s="51" t="str">
        <f t="shared" si="1336"/>
        <v/>
      </c>
      <c r="H1335" s="51" t="str">
        <f t="shared" si="1336"/>
        <v/>
      </c>
      <c r="I1335" s="51" t="str">
        <f t="shared" si="1336"/>
        <v/>
      </c>
      <c r="J1335" s="51" t="str">
        <f t="shared" si="1336"/>
        <v/>
      </c>
      <c r="K1335" s="51" t="str">
        <f t="shared" si="1336"/>
        <v/>
      </c>
      <c r="L1335" s="51" t="str">
        <f t="shared" si="1336"/>
        <v/>
      </c>
      <c r="M1335" s="51" t="str">
        <f t="shared" si="1336"/>
        <v/>
      </c>
      <c r="N1335" s="51" t="str">
        <f t="shared" si="1336"/>
        <v/>
      </c>
      <c r="O1335" s="51" t="str">
        <f t="shared" si="1336"/>
        <v/>
      </c>
      <c r="P1335" s="51" t="str">
        <f t="shared" si="1336"/>
        <v/>
      </c>
      <c r="Q1335" s="51" t="str">
        <f t="shared" si="1336"/>
        <v/>
      </c>
      <c r="R1335" s="51" t="str">
        <f t="shared" si="1336"/>
        <v/>
      </c>
      <c r="S1335" s="51" t="str">
        <f t="shared" si="1336"/>
        <v/>
      </c>
      <c r="T1335" s="51" t="str">
        <f t="shared" si="1336"/>
        <v/>
      </c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2"/>
      <c r="AE1335" s="52"/>
      <c r="AF1335" s="52"/>
      <c r="AG1335" s="52"/>
      <c r="AH1335" s="52"/>
      <c r="AI1335" s="52"/>
      <c r="AJ1335" s="52"/>
      <c r="AK1335" s="52"/>
      <c r="AL1335" s="52"/>
      <c r="AM1335" s="52"/>
      <c r="AN1335" s="52"/>
      <c r="AO1335" s="52"/>
      <c r="AP1335" s="52"/>
      <c r="AQ1335" s="52"/>
      <c r="AR1335" s="52"/>
      <c r="AS1335" s="52"/>
      <c r="AT1335" s="52"/>
      <c r="AU1335" s="52"/>
      <c r="AV1335" s="52"/>
      <c r="AW1335" s="52"/>
      <c r="AX1335" s="52"/>
      <c r="AY1335" s="52"/>
      <c r="AZ1335" s="52"/>
      <c r="BA1335" s="52"/>
      <c r="BB1335" s="52"/>
      <c r="BC1335" s="52"/>
      <c r="BD1335" s="52"/>
      <c r="BE1335" s="52"/>
      <c r="BF1335" s="52"/>
      <c r="BG1335" s="52"/>
      <c r="BH1335" s="52"/>
      <c r="BI1335" s="52"/>
      <c r="BJ1335" s="52"/>
      <c r="BK1335" s="52"/>
      <c r="BL1335" s="52"/>
      <c r="BM1335" s="52"/>
      <c r="BN1335" s="52"/>
      <c r="BO1335" s="52"/>
    </row>
    <row r="1336">
      <c r="B1336" s="49"/>
      <c r="C1336" s="49" t="str">
        <f t="shared" si="2"/>
        <v/>
      </c>
      <c r="D1336" s="50" t="str">
        <f t="shared" si="3"/>
        <v/>
      </c>
      <c r="E1336" s="51" t="str">
        <f t="shared" ref="E1336:T1336" si="1337">IFERROR(VLOOKUP($A1336,INDIRECT("'" &amp; E$1 &amp; "'!$C:$G"), 5, FALSE),"")</f>
        <v/>
      </c>
      <c r="F1336" s="51" t="str">
        <f t="shared" si="1337"/>
        <v/>
      </c>
      <c r="G1336" s="51" t="str">
        <f t="shared" si="1337"/>
        <v/>
      </c>
      <c r="H1336" s="51" t="str">
        <f t="shared" si="1337"/>
        <v/>
      </c>
      <c r="I1336" s="51" t="str">
        <f t="shared" si="1337"/>
        <v/>
      </c>
      <c r="J1336" s="51" t="str">
        <f t="shared" si="1337"/>
        <v/>
      </c>
      <c r="K1336" s="51" t="str">
        <f t="shared" si="1337"/>
        <v/>
      </c>
      <c r="L1336" s="51" t="str">
        <f t="shared" si="1337"/>
        <v/>
      </c>
      <c r="M1336" s="51" t="str">
        <f t="shared" si="1337"/>
        <v/>
      </c>
      <c r="N1336" s="51" t="str">
        <f t="shared" si="1337"/>
        <v/>
      </c>
      <c r="O1336" s="51" t="str">
        <f t="shared" si="1337"/>
        <v/>
      </c>
      <c r="P1336" s="51" t="str">
        <f t="shared" si="1337"/>
        <v/>
      </c>
      <c r="Q1336" s="51" t="str">
        <f t="shared" si="1337"/>
        <v/>
      </c>
      <c r="R1336" s="51" t="str">
        <f t="shared" si="1337"/>
        <v/>
      </c>
      <c r="S1336" s="51" t="str">
        <f t="shared" si="1337"/>
        <v/>
      </c>
      <c r="T1336" s="51" t="str">
        <f t="shared" si="1337"/>
        <v/>
      </c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2"/>
      <c r="AE1336" s="52"/>
      <c r="AF1336" s="52"/>
      <c r="AG1336" s="52"/>
      <c r="AH1336" s="52"/>
      <c r="AI1336" s="52"/>
      <c r="AJ1336" s="52"/>
      <c r="AK1336" s="52"/>
      <c r="AL1336" s="52"/>
      <c r="AM1336" s="52"/>
      <c r="AN1336" s="52"/>
      <c r="AO1336" s="52"/>
      <c r="AP1336" s="52"/>
      <c r="AQ1336" s="52"/>
      <c r="AR1336" s="52"/>
      <c r="AS1336" s="52"/>
      <c r="AT1336" s="52"/>
      <c r="AU1336" s="52"/>
      <c r="AV1336" s="52"/>
      <c r="AW1336" s="52"/>
      <c r="AX1336" s="52"/>
      <c r="AY1336" s="52"/>
      <c r="AZ1336" s="52"/>
      <c r="BA1336" s="52"/>
      <c r="BB1336" s="52"/>
      <c r="BC1336" s="52"/>
      <c r="BD1336" s="52"/>
      <c r="BE1336" s="52"/>
      <c r="BF1336" s="52"/>
      <c r="BG1336" s="52"/>
      <c r="BH1336" s="52"/>
      <c r="BI1336" s="52"/>
      <c r="BJ1336" s="52"/>
      <c r="BK1336" s="52"/>
      <c r="BL1336" s="52"/>
      <c r="BM1336" s="52"/>
      <c r="BN1336" s="52"/>
      <c r="BO1336" s="52"/>
    </row>
    <row r="1337">
      <c r="B1337" s="49"/>
      <c r="C1337" s="49" t="str">
        <f t="shared" si="2"/>
        <v/>
      </c>
      <c r="D1337" s="50" t="str">
        <f t="shared" si="3"/>
        <v/>
      </c>
      <c r="E1337" s="51" t="str">
        <f t="shared" ref="E1337:T1337" si="1338">IFERROR(VLOOKUP($A1337,INDIRECT("'" &amp; E$1 &amp; "'!$C:$G"), 5, FALSE),"")</f>
        <v/>
      </c>
      <c r="F1337" s="51" t="str">
        <f t="shared" si="1338"/>
        <v/>
      </c>
      <c r="G1337" s="51" t="str">
        <f t="shared" si="1338"/>
        <v/>
      </c>
      <c r="H1337" s="51" t="str">
        <f t="shared" si="1338"/>
        <v/>
      </c>
      <c r="I1337" s="51" t="str">
        <f t="shared" si="1338"/>
        <v/>
      </c>
      <c r="J1337" s="51" t="str">
        <f t="shared" si="1338"/>
        <v/>
      </c>
      <c r="K1337" s="51" t="str">
        <f t="shared" si="1338"/>
        <v/>
      </c>
      <c r="L1337" s="51" t="str">
        <f t="shared" si="1338"/>
        <v/>
      </c>
      <c r="M1337" s="51" t="str">
        <f t="shared" si="1338"/>
        <v/>
      </c>
      <c r="N1337" s="51" t="str">
        <f t="shared" si="1338"/>
        <v/>
      </c>
      <c r="O1337" s="51" t="str">
        <f t="shared" si="1338"/>
        <v/>
      </c>
      <c r="P1337" s="51" t="str">
        <f t="shared" si="1338"/>
        <v/>
      </c>
      <c r="Q1337" s="51" t="str">
        <f t="shared" si="1338"/>
        <v/>
      </c>
      <c r="R1337" s="51" t="str">
        <f t="shared" si="1338"/>
        <v/>
      </c>
      <c r="S1337" s="51" t="str">
        <f t="shared" si="1338"/>
        <v/>
      </c>
      <c r="T1337" s="51" t="str">
        <f t="shared" si="1338"/>
        <v/>
      </c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2"/>
      <c r="AE1337" s="52"/>
      <c r="AF1337" s="52"/>
      <c r="AG1337" s="52"/>
      <c r="AH1337" s="52"/>
      <c r="AI1337" s="52"/>
      <c r="AJ1337" s="52"/>
      <c r="AK1337" s="52"/>
      <c r="AL1337" s="52"/>
      <c r="AM1337" s="52"/>
      <c r="AN1337" s="52"/>
      <c r="AO1337" s="52"/>
      <c r="AP1337" s="52"/>
      <c r="AQ1337" s="52"/>
      <c r="AR1337" s="52"/>
      <c r="AS1337" s="52"/>
      <c r="AT1337" s="52"/>
      <c r="AU1337" s="52"/>
      <c r="AV1337" s="52"/>
      <c r="AW1337" s="52"/>
      <c r="AX1337" s="52"/>
      <c r="AY1337" s="52"/>
      <c r="AZ1337" s="52"/>
      <c r="BA1337" s="52"/>
      <c r="BB1337" s="52"/>
      <c r="BC1337" s="52"/>
      <c r="BD1337" s="52"/>
      <c r="BE1337" s="52"/>
      <c r="BF1337" s="52"/>
      <c r="BG1337" s="52"/>
      <c r="BH1337" s="52"/>
      <c r="BI1337" s="52"/>
      <c r="BJ1337" s="52"/>
      <c r="BK1337" s="52"/>
      <c r="BL1337" s="52"/>
      <c r="BM1337" s="52"/>
      <c r="BN1337" s="52"/>
      <c r="BO1337" s="52"/>
    </row>
    <row r="1338">
      <c r="B1338" s="49"/>
      <c r="C1338" s="49" t="str">
        <f t="shared" si="2"/>
        <v/>
      </c>
      <c r="D1338" s="50" t="str">
        <f t="shared" si="3"/>
        <v/>
      </c>
      <c r="E1338" s="51" t="str">
        <f t="shared" ref="E1338:T1338" si="1339">IFERROR(VLOOKUP($A1338,INDIRECT("'" &amp; E$1 &amp; "'!$C:$G"), 5, FALSE),"")</f>
        <v/>
      </c>
      <c r="F1338" s="51" t="str">
        <f t="shared" si="1339"/>
        <v/>
      </c>
      <c r="G1338" s="51" t="str">
        <f t="shared" si="1339"/>
        <v/>
      </c>
      <c r="H1338" s="51" t="str">
        <f t="shared" si="1339"/>
        <v/>
      </c>
      <c r="I1338" s="51" t="str">
        <f t="shared" si="1339"/>
        <v/>
      </c>
      <c r="J1338" s="51" t="str">
        <f t="shared" si="1339"/>
        <v/>
      </c>
      <c r="K1338" s="51" t="str">
        <f t="shared" si="1339"/>
        <v/>
      </c>
      <c r="L1338" s="51" t="str">
        <f t="shared" si="1339"/>
        <v/>
      </c>
      <c r="M1338" s="51" t="str">
        <f t="shared" si="1339"/>
        <v/>
      </c>
      <c r="N1338" s="51" t="str">
        <f t="shared" si="1339"/>
        <v/>
      </c>
      <c r="O1338" s="51" t="str">
        <f t="shared" si="1339"/>
        <v/>
      </c>
      <c r="P1338" s="51" t="str">
        <f t="shared" si="1339"/>
        <v/>
      </c>
      <c r="Q1338" s="51" t="str">
        <f t="shared" si="1339"/>
        <v/>
      </c>
      <c r="R1338" s="51" t="str">
        <f t="shared" si="1339"/>
        <v/>
      </c>
      <c r="S1338" s="51" t="str">
        <f t="shared" si="1339"/>
        <v/>
      </c>
      <c r="T1338" s="51" t="str">
        <f t="shared" si="1339"/>
        <v/>
      </c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2"/>
      <c r="AE1338" s="52"/>
      <c r="AF1338" s="52"/>
      <c r="AG1338" s="52"/>
      <c r="AH1338" s="52"/>
      <c r="AI1338" s="52"/>
      <c r="AJ1338" s="52"/>
      <c r="AK1338" s="52"/>
      <c r="AL1338" s="52"/>
      <c r="AM1338" s="52"/>
      <c r="AN1338" s="52"/>
      <c r="AO1338" s="52"/>
      <c r="AP1338" s="52"/>
      <c r="AQ1338" s="52"/>
      <c r="AR1338" s="52"/>
      <c r="AS1338" s="52"/>
      <c r="AT1338" s="52"/>
      <c r="AU1338" s="52"/>
      <c r="AV1338" s="52"/>
      <c r="AW1338" s="52"/>
      <c r="AX1338" s="52"/>
      <c r="AY1338" s="52"/>
      <c r="AZ1338" s="52"/>
      <c r="BA1338" s="52"/>
      <c r="BB1338" s="52"/>
      <c r="BC1338" s="52"/>
      <c r="BD1338" s="52"/>
      <c r="BE1338" s="52"/>
      <c r="BF1338" s="52"/>
      <c r="BG1338" s="52"/>
      <c r="BH1338" s="52"/>
      <c r="BI1338" s="52"/>
      <c r="BJ1338" s="52"/>
      <c r="BK1338" s="52"/>
      <c r="BL1338" s="52"/>
      <c r="BM1338" s="52"/>
      <c r="BN1338" s="52"/>
      <c r="BO1338" s="52"/>
    </row>
    <row r="1339">
      <c r="B1339" s="49"/>
      <c r="C1339" s="49" t="str">
        <f t="shared" si="2"/>
        <v/>
      </c>
      <c r="D1339" s="50" t="str">
        <f t="shared" si="3"/>
        <v/>
      </c>
      <c r="E1339" s="51" t="str">
        <f t="shared" ref="E1339:T1339" si="1340">IFERROR(VLOOKUP($A1339,INDIRECT("'" &amp; E$1 &amp; "'!$C:$G"), 5, FALSE),"")</f>
        <v/>
      </c>
      <c r="F1339" s="51" t="str">
        <f t="shared" si="1340"/>
        <v/>
      </c>
      <c r="G1339" s="51" t="str">
        <f t="shared" si="1340"/>
        <v/>
      </c>
      <c r="H1339" s="51" t="str">
        <f t="shared" si="1340"/>
        <v/>
      </c>
      <c r="I1339" s="51" t="str">
        <f t="shared" si="1340"/>
        <v/>
      </c>
      <c r="J1339" s="51" t="str">
        <f t="shared" si="1340"/>
        <v/>
      </c>
      <c r="K1339" s="51" t="str">
        <f t="shared" si="1340"/>
        <v/>
      </c>
      <c r="L1339" s="51" t="str">
        <f t="shared" si="1340"/>
        <v/>
      </c>
      <c r="M1339" s="51" t="str">
        <f t="shared" si="1340"/>
        <v/>
      </c>
      <c r="N1339" s="51" t="str">
        <f t="shared" si="1340"/>
        <v/>
      </c>
      <c r="O1339" s="51" t="str">
        <f t="shared" si="1340"/>
        <v/>
      </c>
      <c r="P1339" s="51" t="str">
        <f t="shared" si="1340"/>
        <v/>
      </c>
      <c r="Q1339" s="51" t="str">
        <f t="shared" si="1340"/>
        <v/>
      </c>
      <c r="R1339" s="51" t="str">
        <f t="shared" si="1340"/>
        <v/>
      </c>
      <c r="S1339" s="51" t="str">
        <f t="shared" si="1340"/>
        <v/>
      </c>
      <c r="T1339" s="51" t="str">
        <f t="shared" si="1340"/>
        <v/>
      </c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2"/>
      <c r="AE1339" s="52"/>
      <c r="AF1339" s="52"/>
      <c r="AG1339" s="52"/>
      <c r="AH1339" s="52"/>
      <c r="AI1339" s="52"/>
      <c r="AJ1339" s="52"/>
      <c r="AK1339" s="52"/>
      <c r="AL1339" s="52"/>
      <c r="AM1339" s="52"/>
      <c r="AN1339" s="52"/>
      <c r="AO1339" s="52"/>
      <c r="AP1339" s="52"/>
      <c r="AQ1339" s="52"/>
      <c r="AR1339" s="52"/>
      <c r="AS1339" s="52"/>
      <c r="AT1339" s="52"/>
      <c r="AU1339" s="52"/>
      <c r="AV1339" s="52"/>
      <c r="AW1339" s="52"/>
      <c r="AX1339" s="52"/>
      <c r="AY1339" s="52"/>
      <c r="AZ1339" s="52"/>
      <c r="BA1339" s="52"/>
      <c r="BB1339" s="52"/>
      <c r="BC1339" s="52"/>
      <c r="BD1339" s="52"/>
      <c r="BE1339" s="52"/>
      <c r="BF1339" s="52"/>
      <c r="BG1339" s="52"/>
      <c r="BH1339" s="52"/>
      <c r="BI1339" s="52"/>
      <c r="BJ1339" s="52"/>
      <c r="BK1339" s="52"/>
      <c r="BL1339" s="52"/>
      <c r="BM1339" s="52"/>
      <c r="BN1339" s="52"/>
      <c r="BO1339" s="52"/>
    </row>
    <row r="1340">
      <c r="B1340" s="49"/>
      <c r="C1340" s="49" t="str">
        <f t="shared" si="2"/>
        <v/>
      </c>
      <c r="D1340" s="50" t="str">
        <f t="shared" si="3"/>
        <v/>
      </c>
      <c r="E1340" s="51" t="str">
        <f t="shared" ref="E1340:T1340" si="1341">IFERROR(VLOOKUP($A1340,INDIRECT("'" &amp; E$1 &amp; "'!$C:$G"), 5, FALSE),"")</f>
        <v/>
      </c>
      <c r="F1340" s="51" t="str">
        <f t="shared" si="1341"/>
        <v/>
      </c>
      <c r="G1340" s="51" t="str">
        <f t="shared" si="1341"/>
        <v/>
      </c>
      <c r="H1340" s="51" t="str">
        <f t="shared" si="1341"/>
        <v/>
      </c>
      <c r="I1340" s="51" t="str">
        <f t="shared" si="1341"/>
        <v/>
      </c>
      <c r="J1340" s="51" t="str">
        <f t="shared" si="1341"/>
        <v/>
      </c>
      <c r="K1340" s="51" t="str">
        <f t="shared" si="1341"/>
        <v/>
      </c>
      <c r="L1340" s="51" t="str">
        <f t="shared" si="1341"/>
        <v/>
      </c>
      <c r="M1340" s="51" t="str">
        <f t="shared" si="1341"/>
        <v/>
      </c>
      <c r="N1340" s="51" t="str">
        <f t="shared" si="1341"/>
        <v/>
      </c>
      <c r="O1340" s="51" t="str">
        <f t="shared" si="1341"/>
        <v/>
      </c>
      <c r="P1340" s="51" t="str">
        <f t="shared" si="1341"/>
        <v/>
      </c>
      <c r="Q1340" s="51" t="str">
        <f t="shared" si="1341"/>
        <v/>
      </c>
      <c r="R1340" s="51" t="str">
        <f t="shared" si="1341"/>
        <v/>
      </c>
      <c r="S1340" s="51" t="str">
        <f t="shared" si="1341"/>
        <v/>
      </c>
      <c r="T1340" s="51" t="str">
        <f t="shared" si="1341"/>
        <v/>
      </c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2"/>
      <c r="AE1340" s="52"/>
      <c r="AF1340" s="52"/>
      <c r="AG1340" s="52"/>
      <c r="AH1340" s="52"/>
      <c r="AI1340" s="52"/>
      <c r="AJ1340" s="52"/>
      <c r="AK1340" s="52"/>
      <c r="AL1340" s="52"/>
      <c r="AM1340" s="52"/>
      <c r="AN1340" s="52"/>
      <c r="AO1340" s="52"/>
      <c r="AP1340" s="52"/>
      <c r="AQ1340" s="52"/>
      <c r="AR1340" s="52"/>
      <c r="AS1340" s="52"/>
      <c r="AT1340" s="52"/>
      <c r="AU1340" s="52"/>
      <c r="AV1340" s="52"/>
      <c r="AW1340" s="52"/>
      <c r="AX1340" s="52"/>
      <c r="AY1340" s="52"/>
      <c r="AZ1340" s="52"/>
      <c r="BA1340" s="52"/>
      <c r="BB1340" s="52"/>
      <c r="BC1340" s="52"/>
      <c r="BD1340" s="52"/>
      <c r="BE1340" s="52"/>
      <c r="BF1340" s="52"/>
      <c r="BG1340" s="52"/>
      <c r="BH1340" s="52"/>
      <c r="BI1340" s="52"/>
      <c r="BJ1340" s="52"/>
      <c r="BK1340" s="52"/>
      <c r="BL1340" s="52"/>
      <c r="BM1340" s="52"/>
      <c r="BN1340" s="52"/>
      <c r="BO1340" s="52"/>
    </row>
    <row r="1341">
      <c r="B1341" s="49"/>
      <c r="C1341" s="49" t="str">
        <f t="shared" si="2"/>
        <v/>
      </c>
      <c r="D1341" s="50" t="str">
        <f t="shared" si="3"/>
        <v/>
      </c>
      <c r="E1341" s="51" t="str">
        <f t="shared" ref="E1341:T1341" si="1342">IFERROR(VLOOKUP($A1341,INDIRECT("'" &amp; E$1 &amp; "'!$C:$G"), 5, FALSE),"")</f>
        <v/>
      </c>
      <c r="F1341" s="51" t="str">
        <f t="shared" si="1342"/>
        <v/>
      </c>
      <c r="G1341" s="51" t="str">
        <f t="shared" si="1342"/>
        <v/>
      </c>
      <c r="H1341" s="51" t="str">
        <f t="shared" si="1342"/>
        <v/>
      </c>
      <c r="I1341" s="51" t="str">
        <f t="shared" si="1342"/>
        <v/>
      </c>
      <c r="J1341" s="51" t="str">
        <f t="shared" si="1342"/>
        <v/>
      </c>
      <c r="K1341" s="51" t="str">
        <f t="shared" si="1342"/>
        <v/>
      </c>
      <c r="L1341" s="51" t="str">
        <f t="shared" si="1342"/>
        <v/>
      </c>
      <c r="M1341" s="51" t="str">
        <f t="shared" si="1342"/>
        <v/>
      </c>
      <c r="N1341" s="51" t="str">
        <f t="shared" si="1342"/>
        <v/>
      </c>
      <c r="O1341" s="51" t="str">
        <f t="shared" si="1342"/>
        <v/>
      </c>
      <c r="P1341" s="51" t="str">
        <f t="shared" si="1342"/>
        <v/>
      </c>
      <c r="Q1341" s="51" t="str">
        <f t="shared" si="1342"/>
        <v/>
      </c>
      <c r="R1341" s="51" t="str">
        <f t="shared" si="1342"/>
        <v/>
      </c>
      <c r="S1341" s="51" t="str">
        <f t="shared" si="1342"/>
        <v/>
      </c>
      <c r="T1341" s="51" t="str">
        <f t="shared" si="1342"/>
        <v/>
      </c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2"/>
      <c r="AE1341" s="52"/>
      <c r="AF1341" s="52"/>
      <c r="AG1341" s="52"/>
      <c r="AH1341" s="52"/>
      <c r="AI1341" s="52"/>
      <c r="AJ1341" s="52"/>
      <c r="AK1341" s="52"/>
      <c r="AL1341" s="52"/>
      <c r="AM1341" s="52"/>
      <c r="AN1341" s="52"/>
      <c r="AO1341" s="52"/>
      <c r="AP1341" s="52"/>
      <c r="AQ1341" s="52"/>
      <c r="AR1341" s="52"/>
      <c r="AS1341" s="52"/>
      <c r="AT1341" s="52"/>
      <c r="AU1341" s="52"/>
      <c r="AV1341" s="52"/>
      <c r="AW1341" s="52"/>
      <c r="AX1341" s="52"/>
      <c r="AY1341" s="52"/>
      <c r="AZ1341" s="52"/>
      <c r="BA1341" s="52"/>
      <c r="BB1341" s="52"/>
      <c r="BC1341" s="52"/>
      <c r="BD1341" s="52"/>
      <c r="BE1341" s="52"/>
      <c r="BF1341" s="52"/>
      <c r="BG1341" s="52"/>
      <c r="BH1341" s="52"/>
      <c r="BI1341" s="52"/>
      <c r="BJ1341" s="52"/>
      <c r="BK1341" s="52"/>
      <c r="BL1341" s="52"/>
      <c r="BM1341" s="52"/>
      <c r="BN1341" s="52"/>
      <c r="BO1341" s="52"/>
    </row>
    <row r="1342">
      <c r="B1342" s="49"/>
      <c r="C1342" s="49" t="str">
        <f t="shared" si="2"/>
        <v/>
      </c>
      <c r="D1342" s="50" t="str">
        <f t="shared" si="3"/>
        <v/>
      </c>
      <c r="E1342" s="51" t="str">
        <f t="shared" ref="E1342:T1342" si="1343">IFERROR(VLOOKUP($A1342,INDIRECT("'" &amp; E$1 &amp; "'!$C:$G"), 5, FALSE),"")</f>
        <v/>
      </c>
      <c r="F1342" s="51" t="str">
        <f t="shared" si="1343"/>
        <v/>
      </c>
      <c r="G1342" s="51" t="str">
        <f t="shared" si="1343"/>
        <v/>
      </c>
      <c r="H1342" s="51" t="str">
        <f t="shared" si="1343"/>
        <v/>
      </c>
      <c r="I1342" s="51" t="str">
        <f t="shared" si="1343"/>
        <v/>
      </c>
      <c r="J1342" s="51" t="str">
        <f t="shared" si="1343"/>
        <v/>
      </c>
      <c r="K1342" s="51" t="str">
        <f t="shared" si="1343"/>
        <v/>
      </c>
      <c r="L1342" s="51" t="str">
        <f t="shared" si="1343"/>
        <v/>
      </c>
      <c r="M1342" s="51" t="str">
        <f t="shared" si="1343"/>
        <v/>
      </c>
      <c r="N1342" s="51" t="str">
        <f t="shared" si="1343"/>
        <v/>
      </c>
      <c r="O1342" s="51" t="str">
        <f t="shared" si="1343"/>
        <v/>
      </c>
      <c r="P1342" s="51" t="str">
        <f t="shared" si="1343"/>
        <v/>
      </c>
      <c r="Q1342" s="51" t="str">
        <f t="shared" si="1343"/>
        <v/>
      </c>
      <c r="R1342" s="51" t="str">
        <f t="shared" si="1343"/>
        <v/>
      </c>
      <c r="S1342" s="51" t="str">
        <f t="shared" si="1343"/>
        <v/>
      </c>
      <c r="T1342" s="51" t="str">
        <f t="shared" si="1343"/>
        <v/>
      </c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I1342" s="52"/>
      <c r="AJ1342" s="52"/>
      <c r="AK1342" s="52"/>
      <c r="AL1342" s="52"/>
      <c r="AM1342" s="52"/>
      <c r="AN1342" s="52"/>
      <c r="AO1342" s="52"/>
      <c r="AP1342" s="52"/>
      <c r="AQ1342" s="52"/>
      <c r="AR1342" s="52"/>
      <c r="AS1342" s="52"/>
      <c r="AT1342" s="52"/>
      <c r="AU1342" s="52"/>
      <c r="AV1342" s="52"/>
      <c r="AW1342" s="52"/>
      <c r="AX1342" s="52"/>
      <c r="AY1342" s="52"/>
      <c r="AZ1342" s="52"/>
      <c r="BA1342" s="52"/>
      <c r="BB1342" s="52"/>
      <c r="BC1342" s="52"/>
      <c r="BD1342" s="52"/>
      <c r="BE1342" s="52"/>
      <c r="BF1342" s="52"/>
      <c r="BG1342" s="52"/>
      <c r="BH1342" s="52"/>
      <c r="BI1342" s="52"/>
      <c r="BJ1342" s="52"/>
      <c r="BK1342" s="52"/>
      <c r="BL1342" s="52"/>
      <c r="BM1342" s="52"/>
      <c r="BN1342" s="52"/>
      <c r="BO1342" s="52"/>
    </row>
    <row r="1343">
      <c r="B1343" s="49"/>
      <c r="C1343" s="49" t="str">
        <f t="shared" si="2"/>
        <v/>
      </c>
      <c r="D1343" s="50" t="str">
        <f t="shared" si="3"/>
        <v/>
      </c>
      <c r="E1343" s="51" t="str">
        <f t="shared" ref="E1343:T1343" si="1344">IFERROR(VLOOKUP($A1343,INDIRECT("'" &amp; E$1 &amp; "'!$C:$G"), 5, FALSE),"")</f>
        <v/>
      </c>
      <c r="F1343" s="51" t="str">
        <f t="shared" si="1344"/>
        <v/>
      </c>
      <c r="G1343" s="51" t="str">
        <f t="shared" si="1344"/>
        <v/>
      </c>
      <c r="H1343" s="51" t="str">
        <f t="shared" si="1344"/>
        <v/>
      </c>
      <c r="I1343" s="51" t="str">
        <f t="shared" si="1344"/>
        <v/>
      </c>
      <c r="J1343" s="51" t="str">
        <f t="shared" si="1344"/>
        <v/>
      </c>
      <c r="K1343" s="51" t="str">
        <f t="shared" si="1344"/>
        <v/>
      </c>
      <c r="L1343" s="51" t="str">
        <f t="shared" si="1344"/>
        <v/>
      </c>
      <c r="M1343" s="51" t="str">
        <f t="shared" si="1344"/>
        <v/>
      </c>
      <c r="N1343" s="51" t="str">
        <f t="shared" si="1344"/>
        <v/>
      </c>
      <c r="O1343" s="51" t="str">
        <f t="shared" si="1344"/>
        <v/>
      </c>
      <c r="P1343" s="51" t="str">
        <f t="shared" si="1344"/>
        <v/>
      </c>
      <c r="Q1343" s="51" t="str">
        <f t="shared" si="1344"/>
        <v/>
      </c>
      <c r="R1343" s="51" t="str">
        <f t="shared" si="1344"/>
        <v/>
      </c>
      <c r="S1343" s="51" t="str">
        <f t="shared" si="1344"/>
        <v/>
      </c>
      <c r="T1343" s="51" t="str">
        <f t="shared" si="1344"/>
        <v/>
      </c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2"/>
      <c r="AE1343" s="52"/>
      <c r="AF1343" s="52"/>
      <c r="AG1343" s="52"/>
      <c r="AH1343" s="52"/>
      <c r="AI1343" s="52"/>
      <c r="AJ1343" s="52"/>
      <c r="AK1343" s="52"/>
      <c r="AL1343" s="52"/>
      <c r="AM1343" s="52"/>
      <c r="AN1343" s="52"/>
      <c r="AO1343" s="52"/>
      <c r="AP1343" s="52"/>
      <c r="AQ1343" s="52"/>
      <c r="AR1343" s="52"/>
      <c r="AS1343" s="52"/>
      <c r="AT1343" s="52"/>
      <c r="AU1343" s="52"/>
      <c r="AV1343" s="52"/>
      <c r="AW1343" s="52"/>
      <c r="AX1343" s="52"/>
      <c r="AY1343" s="52"/>
      <c r="AZ1343" s="52"/>
      <c r="BA1343" s="52"/>
      <c r="BB1343" s="52"/>
      <c r="BC1343" s="52"/>
      <c r="BD1343" s="52"/>
      <c r="BE1343" s="52"/>
      <c r="BF1343" s="52"/>
      <c r="BG1343" s="52"/>
      <c r="BH1343" s="52"/>
      <c r="BI1343" s="52"/>
      <c r="BJ1343" s="52"/>
      <c r="BK1343" s="52"/>
      <c r="BL1343" s="52"/>
      <c r="BM1343" s="52"/>
      <c r="BN1343" s="52"/>
      <c r="BO1343" s="52"/>
    </row>
    <row r="1344">
      <c r="B1344" s="49"/>
      <c r="C1344" s="49" t="str">
        <f t="shared" si="2"/>
        <v/>
      </c>
      <c r="D1344" s="50" t="str">
        <f t="shared" si="3"/>
        <v/>
      </c>
      <c r="E1344" s="51" t="str">
        <f t="shared" ref="E1344:T1344" si="1345">IFERROR(VLOOKUP($A1344,INDIRECT("'" &amp; E$1 &amp; "'!$C:$G"), 5, FALSE),"")</f>
        <v/>
      </c>
      <c r="F1344" s="51" t="str">
        <f t="shared" si="1345"/>
        <v/>
      </c>
      <c r="G1344" s="51" t="str">
        <f t="shared" si="1345"/>
        <v/>
      </c>
      <c r="H1344" s="51" t="str">
        <f t="shared" si="1345"/>
        <v/>
      </c>
      <c r="I1344" s="51" t="str">
        <f t="shared" si="1345"/>
        <v/>
      </c>
      <c r="J1344" s="51" t="str">
        <f t="shared" si="1345"/>
        <v/>
      </c>
      <c r="K1344" s="51" t="str">
        <f t="shared" si="1345"/>
        <v/>
      </c>
      <c r="L1344" s="51" t="str">
        <f t="shared" si="1345"/>
        <v/>
      </c>
      <c r="M1344" s="51" t="str">
        <f t="shared" si="1345"/>
        <v/>
      </c>
      <c r="N1344" s="51" t="str">
        <f t="shared" si="1345"/>
        <v/>
      </c>
      <c r="O1344" s="51" t="str">
        <f t="shared" si="1345"/>
        <v/>
      </c>
      <c r="P1344" s="51" t="str">
        <f t="shared" si="1345"/>
        <v/>
      </c>
      <c r="Q1344" s="51" t="str">
        <f t="shared" si="1345"/>
        <v/>
      </c>
      <c r="R1344" s="51" t="str">
        <f t="shared" si="1345"/>
        <v/>
      </c>
      <c r="S1344" s="51" t="str">
        <f t="shared" si="1345"/>
        <v/>
      </c>
      <c r="T1344" s="51" t="str">
        <f t="shared" si="1345"/>
        <v/>
      </c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2"/>
      <c r="AE1344" s="52"/>
      <c r="AF1344" s="52"/>
      <c r="AG1344" s="52"/>
      <c r="AH1344" s="52"/>
      <c r="AI1344" s="52"/>
      <c r="AJ1344" s="52"/>
      <c r="AK1344" s="52"/>
      <c r="AL1344" s="52"/>
      <c r="AM1344" s="52"/>
      <c r="AN1344" s="52"/>
      <c r="AO1344" s="52"/>
      <c r="AP1344" s="52"/>
      <c r="AQ1344" s="52"/>
      <c r="AR1344" s="52"/>
      <c r="AS1344" s="52"/>
      <c r="AT1344" s="52"/>
      <c r="AU1344" s="52"/>
      <c r="AV1344" s="52"/>
      <c r="AW1344" s="52"/>
      <c r="AX1344" s="52"/>
      <c r="AY1344" s="52"/>
      <c r="AZ1344" s="52"/>
      <c r="BA1344" s="52"/>
      <c r="BB1344" s="52"/>
      <c r="BC1344" s="52"/>
      <c r="BD1344" s="52"/>
      <c r="BE1344" s="52"/>
      <c r="BF1344" s="52"/>
      <c r="BG1344" s="52"/>
      <c r="BH1344" s="52"/>
      <c r="BI1344" s="52"/>
      <c r="BJ1344" s="52"/>
      <c r="BK1344" s="52"/>
      <c r="BL1344" s="52"/>
      <c r="BM1344" s="52"/>
      <c r="BN1344" s="52"/>
      <c r="BO1344" s="52"/>
    </row>
    <row r="1345">
      <c r="B1345" s="49"/>
      <c r="C1345" s="49" t="str">
        <f t="shared" si="2"/>
        <v/>
      </c>
      <c r="D1345" s="50" t="str">
        <f t="shared" si="3"/>
        <v/>
      </c>
      <c r="E1345" s="51" t="str">
        <f t="shared" ref="E1345:T1345" si="1346">IFERROR(VLOOKUP($A1345,INDIRECT("'" &amp; E$1 &amp; "'!$C:$G"), 5, FALSE),"")</f>
        <v/>
      </c>
      <c r="F1345" s="51" t="str">
        <f t="shared" si="1346"/>
        <v/>
      </c>
      <c r="G1345" s="51" t="str">
        <f t="shared" si="1346"/>
        <v/>
      </c>
      <c r="H1345" s="51" t="str">
        <f t="shared" si="1346"/>
        <v/>
      </c>
      <c r="I1345" s="51" t="str">
        <f t="shared" si="1346"/>
        <v/>
      </c>
      <c r="J1345" s="51" t="str">
        <f t="shared" si="1346"/>
        <v/>
      </c>
      <c r="K1345" s="51" t="str">
        <f t="shared" si="1346"/>
        <v/>
      </c>
      <c r="L1345" s="51" t="str">
        <f t="shared" si="1346"/>
        <v/>
      </c>
      <c r="M1345" s="51" t="str">
        <f t="shared" si="1346"/>
        <v/>
      </c>
      <c r="N1345" s="51" t="str">
        <f t="shared" si="1346"/>
        <v/>
      </c>
      <c r="O1345" s="51" t="str">
        <f t="shared" si="1346"/>
        <v/>
      </c>
      <c r="P1345" s="51" t="str">
        <f t="shared" si="1346"/>
        <v/>
      </c>
      <c r="Q1345" s="51" t="str">
        <f t="shared" si="1346"/>
        <v/>
      </c>
      <c r="R1345" s="51" t="str">
        <f t="shared" si="1346"/>
        <v/>
      </c>
      <c r="S1345" s="51" t="str">
        <f t="shared" si="1346"/>
        <v/>
      </c>
      <c r="T1345" s="51" t="str">
        <f t="shared" si="1346"/>
        <v/>
      </c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2"/>
      <c r="AE1345" s="52"/>
      <c r="AF1345" s="52"/>
      <c r="AG1345" s="52"/>
      <c r="AH1345" s="52"/>
      <c r="AI1345" s="52"/>
      <c r="AJ1345" s="52"/>
      <c r="AK1345" s="52"/>
      <c r="AL1345" s="52"/>
      <c r="AM1345" s="52"/>
      <c r="AN1345" s="52"/>
      <c r="AO1345" s="52"/>
      <c r="AP1345" s="52"/>
      <c r="AQ1345" s="52"/>
      <c r="AR1345" s="52"/>
      <c r="AS1345" s="52"/>
      <c r="AT1345" s="52"/>
      <c r="AU1345" s="52"/>
      <c r="AV1345" s="52"/>
      <c r="AW1345" s="52"/>
      <c r="AX1345" s="52"/>
      <c r="AY1345" s="52"/>
      <c r="AZ1345" s="52"/>
      <c r="BA1345" s="52"/>
      <c r="BB1345" s="52"/>
      <c r="BC1345" s="52"/>
      <c r="BD1345" s="52"/>
      <c r="BE1345" s="52"/>
      <c r="BF1345" s="52"/>
      <c r="BG1345" s="52"/>
      <c r="BH1345" s="52"/>
      <c r="BI1345" s="52"/>
      <c r="BJ1345" s="52"/>
      <c r="BK1345" s="52"/>
      <c r="BL1345" s="52"/>
      <c r="BM1345" s="52"/>
      <c r="BN1345" s="52"/>
      <c r="BO1345" s="52"/>
    </row>
    <row r="1346">
      <c r="B1346" s="49"/>
      <c r="C1346" s="49" t="str">
        <f t="shared" si="2"/>
        <v/>
      </c>
      <c r="D1346" s="50" t="str">
        <f t="shared" si="3"/>
        <v/>
      </c>
      <c r="E1346" s="51" t="str">
        <f t="shared" ref="E1346:T1346" si="1347">IFERROR(VLOOKUP($A1346,INDIRECT("'" &amp; E$1 &amp; "'!$C:$G"), 5, FALSE),"")</f>
        <v/>
      </c>
      <c r="F1346" s="51" t="str">
        <f t="shared" si="1347"/>
        <v/>
      </c>
      <c r="G1346" s="51" t="str">
        <f t="shared" si="1347"/>
        <v/>
      </c>
      <c r="H1346" s="51" t="str">
        <f t="shared" si="1347"/>
        <v/>
      </c>
      <c r="I1346" s="51" t="str">
        <f t="shared" si="1347"/>
        <v/>
      </c>
      <c r="J1346" s="51" t="str">
        <f t="shared" si="1347"/>
        <v/>
      </c>
      <c r="K1346" s="51" t="str">
        <f t="shared" si="1347"/>
        <v/>
      </c>
      <c r="L1346" s="51" t="str">
        <f t="shared" si="1347"/>
        <v/>
      </c>
      <c r="M1346" s="51" t="str">
        <f t="shared" si="1347"/>
        <v/>
      </c>
      <c r="N1346" s="51" t="str">
        <f t="shared" si="1347"/>
        <v/>
      </c>
      <c r="O1346" s="51" t="str">
        <f t="shared" si="1347"/>
        <v/>
      </c>
      <c r="P1346" s="51" t="str">
        <f t="shared" si="1347"/>
        <v/>
      </c>
      <c r="Q1346" s="51" t="str">
        <f t="shared" si="1347"/>
        <v/>
      </c>
      <c r="R1346" s="51" t="str">
        <f t="shared" si="1347"/>
        <v/>
      </c>
      <c r="S1346" s="51" t="str">
        <f t="shared" si="1347"/>
        <v/>
      </c>
      <c r="T1346" s="51" t="str">
        <f t="shared" si="1347"/>
        <v/>
      </c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2"/>
      <c r="AE1346" s="52"/>
      <c r="AF1346" s="52"/>
      <c r="AG1346" s="52"/>
      <c r="AH1346" s="52"/>
      <c r="AI1346" s="52"/>
      <c r="AJ1346" s="52"/>
      <c r="AK1346" s="52"/>
      <c r="AL1346" s="52"/>
      <c r="AM1346" s="52"/>
      <c r="AN1346" s="52"/>
      <c r="AO1346" s="52"/>
      <c r="AP1346" s="52"/>
      <c r="AQ1346" s="52"/>
      <c r="AR1346" s="52"/>
      <c r="AS1346" s="52"/>
      <c r="AT1346" s="52"/>
      <c r="AU1346" s="52"/>
      <c r="AV1346" s="52"/>
      <c r="AW1346" s="52"/>
      <c r="AX1346" s="52"/>
      <c r="AY1346" s="52"/>
      <c r="AZ1346" s="52"/>
      <c r="BA1346" s="52"/>
      <c r="BB1346" s="52"/>
      <c r="BC1346" s="52"/>
      <c r="BD1346" s="52"/>
      <c r="BE1346" s="52"/>
      <c r="BF1346" s="52"/>
      <c r="BG1346" s="52"/>
      <c r="BH1346" s="52"/>
      <c r="BI1346" s="52"/>
      <c r="BJ1346" s="52"/>
      <c r="BK1346" s="52"/>
      <c r="BL1346" s="52"/>
      <c r="BM1346" s="52"/>
      <c r="BN1346" s="52"/>
      <c r="BO1346" s="52"/>
    </row>
    <row r="1347">
      <c r="B1347" s="49"/>
      <c r="C1347" s="49" t="str">
        <f t="shared" si="2"/>
        <v/>
      </c>
      <c r="D1347" s="50" t="str">
        <f t="shared" si="3"/>
        <v/>
      </c>
      <c r="E1347" s="51" t="str">
        <f t="shared" ref="E1347:T1347" si="1348">IFERROR(VLOOKUP($A1347,INDIRECT("'" &amp; E$1 &amp; "'!$C:$G"), 5, FALSE),"")</f>
        <v/>
      </c>
      <c r="F1347" s="51" t="str">
        <f t="shared" si="1348"/>
        <v/>
      </c>
      <c r="G1347" s="51" t="str">
        <f t="shared" si="1348"/>
        <v/>
      </c>
      <c r="H1347" s="51" t="str">
        <f t="shared" si="1348"/>
        <v/>
      </c>
      <c r="I1347" s="51" t="str">
        <f t="shared" si="1348"/>
        <v/>
      </c>
      <c r="J1347" s="51" t="str">
        <f t="shared" si="1348"/>
        <v/>
      </c>
      <c r="K1347" s="51" t="str">
        <f t="shared" si="1348"/>
        <v/>
      </c>
      <c r="L1347" s="51" t="str">
        <f t="shared" si="1348"/>
        <v/>
      </c>
      <c r="M1347" s="51" t="str">
        <f t="shared" si="1348"/>
        <v/>
      </c>
      <c r="N1347" s="51" t="str">
        <f t="shared" si="1348"/>
        <v/>
      </c>
      <c r="O1347" s="51" t="str">
        <f t="shared" si="1348"/>
        <v/>
      </c>
      <c r="P1347" s="51" t="str">
        <f t="shared" si="1348"/>
        <v/>
      </c>
      <c r="Q1347" s="51" t="str">
        <f t="shared" si="1348"/>
        <v/>
      </c>
      <c r="R1347" s="51" t="str">
        <f t="shared" si="1348"/>
        <v/>
      </c>
      <c r="S1347" s="51" t="str">
        <f t="shared" si="1348"/>
        <v/>
      </c>
      <c r="T1347" s="51" t="str">
        <f t="shared" si="1348"/>
        <v/>
      </c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2"/>
      <c r="AE1347" s="52"/>
      <c r="AF1347" s="52"/>
      <c r="AG1347" s="52"/>
      <c r="AH1347" s="52"/>
      <c r="AI1347" s="52"/>
      <c r="AJ1347" s="52"/>
      <c r="AK1347" s="52"/>
      <c r="AL1347" s="52"/>
      <c r="AM1347" s="52"/>
      <c r="AN1347" s="52"/>
      <c r="AO1347" s="52"/>
      <c r="AP1347" s="52"/>
      <c r="AQ1347" s="52"/>
      <c r="AR1347" s="52"/>
      <c r="AS1347" s="52"/>
      <c r="AT1347" s="52"/>
      <c r="AU1347" s="52"/>
      <c r="AV1347" s="52"/>
      <c r="AW1347" s="52"/>
      <c r="AX1347" s="52"/>
      <c r="AY1347" s="52"/>
      <c r="AZ1347" s="52"/>
      <c r="BA1347" s="52"/>
      <c r="BB1347" s="52"/>
      <c r="BC1347" s="52"/>
      <c r="BD1347" s="52"/>
      <c r="BE1347" s="52"/>
      <c r="BF1347" s="52"/>
      <c r="BG1347" s="52"/>
      <c r="BH1347" s="52"/>
      <c r="BI1347" s="52"/>
      <c r="BJ1347" s="52"/>
      <c r="BK1347" s="52"/>
      <c r="BL1347" s="52"/>
      <c r="BM1347" s="52"/>
      <c r="BN1347" s="52"/>
      <c r="BO1347" s="52"/>
    </row>
    <row r="1348">
      <c r="B1348" s="49"/>
      <c r="C1348" s="49" t="str">
        <f t="shared" si="2"/>
        <v/>
      </c>
      <c r="D1348" s="50" t="str">
        <f t="shared" si="3"/>
        <v/>
      </c>
      <c r="E1348" s="51" t="str">
        <f t="shared" ref="E1348:T1348" si="1349">IFERROR(VLOOKUP($A1348,INDIRECT("'" &amp; E$1 &amp; "'!$C:$G"), 5, FALSE),"")</f>
        <v/>
      </c>
      <c r="F1348" s="51" t="str">
        <f t="shared" si="1349"/>
        <v/>
      </c>
      <c r="G1348" s="51" t="str">
        <f t="shared" si="1349"/>
        <v/>
      </c>
      <c r="H1348" s="51" t="str">
        <f t="shared" si="1349"/>
        <v/>
      </c>
      <c r="I1348" s="51" t="str">
        <f t="shared" si="1349"/>
        <v/>
      </c>
      <c r="J1348" s="51" t="str">
        <f t="shared" si="1349"/>
        <v/>
      </c>
      <c r="K1348" s="51" t="str">
        <f t="shared" si="1349"/>
        <v/>
      </c>
      <c r="L1348" s="51" t="str">
        <f t="shared" si="1349"/>
        <v/>
      </c>
      <c r="M1348" s="51" t="str">
        <f t="shared" si="1349"/>
        <v/>
      </c>
      <c r="N1348" s="51" t="str">
        <f t="shared" si="1349"/>
        <v/>
      </c>
      <c r="O1348" s="51" t="str">
        <f t="shared" si="1349"/>
        <v/>
      </c>
      <c r="P1348" s="51" t="str">
        <f t="shared" si="1349"/>
        <v/>
      </c>
      <c r="Q1348" s="51" t="str">
        <f t="shared" si="1349"/>
        <v/>
      </c>
      <c r="R1348" s="51" t="str">
        <f t="shared" si="1349"/>
        <v/>
      </c>
      <c r="S1348" s="51" t="str">
        <f t="shared" si="1349"/>
        <v/>
      </c>
      <c r="T1348" s="51" t="str">
        <f t="shared" si="1349"/>
        <v/>
      </c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2"/>
      <c r="AE1348" s="52"/>
      <c r="AF1348" s="52"/>
      <c r="AG1348" s="52"/>
      <c r="AH1348" s="52"/>
      <c r="AI1348" s="52"/>
      <c r="AJ1348" s="52"/>
      <c r="AK1348" s="52"/>
      <c r="AL1348" s="52"/>
      <c r="AM1348" s="52"/>
      <c r="AN1348" s="52"/>
      <c r="AO1348" s="52"/>
      <c r="AP1348" s="52"/>
      <c r="AQ1348" s="52"/>
      <c r="AR1348" s="52"/>
      <c r="AS1348" s="52"/>
      <c r="AT1348" s="52"/>
      <c r="AU1348" s="52"/>
      <c r="AV1348" s="52"/>
      <c r="AW1348" s="52"/>
      <c r="AX1348" s="52"/>
      <c r="AY1348" s="52"/>
      <c r="AZ1348" s="52"/>
      <c r="BA1348" s="52"/>
      <c r="BB1348" s="52"/>
      <c r="BC1348" s="52"/>
      <c r="BD1348" s="52"/>
      <c r="BE1348" s="52"/>
      <c r="BF1348" s="52"/>
      <c r="BG1348" s="52"/>
      <c r="BH1348" s="52"/>
      <c r="BI1348" s="52"/>
      <c r="BJ1348" s="52"/>
      <c r="BK1348" s="52"/>
      <c r="BL1348" s="52"/>
      <c r="BM1348" s="52"/>
      <c r="BN1348" s="52"/>
      <c r="BO1348" s="52"/>
    </row>
    <row r="1349">
      <c r="B1349" s="49"/>
      <c r="C1349" s="49" t="str">
        <f t="shared" si="2"/>
        <v/>
      </c>
      <c r="D1349" s="50" t="str">
        <f t="shared" si="3"/>
        <v/>
      </c>
      <c r="E1349" s="51" t="str">
        <f t="shared" ref="E1349:T1349" si="1350">IFERROR(VLOOKUP($A1349,INDIRECT("'" &amp; E$1 &amp; "'!$C:$G"), 5, FALSE),"")</f>
        <v/>
      </c>
      <c r="F1349" s="51" t="str">
        <f t="shared" si="1350"/>
        <v/>
      </c>
      <c r="G1349" s="51" t="str">
        <f t="shared" si="1350"/>
        <v/>
      </c>
      <c r="H1349" s="51" t="str">
        <f t="shared" si="1350"/>
        <v/>
      </c>
      <c r="I1349" s="51" t="str">
        <f t="shared" si="1350"/>
        <v/>
      </c>
      <c r="J1349" s="51" t="str">
        <f t="shared" si="1350"/>
        <v/>
      </c>
      <c r="K1349" s="51" t="str">
        <f t="shared" si="1350"/>
        <v/>
      </c>
      <c r="L1349" s="51" t="str">
        <f t="shared" si="1350"/>
        <v/>
      </c>
      <c r="M1349" s="51" t="str">
        <f t="shared" si="1350"/>
        <v/>
      </c>
      <c r="N1349" s="51" t="str">
        <f t="shared" si="1350"/>
        <v/>
      </c>
      <c r="O1349" s="51" t="str">
        <f t="shared" si="1350"/>
        <v/>
      </c>
      <c r="P1349" s="51" t="str">
        <f t="shared" si="1350"/>
        <v/>
      </c>
      <c r="Q1349" s="51" t="str">
        <f t="shared" si="1350"/>
        <v/>
      </c>
      <c r="R1349" s="51" t="str">
        <f t="shared" si="1350"/>
        <v/>
      </c>
      <c r="S1349" s="51" t="str">
        <f t="shared" si="1350"/>
        <v/>
      </c>
      <c r="T1349" s="51" t="str">
        <f t="shared" si="1350"/>
        <v/>
      </c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2"/>
      <c r="AE1349" s="52"/>
      <c r="AF1349" s="52"/>
      <c r="AG1349" s="52"/>
      <c r="AH1349" s="52"/>
      <c r="AI1349" s="52"/>
      <c r="AJ1349" s="52"/>
      <c r="AK1349" s="52"/>
      <c r="AL1349" s="52"/>
      <c r="AM1349" s="52"/>
      <c r="AN1349" s="52"/>
      <c r="AO1349" s="52"/>
      <c r="AP1349" s="52"/>
      <c r="AQ1349" s="52"/>
      <c r="AR1349" s="52"/>
      <c r="AS1349" s="52"/>
      <c r="AT1349" s="52"/>
      <c r="AU1349" s="52"/>
      <c r="AV1349" s="52"/>
      <c r="AW1349" s="52"/>
      <c r="AX1349" s="52"/>
      <c r="AY1349" s="52"/>
      <c r="AZ1349" s="52"/>
      <c r="BA1349" s="52"/>
      <c r="BB1349" s="52"/>
      <c r="BC1349" s="52"/>
      <c r="BD1349" s="52"/>
      <c r="BE1349" s="52"/>
      <c r="BF1349" s="52"/>
      <c r="BG1349" s="52"/>
      <c r="BH1349" s="52"/>
      <c r="BI1349" s="52"/>
      <c r="BJ1349" s="52"/>
      <c r="BK1349" s="52"/>
      <c r="BL1349" s="52"/>
      <c r="BM1349" s="52"/>
      <c r="BN1349" s="52"/>
      <c r="BO1349" s="52"/>
    </row>
    <row r="1350">
      <c r="B1350" s="49"/>
      <c r="C1350" s="49" t="str">
        <f t="shared" si="2"/>
        <v/>
      </c>
      <c r="D1350" s="50" t="str">
        <f t="shared" si="3"/>
        <v/>
      </c>
      <c r="E1350" s="51" t="str">
        <f t="shared" ref="E1350:T1350" si="1351">IFERROR(VLOOKUP($A1350,INDIRECT("'" &amp; E$1 &amp; "'!$C:$G"), 5, FALSE),"")</f>
        <v/>
      </c>
      <c r="F1350" s="51" t="str">
        <f t="shared" si="1351"/>
        <v/>
      </c>
      <c r="G1350" s="51" t="str">
        <f t="shared" si="1351"/>
        <v/>
      </c>
      <c r="H1350" s="51" t="str">
        <f t="shared" si="1351"/>
        <v/>
      </c>
      <c r="I1350" s="51" t="str">
        <f t="shared" si="1351"/>
        <v/>
      </c>
      <c r="J1350" s="51" t="str">
        <f t="shared" si="1351"/>
        <v/>
      </c>
      <c r="K1350" s="51" t="str">
        <f t="shared" si="1351"/>
        <v/>
      </c>
      <c r="L1350" s="51" t="str">
        <f t="shared" si="1351"/>
        <v/>
      </c>
      <c r="M1350" s="51" t="str">
        <f t="shared" si="1351"/>
        <v/>
      </c>
      <c r="N1350" s="51" t="str">
        <f t="shared" si="1351"/>
        <v/>
      </c>
      <c r="O1350" s="51" t="str">
        <f t="shared" si="1351"/>
        <v/>
      </c>
      <c r="P1350" s="51" t="str">
        <f t="shared" si="1351"/>
        <v/>
      </c>
      <c r="Q1350" s="51" t="str">
        <f t="shared" si="1351"/>
        <v/>
      </c>
      <c r="R1350" s="51" t="str">
        <f t="shared" si="1351"/>
        <v/>
      </c>
      <c r="S1350" s="51" t="str">
        <f t="shared" si="1351"/>
        <v/>
      </c>
      <c r="T1350" s="51" t="str">
        <f t="shared" si="1351"/>
        <v/>
      </c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2"/>
      <c r="AE1350" s="52"/>
      <c r="AF1350" s="52"/>
      <c r="AG1350" s="52"/>
      <c r="AH1350" s="52"/>
      <c r="AI1350" s="52"/>
      <c r="AJ1350" s="52"/>
      <c r="AK1350" s="52"/>
      <c r="AL1350" s="52"/>
      <c r="AM1350" s="52"/>
      <c r="AN1350" s="52"/>
      <c r="AO1350" s="52"/>
      <c r="AP1350" s="52"/>
      <c r="AQ1350" s="52"/>
      <c r="AR1350" s="52"/>
      <c r="AS1350" s="52"/>
      <c r="AT1350" s="52"/>
      <c r="AU1350" s="52"/>
      <c r="AV1350" s="52"/>
      <c r="AW1350" s="52"/>
      <c r="AX1350" s="52"/>
      <c r="AY1350" s="52"/>
      <c r="AZ1350" s="52"/>
      <c r="BA1350" s="52"/>
      <c r="BB1350" s="52"/>
      <c r="BC1350" s="52"/>
      <c r="BD1350" s="52"/>
      <c r="BE1350" s="52"/>
      <c r="BF1350" s="52"/>
      <c r="BG1350" s="52"/>
      <c r="BH1350" s="52"/>
      <c r="BI1350" s="52"/>
      <c r="BJ1350" s="52"/>
      <c r="BK1350" s="52"/>
      <c r="BL1350" s="52"/>
      <c r="BM1350" s="52"/>
      <c r="BN1350" s="52"/>
      <c r="BO1350" s="52"/>
    </row>
    <row r="1351">
      <c r="B1351" s="49"/>
      <c r="C1351" s="49" t="str">
        <f t="shared" si="2"/>
        <v/>
      </c>
      <c r="D1351" s="50" t="str">
        <f t="shared" si="3"/>
        <v/>
      </c>
      <c r="E1351" s="51" t="str">
        <f t="shared" ref="E1351:T1351" si="1352">IFERROR(VLOOKUP($A1351,INDIRECT("'" &amp; E$1 &amp; "'!$C:$G"), 5, FALSE),"")</f>
        <v/>
      </c>
      <c r="F1351" s="51" t="str">
        <f t="shared" si="1352"/>
        <v/>
      </c>
      <c r="G1351" s="51" t="str">
        <f t="shared" si="1352"/>
        <v/>
      </c>
      <c r="H1351" s="51" t="str">
        <f t="shared" si="1352"/>
        <v/>
      </c>
      <c r="I1351" s="51" t="str">
        <f t="shared" si="1352"/>
        <v/>
      </c>
      <c r="J1351" s="51" t="str">
        <f t="shared" si="1352"/>
        <v/>
      </c>
      <c r="K1351" s="51" t="str">
        <f t="shared" si="1352"/>
        <v/>
      </c>
      <c r="L1351" s="51" t="str">
        <f t="shared" si="1352"/>
        <v/>
      </c>
      <c r="M1351" s="51" t="str">
        <f t="shared" si="1352"/>
        <v/>
      </c>
      <c r="N1351" s="51" t="str">
        <f t="shared" si="1352"/>
        <v/>
      </c>
      <c r="O1351" s="51" t="str">
        <f t="shared" si="1352"/>
        <v/>
      </c>
      <c r="P1351" s="51" t="str">
        <f t="shared" si="1352"/>
        <v/>
      </c>
      <c r="Q1351" s="51" t="str">
        <f t="shared" si="1352"/>
        <v/>
      </c>
      <c r="R1351" s="51" t="str">
        <f t="shared" si="1352"/>
        <v/>
      </c>
      <c r="S1351" s="51" t="str">
        <f t="shared" si="1352"/>
        <v/>
      </c>
      <c r="T1351" s="51" t="str">
        <f t="shared" si="1352"/>
        <v/>
      </c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2"/>
      <c r="AE1351" s="52"/>
      <c r="AF1351" s="52"/>
      <c r="AG1351" s="52"/>
      <c r="AH1351" s="52"/>
      <c r="AI1351" s="52"/>
      <c r="AJ1351" s="52"/>
      <c r="AK1351" s="52"/>
      <c r="AL1351" s="52"/>
      <c r="AM1351" s="52"/>
      <c r="AN1351" s="52"/>
      <c r="AO1351" s="52"/>
      <c r="AP1351" s="52"/>
      <c r="AQ1351" s="52"/>
      <c r="AR1351" s="52"/>
      <c r="AS1351" s="52"/>
      <c r="AT1351" s="52"/>
      <c r="AU1351" s="52"/>
      <c r="AV1351" s="52"/>
      <c r="AW1351" s="52"/>
      <c r="AX1351" s="52"/>
      <c r="AY1351" s="52"/>
      <c r="AZ1351" s="52"/>
      <c r="BA1351" s="52"/>
      <c r="BB1351" s="52"/>
      <c r="BC1351" s="52"/>
      <c r="BD1351" s="52"/>
      <c r="BE1351" s="52"/>
      <c r="BF1351" s="52"/>
      <c r="BG1351" s="52"/>
      <c r="BH1351" s="52"/>
      <c r="BI1351" s="52"/>
      <c r="BJ1351" s="52"/>
      <c r="BK1351" s="52"/>
      <c r="BL1351" s="52"/>
      <c r="BM1351" s="52"/>
      <c r="BN1351" s="52"/>
      <c r="BO1351" s="52"/>
    </row>
    <row r="1352">
      <c r="B1352" s="49"/>
      <c r="C1352" s="49" t="str">
        <f t="shared" si="2"/>
        <v/>
      </c>
      <c r="D1352" s="50" t="str">
        <f t="shared" si="3"/>
        <v/>
      </c>
      <c r="E1352" s="51" t="str">
        <f t="shared" ref="E1352:T1352" si="1353">IFERROR(VLOOKUP($A1352,INDIRECT("'" &amp; E$1 &amp; "'!$C:$G"), 5, FALSE),"")</f>
        <v/>
      </c>
      <c r="F1352" s="51" t="str">
        <f t="shared" si="1353"/>
        <v/>
      </c>
      <c r="G1352" s="51" t="str">
        <f t="shared" si="1353"/>
        <v/>
      </c>
      <c r="H1352" s="51" t="str">
        <f t="shared" si="1353"/>
        <v/>
      </c>
      <c r="I1352" s="51" t="str">
        <f t="shared" si="1353"/>
        <v/>
      </c>
      <c r="J1352" s="51" t="str">
        <f t="shared" si="1353"/>
        <v/>
      </c>
      <c r="K1352" s="51" t="str">
        <f t="shared" si="1353"/>
        <v/>
      </c>
      <c r="L1352" s="51" t="str">
        <f t="shared" si="1353"/>
        <v/>
      </c>
      <c r="M1352" s="51" t="str">
        <f t="shared" si="1353"/>
        <v/>
      </c>
      <c r="N1352" s="51" t="str">
        <f t="shared" si="1353"/>
        <v/>
      </c>
      <c r="O1352" s="51" t="str">
        <f t="shared" si="1353"/>
        <v/>
      </c>
      <c r="P1352" s="51" t="str">
        <f t="shared" si="1353"/>
        <v/>
      </c>
      <c r="Q1352" s="51" t="str">
        <f t="shared" si="1353"/>
        <v/>
      </c>
      <c r="R1352" s="51" t="str">
        <f t="shared" si="1353"/>
        <v/>
      </c>
      <c r="S1352" s="51" t="str">
        <f t="shared" si="1353"/>
        <v/>
      </c>
      <c r="T1352" s="51" t="str">
        <f t="shared" si="1353"/>
        <v/>
      </c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52"/>
      <c r="AN1352" s="52"/>
      <c r="AO1352" s="52"/>
      <c r="AP1352" s="52"/>
      <c r="AQ1352" s="52"/>
      <c r="AR1352" s="52"/>
      <c r="AS1352" s="52"/>
      <c r="AT1352" s="52"/>
      <c r="AU1352" s="52"/>
      <c r="AV1352" s="52"/>
      <c r="AW1352" s="52"/>
      <c r="AX1352" s="52"/>
      <c r="AY1352" s="52"/>
      <c r="AZ1352" s="52"/>
      <c r="BA1352" s="52"/>
      <c r="BB1352" s="52"/>
      <c r="BC1352" s="52"/>
      <c r="BD1352" s="52"/>
      <c r="BE1352" s="52"/>
      <c r="BF1352" s="52"/>
      <c r="BG1352" s="52"/>
      <c r="BH1352" s="52"/>
      <c r="BI1352" s="52"/>
      <c r="BJ1352" s="52"/>
      <c r="BK1352" s="52"/>
      <c r="BL1352" s="52"/>
      <c r="BM1352" s="52"/>
      <c r="BN1352" s="52"/>
      <c r="BO1352" s="52"/>
    </row>
    <row r="1353">
      <c r="B1353" s="49"/>
      <c r="C1353" s="49" t="str">
        <f t="shared" si="2"/>
        <v/>
      </c>
      <c r="D1353" s="50" t="str">
        <f t="shared" si="3"/>
        <v/>
      </c>
      <c r="E1353" s="51" t="str">
        <f t="shared" ref="E1353:T1353" si="1354">IFERROR(VLOOKUP($A1353,INDIRECT("'" &amp; E$1 &amp; "'!$C:$G"), 5, FALSE),"")</f>
        <v/>
      </c>
      <c r="F1353" s="51" t="str">
        <f t="shared" si="1354"/>
        <v/>
      </c>
      <c r="G1353" s="51" t="str">
        <f t="shared" si="1354"/>
        <v/>
      </c>
      <c r="H1353" s="51" t="str">
        <f t="shared" si="1354"/>
        <v/>
      </c>
      <c r="I1353" s="51" t="str">
        <f t="shared" si="1354"/>
        <v/>
      </c>
      <c r="J1353" s="51" t="str">
        <f t="shared" si="1354"/>
        <v/>
      </c>
      <c r="K1353" s="51" t="str">
        <f t="shared" si="1354"/>
        <v/>
      </c>
      <c r="L1353" s="51" t="str">
        <f t="shared" si="1354"/>
        <v/>
      </c>
      <c r="M1353" s="51" t="str">
        <f t="shared" si="1354"/>
        <v/>
      </c>
      <c r="N1353" s="51" t="str">
        <f t="shared" si="1354"/>
        <v/>
      </c>
      <c r="O1353" s="51" t="str">
        <f t="shared" si="1354"/>
        <v/>
      </c>
      <c r="P1353" s="51" t="str">
        <f t="shared" si="1354"/>
        <v/>
      </c>
      <c r="Q1353" s="51" t="str">
        <f t="shared" si="1354"/>
        <v/>
      </c>
      <c r="R1353" s="51" t="str">
        <f t="shared" si="1354"/>
        <v/>
      </c>
      <c r="S1353" s="51" t="str">
        <f t="shared" si="1354"/>
        <v/>
      </c>
      <c r="T1353" s="51" t="str">
        <f t="shared" si="1354"/>
        <v/>
      </c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2"/>
      <c r="AE1353" s="52"/>
      <c r="AF1353" s="52"/>
      <c r="AG1353" s="52"/>
      <c r="AH1353" s="52"/>
      <c r="AI1353" s="52"/>
      <c r="AJ1353" s="52"/>
      <c r="AK1353" s="52"/>
      <c r="AL1353" s="52"/>
      <c r="AM1353" s="52"/>
      <c r="AN1353" s="52"/>
      <c r="AO1353" s="52"/>
      <c r="AP1353" s="52"/>
      <c r="AQ1353" s="52"/>
      <c r="AR1353" s="52"/>
      <c r="AS1353" s="52"/>
      <c r="AT1353" s="52"/>
      <c r="AU1353" s="52"/>
      <c r="AV1353" s="52"/>
      <c r="AW1353" s="52"/>
      <c r="AX1353" s="52"/>
      <c r="AY1353" s="52"/>
      <c r="AZ1353" s="52"/>
      <c r="BA1353" s="52"/>
      <c r="BB1353" s="52"/>
      <c r="BC1353" s="52"/>
      <c r="BD1353" s="52"/>
      <c r="BE1353" s="52"/>
      <c r="BF1353" s="52"/>
      <c r="BG1353" s="52"/>
      <c r="BH1353" s="52"/>
      <c r="BI1353" s="52"/>
      <c r="BJ1353" s="52"/>
      <c r="BK1353" s="52"/>
      <c r="BL1353" s="52"/>
      <c r="BM1353" s="52"/>
      <c r="BN1353" s="52"/>
      <c r="BO1353" s="52"/>
    </row>
    <row r="1354">
      <c r="B1354" s="49"/>
      <c r="C1354" s="49" t="str">
        <f t="shared" si="2"/>
        <v/>
      </c>
      <c r="D1354" s="50" t="str">
        <f t="shared" si="3"/>
        <v/>
      </c>
      <c r="E1354" s="51" t="str">
        <f t="shared" ref="E1354:T1354" si="1355">IFERROR(VLOOKUP($A1354,INDIRECT("'" &amp; E$1 &amp; "'!$C:$G"), 5, FALSE),"")</f>
        <v/>
      </c>
      <c r="F1354" s="51" t="str">
        <f t="shared" si="1355"/>
        <v/>
      </c>
      <c r="G1354" s="51" t="str">
        <f t="shared" si="1355"/>
        <v/>
      </c>
      <c r="H1354" s="51" t="str">
        <f t="shared" si="1355"/>
        <v/>
      </c>
      <c r="I1354" s="51" t="str">
        <f t="shared" si="1355"/>
        <v/>
      </c>
      <c r="J1354" s="51" t="str">
        <f t="shared" si="1355"/>
        <v/>
      </c>
      <c r="K1354" s="51" t="str">
        <f t="shared" si="1355"/>
        <v/>
      </c>
      <c r="L1354" s="51" t="str">
        <f t="shared" si="1355"/>
        <v/>
      </c>
      <c r="M1354" s="51" t="str">
        <f t="shared" si="1355"/>
        <v/>
      </c>
      <c r="N1354" s="51" t="str">
        <f t="shared" si="1355"/>
        <v/>
      </c>
      <c r="O1354" s="51" t="str">
        <f t="shared" si="1355"/>
        <v/>
      </c>
      <c r="P1354" s="51" t="str">
        <f t="shared" si="1355"/>
        <v/>
      </c>
      <c r="Q1354" s="51" t="str">
        <f t="shared" si="1355"/>
        <v/>
      </c>
      <c r="R1354" s="51" t="str">
        <f t="shared" si="1355"/>
        <v/>
      </c>
      <c r="S1354" s="51" t="str">
        <f t="shared" si="1355"/>
        <v/>
      </c>
      <c r="T1354" s="51" t="str">
        <f t="shared" si="1355"/>
        <v/>
      </c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52"/>
      <c r="AI1354" s="52"/>
      <c r="AJ1354" s="52"/>
      <c r="AK1354" s="52"/>
      <c r="AL1354" s="52"/>
      <c r="AM1354" s="52"/>
      <c r="AN1354" s="52"/>
      <c r="AO1354" s="52"/>
      <c r="AP1354" s="52"/>
      <c r="AQ1354" s="52"/>
      <c r="AR1354" s="52"/>
      <c r="AS1354" s="52"/>
      <c r="AT1354" s="52"/>
      <c r="AU1354" s="52"/>
      <c r="AV1354" s="52"/>
      <c r="AW1354" s="52"/>
      <c r="AX1354" s="52"/>
      <c r="AY1354" s="52"/>
      <c r="AZ1354" s="52"/>
      <c r="BA1354" s="52"/>
      <c r="BB1354" s="52"/>
      <c r="BC1354" s="52"/>
      <c r="BD1354" s="52"/>
      <c r="BE1354" s="52"/>
      <c r="BF1354" s="52"/>
      <c r="BG1354" s="52"/>
      <c r="BH1354" s="52"/>
      <c r="BI1354" s="52"/>
      <c r="BJ1354" s="52"/>
      <c r="BK1354" s="52"/>
      <c r="BL1354" s="52"/>
      <c r="BM1354" s="52"/>
      <c r="BN1354" s="52"/>
      <c r="BO1354" s="52"/>
    </row>
    <row r="1355">
      <c r="B1355" s="49"/>
      <c r="C1355" s="49" t="str">
        <f t="shared" si="2"/>
        <v/>
      </c>
      <c r="D1355" s="50" t="str">
        <f t="shared" si="3"/>
        <v/>
      </c>
      <c r="E1355" s="51" t="str">
        <f t="shared" ref="E1355:T1355" si="1356">IFERROR(VLOOKUP($A1355,INDIRECT("'" &amp; E$1 &amp; "'!$C:$G"), 5, FALSE),"")</f>
        <v/>
      </c>
      <c r="F1355" s="51" t="str">
        <f t="shared" si="1356"/>
        <v/>
      </c>
      <c r="G1355" s="51" t="str">
        <f t="shared" si="1356"/>
        <v/>
      </c>
      <c r="H1355" s="51" t="str">
        <f t="shared" si="1356"/>
        <v/>
      </c>
      <c r="I1355" s="51" t="str">
        <f t="shared" si="1356"/>
        <v/>
      </c>
      <c r="J1355" s="51" t="str">
        <f t="shared" si="1356"/>
        <v/>
      </c>
      <c r="K1355" s="51" t="str">
        <f t="shared" si="1356"/>
        <v/>
      </c>
      <c r="L1355" s="51" t="str">
        <f t="shared" si="1356"/>
        <v/>
      </c>
      <c r="M1355" s="51" t="str">
        <f t="shared" si="1356"/>
        <v/>
      </c>
      <c r="N1355" s="51" t="str">
        <f t="shared" si="1356"/>
        <v/>
      </c>
      <c r="O1355" s="51" t="str">
        <f t="shared" si="1356"/>
        <v/>
      </c>
      <c r="P1355" s="51" t="str">
        <f t="shared" si="1356"/>
        <v/>
      </c>
      <c r="Q1355" s="51" t="str">
        <f t="shared" si="1356"/>
        <v/>
      </c>
      <c r="R1355" s="51" t="str">
        <f t="shared" si="1356"/>
        <v/>
      </c>
      <c r="S1355" s="51" t="str">
        <f t="shared" si="1356"/>
        <v/>
      </c>
      <c r="T1355" s="51" t="str">
        <f t="shared" si="1356"/>
        <v/>
      </c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2"/>
      <c r="AE1355" s="52"/>
      <c r="AF1355" s="52"/>
      <c r="AG1355" s="52"/>
      <c r="AH1355" s="52"/>
      <c r="AI1355" s="52"/>
      <c r="AJ1355" s="52"/>
      <c r="AK1355" s="52"/>
      <c r="AL1355" s="52"/>
      <c r="AM1355" s="52"/>
      <c r="AN1355" s="52"/>
      <c r="AO1355" s="52"/>
      <c r="AP1355" s="52"/>
      <c r="AQ1355" s="52"/>
      <c r="AR1355" s="52"/>
      <c r="AS1355" s="52"/>
      <c r="AT1355" s="52"/>
      <c r="AU1355" s="52"/>
      <c r="AV1355" s="52"/>
      <c r="AW1355" s="52"/>
      <c r="AX1355" s="52"/>
      <c r="AY1355" s="52"/>
      <c r="AZ1355" s="52"/>
      <c r="BA1355" s="52"/>
      <c r="BB1355" s="52"/>
      <c r="BC1355" s="52"/>
      <c r="BD1355" s="52"/>
      <c r="BE1355" s="52"/>
      <c r="BF1355" s="52"/>
      <c r="BG1355" s="52"/>
      <c r="BH1355" s="52"/>
      <c r="BI1355" s="52"/>
      <c r="BJ1355" s="52"/>
      <c r="BK1355" s="52"/>
      <c r="BL1355" s="52"/>
      <c r="BM1355" s="52"/>
      <c r="BN1355" s="52"/>
      <c r="BO1355" s="52"/>
    </row>
    <row r="1356">
      <c r="B1356" s="49"/>
      <c r="C1356" s="49" t="str">
        <f t="shared" si="2"/>
        <v/>
      </c>
      <c r="D1356" s="50" t="str">
        <f t="shared" si="3"/>
        <v/>
      </c>
      <c r="E1356" s="51" t="str">
        <f t="shared" ref="E1356:T1356" si="1357">IFERROR(VLOOKUP($A1356,INDIRECT("'" &amp; E$1 &amp; "'!$C:$G"), 5, FALSE),"")</f>
        <v/>
      </c>
      <c r="F1356" s="51" t="str">
        <f t="shared" si="1357"/>
        <v/>
      </c>
      <c r="G1356" s="51" t="str">
        <f t="shared" si="1357"/>
        <v/>
      </c>
      <c r="H1356" s="51" t="str">
        <f t="shared" si="1357"/>
        <v/>
      </c>
      <c r="I1356" s="51" t="str">
        <f t="shared" si="1357"/>
        <v/>
      </c>
      <c r="J1356" s="51" t="str">
        <f t="shared" si="1357"/>
        <v/>
      </c>
      <c r="K1356" s="51" t="str">
        <f t="shared" si="1357"/>
        <v/>
      </c>
      <c r="L1356" s="51" t="str">
        <f t="shared" si="1357"/>
        <v/>
      </c>
      <c r="M1356" s="51" t="str">
        <f t="shared" si="1357"/>
        <v/>
      </c>
      <c r="N1356" s="51" t="str">
        <f t="shared" si="1357"/>
        <v/>
      </c>
      <c r="O1356" s="51" t="str">
        <f t="shared" si="1357"/>
        <v/>
      </c>
      <c r="P1356" s="51" t="str">
        <f t="shared" si="1357"/>
        <v/>
      </c>
      <c r="Q1356" s="51" t="str">
        <f t="shared" si="1357"/>
        <v/>
      </c>
      <c r="R1356" s="51" t="str">
        <f t="shared" si="1357"/>
        <v/>
      </c>
      <c r="S1356" s="51" t="str">
        <f t="shared" si="1357"/>
        <v/>
      </c>
      <c r="T1356" s="51" t="str">
        <f t="shared" si="1357"/>
        <v/>
      </c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2"/>
      <c r="AE1356" s="52"/>
      <c r="AF1356" s="52"/>
      <c r="AG1356" s="52"/>
      <c r="AH1356" s="52"/>
      <c r="AI1356" s="52"/>
      <c r="AJ1356" s="52"/>
      <c r="AK1356" s="52"/>
      <c r="AL1356" s="52"/>
      <c r="AM1356" s="52"/>
      <c r="AN1356" s="52"/>
      <c r="AO1356" s="52"/>
      <c r="AP1356" s="52"/>
      <c r="AQ1356" s="52"/>
      <c r="AR1356" s="52"/>
      <c r="AS1356" s="52"/>
      <c r="AT1356" s="52"/>
      <c r="AU1356" s="52"/>
      <c r="AV1356" s="52"/>
      <c r="AW1356" s="52"/>
      <c r="AX1356" s="52"/>
      <c r="AY1356" s="52"/>
      <c r="AZ1356" s="52"/>
      <c r="BA1356" s="52"/>
      <c r="BB1356" s="52"/>
      <c r="BC1356" s="52"/>
      <c r="BD1356" s="52"/>
      <c r="BE1356" s="52"/>
      <c r="BF1356" s="52"/>
      <c r="BG1356" s="52"/>
      <c r="BH1356" s="52"/>
      <c r="BI1356" s="52"/>
      <c r="BJ1356" s="52"/>
      <c r="BK1356" s="52"/>
      <c r="BL1356" s="52"/>
      <c r="BM1356" s="52"/>
      <c r="BN1356" s="52"/>
      <c r="BO1356" s="52"/>
    </row>
    <row r="1357">
      <c r="B1357" s="49"/>
      <c r="C1357" s="49" t="str">
        <f t="shared" si="2"/>
        <v/>
      </c>
      <c r="D1357" s="50" t="str">
        <f t="shared" si="3"/>
        <v/>
      </c>
      <c r="E1357" s="51" t="str">
        <f t="shared" ref="E1357:T1357" si="1358">IFERROR(VLOOKUP($A1357,INDIRECT("'" &amp; E$1 &amp; "'!$C:$G"), 5, FALSE),"")</f>
        <v/>
      </c>
      <c r="F1357" s="51" t="str">
        <f t="shared" si="1358"/>
        <v/>
      </c>
      <c r="G1357" s="51" t="str">
        <f t="shared" si="1358"/>
        <v/>
      </c>
      <c r="H1357" s="51" t="str">
        <f t="shared" si="1358"/>
        <v/>
      </c>
      <c r="I1357" s="51" t="str">
        <f t="shared" si="1358"/>
        <v/>
      </c>
      <c r="J1357" s="51" t="str">
        <f t="shared" si="1358"/>
        <v/>
      </c>
      <c r="K1357" s="51" t="str">
        <f t="shared" si="1358"/>
        <v/>
      </c>
      <c r="L1357" s="51" t="str">
        <f t="shared" si="1358"/>
        <v/>
      </c>
      <c r="M1357" s="51" t="str">
        <f t="shared" si="1358"/>
        <v/>
      </c>
      <c r="N1357" s="51" t="str">
        <f t="shared" si="1358"/>
        <v/>
      </c>
      <c r="O1357" s="51" t="str">
        <f t="shared" si="1358"/>
        <v/>
      </c>
      <c r="P1357" s="51" t="str">
        <f t="shared" si="1358"/>
        <v/>
      </c>
      <c r="Q1357" s="51" t="str">
        <f t="shared" si="1358"/>
        <v/>
      </c>
      <c r="R1357" s="51" t="str">
        <f t="shared" si="1358"/>
        <v/>
      </c>
      <c r="S1357" s="51" t="str">
        <f t="shared" si="1358"/>
        <v/>
      </c>
      <c r="T1357" s="51" t="str">
        <f t="shared" si="1358"/>
        <v/>
      </c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2"/>
      <c r="AE1357" s="52"/>
      <c r="AF1357" s="52"/>
      <c r="AG1357" s="52"/>
      <c r="AH1357" s="52"/>
      <c r="AI1357" s="52"/>
      <c r="AJ1357" s="52"/>
      <c r="AK1357" s="52"/>
      <c r="AL1357" s="52"/>
      <c r="AM1357" s="52"/>
      <c r="AN1357" s="52"/>
      <c r="AO1357" s="52"/>
      <c r="AP1357" s="52"/>
      <c r="AQ1357" s="52"/>
      <c r="AR1357" s="52"/>
      <c r="AS1357" s="52"/>
      <c r="AT1357" s="52"/>
      <c r="AU1357" s="52"/>
      <c r="AV1357" s="52"/>
      <c r="AW1357" s="52"/>
      <c r="AX1357" s="52"/>
      <c r="AY1357" s="52"/>
      <c r="AZ1357" s="52"/>
      <c r="BA1357" s="52"/>
      <c r="BB1357" s="52"/>
      <c r="BC1357" s="52"/>
      <c r="BD1357" s="52"/>
      <c r="BE1357" s="52"/>
      <c r="BF1357" s="52"/>
      <c r="BG1357" s="52"/>
      <c r="BH1357" s="52"/>
      <c r="BI1357" s="52"/>
      <c r="BJ1357" s="52"/>
      <c r="BK1357" s="52"/>
      <c r="BL1357" s="52"/>
      <c r="BM1357" s="52"/>
      <c r="BN1357" s="52"/>
      <c r="BO1357" s="52"/>
    </row>
    <row r="1358">
      <c r="B1358" s="49"/>
      <c r="C1358" s="49" t="str">
        <f t="shared" si="2"/>
        <v/>
      </c>
      <c r="D1358" s="50" t="str">
        <f t="shared" si="3"/>
        <v/>
      </c>
      <c r="E1358" s="51" t="str">
        <f t="shared" ref="E1358:T1358" si="1359">IFERROR(VLOOKUP($A1358,INDIRECT("'" &amp; E$1 &amp; "'!$C:$G"), 5, FALSE),"")</f>
        <v/>
      </c>
      <c r="F1358" s="51" t="str">
        <f t="shared" si="1359"/>
        <v/>
      </c>
      <c r="G1358" s="51" t="str">
        <f t="shared" si="1359"/>
        <v/>
      </c>
      <c r="H1358" s="51" t="str">
        <f t="shared" si="1359"/>
        <v/>
      </c>
      <c r="I1358" s="51" t="str">
        <f t="shared" si="1359"/>
        <v/>
      </c>
      <c r="J1358" s="51" t="str">
        <f t="shared" si="1359"/>
        <v/>
      </c>
      <c r="K1358" s="51" t="str">
        <f t="shared" si="1359"/>
        <v/>
      </c>
      <c r="L1358" s="51" t="str">
        <f t="shared" si="1359"/>
        <v/>
      </c>
      <c r="M1358" s="51" t="str">
        <f t="shared" si="1359"/>
        <v/>
      </c>
      <c r="N1358" s="51" t="str">
        <f t="shared" si="1359"/>
        <v/>
      </c>
      <c r="O1358" s="51" t="str">
        <f t="shared" si="1359"/>
        <v/>
      </c>
      <c r="P1358" s="51" t="str">
        <f t="shared" si="1359"/>
        <v/>
      </c>
      <c r="Q1358" s="51" t="str">
        <f t="shared" si="1359"/>
        <v/>
      </c>
      <c r="R1358" s="51" t="str">
        <f t="shared" si="1359"/>
        <v/>
      </c>
      <c r="S1358" s="51" t="str">
        <f t="shared" si="1359"/>
        <v/>
      </c>
      <c r="T1358" s="51" t="str">
        <f t="shared" si="1359"/>
        <v/>
      </c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2"/>
      <c r="AE1358" s="52"/>
      <c r="AF1358" s="52"/>
      <c r="AG1358" s="52"/>
      <c r="AH1358" s="52"/>
      <c r="AI1358" s="52"/>
      <c r="AJ1358" s="52"/>
      <c r="AK1358" s="52"/>
      <c r="AL1358" s="52"/>
      <c r="AM1358" s="52"/>
      <c r="AN1358" s="52"/>
      <c r="AO1358" s="52"/>
      <c r="AP1358" s="52"/>
      <c r="AQ1358" s="52"/>
      <c r="AR1358" s="52"/>
      <c r="AS1358" s="52"/>
      <c r="AT1358" s="52"/>
      <c r="AU1358" s="52"/>
      <c r="AV1358" s="52"/>
      <c r="AW1358" s="52"/>
      <c r="AX1358" s="52"/>
      <c r="AY1358" s="52"/>
      <c r="AZ1358" s="52"/>
      <c r="BA1358" s="52"/>
      <c r="BB1358" s="52"/>
      <c r="BC1358" s="52"/>
      <c r="BD1358" s="52"/>
      <c r="BE1358" s="52"/>
      <c r="BF1358" s="52"/>
      <c r="BG1358" s="52"/>
      <c r="BH1358" s="52"/>
      <c r="BI1358" s="52"/>
      <c r="BJ1358" s="52"/>
      <c r="BK1358" s="52"/>
      <c r="BL1358" s="52"/>
      <c r="BM1358" s="52"/>
      <c r="BN1358" s="52"/>
      <c r="BO1358" s="52"/>
    </row>
    <row r="1359">
      <c r="B1359" s="49"/>
      <c r="C1359" s="49" t="str">
        <f t="shared" si="2"/>
        <v/>
      </c>
      <c r="D1359" s="50" t="str">
        <f t="shared" si="3"/>
        <v/>
      </c>
      <c r="E1359" s="51" t="str">
        <f t="shared" ref="E1359:T1359" si="1360">IFERROR(VLOOKUP($A1359,INDIRECT("'" &amp; E$1 &amp; "'!$C:$G"), 5, FALSE),"")</f>
        <v/>
      </c>
      <c r="F1359" s="51" t="str">
        <f t="shared" si="1360"/>
        <v/>
      </c>
      <c r="G1359" s="51" t="str">
        <f t="shared" si="1360"/>
        <v/>
      </c>
      <c r="H1359" s="51" t="str">
        <f t="shared" si="1360"/>
        <v/>
      </c>
      <c r="I1359" s="51" t="str">
        <f t="shared" si="1360"/>
        <v/>
      </c>
      <c r="J1359" s="51" t="str">
        <f t="shared" si="1360"/>
        <v/>
      </c>
      <c r="K1359" s="51" t="str">
        <f t="shared" si="1360"/>
        <v/>
      </c>
      <c r="L1359" s="51" t="str">
        <f t="shared" si="1360"/>
        <v/>
      </c>
      <c r="M1359" s="51" t="str">
        <f t="shared" si="1360"/>
        <v/>
      </c>
      <c r="N1359" s="51" t="str">
        <f t="shared" si="1360"/>
        <v/>
      </c>
      <c r="O1359" s="51" t="str">
        <f t="shared" si="1360"/>
        <v/>
      </c>
      <c r="P1359" s="51" t="str">
        <f t="shared" si="1360"/>
        <v/>
      </c>
      <c r="Q1359" s="51" t="str">
        <f t="shared" si="1360"/>
        <v/>
      </c>
      <c r="R1359" s="51" t="str">
        <f t="shared" si="1360"/>
        <v/>
      </c>
      <c r="S1359" s="51" t="str">
        <f t="shared" si="1360"/>
        <v/>
      </c>
      <c r="T1359" s="51" t="str">
        <f t="shared" si="1360"/>
        <v/>
      </c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2"/>
      <c r="AE1359" s="52"/>
      <c r="AF1359" s="52"/>
      <c r="AG1359" s="52"/>
      <c r="AH1359" s="52"/>
      <c r="AI1359" s="52"/>
      <c r="AJ1359" s="52"/>
      <c r="AK1359" s="52"/>
      <c r="AL1359" s="52"/>
      <c r="AM1359" s="52"/>
      <c r="AN1359" s="52"/>
      <c r="AO1359" s="52"/>
      <c r="AP1359" s="52"/>
      <c r="AQ1359" s="52"/>
      <c r="AR1359" s="52"/>
      <c r="AS1359" s="52"/>
      <c r="AT1359" s="52"/>
      <c r="AU1359" s="52"/>
      <c r="AV1359" s="52"/>
      <c r="AW1359" s="52"/>
      <c r="AX1359" s="52"/>
      <c r="AY1359" s="52"/>
      <c r="AZ1359" s="52"/>
      <c r="BA1359" s="52"/>
      <c r="BB1359" s="52"/>
      <c r="BC1359" s="52"/>
      <c r="BD1359" s="52"/>
      <c r="BE1359" s="52"/>
      <c r="BF1359" s="52"/>
      <c r="BG1359" s="52"/>
      <c r="BH1359" s="52"/>
      <c r="BI1359" s="52"/>
      <c r="BJ1359" s="52"/>
      <c r="BK1359" s="52"/>
      <c r="BL1359" s="52"/>
      <c r="BM1359" s="52"/>
      <c r="BN1359" s="52"/>
      <c r="BO1359" s="52"/>
    </row>
    <row r="1360">
      <c r="B1360" s="49"/>
      <c r="C1360" s="49" t="str">
        <f t="shared" si="2"/>
        <v/>
      </c>
      <c r="D1360" s="50" t="str">
        <f t="shared" si="3"/>
        <v/>
      </c>
      <c r="E1360" s="51" t="str">
        <f t="shared" ref="E1360:T1360" si="1361">IFERROR(VLOOKUP($A1360,INDIRECT("'" &amp; E$1 &amp; "'!$C:$G"), 5, FALSE),"")</f>
        <v/>
      </c>
      <c r="F1360" s="51" t="str">
        <f t="shared" si="1361"/>
        <v/>
      </c>
      <c r="G1360" s="51" t="str">
        <f t="shared" si="1361"/>
        <v/>
      </c>
      <c r="H1360" s="51" t="str">
        <f t="shared" si="1361"/>
        <v/>
      </c>
      <c r="I1360" s="51" t="str">
        <f t="shared" si="1361"/>
        <v/>
      </c>
      <c r="J1360" s="51" t="str">
        <f t="shared" si="1361"/>
        <v/>
      </c>
      <c r="K1360" s="51" t="str">
        <f t="shared" si="1361"/>
        <v/>
      </c>
      <c r="L1360" s="51" t="str">
        <f t="shared" si="1361"/>
        <v/>
      </c>
      <c r="M1360" s="51" t="str">
        <f t="shared" si="1361"/>
        <v/>
      </c>
      <c r="N1360" s="51" t="str">
        <f t="shared" si="1361"/>
        <v/>
      </c>
      <c r="O1360" s="51" t="str">
        <f t="shared" si="1361"/>
        <v/>
      </c>
      <c r="P1360" s="51" t="str">
        <f t="shared" si="1361"/>
        <v/>
      </c>
      <c r="Q1360" s="51" t="str">
        <f t="shared" si="1361"/>
        <v/>
      </c>
      <c r="R1360" s="51" t="str">
        <f t="shared" si="1361"/>
        <v/>
      </c>
      <c r="S1360" s="51" t="str">
        <f t="shared" si="1361"/>
        <v/>
      </c>
      <c r="T1360" s="51" t="str">
        <f t="shared" si="1361"/>
        <v/>
      </c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2"/>
      <c r="AE1360" s="52"/>
      <c r="AF1360" s="52"/>
      <c r="AG1360" s="52"/>
      <c r="AH1360" s="52"/>
      <c r="AI1360" s="52"/>
      <c r="AJ1360" s="52"/>
      <c r="AK1360" s="52"/>
      <c r="AL1360" s="52"/>
      <c r="AM1360" s="52"/>
      <c r="AN1360" s="52"/>
      <c r="AO1360" s="52"/>
      <c r="AP1360" s="52"/>
      <c r="AQ1360" s="52"/>
      <c r="AR1360" s="52"/>
      <c r="AS1360" s="52"/>
      <c r="AT1360" s="52"/>
      <c r="AU1360" s="52"/>
      <c r="AV1360" s="52"/>
      <c r="AW1360" s="52"/>
      <c r="AX1360" s="52"/>
      <c r="AY1360" s="52"/>
      <c r="AZ1360" s="52"/>
      <c r="BA1360" s="52"/>
      <c r="BB1360" s="52"/>
      <c r="BC1360" s="52"/>
      <c r="BD1360" s="52"/>
      <c r="BE1360" s="52"/>
      <c r="BF1360" s="52"/>
      <c r="BG1360" s="52"/>
      <c r="BH1360" s="52"/>
      <c r="BI1360" s="52"/>
      <c r="BJ1360" s="52"/>
      <c r="BK1360" s="52"/>
      <c r="BL1360" s="52"/>
      <c r="BM1360" s="52"/>
      <c r="BN1360" s="52"/>
      <c r="BO1360" s="52"/>
    </row>
    <row r="1361">
      <c r="B1361" s="49"/>
      <c r="C1361" s="49" t="str">
        <f t="shared" si="2"/>
        <v/>
      </c>
      <c r="D1361" s="50" t="str">
        <f t="shared" si="3"/>
        <v/>
      </c>
      <c r="E1361" s="51" t="str">
        <f t="shared" ref="E1361:T1361" si="1362">IFERROR(VLOOKUP($A1361,INDIRECT("'" &amp; E$1 &amp; "'!$C:$G"), 5, FALSE),"")</f>
        <v/>
      </c>
      <c r="F1361" s="51" t="str">
        <f t="shared" si="1362"/>
        <v/>
      </c>
      <c r="G1361" s="51" t="str">
        <f t="shared" si="1362"/>
        <v/>
      </c>
      <c r="H1361" s="51" t="str">
        <f t="shared" si="1362"/>
        <v/>
      </c>
      <c r="I1361" s="51" t="str">
        <f t="shared" si="1362"/>
        <v/>
      </c>
      <c r="J1361" s="51" t="str">
        <f t="shared" si="1362"/>
        <v/>
      </c>
      <c r="K1361" s="51" t="str">
        <f t="shared" si="1362"/>
        <v/>
      </c>
      <c r="L1361" s="51" t="str">
        <f t="shared" si="1362"/>
        <v/>
      </c>
      <c r="M1361" s="51" t="str">
        <f t="shared" si="1362"/>
        <v/>
      </c>
      <c r="N1361" s="51" t="str">
        <f t="shared" si="1362"/>
        <v/>
      </c>
      <c r="O1361" s="51" t="str">
        <f t="shared" si="1362"/>
        <v/>
      </c>
      <c r="P1361" s="51" t="str">
        <f t="shared" si="1362"/>
        <v/>
      </c>
      <c r="Q1361" s="51" t="str">
        <f t="shared" si="1362"/>
        <v/>
      </c>
      <c r="R1361" s="51" t="str">
        <f t="shared" si="1362"/>
        <v/>
      </c>
      <c r="S1361" s="51" t="str">
        <f t="shared" si="1362"/>
        <v/>
      </c>
      <c r="T1361" s="51" t="str">
        <f t="shared" si="1362"/>
        <v/>
      </c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2"/>
      <c r="AE1361" s="52"/>
      <c r="AF1361" s="52"/>
      <c r="AG1361" s="52"/>
      <c r="AH1361" s="52"/>
      <c r="AI1361" s="52"/>
      <c r="AJ1361" s="52"/>
      <c r="AK1361" s="52"/>
      <c r="AL1361" s="52"/>
      <c r="AM1361" s="52"/>
      <c r="AN1361" s="52"/>
      <c r="AO1361" s="52"/>
      <c r="AP1361" s="52"/>
      <c r="AQ1361" s="52"/>
      <c r="AR1361" s="52"/>
      <c r="AS1361" s="52"/>
      <c r="AT1361" s="52"/>
      <c r="AU1361" s="52"/>
      <c r="AV1361" s="52"/>
      <c r="AW1361" s="52"/>
      <c r="AX1361" s="52"/>
      <c r="AY1361" s="52"/>
      <c r="AZ1361" s="52"/>
      <c r="BA1361" s="52"/>
      <c r="BB1361" s="52"/>
      <c r="BC1361" s="52"/>
      <c r="BD1361" s="52"/>
      <c r="BE1361" s="52"/>
      <c r="BF1361" s="52"/>
      <c r="BG1361" s="52"/>
      <c r="BH1361" s="52"/>
      <c r="BI1361" s="52"/>
      <c r="BJ1361" s="52"/>
      <c r="BK1361" s="52"/>
      <c r="BL1361" s="52"/>
      <c r="BM1361" s="52"/>
      <c r="BN1361" s="52"/>
      <c r="BO1361" s="52"/>
    </row>
    <row r="1362">
      <c r="B1362" s="49"/>
      <c r="C1362" s="49" t="str">
        <f t="shared" si="2"/>
        <v/>
      </c>
      <c r="D1362" s="50" t="str">
        <f t="shared" si="3"/>
        <v/>
      </c>
      <c r="E1362" s="51" t="str">
        <f t="shared" ref="E1362:T1362" si="1363">IFERROR(VLOOKUP($A1362,INDIRECT("'" &amp; E$1 &amp; "'!$C:$G"), 5, FALSE),"")</f>
        <v/>
      </c>
      <c r="F1362" s="51" t="str">
        <f t="shared" si="1363"/>
        <v/>
      </c>
      <c r="G1362" s="51" t="str">
        <f t="shared" si="1363"/>
        <v/>
      </c>
      <c r="H1362" s="51" t="str">
        <f t="shared" si="1363"/>
        <v/>
      </c>
      <c r="I1362" s="51" t="str">
        <f t="shared" si="1363"/>
        <v/>
      </c>
      <c r="J1362" s="51" t="str">
        <f t="shared" si="1363"/>
        <v/>
      </c>
      <c r="K1362" s="51" t="str">
        <f t="shared" si="1363"/>
        <v/>
      </c>
      <c r="L1362" s="51" t="str">
        <f t="shared" si="1363"/>
        <v/>
      </c>
      <c r="M1362" s="51" t="str">
        <f t="shared" si="1363"/>
        <v/>
      </c>
      <c r="N1362" s="51" t="str">
        <f t="shared" si="1363"/>
        <v/>
      </c>
      <c r="O1362" s="51" t="str">
        <f t="shared" si="1363"/>
        <v/>
      </c>
      <c r="P1362" s="51" t="str">
        <f t="shared" si="1363"/>
        <v/>
      </c>
      <c r="Q1362" s="51" t="str">
        <f t="shared" si="1363"/>
        <v/>
      </c>
      <c r="R1362" s="51" t="str">
        <f t="shared" si="1363"/>
        <v/>
      </c>
      <c r="S1362" s="51" t="str">
        <f t="shared" si="1363"/>
        <v/>
      </c>
      <c r="T1362" s="51" t="str">
        <f t="shared" si="1363"/>
        <v/>
      </c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2"/>
      <c r="AE1362" s="52"/>
      <c r="AF1362" s="52"/>
      <c r="AG1362" s="52"/>
      <c r="AH1362" s="52"/>
      <c r="AI1362" s="52"/>
      <c r="AJ1362" s="52"/>
      <c r="AK1362" s="52"/>
      <c r="AL1362" s="52"/>
      <c r="AM1362" s="52"/>
      <c r="AN1362" s="52"/>
      <c r="AO1362" s="52"/>
      <c r="AP1362" s="52"/>
      <c r="AQ1362" s="52"/>
      <c r="AR1362" s="52"/>
      <c r="AS1362" s="52"/>
      <c r="AT1362" s="52"/>
      <c r="AU1362" s="52"/>
      <c r="AV1362" s="52"/>
      <c r="AW1362" s="52"/>
      <c r="AX1362" s="52"/>
      <c r="AY1362" s="52"/>
      <c r="AZ1362" s="52"/>
      <c r="BA1362" s="52"/>
      <c r="BB1362" s="52"/>
      <c r="BC1362" s="52"/>
      <c r="BD1362" s="52"/>
      <c r="BE1362" s="52"/>
      <c r="BF1362" s="52"/>
      <c r="BG1362" s="52"/>
      <c r="BH1362" s="52"/>
      <c r="BI1362" s="52"/>
      <c r="BJ1362" s="52"/>
      <c r="BK1362" s="52"/>
      <c r="BL1362" s="52"/>
      <c r="BM1362" s="52"/>
      <c r="BN1362" s="52"/>
      <c r="BO1362" s="52"/>
    </row>
    <row r="1363">
      <c r="B1363" s="49"/>
      <c r="C1363" s="49" t="str">
        <f t="shared" si="2"/>
        <v/>
      </c>
      <c r="D1363" s="50" t="str">
        <f t="shared" si="3"/>
        <v/>
      </c>
      <c r="E1363" s="51" t="str">
        <f t="shared" ref="E1363:T1363" si="1364">IFERROR(VLOOKUP($A1363,INDIRECT("'" &amp; E$1 &amp; "'!$C:$G"), 5, FALSE),"")</f>
        <v/>
      </c>
      <c r="F1363" s="51" t="str">
        <f t="shared" si="1364"/>
        <v/>
      </c>
      <c r="G1363" s="51" t="str">
        <f t="shared" si="1364"/>
        <v/>
      </c>
      <c r="H1363" s="51" t="str">
        <f t="shared" si="1364"/>
        <v/>
      </c>
      <c r="I1363" s="51" t="str">
        <f t="shared" si="1364"/>
        <v/>
      </c>
      <c r="J1363" s="51" t="str">
        <f t="shared" si="1364"/>
        <v/>
      </c>
      <c r="K1363" s="51" t="str">
        <f t="shared" si="1364"/>
        <v/>
      </c>
      <c r="L1363" s="51" t="str">
        <f t="shared" si="1364"/>
        <v/>
      </c>
      <c r="M1363" s="51" t="str">
        <f t="shared" si="1364"/>
        <v/>
      </c>
      <c r="N1363" s="51" t="str">
        <f t="shared" si="1364"/>
        <v/>
      </c>
      <c r="O1363" s="51" t="str">
        <f t="shared" si="1364"/>
        <v/>
      </c>
      <c r="P1363" s="51" t="str">
        <f t="shared" si="1364"/>
        <v/>
      </c>
      <c r="Q1363" s="51" t="str">
        <f t="shared" si="1364"/>
        <v/>
      </c>
      <c r="R1363" s="51" t="str">
        <f t="shared" si="1364"/>
        <v/>
      </c>
      <c r="S1363" s="51" t="str">
        <f t="shared" si="1364"/>
        <v/>
      </c>
      <c r="T1363" s="51" t="str">
        <f t="shared" si="1364"/>
        <v/>
      </c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2"/>
      <c r="AE1363" s="52"/>
      <c r="AF1363" s="52"/>
      <c r="AG1363" s="52"/>
      <c r="AH1363" s="52"/>
      <c r="AI1363" s="52"/>
      <c r="AJ1363" s="52"/>
      <c r="AK1363" s="52"/>
      <c r="AL1363" s="52"/>
      <c r="AM1363" s="52"/>
      <c r="AN1363" s="52"/>
      <c r="AO1363" s="52"/>
      <c r="AP1363" s="52"/>
      <c r="AQ1363" s="52"/>
      <c r="AR1363" s="52"/>
      <c r="AS1363" s="52"/>
      <c r="AT1363" s="52"/>
      <c r="AU1363" s="52"/>
      <c r="AV1363" s="52"/>
      <c r="AW1363" s="52"/>
      <c r="AX1363" s="52"/>
      <c r="AY1363" s="52"/>
      <c r="AZ1363" s="52"/>
      <c r="BA1363" s="52"/>
      <c r="BB1363" s="52"/>
      <c r="BC1363" s="52"/>
      <c r="BD1363" s="52"/>
      <c r="BE1363" s="52"/>
      <c r="BF1363" s="52"/>
      <c r="BG1363" s="52"/>
      <c r="BH1363" s="52"/>
      <c r="BI1363" s="52"/>
      <c r="BJ1363" s="52"/>
      <c r="BK1363" s="52"/>
      <c r="BL1363" s="52"/>
      <c r="BM1363" s="52"/>
      <c r="BN1363" s="52"/>
      <c r="BO1363" s="52"/>
    </row>
    <row r="1364">
      <c r="B1364" s="49"/>
      <c r="C1364" s="49" t="str">
        <f t="shared" si="2"/>
        <v/>
      </c>
      <c r="D1364" s="50" t="str">
        <f t="shared" si="3"/>
        <v/>
      </c>
      <c r="E1364" s="51" t="str">
        <f t="shared" ref="E1364:T1364" si="1365">IFERROR(VLOOKUP($A1364,INDIRECT("'" &amp; E$1 &amp; "'!$C:$G"), 5, FALSE),"")</f>
        <v/>
      </c>
      <c r="F1364" s="51" t="str">
        <f t="shared" si="1365"/>
        <v/>
      </c>
      <c r="G1364" s="51" t="str">
        <f t="shared" si="1365"/>
        <v/>
      </c>
      <c r="H1364" s="51" t="str">
        <f t="shared" si="1365"/>
        <v/>
      </c>
      <c r="I1364" s="51" t="str">
        <f t="shared" si="1365"/>
        <v/>
      </c>
      <c r="J1364" s="51" t="str">
        <f t="shared" si="1365"/>
        <v/>
      </c>
      <c r="K1364" s="51" t="str">
        <f t="shared" si="1365"/>
        <v/>
      </c>
      <c r="L1364" s="51" t="str">
        <f t="shared" si="1365"/>
        <v/>
      </c>
      <c r="M1364" s="51" t="str">
        <f t="shared" si="1365"/>
        <v/>
      </c>
      <c r="N1364" s="51" t="str">
        <f t="shared" si="1365"/>
        <v/>
      </c>
      <c r="O1364" s="51" t="str">
        <f t="shared" si="1365"/>
        <v/>
      </c>
      <c r="P1364" s="51" t="str">
        <f t="shared" si="1365"/>
        <v/>
      </c>
      <c r="Q1364" s="51" t="str">
        <f t="shared" si="1365"/>
        <v/>
      </c>
      <c r="R1364" s="51" t="str">
        <f t="shared" si="1365"/>
        <v/>
      </c>
      <c r="S1364" s="51" t="str">
        <f t="shared" si="1365"/>
        <v/>
      </c>
      <c r="T1364" s="51" t="str">
        <f t="shared" si="1365"/>
        <v/>
      </c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2"/>
      <c r="AE1364" s="52"/>
      <c r="AF1364" s="52"/>
      <c r="AG1364" s="52"/>
      <c r="AH1364" s="52"/>
      <c r="AI1364" s="52"/>
      <c r="AJ1364" s="52"/>
      <c r="AK1364" s="52"/>
      <c r="AL1364" s="52"/>
      <c r="AM1364" s="52"/>
      <c r="AN1364" s="52"/>
      <c r="AO1364" s="52"/>
      <c r="AP1364" s="52"/>
      <c r="AQ1364" s="52"/>
      <c r="AR1364" s="52"/>
      <c r="AS1364" s="52"/>
      <c r="AT1364" s="52"/>
      <c r="AU1364" s="52"/>
      <c r="AV1364" s="52"/>
      <c r="AW1364" s="52"/>
      <c r="AX1364" s="52"/>
      <c r="AY1364" s="52"/>
      <c r="AZ1364" s="52"/>
      <c r="BA1364" s="52"/>
      <c r="BB1364" s="52"/>
      <c r="BC1364" s="52"/>
      <c r="BD1364" s="52"/>
      <c r="BE1364" s="52"/>
      <c r="BF1364" s="52"/>
      <c r="BG1364" s="52"/>
      <c r="BH1364" s="52"/>
      <c r="BI1364" s="52"/>
      <c r="BJ1364" s="52"/>
      <c r="BK1364" s="52"/>
      <c r="BL1364" s="52"/>
      <c r="BM1364" s="52"/>
      <c r="BN1364" s="52"/>
      <c r="BO1364" s="52"/>
    </row>
    <row r="1365">
      <c r="B1365" s="49"/>
      <c r="C1365" s="49" t="str">
        <f t="shared" si="2"/>
        <v/>
      </c>
      <c r="D1365" s="50" t="str">
        <f t="shared" si="3"/>
        <v/>
      </c>
      <c r="E1365" s="51" t="str">
        <f t="shared" ref="E1365:T1365" si="1366">IFERROR(VLOOKUP($A1365,INDIRECT("'" &amp; E$1 &amp; "'!$C:$G"), 5, FALSE),"")</f>
        <v/>
      </c>
      <c r="F1365" s="51" t="str">
        <f t="shared" si="1366"/>
        <v/>
      </c>
      <c r="G1365" s="51" t="str">
        <f t="shared" si="1366"/>
        <v/>
      </c>
      <c r="H1365" s="51" t="str">
        <f t="shared" si="1366"/>
        <v/>
      </c>
      <c r="I1365" s="51" t="str">
        <f t="shared" si="1366"/>
        <v/>
      </c>
      <c r="J1365" s="51" t="str">
        <f t="shared" si="1366"/>
        <v/>
      </c>
      <c r="K1365" s="51" t="str">
        <f t="shared" si="1366"/>
        <v/>
      </c>
      <c r="L1365" s="51" t="str">
        <f t="shared" si="1366"/>
        <v/>
      </c>
      <c r="M1365" s="51" t="str">
        <f t="shared" si="1366"/>
        <v/>
      </c>
      <c r="N1365" s="51" t="str">
        <f t="shared" si="1366"/>
        <v/>
      </c>
      <c r="O1365" s="51" t="str">
        <f t="shared" si="1366"/>
        <v/>
      </c>
      <c r="P1365" s="51" t="str">
        <f t="shared" si="1366"/>
        <v/>
      </c>
      <c r="Q1365" s="51" t="str">
        <f t="shared" si="1366"/>
        <v/>
      </c>
      <c r="R1365" s="51" t="str">
        <f t="shared" si="1366"/>
        <v/>
      </c>
      <c r="S1365" s="51" t="str">
        <f t="shared" si="1366"/>
        <v/>
      </c>
      <c r="T1365" s="51" t="str">
        <f t="shared" si="1366"/>
        <v/>
      </c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2"/>
      <c r="AE1365" s="52"/>
      <c r="AF1365" s="52"/>
      <c r="AG1365" s="52"/>
      <c r="AH1365" s="52"/>
      <c r="AI1365" s="52"/>
      <c r="AJ1365" s="52"/>
      <c r="AK1365" s="52"/>
      <c r="AL1365" s="52"/>
      <c r="AM1365" s="52"/>
      <c r="AN1365" s="52"/>
      <c r="AO1365" s="52"/>
      <c r="AP1365" s="52"/>
      <c r="AQ1365" s="52"/>
      <c r="AR1365" s="52"/>
      <c r="AS1365" s="52"/>
      <c r="AT1365" s="52"/>
      <c r="AU1365" s="52"/>
      <c r="AV1365" s="52"/>
      <c r="AW1365" s="52"/>
      <c r="AX1365" s="52"/>
      <c r="AY1365" s="52"/>
      <c r="AZ1365" s="52"/>
      <c r="BA1365" s="52"/>
      <c r="BB1365" s="52"/>
      <c r="BC1365" s="52"/>
      <c r="BD1365" s="52"/>
      <c r="BE1365" s="52"/>
      <c r="BF1365" s="52"/>
      <c r="BG1365" s="52"/>
      <c r="BH1365" s="52"/>
      <c r="BI1365" s="52"/>
      <c r="BJ1365" s="52"/>
      <c r="BK1365" s="52"/>
      <c r="BL1365" s="52"/>
      <c r="BM1365" s="52"/>
      <c r="BN1365" s="52"/>
      <c r="BO1365" s="52"/>
    </row>
    <row r="1366">
      <c r="B1366" s="49"/>
      <c r="C1366" s="49" t="str">
        <f t="shared" si="2"/>
        <v/>
      </c>
      <c r="D1366" s="50" t="str">
        <f t="shared" si="3"/>
        <v/>
      </c>
      <c r="E1366" s="51" t="str">
        <f t="shared" ref="E1366:T1366" si="1367">IFERROR(VLOOKUP($A1366,INDIRECT("'" &amp; E$1 &amp; "'!$C:$G"), 5, FALSE),"")</f>
        <v/>
      </c>
      <c r="F1366" s="51" t="str">
        <f t="shared" si="1367"/>
        <v/>
      </c>
      <c r="G1366" s="51" t="str">
        <f t="shared" si="1367"/>
        <v/>
      </c>
      <c r="H1366" s="51" t="str">
        <f t="shared" si="1367"/>
        <v/>
      </c>
      <c r="I1366" s="51" t="str">
        <f t="shared" si="1367"/>
        <v/>
      </c>
      <c r="J1366" s="51" t="str">
        <f t="shared" si="1367"/>
        <v/>
      </c>
      <c r="K1366" s="51" t="str">
        <f t="shared" si="1367"/>
        <v/>
      </c>
      <c r="L1366" s="51" t="str">
        <f t="shared" si="1367"/>
        <v/>
      </c>
      <c r="M1366" s="51" t="str">
        <f t="shared" si="1367"/>
        <v/>
      </c>
      <c r="N1366" s="51" t="str">
        <f t="shared" si="1367"/>
        <v/>
      </c>
      <c r="O1366" s="51" t="str">
        <f t="shared" si="1367"/>
        <v/>
      </c>
      <c r="P1366" s="51" t="str">
        <f t="shared" si="1367"/>
        <v/>
      </c>
      <c r="Q1366" s="51" t="str">
        <f t="shared" si="1367"/>
        <v/>
      </c>
      <c r="R1366" s="51" t="str">
        <f t="shared" si="1367"/>
        <v/>
      </c>
      <c r="S1366" s="51" t="str">
        <f t="shared" si="1367"/>
        <v/>
      </c>
      <c r="T1366" s="51" t="str">
        <f t="shared" si="1367"/>
        <v/>
      </c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2"/>
      <c r="AE1366" s="52"/>
      <c r="AF1366" s="52"/>
      <c r="AG1366" s="52"/>
      <c r="AH1366" s="52"/>
      <c r="AI1366" s="52"/>
      <c r="AJ1366" s="52"/>
      <c r="AK1366" s="52"/>
      <c r="AL1366" s="52"/>
      <c r="AM1366" s="52"/>
      <c r="AN1366" s="52"/>
      <c r="AO1366" s="52"/>
      <c r="AP1366" s="52"/>
      <c r="AQ1366" s="52"/>
      <c r="AR1366" s="52"/>
      <c r="AS1366" s="52"/>
      <c r="AT1366" s="52"/>
      <c r="AU1366" s="52"/>
      <c r="AV1366" s="52"/>
      <c r="AW1366" s="52"/>
      <c r="AX1366" s="52"/>
      <c r="AY1366" s="52"/>
      <c r="AZ1366" s="52"/>
      <c r="BA1366" s="52"/>
      <c r="BB1366" s="52"/>
      <c r="BC1366" s="52"/>
      <c r="BD1366" s="52"/>
      <c r="BE1366" s="52"/>
      <c r="BF1366" s="52"/>
      <c r="BG1366" s="52"/>
      <c r="BH1366" s="52"/>
      <c r="BI1366" s="52"/>
      <c r="BJ1366" s="52"/>
      <c r="BK1366" s="52"/>
      <c r="BL1366" s="52"/>
      <c r="BM1366" s="52"/>
      <c r="BN1366" s="52"/>
      <c r="BO1366" s="52"/>
    </row>
    <row r="1367">
      <c r="B1367" s="49"/>
      <c r="C1367" s="49" t="str">
        <f t="shared" si="2"/>
        <v/>
      </c>
      <c r="D1367" s="50" t="str">
        <f t="shared" si="3"/>
        <v/>
      </c>
      <c r="E1367" s="51" t="str">
        <f t="shared" ref="E1367:T1367" si="1368">IFERROR(VLOOKUP($A1367,INDIRECT("'" &amp; E$1 &amp; "'!$C:$G"), 5, FALSE),"")</f>
        <v/>
      </c>
      <c r="F1367" s="51" t="str">
        <f t="shared" si="1368"/>
        <v/>
      </c>
      <c r="G1367" s="51" t="str">
        <f t="shared" si="1368"/>
        <v/>
      </c>
      <c r="H1367" s="51" t="str">
        <f t="shared" si="1368"/>
        <v/>
      </c>
      <c r="I1367" s="51" t="str">
        <f t="shared" si="1368"/>
        <v/>
      </c>
      <c r="J1367" s="51" t="str">
        <f t="shared" si="1368"/>
        <v/>
      </c>
      <c r="K1367" s="51" t="str">
        <f t="shared" si="1368"/>
        <v/>
      </c>
      <c r="L1367" s="51" t="str">
        <f t="shared" si="1368"/>
        <v/>
      </c>
      <c r="M1367" s="51" t="str">
        <f t="shared" si="1368"/>
        <v/>
      </c>
      <c r="N1367" s="51" t="str">
        <f t="shared" si="1368"/>
        <v/>
      </c>
      <c r="O1367" s="51" t="str">
        <f t="shared" si="1368"/>
        <v/>
      </c>
      <c r="P1367" s="51" t="str">
        <f t="shared" si="1368"/>
        <v/>
      </c>
      <c r="Q1367" s="51" t="str">
        <f t="shared" si="1368"/>
        <v/>
      </c>
      <c r="R1367" s="51" t="str">
        <f t="shared" si="1368"/>
        <v/>
      </c>
      <c r="S1367" s="51" t="str">
        <f t="shared" si="1368"/>
        <v/>
      </c>
      <c r="T1367" s="51" t="str">
        <f t="shared" si="1368"/>
        <v/>
      </c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2"/>
      <c r="AE1367" s="52"/>
      <c r="AF1367" s="52"/>
      <c r="AG1367" s="52"/>
      <c r="AH1367" s="52"/>
      <c r="AI1367" s="52"/>
      <c r="AJ1367" s="52"/>
      <c r="AK1367" s="52"/>
      <c r="AL1367" s="52"/>
      <c r="AM1367" s="52"/>
      <c r="AN1367" s="52"/>
      <c r="AO1367" s="52"/>
      <c r="AP1367" s="52"/>
      <c r="AQ1367" s="52"/>
      <c r="AR1367" s="52"/>
      <c r="AS1367" s="52"/>
      <c r="AT1367" s="52"/>
      <c r="AU1367" s="52"/>
      <c r="AV1367" s="52"/>
      <c r="AW1367" s="52"/>
      <c r="AX1367" s="52"/>
      <c r="AY1367" s="52"/>
      <c r="AZ1367" s="52"/>
      <c r="BA1367" s="52"/>
      <c r="BB1367" s="52"/>
      <c r="BC1367" s="52"/>
      <c r="BD1367" s="52"/>
      <c r="BE1367" s="52"/>
      <c r="BF1367" s="52"/>
      <c r="BG1367" s="52"/>
      <c r="BH1367" s="52"/>
      <c r="BI1367" s="52"/>
      <c r="BJ1367" s="52"/>
      <c r="BK1367" s="52"/>
      <c r="BL1367" s="52"/>
      <c r="BM1367" s="52"/>
      <c r="BN1367" s="52"/>
      <c r="BO1367" s="52"/>
    </row>
    <row r="1368">
      <c r="B1368" s="49"/>
      <c r="C1368" s="49" t="str">
        <f t="shared" si="2"/>
        <v/>
      </c>
      <c r="D1368" s="50" t="str">
        <f t="shared" si="3"/>
        <v/>
      </c>
      <c r="E1368" s="51" t="str">
        <f t="shared" ref="E1368:T1368" si="1369">IFERROR(VLOOKUP($A1368,INDIRECT("'" &amp; E$1 &amp; "'!$C:$G"), 5, FALSE),"")</f>
        <v/>
      </c>
      <c r="F1368" s="51" t="str">
        <f t="shared" si="1369"/>
        <v/>
      </c>
      <c r="G1368" s="51" t="str">
        <f t="shared" si="1369"/>
        <v/>
      </c>
      <c r="H1368" s="51" t="str">
        <f t="shared" si="1369"/>
        <v/>
      </c>
      <c r="I1368" s="51" t="str">
        <f t="shared" si="1369"/>
        <v/>
      </c>
      <c r="J1368" s="51" t="str">
        <f t="shared" si="1369"/>
        <v/>
      </c>
      <c r="K1368" s="51" t="str">
        <f t="shared" si="1369"/>
        <v/>
      </c>
      <c r="L1368" s="51" t="str">
        <f t="shared" si="1369"/>
        <v/>
      </c>
      <c r="M1368" s="51" t="str">
        <f t="shared" si="1369"/>
        <v/>
      </c>
      <c r="N1368" s="51" t="str">
        <f t="shared" si="1369"/>
        <v/>
      </c>
      <c r="O1368" s="51" t="str">
        <f t="shared" si="1369"/>
        <v/>
      </c>
      <c r="P1368" s="51" t="str">
        <f t="shared" si="1369"/>
        <v/>
      </c>
      <c r="Q1368" s="51" t="str">
        <f t="shared" si="1369"/>
        <v/>
      </c>
      <c r="R1368" s="51" t="str">
        <f t="shared" si="1369"/>
        <v/>
      </c>
      <c r="S1368" s="51" t="str">
        <f t="shared" si="1369"/>
        <v/>
      </c>
      <c r="T1368" s="51" t="str">
        <f t="shared" si="1369"/>
        <v/>
      </c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/>
      <c r="AF1368" s="52"/>
      <c r="AG1368" s="52"/>
      <c r="AH1368" s="52"/>
      <c r="AI1368" s="52"/>
      <c r="AJ1368" s="52"/>
      <c r="AK1368" s="52"/>
      <c r="AL1368" s="52"/>
      <c r="AM1368" s="52"/>
      <c r="AN1368" s="52"/>
      <c r="AO1368" s="52"/>
      <c r="AP1368" s="52"/>
      <c r="AQ1368" s="52"/>
      <c r="AR1368" s="52"/>
      <c r="AS1368" s="52"/>
      <c r="AT1368" s="52"/>
      <c r="AU1368" s="52"/>
      <c r="AV1368" s="52"/>
      <c r="AW1368" s="52"/>
      <c r="AX1368" s="52"/>
      <c r="AY1368" s="52"/>
      <c r="AZ1368" s="52"/>
      <c r="BA1368" s="52"/>
      <c r="BB1368" s="52"/>
      <c r="BC1368" s="52"/>
      <c r="BD1368" s="52"/>
      <c r="BE1368" s="52"/>
      <c r="BF1368" s="52"/>
      <c r="BG1368" s="52"/>
      <c r="BH1368" s="52"/>
      <c r="BI1368" s="52"/>
      <c r="BJ1368" s="52"/>
      <c r="BK1368" s="52"/>
      <c r="BL1368" s="52"/>
      <c r="BM1368" s="52"/>
      <c r="BN1368" s="52"/>
      <c r="BO1368" s="52"/>
    </row>
    <row r="1369">
      <c r="B1369" s="49"/>
      <c r="C1369" s="49" t="str">
        <f t="shared" si="2"/>
        <v/>
      </c>
      <c r="D1369" s="50" t="str">
        <f t="shared" si="3"/>
        <v/>
      </c>
      <c r="E1369" s="51" t="str">
        <f t="shared" ref="E1369:T1369" si="1370">IFERROR(VLOOKUP($A1369,INDIRECT("'" &amp; E$1 &amp; "'!$C:$G"), 5, FALSE),"")</f>
        <v/>
      </c>
      <c r="F1369" s="51" t="str">
        <f t="shared" si="1370"/>
        <v/>
      </c>
      <c r="G1369" s="51" t="str">
        <f t="shared" si="1370"/>
        <v/>
      </c>
      <c r="H1369" s="51" t="str">
        <f t="shared" si="1370"/>
        <v/>
      </c>
      <c r="I1369" s="51" t="str">
        <f t="shared" si="1370"/>
        <v/>
      </c>
      <c r="J1369" s="51" t="str">
        <f t="shared" si="1370"/>
        <v/>
      </c>
      <c r="K1369" s="51" t="str">
        <f t="shared" si="1370"/>
        <v/>
      </c>
      <c r="L1369" s="51" t="str">
        <f t="shared" si="1370"/>
        <v/>
      </c>
      <c r="M1369" s="51" t="str">
        <f t="shared" si="1370"/>
        <v/>
      </c>
      <c r="N1369" s="51" t="str">
        <f t="shared" si="1370"/>
        <v/>
      </c>
      <c r="O1369" s="51" t="str">
        <f t="shared" si="1370"/>
        <v/>
      </c>
      <c r="P1369" s="51" t="str">
        <f t="shared" si="1370"/>
        <v/>
      </c>
      <c r="Q1369" s="51" t="str">
        <f t="shared" si="1370"/>
        <v/>
      </c>
      <c r="R1369" s="51" t="str">
        <f t="shared" si="1370"/>
        <v/>
      </c>
      <c r="S1369" s="51" t="str">
        <f t="shared" si="1370"/>
        <v/>
      </c>
      <c r="T1369" s="51" t="str">
        <f t="shared" si="1370"/>
        <v/>
      </c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2"/>
      <c r="AE1369" s="52"/>
      <c r="AF1369" s="52"/>
      <c r="AG1369" s="52"/>
      <c r="AH1369" s="52"/>
      <c r="AI1369" s="52"/>
      <c r="AJ1369" s="52"/>
      <c r="AK1369" s="52"/>
      <c r="AL1369" s="52"/>
      <c r="AM1369" s="52"/>
      <c r="AN1369" s="52"/>
      <c r="AO1369" s="52"/>
      <c r="AP1369" s="52"/>
      <c r="AQ1369" s="52"/>
      <c r="AR1369" s="52"/>
      <c r="AS1369" s="52"/>
      <c r="AT1369" s="52"/>
      <c r="AU1369" s="52"/>
      <c r="AV1369" s="52"/>
      <c r="AW1369" s="52"/>
      <c r="AX1369" s="52"/>
      <c r="AY1369" s="52"/>
      <c r="AZ1369" s="52"/>
      <c r="BA1369" s="52"/>
      <c r="BB1369" s="52"/>
      <c r="BC1369" s="52"/>
      <c r="BD1369" s="52"/>
      <c r="BE1369" s="52"/>
      <c r="BF1369" s="52"/>
      <c r="BG1369" s="52"/>
      <c r="BH1369" s="52"/>
      <c r="BI1369" s="52"/>
      <c r="BJ1369" s="52"/>
      <c r="BK1369" s="52"/>
      <c r="BL1369" s="52"/>
      <c r="BM1369" s="52"/>
      <c r="BN1369" s="52"/>
      <c r="BO1369" s="52"/>
    </row>
    <row r="1370">
      <c r="B1370" s="49"/>
      <c r="C1370" s="49" t="str">
        <f t="shared" si="2"/>
        <v/>
      </c>
      <c r="D1370" s="50" t="str">
        <f t="shared" si="3"/>
        <v/>
      </c>
      <c r="E1370" s="51" t="str">
        <f t="shared" ref="E1370:T1370" si="1371">IFERROR(VLOOKUP($A1370,INDIRECT("'" &amp; E$1 &amp; "'!$C:$G"), 5, FALSE),"")</f>
        <v/>
      </c>
      <c r="F1370" s="51" t="str">
        <f t="shared" si="1371"/>
        <v/>
      </c>
      <c r="G1370" s="51" t="str">
        <f t="shared" si="1371"/>
        <v/>
      </c>
      <c r="H1370" s="51" t="str">
        <f t="shared" si="1371"/>
        <v/>
      </c>
      <c r="I1370" s="51" t="str">
        <f t="shared" si="1371"/>
        <v/>
      </c>
      <c r="J1370" s="51" t="str">
        <f t="shared" si="1371"/>
        <v/>
      </c>
      <c r="K1370" s="51" t="str">
        <f t="shared" si="1371"/>
        <v/>
      </c>
      <c r="L1370" s="51" t="str">
        <f t="shared" si="1371"/>
        <v/>
      </c>
      <c r="M1370" s="51" t="str">
        <f t="shared" si="1371"/>
        <v/>
      </c>
      <c r="N1370" s="51" t="str">
        <f t="shared" si="1371"/>
        <v/>
      </c>
      <c r="O1370" s="51" t="str">
        <f t="shared" si="1371"/>
        <v/>
      </c>
      <c r="P1370" s="51" t="str">
        <f t="shared" si="1371"/>
        <v/>
      </c>
      <c r="Q1370" s="51" t="str">
        <f t="shared" si="1371"/>
        <v/>
      </c>
      <c r="R1370" s="51" t="str">
        <f t="shared" si="1371"/>
        <v/>
      </c>
      <c r="S1370" s="51" t="str">
        <f t="shared" si="1371"/>
        <v/>
      </c>
      <c r="T1370" s="51" t="str">
        <f t="shared" si="1371"/>
        <v/>
      </c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2"/>
      <c r="AE1370" s="52"/>
      <c r="AF1370" s="52"/>
      <c r="AG1370" s="52"/>
      <c r="AH1370" s="52"/>
      <c r="AI1370" s="52"/>
      <c r="AJ1370" s="52"/>
      <c r="AK1370" s="52"/>
      <c r="AL1370" s="52"/>
      <c r="AM1370" s="52"/>
      <c r="AN1370" s="52"/>
      <c r="AO1370" s="52"/>
      <c r="AP1370" s="52"/>
      <c r="AQ1370" s="52"/>
      <c r="AR1370" s="52"/>
      <c r="AS1370" s="52"/>
      <c r="AT1370" s="52"/>
      <c r="AU1370" s="52"/>
      <c r="AV1370" s="52"/>
      <c r="AW1370" s="52"/>
      <c r="AX1370" s="52"/>
      <c r="AY1370" s="52"/>
      <c r="AZ1370" s="52"/>
      <c r="BA1370" s="52"/>
      <c r="BB1370" s="52"/>
      <c r="BC1370" s="52"/>
      <c r="BD1370" s="52"/>
      <c r="BE1370" s="52"/>
      <c r="BF1370" s="52"/>
      <c r="BG1370" s="52"/>
      <c r="BH1370" s="52"/>
      <c r="BI1370" s="52"/>
      <c r="BJ1370" s="52"/>
      <c r="BK1370" s="52"/>
      <c r="BL1370" s="52"/>
      <c r="BM1370" s="52"/>
      <c r="BN1370" s="52"/>
      <c r="BO1370" s="52"/>
    </row>
    <row r="1371">
      <c r="B1371" s="49"/>
      <c r="C1371" s="49" t="str">
        <f t="shared" si="2"/>
        <v/>
      </c>
      <c r="D1371" s="50" t="str">
        <f t="shared" si="3"/>
        <v/>
      </c>
      <c r="E1371" s="51" t="str">
        <f t="shared" ref="E1371:T1371" si="1372">IFERROR(VLOOKUP($A1371,INDIRECT("'" &amp; E$1 &amp; "'!$C:$G"), 5, FALSE),"")</f>
        <v/>
      </c>
      <c r="F1371" s="51" t="str">
        <f t="shared" si="1372"/>
        <v/>
      </c>
      <c r="G1371" s="51" t="str">
        <f t="shared" si="1372"/>
        <v/>
      </c>
      <c r="H1371" s="51" t="str">
        <f t="shared" si="1372"/>
        <v/>
      </c>
      <c r="I1371" s="51" t="str">
        <f t="shared" si="1372"/>
        <v/>
      </c>
      <c r="J1371" s="51" t="str">
        <f t="shared" si="1372"/>
        <v/>
      </c>
      <c r="K1371" s="51" t="str">
        <f t="shared" si="1372"/>
        <v/>
      </c>
      <c r="L1371" s="51" t="str">
        <f t="shared" si="1372"/>
        <v/>
      </c>
      <c r="M1371" s="51" t="str">
        <f t="shared" si="1372"/>
        <v/>
      </c>
      <c r="N1371" s="51" t="str">
        <f t="shared" si="1372"/>
        <v/>
      </c>
      <c r="O1371" s="51" t="str">
        <f t="shared" si="1372"/>
        <v/>
      </c>
      <c r="P1371" s="51" t="str">
        <f t="shared" si="1372"/>
        <v/>
      </c>
      <c r="Q1371" s="51" t="str">
        <f t="shared" si="1372"/>
        <v/>
      </c>
      <c r="R1371" s="51" t="str">
        <f t="shared" si="1372"/>
        <v/>
      </c>
      <c r="S1371" s="51" t="str">
        <f t="shared" si="1372"/>
        <v/>
      </c>
      <c r="T1371" s="51" t="str">
        <f t="shared" si="1372"/>
        <v/>
      </c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2"/>
      <c r="AE1371" s="52"/>
      <c r="AF1371" s="52"/>
      <c r="AG1371" s="52"/>
      <c r="AH1371" s="52"/>
      <c r="AI1371" s="52"/>
      <c r="AJ1371" s="52"/>
      <c r="AK1371" s="52"/>
      <c r="AL1371" s="52"/>
      <c r="AM1371" s="52"/>
      <c r="AN1371" s="52"/>
      <c r="AO1371" s="52"/>
      <c r="AP1371" s="52"/>
      <c r="AQ1371" s="52"/>
      <c r="AR1371" s="52"/>
      <c r="AS1371" s="52"/>
      <c r="AT1371" s="52"/>
      <c r="AU1371" s="52"/>
      <c r="AV1371" s="52"/>
      <c r="AW1371" s="52"/>
      <c r="AX1371" s="52"/>
      <c r="AY1371" s="52"/>
      <c r="AZ1371" s="52"/>
      <c r="BA1371" s="52"/>
      <c r="BB1371" s="52"/>
      <c r="BC1371" s="52"/>
      <c r="BD1371" s="52"/>
      <c r="BE1371" s="52"/>
      <c r="BF1371" s="52"/>
      <c r="BG1371" s="52"/>
      <c r="BH1371" s="52"/>
      <c r="BI1371" s="52"/>
      <c r="BJ1371" s="52"/>
      <c r="BK1371" s="52"/>
      <c r="BL1371" s="52"/>
      <c r="BM1371" s="52"/>
      <c r="BN1371" s="52"/>
      <c r="BO1371" s="52"/>
    </row>
    <row r="1372">
      <c r="B1372" s="49"/>
      <c r="C1372" s="49" t="str">
        <f t="shared" si="2"/>
        <v/>
      </c>
      <c r="D1372" s="50" t="str">
        <f t="shared" si="3"/>
        <v/>
      </c>
      <c r="E1372" s="51" t="str">
        <f t="shared" ref="E1372:T1372" si="1373">IFERROR(VLOOKUP($A1372,INDIRECT("'" &amp; E$1 &amp; "'!$C:$G"), 5, FALSE),"")</f>
        <v/>
      </c>
      <c r="F1372" s="51" t="str">
        <f t="shared" si="1373"/>
        <v/>
      </c>
      <c r="G1372" s="51" t="str">
        <f t="shared" si="1373"/>
        <v/>
      </c>
      <c r="H1372" s="51" t="str">
        <f t="shared" si="1373"/>
        <v/>
      </c>
      <c r="I1372" s="51" t="str">
        <f t="shared" si="1373"/>
        <v/>
      </c>
      <c r="J1372" s="51" t="str">
        <f t="shared" si="1373"/>
        <v/>
      </c>
      <c r="K1372" s="51" t="str">
        <f t="shared" si="1373"/>
        <v/>
      </c>
      <c r="L1372" s="51" t="str">
        <f t="shared" si="1373"/>
        <v/>
      </c>
      <c r="M1372" s="51" t="str">
        <f t="shared" si="1373"/>
        <v/>
      </c>
      <c r="N1372" s="51" t="str">
        <f t="shared" si="1373"/>
        <v/>
      </c>
      <c r="O1372" s="51" t="str">
        <f t="shared" si="1373"/>
        <v/>
      </c>
      <c r="P1372" s="51" t="str">
        <f t="shared" si="1373"/>
        <v/>
      </c>
      <c r="Q1372" s="51" t="str">
        <f t="shared" si="1373"/>
        <v/>
      </c>
      <c r="R1372" s="51" t="str">
        <f t="shared" si="1373"/>
        <v/>
      </c>
      <c r="S1372" s="51" t="str">
        <f t="shared" si="1373"/>
        <v/>
      </c>
      <c r="T1372" s="51" t="str">
        <f t="shared" si="1373"/>
        <v/>
      </c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2"/>
      <c r="AE1372" s="52"/>
      <c r="AF1372" s="52"/>
      <c r="AG1372" s="52"/>
      <c r="AH1372" s="52"/>
      <c r="AI1372" s="52"/>
      <c r="AJ1372" s="52"/>
      <c r="AK1372" s="52"/>
      <c r="AL1372" s="52"/>
      <c r="AM1372" s="52"/>
      <c r="AN1372" s="52"/>
      <c r="AO1372" s="52"/>
      <c r="AP1372" s="52"/>
      <c r="AQ1372" s="52"/>
      <c r="AR1372" s="52"/>
      <c r="AS1372" s="52"/>
      <c r="AT1372" s="52"/>
      <c r="AU1372" s="52"/>
      <c r="AV1372" s="52"/>
      <c r="AW1372" s="52"/>
      <c r="AX1372" s="52"/>
      <c r="AY1372" s="52"/>
      <c r="AZ1372" s="52"/>
      <c r="BA1372" s="52"/>
      <c r="BB1372" s="52"/>
      <c r="BC1372" s="52"/>
      <c r="BD1372" s="52"/>
      <c r="BE1372" s="52"/>
      <c r="BF1372" s="52"/>
      <c r="BG1372" s="52"/>
      <c r="BH1372" s="52"/>
      <c r="BI1372" s="52"/>
      <c r="BJ1372" s="52"/>
      <c r="BK1372" s="52"/>
      <c r="BL1372" s="52"/>
      <c r="BM1372" s="52"/>
      <c r="BN1372" s="52"/>
      <c r="BO1372" s="52"/>
    </row>
    <row r="1373">
      <c r="B1373" s="49"/>
      <c r="C1373" s="49" t="str">
        <f t="shared" si="2"/>
        <v/>
      </c>
      <c r="D1373" s="50" t="str">
        <f t="shared" si="3"/>
        <v/>
      </c>
      <c r="E1373" s="51" t="str">
        <f t="shared" ref="E1373:T1373" si="1374">IFERROR(VLOOKUP($A1373,INDIRECT("'" &amp; E$1 &amp; "'!$C:$G"), 5, FALSE),"")</f>
        <v/>
      </c>
      <c r="F1373" s="51" t="str">
        <f t="shared" si="1374"/>
        <v/>
      </c>
      <c r="G1373" s="51" t="str">
        <f t="shared" si="1374"/>
        <v/>
      </c>
      <c r="H1373" s="51" t="str">
        <f t="shared" si="1374"/>
        <v/>
      </c>
      <c r="I1373" s="51" t="str">
        <f t="shared" si="1374"/>
        <v/>
      </c>
      <c r="J1373" s="51" t="str">
        <f t="shared" si="1374"/>
        <v/>
      </c>
      <c r="K1373" s="51" t="str">
        <f t="shared" si="1374"/>
        <v/>
      </c>
      <c r="L1373" s="51" t="str">
        <f t="shared" si="1374"/>
        <v/>
      </c>
      <c r="M1373" s="51" t="str">
        <f t="shared" si="1374"/>
        <v/>
      </c>
      <c r="N1373" s="51" t="str">
        <f t="shared" si="1374"/>
        <v/>
      </c>
      <c r="O1373" s="51" t="str">
        <f t="shared" si="1374"/>
        <v/>
      </c>
      <c r="P1373" s="51" t="str">
        <f t="shared" si="1374"/>
        <v/>
      </c>
      <c r="Q1373" s="51" t="str">
        <f t="shared" si="1374"/>
        <v/>
      </c>
      <c r="R1373" s="51" t="str">
        <f t="shared" si="1374"/>
        <v/>
      </c>
      <c r="S1373" s="51" t="str">
        <f t="shared" si="1374"/>
        <v/>
      </c>
      <c r="T1373" s="51" t="str">
        <f t="shared" si="1374"/>
        <v/>
      </c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2"/>
      <c r="AE1373" s="52"/>
      <c r="AF1373" s="52"/>
      <c r="AG1373" s="52"/>
      <c r="AH1373" s="52"/>
      <c r="AI1373" s="52"/>
      <c r="AJ1373" s="52"/>
      <c r="AK1373" s="52"/>
      <c r="AL1373" s="52"/>
      <c r="AM1373" s="52"/>
      <c r="AN1373" s="52"/>
      <c r="AO1373" s="52"/>
      <c r="AP1373" s="52"/>
      <c r="AQ1373" s="52"/>
      <c r="AR1373" s="52"/>
      <c r="AS1373" s="52"/>
      <c r="AT1373" s="52"/>
      <c r="AU1373" s="52"/>
      <c r="AV1373" s="52"/>
      <c r="AW1373" s="52"/>
      <c r="AX1373" s="52"/>
      <c r="AY1373" s="52"/>
      <c r="AZ1373" s="52"/>
      <c r="BA1373" s="52"/>
      <c r="BB1373" s="52"/>
      <c r="BC1373" s="52"/>
      <c r="BD1373" s="52"/>
      <c r="BE1373" s="52"/>
      <c r="BF1373" s="52"/>
      <c r="BG1373" s="52"/>
      <c r="BH1373" s="52"/>
      <c r="BI1373" s="52"/>
      <c r="BJ1373" s="52"/>
      <c r="BK1373" s="52"/>
      <c r="BL1373" s="52"/>
      <c r="BM1373" s="52"/>
      <c r="BN1373" s="52"/>
      <c r="BO1373" s="52"/>
    </row>
    <row r="1374">
      <c r="B1374" s="49"/>
      <c r="C1374" s="49" t="str">
        <f t="shared" si="2"/>
        <v/>
      </c>
      <c r="D1374" s="50" t="str">
        <f t="shared" si="3"/>
        <v/>
      </c>
      <c r="E1374" s="51" t="str">
        <f t="shared" ref="E1374:T1374" si="1375">IFERROR(VLOOKUP($A1374,INDIRECT("'" &amp; E$1 &amp; "'!$C:$G"), 5, FALSE),"")</f>
        <v/>
      </c>
      <c r="F1374" s="51" t="str">
        <f t="shared" si="1375"/>
        <v/>
      </c>
      <c r="G1374" s="51" t="str">
        <f t="shared" si="1375"/>
        <v/>
      </c>
      <c r="H1374" s="51" t="str">
        <f t="shared" si="1375"/>
        <v/>
      </c>
      <c r="I1374" s="51" t="str">
        <f t="shared" si="1375"/>
        <v/>
      </c>
      <c r="J1374" s="51" t="str">
        <f t="shared" si="1375"/>
        <v/>
      </c>
      <c r="K1374" s="51" t="str">
        <f t="shared" si="1375"/>
        <v/>
      </c>
      <c r="L1374" s="51" t="str">
        <f t="shared" si="1375"/>
        <v/>
      </c>
      <c r="M1374" s="51" t="str">
        <f t="shared" si="1375"/>
        <v/>
      </c>
      <c r="N1374" s="51" t="str">
        <f t="shared" si="1375"/>
        <v/>
      </c>
      <c r="O1374" s="51" t="str">
        <f t="shared" si="1375"/>
        <v/>
      </c>
      <c r="P1374" s="51" t="str">
        <f t="shared" si="1375"/>
        <v/>
      </c>
      <c r="Q1374" s="51" t="str">
        <f t="shared" si="1375"/>
        <v/>
      </c>
      <c r="R1374" s="51" t="str">
        <f t="shared" si="1375"/>
        <v/>
      </c>
      <c r="S1374" s="51" t="str">
        <f t="shared" si="1375"/>
        <v/>
      </c>
      <c r="T1374" s="51" t="str">
        <f t="shared" si="1375"/>
        <v/>
      </c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2"/>
      <c r="AE1374" s="52"/>
      <c r="AF1374" s="52"/>
      <c r="AG1374" s="52"/>
      <c r="AH1374" s="52"/>
      <c r="AI1374" s="52"/>
      <c r="AJ1374" s="52"/>
      <c r="AK1374" s="52"/>
      <c r="AL1374" s="52"/>
      <c r="AM1374" s="52"/>
      <c r="AN1374" s="52"/>
      <c r="AO1374" s="52"/>
      <c r="AP1374" s="52"/>
      <c r="AQ1374" s="52"/>
      <c r="AR1374" s="52"/>
      <c r="AS1374" s="52"/>
      <c r="AT1374" s="52"/>
      <c r="AU1374" s="52"/>
      <c r="AV1374" s="52"/>
      <c r="AW1374" s="52"/>
      <c r="AX1374" s="52"/>
      <c r="AY1374" s="52"/>
      <c r="AZ1374" s="52"/>
      <c r="BA1374" s="52"/>
      <c r="BB1374" s="52"/>
      <c r="BC1374" s="52"/>
      <c r="BD1374" s="52"/>
      <c r="BE1374" s="52"/>
      <c r="BF1374" s="52"/>
      <c r="BG1374" s="52"/>
      <c r="BH1374" s="52"/>
      <c r="BI1374" s="52"/>
      <c r="BJ1374" s="52"/>
      <c r="BK1374" s="52"/>
      <c r="BL1374" s="52"/>
      <c r="BM1374" s="52"/>
      <c r="BN1374" s="52"/>
      <c r="BO1374" s="52"/>
    </row>
    <row r="1375">
      <c r="B1375" s="49"/>
      <c r="C1375" s="49" t="str">
        <f t="shared" si="2"/>
        <v/>
      </c>
      <c r="D1375" s="50" t="str">
        <f t="shared" si="3"/>
        <v/>
      </c>
      <c r="E1375" s="51" t="str">
        <f t="shared" ref="E1375:T1375" si="1376">IFERROR(VLOOKUP($A1375,INDIRECT("'" &amp; E$1 &amp; "'!$C:$G"), 5, FALSE),"")</f>
        <v/>
      </c>
      <c r="F1375" s="51" t="str">
        <f t="shared" si="1376"/>
        <v/>
      </c>
      <c r="G1375" s="51" t="str">
        <f t="shared" si="1376"/>
        <v/>
      </c>
      <c r="H1375" s="51" t="str">
        <f t="shared" si="1376"/>
        <v/>
      </c>
      <c r="I1375" s="51" t="str">
        <f t="shared" si="1376"/>
        <v/>
      </c>
      <c r="J1375" s="51" t="str">
        <f t="shared" si="1376"/>
        <v/>
      </c>
      <c r="K1375" s="51" t="str">
        <f t="shared" si="1376"/>
        <v/>
      </c>
      <c r="L1375" s="51" t="str">
        <f t="shared" si="1376"/>
        <v/>
      </c>
      <c r="M1375" s="51" t="str">
        <f t="shared" si="1376"/>
        <v/>
      </c>
      <c r="N1375" s="51" t="str">
        <f t="shared" si="1376"/>
        <v/>
      </c>
      <c r="O1375" s="51" t="str">
        <f t="shared" si="1376"/>
        <v/>
      </c>
      <c r="P1375" s="51" t="str">
        <f t="shared" si="1376"/>
        <v/>
      </c>
      <c r="Q1375" s="51" t="str">
        <f t="shared" si="1376"/>
        <v/>
      </c>
      <c r="R1375" s="51" t="str">
        <f t="shared" si="1376"/>
        <v/>
      </c>
      <c r="S1375" s="51" t="str">
        <f t="shared" si="1376"/>
        <v/>
      </c>
      <c r="T1375" s="51" t="str">
        <f t="shared" si="1376"/>
        <v/>
      </c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2"/>
      <c r="AE1375" s="52"/>
      <c r="AF1375" s="52"/>
      <c r="AG1375" s="52"/>
      <c r="AH1375" s="52"/>
      <c r="AI1375" s="52"/>
      <c r="AJ1375" s="52"/>
      <c r="AK1375" s="52"/>
      <c r="AL1375" s="52"/>
      <c r="AM1375" s="52"/>
      <c r="AN1375" s="52"/>
      <c r="AO1375" s="52"/>
      <c r="AP1375" s="52"/>
      <c r="AQ1375" s="52"/>
      <c r="AR1375" s="52"/>
      <c r="AS1375" s="52"/>
      <c r="AT1375" s="52"/>
      <c r="AU1375" s="52"/>
      <c r="AV1375" s="52"/>
      <c r="AW1375" s="52"/>
      <c r="AX1375" s="52"/>
      <c r="AY1375" s="52"/>
      <c r="AZ1375" s="52"/>
      <c r="BA1375" s="52"/>
      <c r="BB1375" s="52"/>
      <c r="BC1375" s="52"/>
      <c r="BD1375" s="52"/>
      <c r="BE1375" s="52"/>
      <c r="BF1375" s="52"/>
      <c r="BG1375" s="52"/>
      <c r="BH1375" s="52"/>
      <c r="BI1375" s="52"/>
      <c r="BJ1375" s="52"/>
      <c r="BK1375" s="52"/>
      <c r="BL1375" s="52"/>
      <c r="BM1375" s="52"/>
      <c r="BN1375" s="52"/>
      <c r="BO1375" s="52"/>
    </row>
    <row r="1376">
      <c r="B1376" s="49"/>
      <c r="C1376" s="49" t="str">
        <f t="shared" si="2"/>
        <v/>
      </c>
      <c r="D1376" s="50" t="str">
        <f t="shared" si="3"/>
        <v/>
      </c>
      <c r="E1376" s="51" t="str">
        <f t="shared" ref="E1376:T1376" si="1377">IFERROR(VLOOKUP($A1376,INDIRECT("'" &amp; E$1 &amp; "'!$C:$G"), 5, FALSE),"")</f>
        <v/>
      </c>
      <c r="F1376" s="51" t="str">
        <f t="shared" si="1377"/>
        <v/>
      </c>
      <c r="G1376" s="51" t="str">
        <f t="shared" si="1377"/>
        <v/>
      </c>
      <c r="H1376" s="51" t="str">
        <f t="shared" si="1377"/>
        <v/>
      </c>
      <c r="I1376" s="51" t="str">
        <f t="shared" si="1377"/>
        <v/>
      </c>
      <c r="J1376" s="51" t="str">
        <f t="shared" si="1377"/>
        <v/>
      </c>
      <c r="K1376" s="51" t="str">
        <f t="shared" si="1377"/>
        <v/>
      </c>
      <c r="L1376" s="51" t="str">
        <f t="shared" si="1377"/>
        <v/>
      </c>
      <c r="M1376" s="51" t="str">
        <f t="shared" si="1377"/>
        <v/>
      </c>
      <c r="N1376" s="51" t="str">
        <f t="shared" si="1377"/>
        <v/>
      </c>
      <c r="O1376" s="51" t="str">
        <f t="shared" si="1377"/>
        <v/>
      </c>
      <c r="P1376" s="51" t="str">
        <f t="shared" si="1377"/>
        <v/>
      </c>
      <c r="Q1376" s="51" t="str">
        <f t="shared" si="1377"/>
        <v/>
      </c>
      <c r="R1376" s="51" t="str">
        <f t="shared" si="1377"/>
        <v/>
      </c>
      <c r="S1376" s="51" t="str">
        <f t="shared" si="1377"/>
        <v/>
      </c>
      <c r="T1376" s="51" t="str">
        <f t="shared" si="1377"/>
        <v/>
      </c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2"/>
      <c r="AE1376" s="52"/>
      <c r="AF1376" s="52"/>
      <c r="AG1376" s="52"/>
      <c r="AH1376" s="52"/>
      <c r="AI1376" s="52"/>
      <c r="AJ1376" s="52"/>
      <c r="AK1376" s="52"/>
      <c r="AL1376" s="52"/>
      <c r="AM1376" s="52"/>
      <c r="AN1376" s="52"/>
      <c r="AO1376" s="52"/>
      <c r="AP1376" s="52"/>
      <c r="AQ1376" s="52"/>
      <c r="AR1376" s="52"/>
      <c r="AS1376" s="52"/>
      <c r="AT1376" s="52"/>
      <c r="AU1376" s="52"/>
      <c r="AV1376" s="52"/>
      <c r="AW1376" s="52"/>
      <c r="AX1376" s="52"/>
      <c r="AY1376" s="52"/>
      <c r="AZ1376" s="52"/>
      <c r="BA1376" s="52"/>
      <c r="BB1376" s="52"/>
      <c r="BC1376" s="52"/>
      <c r="BD1376" s="52"/>
      <c r="BE1376" s="52"/>
      <c r="BF1376" s="52"/>
      <c r="BG1376" s="52"/>
      <c r="BH1376" s="52"/>
      <c r="BI1376" s="52"/>
      <c r="BJ1376" s="52"/>
      <c r="BK1376" s="52"/>
      <c r="BL1376" s="52"/>
      <c r="BM1376" s="52"/>
      <c r="BN1376" s="52"/>
      <c r="BO1376" s="52"/>
    </row>
    <row r="1377">
      <c r="B1377" s="49"/>
      <c r="C1377" s="49" t="str">
        <f t="shared" si="2"/>
        <v/>
      </c>
      <c r="D1377" s="50" t="str">
        <f t="shared" si="3"/>
        <v/>
      </c>
      <c r="E1377" s="51" t="str">
        <f t="shared" ref="E1377:T1377" si="1378">IFERROR(VLOOKUP($A1377,INDIRECT("'" &amp; E$1 &amp; "'!$C:$G"), 5, FALSE),"")</f>
        <v/>
      </c>
      <c r="F1377" s="51" t="str">
        <f t="shared" si="1378"/>
        <v/>
      </c>
      <c r="G1377" s="51" t="str">
        <f t="shared" si="1378"/>
        <v/>
      </c>
      <c r="H1377" s="51" t="str">
        <f t="shared" si="1378"/>
        <v/>
      </c>
      <c r="I1377" s="51" t="str">
        <f t="shared" si="1378"/>
        <v/>
      </c>
      <c r="J1377" s="51" t="str">
        <f t="shared" si="1378"/>
        <v/>
      </c>
      <c r="K1377" s="51" t="str">
        <f t="shared" si="1378"/>
        <v/>
      </c>
      <c r="L1377" s="51" t="str">
        <f t="shared" si="1378"/>
        <v/>
      </c>
      <c r="M1377" s="51" t="str">
        <f t="shared" si="1378"/>
        <v/>
      </c>
      <c r="N1377" s="51" t="str">
        <f t="shared" si="1378"/>
        <v/>
      </c>
      <c r="O1377" s="51" t="str">
        <f t="shared" si="1378"/>
        <v/>
      </c>
      <c r="P1377" s="51" t="str">
        <f t="shared" si="1378"/>
        <v/>
      </c>
      <c r="Q1377" s="51" t="str">
        <f t="shared" si="1378"/>
        <v/>
      </c>
      <c r="R1377" s="51" t="str">
        <f t="shared" si="1378"/>
        <v/>
      </c>
      <c r="S1377" s="51" t="str">
        <f t="shared" si="1378"/>
        <v/>
      </c>
      <c r="T1377" s="51" t="str">
        <f t="shared" si="1378"/>
        <v/>
      </c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2"/>
      <c r="AE1377" s="52"/>
      <c r="AF1377" s="52"/>
      <c r="AG1377" s="52"/>
      <c r="AH1377" s="52"/>
      <c r="AI1377" s="52"/>
      <c r="AJ1377" s="52"/>
      <c r="AK1377" s="52"/>
      <c r="AL1377" s="52"/>
      <c r="AM1377" s="52"/>
      <c r="AN1377" s="52"/>
      <c r="AO1377" s="52"/>
      <c r="AP1377" s="52"/>
      <c r="AQ1377" s="52"/>
      <c r="AR1377" s="52"/>
      <c r="AS1377" s="52"/>
      <c r="AT1377" s="52"/>
      <c r="AU1377" s="52"/>
      <c r="AV1377" s="52"/>
      <c r="AW1377" s="52"/>
      <c r="AX1377" s="52"/>
      <c r="AY1377" s="52"/>
      <c r="AZ1377" s="52"/>
      <c r="BA1377" s="52"/>
      <c r="BB1377" s="52"/>
      <c r="BC1377" s="52"/>
      <c r="BD1377" s="52"/>
      <c r="BE1377" s="52"/>
      <c r="BF1377" s="52"/>
      <c r="BG1377" s="52"/>
      <c r="BH1377" s="52"/>
      <c r="BI1377" s="52"/>
      <c r="BJ1377" s="52"/>
      <c r="BK1377" s="52"/>
      <c r="BL1377" s="52"/>
      <c r="BM1377" s="52"/>
      <c r="BN1377" s="52"/>
      <c r="BO1377" s="52"/>
    </row>
    <row r="1378">
      <c r="B1378" s="49"/>
      <c r="C1378" s="49" t="str">
        <f t="shared" si="2"/>
        <v/>
      </c>
      <c r="D1378" s="50" t="str">
        <f t="shared" si="3"/>
        <v/>
      </c>
      <c r="E1378" s="51" t="str">
        <f t="shared" ref="E1378:T1378" si="1379">IFERROR(VLOOKUP($A1378,INDIRECT("'" &amp; E$1 &amp; "'!$C:$G"), 5, FALSE),"")</f>
        <v/>
      </c>
      <c r="F1378" s="51" t="str">
        <f t="shared" si="1379"/>
        <v/>
      </c>
      <c r="G1378" s="51" t="str">
        <f t="shared" si="1379"/>
        <v/>
      </c>
      <c r="H1378" s="51" t="str">
        <f t="shared" si="1379"/>
        <v/>
      </c>
      <c r="I1378" s="51" t="str">
        <f t="shared" si="1379"/>
        <v/>
      </c>
      <c r="J1378" s="51" t="str">
        <f t="shared" si="1379"/>
        <v/>
      </c>
      <c r="K1378" s="51" t="str">
        <f t="shared" si="1379"/>
        <v/>
      </c>
      <c r="L1378" s="51" t="str">
        <f t="shared" si="1379"/>
        <v/>
      </c>
      <c r="M1378" s="51" t="str">
        <f t="shared" si="1379"/>
        <v/>
      </c>
      <c r="N1378" s="51" t="str">
        <f t="shared" si="1379"/>
        <v/>
      </c>
      <c r="O1378" s="51" t="str">
        <f t="shared" si="1379"/>
        <v/>
      </c>
      <c r="P1378" s="51" t="str">
        <f t="shared" si="1379"/>
        <v/>
      </c>
      <c r="Q1378" s="51" t="str">
        <f t="shared" si="1379"/>
        <v/>
      </c>
      <c r="R1378" s="51" t="str">
        <f t="shared" si="1379"/>
        <v/>
      </c>
      <c r="S1378" s="51" t="str">
        <f t="shared" si="1379"/>
        <v/>
      </c>
      <c r="T1378" s="51" t="str">
        <f t="shared" si="1379"/>
        <v/>
      </c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2"/>
      <c r="AE1378" s="52"/>
      <c r="AF1378" s="52"/>
      <c r="AG1378" s="52"/>
      <c r="AH1378" s="52"/>
      <c r="AI1378" s="52"/>
      <c r="AJ1378" s="52"/>
      <c r="AK1378" s="52"/>
      <c r="AL1378" s="52"/>
      <c r="AM1378" s="52"/>
      <c r="AN1378" s="52"/>
      <c r="AO1378" s="52"/>
      <c r="AP1378" s="52"/>
      <c r="AQ1378" s="52"/>
      <c r="AR1378" s="52"/>
      <c r="AS1378" s="52"/>
      <c r="AT1378" s="52"/>
      <c r="AU1378" s="52"/>
      <c r="AV1378" s="52"/>
      <c r="AW1378" s="52"/>
      <c r="AX1378" s="52"/>
      <c r="AY1378" s="52"/>
      <c r="AZ1378" s="52"/>
      <c r="BA1378" s="52"/>
      <c r="BB1378" s="52"/>
      <c r="BC1378" s="52"/>
      <c r="BD1378" s="52"/>
      <c r="BE1378" s="52"/>
      <c r="BF1378" s="52"/>
      <c r="BG1378" s="52"/>
      <c r="BH1378" s="52"/>
      <c r="BI1378" s="52"/>
      <c r="BJ1378" s="52"/>
      <c r="BK1378" s="52"/>
      <c r="BL1378" s="52"/>
      <c r="BM1378" s="52"/>
      <c r="BN1378" s="52"/>
      <c r="BO1378" s="52"/>
    </row>
    <row r="1379">
      <c r="B1379" s="49"/>
      <c r="C1379" s="49" t="str">
        <f t="shared" si="2"/>
        <v/>
      </c>
      <c r="D1379" s="50" t="str">
        <f t="shared" si="3"/>
        <v/>
      </c>
      <c r="E1379" s="51" t="str">
        <f t="shared" ref="E1379:T1379" si="1380">IFERROR(VLOOKUP($A1379,INDIRECT("'" &amp; E$1 &amp; "'!$C:$G"), 5, FALSE),"")</f>
        <v/>
      </c>
      <c r="F1379" s="51" t="str">
        <f t="shared" si="1380"/>
        <v/>
      </c>
      <c r="G1379" s="51" t="str">
        <f t="shared" si="1380"/>
        <v/>
      </c>
      <c r="H1379" s="51" t="str">
        <f t="shared" si="1380"/>
        <v/>
      </c>
      <c r="I1379" s="51" t="str">
        <f t="shared" si="1380"/>
        <v/>
      </c>
      <c r="J1379" s="51" t="str">
        <f t="shared" si="1380"/>
        <v/>
      </c>
      <c r="K1379" s="51" t="str">
        <f t="shared" si="1380"/>
        <v/>
      </c>
      <c r="L1379" s="51" t="str">
        <f t="shared" si="1380"/>
        <v/>
      </c>
      <c r="M1379" s="51" t="str">
        <f t="shared" si="1380"/>
        <v/>
      </c>
      <c r="N1379" s="51" t="str">
        <f t="shared" si="1380"/>
        <v/>
      </c>
      <c r="O1379" s="51" t="str">
        <f t="shared" si="1380"/>
        <v/>
      </c>
      <c r="P1379" s="51" t="str">
        <f t="shared" si="1380"/>
        <v/>
      </c>
      <c r="Q1379" s="51" t="str">
        <f t="shared" si="1380"/>
        <v/>
      </c>
      <c r="R1379" s="51" t="str">
        <f t="shared" si="1380"/>
        <v/>
      </c>
      <c r="S1379" s="51" t="str">
        <f t="shared" si="1380"/>
        <v/>
      </c>
      <c r="T1379" s="51" t="str">
        <f t="shared" si="1380"/>
        <v/>
      </c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I1379" s="52"/>
      <c r="AJ1379" s="52"/>
      <c r="AK1379" s="52"/>
      <c r="AL1379" s="52"/>
      <c r="AM1379" s="52"/>
      <c r="AN1379" s="52"/>
      <c r="AO1379" s="52"/>
      <c r="AP1379" s="52"/>
      <c r="AQ1379" s="52"/>
      <c r="AR1379" s="52"/>
      <c r="AS1379" s="52"/>
      <c r="AT1379" s="52"/>
      <c r="AU1379" s="52"/>
      <c r="AV1379" s="52"/>
      <c r="AW1379" s="52"/>
      <c r="AX1379" s="52"/>
      <c r="AY1379" s="52"/>
      <c r="AZ1379" s="52"/>
      <c r="BA1379" s="52"/>
      <c r="BB1379" s="52"/>
      <c r="BC1379" s="52"/>
      <c r="BD1379" s="52"/>
      <c r="BE1379" s="52"/>
      <c r="BF1379" s="52"/>
      <c r="BG1379" s="52"/>
      <c r="BH1379" s="52"/>
      <c r="BI1379" s="52"/>
      <c r="BJ1379" s="52"/>
      <c r="BK1379" s="52"/>
      <c r="BL1379" s="52"/>
      <c r="BM1379" s="52"/>
      <c r="BN1379" s="52"/>
      <c r="BO1379" s="52"/>
    </row>
    <row r="1380">
      <c r="B1380" s="49"/>
      <c r="C1380" s="49" t="str">
        <f t="shared" si="2"/>
        <v/>
      </c>
      <c r="D1380" s="50" t="str">
        <f t="shared" si="3"/>
        <v/>
      </c>
      <c r="E1380" s="51" t="str">
        <f t="shared" ref="E1380:T1380" si="1381">IFERROR(VLOOKUP($A1380,INDIRECT("'" &amp; E$1 &amp; "'!$C:$G"), 5, FALSE),"")</f>
        <v/>
      </c>
      <c r="F1380" s="51" t="str">
        <f t="shared" si="1381"/>
        <v/>
      </c>
      <c r="G1380" s="51" t="str">
        <f t="shared" si="1381"/>
        <v/>
      </c>
      <c r="H1380" s="51" t="str">
        <f t="shared" si="1381"/>
        <v/>
      </c>
      <c r="I1380" s="51" t="str">
        <f t="shared" si="1381"/>
        <v/>
      </c>
      <c r="J1380" s="51" t="str">
        <f t="shared" si="1381"/>
        <v/>
      </c>
      <c r="K1380" s="51" t="str">
        <f t="shared" si="1381"/>
        <v/>
      </c>
      <c r="L1380" s="51" t="str">
        <f t="shared" si="1381"/>
        <v/>
      </c>
      <c r="M1380" s="51" t="str">
        <f t="shared" si="1381"/>
        <v/>
      </c>
      <c r="N1380" s="51" t="str">
        <f t="shared" si="1381"/>
        <v/>
      </c>
      <c r="O1380" s="51" t="str">
        <f t="shared" si="1381"/>
        <v/>
      </c>
      <c r="P1380" s="51" t="str">
        <f t="shared" si="1381"/>
        <v/>
      </c>
      <c r="Q1380" s="51" t="str">
        <f t="shared" si="1381"/>
        <v/>
      </c>
      <c r="R1380" s="51" t="str">
        <f t="shared" si="1381"/>
        <v/>
      </c>
      <c r="S1380" s="51" t="str">
        <f t="shared" si="1381"/>
        <v/>
      </c>
      <c r="T1380" s="51" t="str">
        <f t="shared" si="1381"/>
        <v/>
      </c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I1380" s="52"/>
      <c r="AJ1380" s="52"/>
      <c r="AK1380" s="52"/>
      <c r="AL1380" s="52"/>
      <c r="AM1380" s="52"/>
      <c r="AN1380" s="52"/>
      <c r="AO1380" s="52"/>
      <c r="AP1380" s="52"/>
      <c r="AQ1380" s="52"/>
      <c r="AR1380" s="52"/>
      <c r="AS1380" s="52"/>
      <c r="AT1380" s="52"/>
      <c r="AU1380" s="52"/>
      <c r="AV1380" s="52"/>
      <c r="AW1380" s="52"/>
      <c r="AX1380" s="52"/>
      <c r="AY1380" s="52"/>
      <c r="AZ1380" s="52"/>
      <c r="BA1380" s="52"/>
      <c r="BB1380" s="52"/>
      <c r="BC1380" s="52"/>
      <c r="BD1380" s="52"/>
      <c r="BE1380" s="52"/>
      <c r="BF1380" s="52"/>
      <c r="BG1380" s="52"/>
      <c r="BH1380" s="52"/>
      <c r="BI1380" s="52"/>
      <c r="BJ1380" s="52"/>
      <c r="BK1380" s="52"/>
      <c r="BL1380" s="52"/>
      <c r="BM1380" s="52"/>
      <c r="BN1380" s="52"/>
      <c r="BO1380" s="52"/>
    </row>
    <row r="1381">
      <c r="B1381" s="49"/>
      <c r="C1381" s="49" t="str">
        <f t="shared" si="2"/>
        <v/>
      </c>
      <c r="D1381" s="50" t="str">
        <f t="shared" si="3"/>
        <v/>
      </c>
      <c r="E1381" s="51" t="str">
        <f t="shared" ref="E1381:T1381" si="1382">IFERROR(VLOOKUP($A1381,INDIRECT("'" &amp; E$1 &amp; "'!$C:$G"), 5, FALSE),"")</f>
        <v/>
      </c>
      <c r="F1381" s="51" t="str">
        <f t="shared" si="1382"/>
        <v/>
      </c>
      <c r="G1381" s="51" t="str">
        <f t="shared" si="1382"/>
        <v/>
      </c>
      <c r="H1381" s="51" t="str">
        <f t="shared" si="1382"/>
        <v/>
      </c>
      <c r="I1381" s="51" t="str">
        <f t="shared" si="1382"/>
        <v/>
      </c>
      <c r="J1381" s="51" t="str">
        <f t="shared" si="1382"/>
        <v/>
      </c>
      <c r="K1381" s="51" t="str">
        <f t="shared" si="1382"/>
        <v/>
      </c>
      <c r="L1381" s="51" t="str">
        <f t="shared" si="1382"/>
        <v/>
      </c>
      <c r="M1381" s="51" t="str">
        <f t="shared" si="1382"/>
        <v/>
      </c>
      <c r="N1381" s="51" t="str">
        <f t="shared" si="1382"/>
        <v/>
      </c>
      <c r="O1381" s="51" t="str">
        <f t="shared" si="1382"/>
        <v/>
      </c>
      <c r="P1381" s="51" t="str">
        <f t="shared" si="1382"/>
        <v/>
      </c>
      <c r="Q1381" s="51" t="str">
        <f t="shared" si="1382"/>
        <v/>
      </c>
      <c r="R1381" s="51" t="str">
        <f t="shared" si="1382"/>
        <v/>
      </c>
      <c r="S1381" s="51" t="str">
        <f t="shared" si="1382"/>
        <v/>
      </c>
      <c r="T1381" s="51" t="str">
        <f t="shared" si="1382"/>
        <v/>
      </c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2"/>
      <c r="AE1381" s="52"/>
      <c r="AF1381" s="52"/>
      <c r="AG1381" s="52"/>
      <c r="AH1381" s="52"/>
      <c r="AI1381" s="52"/>
      <c r="AJ1381" s="52"/>
      <c r="AK1381" s="52"/>
      <c r="AL1381" s="52"/>
      <c r="AM1381" s="52"/>
      <c r="AN1381" s="52"/>
      <c r="AO1381" s="52"/>
      <c r="AP1381" s="52"/>
      <c r="AQ1381" s="52"/>
      <c r="AR1381" s="52"/>
      <c r="AS1381" s="52"/>
      <c r="AT1381" s="52"/>
      <c r="AU1381" s="52"/>
      <c r="AV1381" s="52"/>
      <c r="AW1381" s="52"/>
      <c r="AX1381" s="52"/>
      <c r="AY1381" s="52"/>
      <c r="AZ1381" s="52"/>
      <c r="BA1381" s="52"/>
      <c r="BB1381" s="52"/>
      <c r="BC1381" s="52"/>
      <c r="BD1381" s="52"/>
      <c r="BE1381" s="52"/>
      <c r="BF1381" s="52"/>
      <c r="BG1381" s="52"/>
      <c r="BH1381" s="52"/>
      <c r="BI1381" s="52"/>
      <c r="BJ1381" s="52"/>
      <c r="BK1381" s="52"/>
      <c r="BL1381" s="52"/>
      <c r="BM1381" s="52"/>
      <c r="BN1381" s="52"/>
      <c r="BO1381" s="52"/>
    </row>
    <row r="1382">
      <c r="B1382" s="49"/>
      <c r="C1382" s="49" t="str">
        <f t="shared" si="2"/>
        <v/>
      </c>
      <c r="D1382" s="50" t="str">
        <f t="shared" si="3"/>
        <v/>
      </c>
      <c r="E1382" s="51" t="str">
        <f t="shared" ref="E1382:T1382" si="1383">IFERROR(VLOOKUP($A1382,INDIRECT("'" &amp; E$1 &amp; "'!$C:$G"), 5, FALSE),"")</f>
        <v/>
      </c>
      <c r="F1382" s="51" t="str">
        <f t="shared" si="1383"/>
        <v/>
      </c>
      <c r="G1382" s="51" t="str">
        <f t="shared" si="1383"/>
        <v/>
      </c>
      <c r="H1382" s="51" t="str">
        <f t="shared" si="1383"/>
        <v/>
      </c>
      <c r="I1382" s="51" t="str">
        <f t="shared" si="1383"/>
        <v/>
      </c>
      <c r="J1382" s="51" t="str">
        <f t="shared" si="1383"/>
        <v/>
      </c>
      <c r="K1382" s="51" t="str">
        <f t="shared" si="1383"/>
        <v/>
      </c>
      <c r="L1382" s="51" t="str">
        <f t="shared" si="1383"/>
        <v/>
      </c>
      <c r="M1382" s="51" t="str">
        <f t="shared" si="1383"/>
        <v/>
      </c>
      <c r="N1382" s="51" t="str">
        <f t="shared" si="1383"/>
        <v/>
      </c>
      <c r="O1382" s="51" t="str">
        <f t="shared" si="1383"/>
        <v/>
      </c>
      <c r="P1382" s="51" t="str">
        <f t="shared" si="1383"/>
        <v/>
      </c>
      <c r="Q1382" s="51" t="str">
        <f t="shared" si="1383"/>
        <v/>
      </c>
      <c r="R1382" s="51" t="str">
        <f t="shared" si="1383"/>
        <v/>
      </c>
      <c r="S1382" s="51" t="str">
        <f t="shared" si="1383"/>
        <v/>
      </c>
      <c r="T1382" s="51" t="str">
        <f t="shared" si="1383"/>
        <v/>
      </c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2"/>
      <c r="AE1382" s="52"/>
      <c r="AF1382" s="52"/>
      <c r="AG1382" s="52"/>
      <c r="AH1382" s="52"/>
      <c r="AI1382" s="52"/>
      <c r="AJ1382" s="52"/>
      <c r="AK1382" s="52"/>
      <c r="AL1382" s="52"/>
      <c r="AM1382" s="52"/>
      <c r="AN1382" s="52"/>
      <c r="AO1382" s="52"/>
      <c r="AP1382" s="52"/>
      <c r="AQ1382" s="52"/>
      <c r="AR1382" s="52"/>
      <c r="AS1382" s="52"/>
      <c r="AT1382" s="52"/>
      <c r="AU1382" s="52"/>
      <c r="AV1382" s="52"/>
      <c r="AW1382" s="52"/>
      <c r="AX1382" s="52"/>
      <c r="AY1382" s="52"/>
      <c r="AZ1382" s="52"/>
      <c r="BA1382" s="52"/>
      <c r="BB1382" s="52"/>
      <c r="BC1382" s="52"/>
      <c r="BD1382" s="52"/>
      <c r="BE1382" s="52"/>
      <c r="BF1382" s="52"/>
      <c r="BG1382" s="52"/>
      <c r="BH1382" s="52"/>
      <c r="BI1382" s="52"/>
      <c r="BJ1382" s="52"/>
      <c r="BK1382" s="52"/>
      <c r="BL1382" s="52"/>
      <c r="BM1382" s="52"/>
      <c r="BN1382" s="52"/>
      <c r="BO1382" s="52"/>
    </row>
    <row r="1383">
      <c r="B1383" s="49"/>
      <c r="C1383" s="49" t="str">
        <f t="shared" si="2"/>
        <v/>
      </c>
      <c r="D1383" s="50" t="str">
        <f t="shared" si="3"/>
        <v/>
      </c>
      <c r="E1383" s="51" t="str">
        <f t="shared" ref="E1383:T1383" si="1384">IFERROR(VLOOKUP($A1383,INDIRECT("'" &amp; E$1 &amp; "'!$C:$G"), 5, FALSE),"")</f>
        <v/>
      </c>
      <c r="F1383" s="51" t="str">
        <f t="shared" si="1384"/>
        <v/>
      </c>
      <c r="G1383" s="51" t="str">
        <f t="shared" si="1384"/>
        <v/>
      </c>
      <c r="H1383" s="51" t="str">
        <f t="shared" si="1384"/>
        <v/>
      </c>
      <c r="I1383" s="51" t="str">
        <f t="shared" si="1384"/>
        <v/>
      </c>
      <c r="J1383" s="51" t="str">
        <f t="shared" si="1384"/>
        <v/>
      </c>
      <c r="K1383" s="51" t="str">
        <f t="shared" si="1384"/>
        <v/>
      </c>
      <c r="L1383" s="51" t="str">
        <f t="shared" si="1384"/>
        <v/>
      </c>
      <c r="M1383" s="51" t="str">
        <f t="shared" si="1384"/>
        <v/>
      </c>
      <c r="N1383" s="51" t="str">
        <f t="shared" si="1384"/>
        <v/>
      </c>
      <c r="O1383" s="51" t="str">
        <f t="shared" si="1384"/>
        <v/>
      </c>
      <c r="P1383" s="51" t="str">
        <f t="shared" si="1384"/>
        <v/>
      </c>
      <c r="Q1383" s="51" t="str">
        <f t="shared" si="1384"/>
        <v/>
      </c>
      <c r="R1383" s="51" t="str">
        <f t="shared" si="1384"/>
        <v/>
      </c>
      <c r="S1383" s="51" t="str">
        <f t="shared" si="1384"/>
        <v/>
      </c>
      <c r="T1383" s="51" t="str">
        <f t="shared" si="1384"/>
        <v/>
      </c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2"/>
      <c r="AE1383" s="52"/>
      <c r="AF1383" s="52"/>
      <c r="AG1383" s="52"/>
      <c r="AH1383" s="52"/>
      <c r="AI1383" s="52"/>
      <c r="AJ1383" s="52"/>
      <c r="AK1383" s="52"/>
      <c r="AL1383" s="52"/>
      <c r="AM1383" s="52"/>
      <c r="AN1383" s="52"/>
      <c r="AO1383" s="52"/>
      <c r="AP1383" s="52"/>
      <c r="AQ1383" s="52"/>
      <c r="AR1383" s="52"/>
      <c r="AS1383" s="52"/>
      <c r="AT1383" s="52"/>
      <c r="AU1383" s="52"/>
      <c r="AV1383" s="52"/>
      <c r="AW1383" s="52"/>
      <c r="AX1383" s="52"/>
      <c r="AY1383" s="52"/>
      <c r="AZ1383" s="52"/>
      <c r="BA1383" s="52"/>
      <c r="BB1383" s="52"/>
      <c r="BC1383" s="52"/>
      <c r="BD1383" s="52"/>
      <c r="BE1383" s="52"/>
      <c r="BF1383" s="52"/>
      <c r="BG1383" s="52"/>
      <c r="BH1383" s="52"/>
      <c r="BI1383" s="52"/>
      <c r="BJ1383" s="52"/>
      <c r="BK1383" s="52"/>
      <c r="BL1383" s="52"/>
      <c r="BM1383" s="52"/>
      <c r="BN1383" s="52"/>
      <c r="BO1383" s="52"/>
    </row>
    <row r="1384">
      <c r="B1384" s="49"/>
      <c r="C1384" s="49" t="str">
        <f t="shared" si="2"/>
        <v/>
      </c>
      <c r="D1384" s="50" t="str">
        <f t="shared" si="3"/>
        <v/>
      </c>
      <c r="E1384" s="51" t="str">
        <f t="shared" ref="E1384:T1384" si="1385">IFERROR(VLOOKUP($A1384,INDIRECT("'" &amp; E$1 &amp; "'!$C:$G"), 5, FALSE),"")</f>
        <v/>
      </c>
      <c r="F1384" s="51" t="str">
        <f t="shared" si="1385"/>
        <v/>
      </c>
      <c r="G1384" s="51" t="str">
        <f t="shared" si="1385"/>
        <v/>
      </c>
      <c r="H1384" s="51" t="str">
        <f t="shared" si="1385"/>
        <v/>
      </c>
      <c r="I1384" s="51" t="str">
        <f t="shared" si="1385"/>
        <v/>
      </c>
      <c r="J1384" s="51" t="str">
        <f t="shared" si="1385"/>
        <v/>
      </c>
      <c r="K1384" s="51" t="str">
        <f t="shared" si="1385"/>
        <v/>
      </c>
      <c r="L1384" s="51" t="str">
        <f t="shared" si="1385"/>
        <v/>
      </c>
      <c r="M1384" s="51" t="str">
        <f t="shared" si="1385"/>
        <v/>
      </c>
      <c r="N1384" s="51" t="str">
        <f t="shared" si="1385"/>
        <v/>
      </c>
      <c r="O1384" s="51" t="str">
        <f t="shared" si="1385"/>
        <v/>
      </c>
      <c r="P1384" s="51" t="str">
        <f t="shared" si="1385"/>
        <v/>
      </c>
      <c r="Q1384" s="51" t="str">
        <f t="shared" si="1385"/>
        <v/>
      </c>
      <c r="R1384" s="51" t="str">
        <f t="shared" si="1385"/>
        <v/>
      </c>
      <c r="S1384" s="51" t="str">
        <f t="shared" si="1385"/>
        <v/>
      </c>
      <c r="T1384" s="51" t="str">
        <f t="shared" si="1385"/>
        <v/>
      </c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2"/>
      <c r="AE1384" s="52"/>
      <c r="AF1384" s="52"/>
      <c r="AG1384" s="52"/>
      <c r="AH1384" s="52"/>
      <c r="AI1384" s="52"/>
      <c r="AJ1384" s="52"/>
      <c r="AK1384" s="52"/>
      <c r="AL1384" s="52"/>
      <c r="AM1384" s="52"/>
      <c r="AN1384" s="52"/>
      <c r="AO1384" s="52"/>
      <c r="AP1384" s="52"/>
      <c r="AQ1384" s="52"/>
      <c r="AR1384" s="52"/>
      <c r="AS1384" s="52"/>
      <c r="AT1384" s="52"/>
      <c r="AU1384" s="52"/>
      <c r="AV1384" s="52"/>
      <c r="AW1384" s="52"/>
      <c r="AX1384" s="52"/>
      <c r="AY1384" s="52"/>
      <c r="AZ1384" s="52"/>
      <c r="BA1384" s="52"/>
      <c r="BB1384" s="52"/>
      <c r="BC1384" s="52"/>
      <c r="BD1384" s="52"/>
      <c r="BE1384" s="52"/>
      <c r="BF1384" s="52"/>
      <c r="BG1384" s="52"/>
      <c r="BH1384" s="52"/>
      <c r="BI1384" s="52"/>
      <c r="BJ1384" s="52"/>
      <c r="BK1384" s="52"/>
      <c r="BL1384" s="52"/>
      <c r="BM1384" s="52"/>
      <c r="BN1384" s="52"/>
      <c r="BO1384" s="52"/>
    </row>
    <row r="1385">
      <c r="B1385" s="49"/>
      <c r="C1385" s="49" t="str">
        <f t="shared" si="2"/>
        <v/>
      </c>
      <c r="D1385" s="50" t="str">
        <f t="shared" si="3"/>
        <v/>
      </c>
      <c r="E1385" s="51" t="str">
        <f t="shared" ref="E1385:T1385" si="1386">IFERROR(VLOOKUP($A1385,INDIRECT("'" &amp; E$1 &amp; "'!$C:$G"), 5, FALSE),"")</f>
        <v/>
      </c>
      <c r="F1385" s="51" t="str">
        <f t="shared" si="1386"/>
        <v/>
      </c>
      <c r="G1385" s="51" t="str">
        <f t="shared" si="1386"/>
        <v/>
      </c>
      <c r="H1385" s="51" t="str">
        <f t="shared" si="1386"/>
        <v/>
      </c>
      <c r="I1385" s="51" t="str">
        <f t="shared" si="1386"/>
        <v/>
      </c>
      <c r="J1385" s="51" t="str">
        <f t="shared" si="1386"/>
        <v/>
      </c>
      <c r="K1385" s="51" t="str">
        <f t="shared" si="1386"/>
        <v/>
      </c>
      <c r="L1385" s="51" t="str">
        <f t="shared" si="1386"/>
        <v/>
      </c>
      <c r="M1385" s="51" t="str">
        <f t="shared" si="1386"/>
        <v/>
      </c>
      <c r="N1385" s="51" t="str">
        <f t="shared" si="1386"/>
        <v/>
      </c>
      <c r="O1385" s="51" t="str">
        <f t="shared" si="1386"/>
        <v/>
      </c>
      <c r="P1385" s="51" t="str">
        <f t="shared" si="1386"/>
        <v/>
      </c>
      <c r="Q1385" s="51" t="str">
        <f t="shared" si="1386"/>
        <v/>
      </c>
      <c r="R1385" s="51" t="str">
        <f t="shared" si="1386"/>
        <v/>
      </c>
      <c r="S1385" s="51" t="str">
        <f t="shared" si="1386"/>
        <v/>
      </c>
      <c r="T1385" s="51" t="str">
        <f t="shared" si="1386"/>
        <v/>
      </c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2"/>
      <c r="AE1385" s="52"/>
      <c r="AF1385" s="52"/>
      <c r="AG1385" s="52"/>
      <c r="AH1385" s="52"/>
      <c r="AI1385" s="52"/>
      <c r="AJ1385" s="52"/>
      <c r="AK1385" s="52"/>
      <c r="AL1385" s="52"/>
      <c r="AM1385" s="52"/>
      <c r="AN1385" s="52"/>
      <c r="AO1385" s="52"/>
      <c r="AP1385" s="52"/>
      <c r="AQ1385" s="52"/>
      <c r="AR1385" s="52"/>
      <c r="AS1385" s="52"/>
      <c r="AT1385" s="52"/>
      <c r="AU1385" s="52"/>
      <c r="AV1385" s="52"/>
      <c r="AW1385" s="52"/>
      <c r="AX1385" s="52"/>
      <c r="AY1385" s="52"/>
      <c r="AZ1385" s="52"/>
      <c r="BA1385" s="52"/>
      <c r="BB1385" s="52"/>
      <c r="BC1385" s="52"/>
      <c r="BD1385" s="52"/>
      <c r="BE1385" s="52"/>
      <c r="BF1385" s="52"/>
      <c r="BG1385" s="52"/>
      <c r="BH1385" s="52"/>
      <c r="BI1385" s="52"/>
      <c r="BJ1385" s="52"/>
      <c r="BK1385" s="52"/>
      <c r="BL1385" s="52"/>
      <c r="BM1385" s="52"/>
      <c r="BN1385" s="52"/>
      <c r="BO1385" s="52"/>
    </row>
    <row r="1386">
      <c r="B1386" s="49"/>
      <c r="C1386" s="49" t="str">
        <f t="shared" si="2"/>
        <v/>
      </c>
      <c r="D1386" s="50" t="str">
        <f t="shared" si="3"/>
        <v/>
      </c>
      <c r="E1386" s="51" t="str">
        <f t="shared" ref="E1386:T1386" si="1387">IFERROR(VLOOKUP($A1386,INDIRECT("'" &amp; E$1 &amp; "'!$C:$G"), 5, FALSE),"")</f>
        <v/>
      </c>
      <c r="F1386" s="51" t="str">
        <f t="shared" si="1387"/>
        <v/>
      </c>
      <c r="G1386" s="51" t="str">
        <f t="shared" si="1387"/>
        <v/>
      </c>
      <c r="H1386" s="51" t="str">
        <f t="shared" si="1387"/>
        <v/>
      </c>
      <c r="I1386" s="51" t="str">
        <f t="shared" si="1387"/>
        <v/>
      </c>
      <c r="J1386" s="51" t="str">
        <f t="shared" si="1387"/>
        <v/>
      </c>
      <c r="K1386" s="51" t="str">
        <f t="shared" si="1387"/>
        <v/>
      </c>
      <c r="L1386" s="51" t="str">
        <f t="shared" si="1387"/>
        <v/>
      </c>
      <c r="M1386" s="51" t="str">
        <f t="shared" si="1387"/>
        <v/>
      </c>
      <c r="N1386" s="51" t="str">
        <f t="shared" si="1387"/>
        <v/>
      </c>
      <c r="O1386" s="51" t="str">
        <f t="shared" si="1387"/>
        <v/>
      </c>
      <c r="P1386" s="51" t="str">
        <f t="shared" si="1387"/>
        <v/>
      </c>
      <c r="Q1386" s="51" t="str">
        <f t="shared" si="1387"/>
        <v/>
      </c>
      <c r="R1386" s="51" t="str">
        <f t="shared" si="1387"/>
        <v/>
      </c>
      <c r="S1386" s="51" t="str">
        <f t="shared" si="1387"/>
        <v/>
      </c>
      <c r="T1386" s="51" t="str">
        <f t="shared" si="1387"/>
        <v/>
      </c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2"/>
      <c r="AE1386" s="52"/>
      <c r="AF1386" s="52"/>
      <c r="AG1386" s="52"/>
      <c r="AH1386" s="52"/>
      <c r="AI1386" s="52"/>
      <c r="AJ1386" s="52"/>
      <c r="AK1386" s="52"/>
      <c r="AL1386" s="52"/>
      <c r="AM1386" s="52"/>
      <c r="AN1386" s="52"/>
      <c r="AO1386" s="52"/>
      <c r="AP1386" s="52"/>
      <c r="AQ1386" s="52"/>
      <c r="AR1386" s="52"/>
      <c r="AS1386" s="52"/>
      <c r="AT1386" s="52"/>
      <c r="AU1386" s="52"/>
      <c r="AV1386" s="52"/>
      <c r="AW1386" s="52"/>
      <c r="AX1386" s="52"/>
      <c r="AY1386" s="52"/>
      <c r="AZ1386" s="52"/>
      <c r="BA1386" s="52"/>
      <c r="BB1386" s="52"/>
      <c r="BC1386" s="52"/>
      <c r="BD1386" s="52"/>
      <c r="BE1386" s="52"/>
      <c r="BF1386" s="52"/>
      <c r="BG1386" s="52"/>
      <c r="BH1386" s="52"/>
      <c r="BI1386" s="52"/>
      <c r="BJ1386" s="52"/>
      <c r="BK1386" s="52"/>
      <c r="BL1386" s="52"/>
      <c r="BM1386" s="52"/>
      <c r="BN1386" s="52"/>
      <c r="BO1386" s="52"/>
    </row>
    <row r="1387">
      <c r="B1387" s="49"/>
      <c r="C1387" s="49" t="str">
        <f t="shared" si="2"/>
        <v/>
      </c>
      <c r="D1387" s="50" t="str">
        <f t="shared" si="3"/>
        <v/>
      </c>
      <c r="E1387" s="51" t="str">
        <f t="shared" ref="E1387:T1387" si="1388">IFERROR(VLOOKUP($A1387,INDIRECT("'" &amp; E$1 &amp; "'!$C:$G"), 5, FALSE),"")</f>
        <v/>
      </c>
      <c r="F1387" s="51" t="str">
        <f t="shared" si="1388"/>
        <v/>
      </c>
      <c r="G1387" s="51" t="str">
        <f t="shared" si="1388"/>
        <v/>
      </c>
      <c r="H1387" s="51" t="str">
        <f t="shared" si="1388"/>
        <v/>
      </c>
      <c r="I1387" s="51" t="str">
        <f t="shared" si="1388"/>
        <v/>
      </c>
      <c r="J1387" s="51" t="str">
        <f t="shared" si="1388"/>
        <v/>
      </c>
      <c r="K1387" s="51" t="str">
        <f t="shared" si="1388"/>
        <v/>
      </c>
      <c r="L1387" s="51" t="str">
        <f t="shared" si="1388"/>
        <v/>
      </c>
      <c r="M1387" s="51" t="str">
        <f t="shared" si="1388"/>
        <v/>
      </c>
      <c r="N1387" s="51" t="str">
        <f t="shared" si="1388"/>
        <v/>
      </c>
      <c r="O1387" s="51" t="str">
        <f t="shared" si="1388"/>
        <v/>
      </c>
      <c r="P1387" s="51" t="str">
        <f t="shared" si="1388"/>
        <v/>
      </c>
      <c r="Q1387" s="51" t="str">
        <f t="shared" si="1388"/>
        <v/>
      </c>
      <c r="R1387" s="51" t="str">
        <f t="shared" si="1388"/>
        <v/>
      </c>
      <c r="S1387" s="51" t="str">
        <f t="shared" si="1388"/>
        <v/>
      </c>
      <c r="T1387" s="51" t="str">
        <f t="shared" si="1388"/>
        <v/>
      </c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2"/>
      <c r="AE1387" s="52"/>
      <c r="AF1387" s="52"/>
      <c r="AG1387" s="52"/>
      <c r="AH1387" s="52"/>
      <c r="AI1387" s="52"/>
      <c r="AJ1387" s="52"/>
      <c r="AK1387" s="52"/>
      <c r="AL1387" s="52"/>
      <c r="AM1387" s="52"/>
      <c r="AN1387" s="52"/>
      <c r="AO1387" s="52"/>
      <c r="AP1387" s="52"/>
      <c r="AQ1387" s="52"/>
      <c r="AR1387" s="52"/>
      <c r="AS1387" s="52"/>
      <c r="AT1387" s="52"/>
      <c r="AU1387" s="52"/>
      <c r="AV1387" s="52"/>
      <c r="AW1387" s="52"/>
      <c r="AX1387" s="52"/>
      <c r="AY1387" s="52"/>
      <c r="AZ1387" s="52"/>
      <c r="BA1387" s="52"/>
      <c r="BB1387" s="52"/>
      <c r="BC1387" s="52"/>
      <c r="BD1387" s="52"/>
      <c r="BE1387" s="52"/>
      <c r="BF1387" s="52"/>
      <c r="BG1387" s="52"/>
      <c r="BH1387" s="52"/>
      <c r="BI1387" s="52"/>
      <c r="BJ1387" s="52"/>
      <c r="BK1387" s="52"/>
      <c r="BL1387" s="52"/>
      <c r="BM1387" s="52"/>
      <c r="BN1387" s="52"/>
      <c r="BO1387" s="52"/>
    </row>
    <row r="1388">
      <c r="B1388" s="49"/>
      <c r="C1388" s="49" t="str">
        <f t="shared" si="2"/>
        <v/>
      </c>
      <c r="D1388" s="50" t="str">
        <f t="shared" si="3"/>
        <v/>
      </c>
      <c r="E1388" s="51" t="str">
        <f t="shared" ref="E1388:T1388" si="1389">IFERROR(VLOOKUP($A1388,INDIRECT("'" &amp; E$1 &amp; "'!$C:$G"), 5, FALSE),"")</f>
        <v/>
      </c>
      <c r="F1388" s="51" t="str">
        <f t="shared" si="1389"/>
        <v/>
      </c>
      <c r="G1388" s="51" t="str">
        <f t="shared" si="1389"/>
        <v/>
      </c>
      <c r="H1388" s="51" t="str">
        <f t="shared" si="1389"/>
        <v/>
      </c>
      <c r="I1388" s="51" t="str">
        <f t="shared" si="1389"/>
        <v/>
      </c>
      <c r="J1388" s="51" t="str">
        <f t="shared" si="1389"/>
        <v/>
      </c>
      <c r="K1388" s="51" t="str">
        <f t="shared" si="1389"/>
        <v/>
      </c>
      <c r="L1388" s="51" t="str">
        <f t="shared" si="1389"/>
        <v/>
      </c>
      <c r="M1388" s="51" t="str">
        <f t="shared" si="1389"/>
        <v/>
      </c>
      <c r="N1388" s="51" t="str">
        <f t="shared" si="1389"/>
        <v/>
      </c>
      <c r="O1388" s="51" t="str">
        <f t="shared" si="1389"/>
        <v/>
      </c>
      <c r="P1388" s="51" t="str">
        <f t="shared" si="1389"/>
        <v/>
      </c>
      <c r="Q1388" s="51" t="str">
        <f t="shared" si="1389"/>
        <v/>
      </c>
      <c r="R1388" s="51" t="str">
        <f t="shared" si="1389"/>
        <v/>
      </c>
      <c r="S1388" s="51" t="str">
        <f t="shared" si="1389"/>
        <v/>
      </c>
      <c r="T1388" s="51" t="str">
        <f t="shared" si="1389"/>
        <v/>
      </c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2"/>
      <c r="AE1388" s="52"/>
      <c r="AF1388" s="52"/>
      <c r="AG1388" s="52"/>
      <c r="AH1388" s="52"/>
      <c r="AI1388" s="52"/>
      <c r="AJ1388" s="52"/>
      <c r="AK1388" s="52"/>
      <c r="AL1388" s="52"/>
      <c r="AM1388" s="52"/>
      <c r="AN1388" s="52"/>
      <c r="AO1388" s="52"/>
      <c r="AP1388" s="52"/>
      <c r="AQ1388" s="52"/>
      <c r="AR1388" s="52"/>
      <c r="AS1388" s="52"/>
      <c r="AT1388" s="52"/>
      <c r="AU1388" s="52"/>
      <c r="AV1388" s="52"/>
      <c r="AW1388" s="52"/>
      <c r="AX1388" s="52"/>
      <c r="AY1388" s="52"/>
      <c r="AZ1388" s="52"/>
      <c r="BA1388" s="52"/>
      <c r="BB1388" s="52"/>
      <c r="BC1388" s="52"/>
      <c r="BD1388" s="52"/>
      <c r="BE1388" s="52"/>
      <c r="BF1388" s="52"/>
      <c r="BG1388" s="52"/>
      <c r="BH1388" s="52"/>
      <c r="BI1388" s="52"/>
      <c r="BJ1388" s="52"/>
      <c r="BK1388" s="52"/>
      <c r="BL1388" s="52"/>
      <c r="BM1388" s="52"/>
      <c r="BN1388" s="52"/>
      <c r="BO1388" s="52"/>
    </row>
    <row r="1389">
      <c r="B1389" s="49"/>
      <c r="C1389" s="49" t="str">
        <f t="shared" si="2"/>
        <v/>
      </c>
      <c r="D1389" s="50" t="str">
        <f t="shared" si="3"/>
        <v/>
      </c>
      <c r="E1389" s="51" t="str">
        <f t="shared" ref="E1389:T1389" si="1390">IFERROR(VLOOKUP($A1389,INDIRECT("'" &amp; E$1 &amp; "'!$C:$G"), 5, FALSE),"")</f>
        <v/>
      </c>
      <c r="F1389" s="51" t="str">
        <f t="shared" si="1390"/>
        <v/>
      </c>
      <c r="G1389" s="51" t="str">
        <f t="shared" si="1390"/>
        <v/>
      </c>
      <c r="H1389" s="51" t="str">
        <f t="shared" si="1390"/>
        <v/>
      </c>
      <c r="I1389" s="51" t="str">
        <f t="shared" si="1390"/>
        <v/>
      </c>
      <c r="J1389" s="51" t="str">
        <f t="shared" si="1390"/>
        <v/>
      </c>
      <c r="K1389" s="51" t="str">
        <f t="shared" si="1390"/>
        <v/>
      </c>
      <c r="L1389" s="51" t="str">
        <f t="shared" si="1390"/>
        <v/>
      </c>
      <c r="M1389" s="51" t="str">
        <f t="shared" si="1390"/>
        <v/>
      </c>
      <c r="N1389" s="51" t="str">
        <f t="shared" si="1390"/>
        <v/>
      </c>
      <c r="O1389" s="51" t="str">
        <f t="shared" si="1390"/>
        <v/>
      </c>
      <c r="P1389" s="51" t="str">
        <f t="shared" si="1390"/>
        <v/>
      </c>
      <c r="Q1389" s="51" t="str">
        <f t="shared" si="1390"/>
        <v/>
      </c>
      <c r="R1389" s="51" t="str">
        <f t="shared" si="1390"/>
        <v/>
      </c>
      <c r="S1389" s="51" t="str">
        <f t="shared" si="1390"/>
        <v/>
      </c>
      <c r="T1389" s="51" t="str">
        <f t="shared" si="1390"/>
        <v/>
      </c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  <c r="AG1389" s="52"/>
      <c r="AH1389" s="52"/>
      <c r="AI1389" s="52"/>
      <c r="AJ1389" s="52"/>
      <c r="AK1389" s="52"/>
      <c r="AL1389" s="52"/>
      <c r="AM1389" s="52"/>
      <c r="AN1389" s="52"/>
      <c r="AO1389" s="52"/>
      <c r="AP1389" s="52"/>
      <c r="AQ1389" s="52"/>
      <c r="AR1389" s="52"/>
      <c r="AS1389" s="52"/>
      <c r="AT1389" s="52"/>
      <c r="AU1389" s="52"/>
      <c r="AV1389" s="52"/>
      <c r="AW1389" s="52"/>
      <c r="AX1389" s="52"/>
      <c r="AY1389" s="52"/>
      <c r="AZ1389" s="52"/>
      <c r="BA1389" s="52"/>
      <c r="BB1389" s="52"/>
      <c r="BC1389" s="52"/>
      <c r="BD1389" s="52"/>
      <c r="BE1389" s="52"/>
      <c r="BF1389" s="52"/>
      <c r="BG1389" s="52"/>
      <c r="BH1389" s="52"/>
      <c r="BI1389" s="52"/>
      <c r="BJ1389" s="52"/>
      <c r="BK1389" s="52"/>
      <c r="BL1389" s="52"/>
      <c r="BM1389" s="52"/>
      <c r="BN1389" s="52"/>
      <c r="BO1389" s="52"/>
    </row>
    <row r="1390">
      <c r="B1390" s="49"/>
      <c r="C1390" s="49" t="str">
        <f t="shared" si="2"/>
        <v/>
      </c>
      <c r="D1390" s="50" t="str">
        <f t="shared" si="3"/>
        <v/>
      </c>
      <c r="E1390" s="51" t="str">
        <f t="shared" ref="E1390:T1390" si="1391">IFERROR(VLOOKUP($A1390,INDIRECT("'" &amp; E$1 &amp; "'!$C:$G"), 5, FALSE),"")</f>
        <v/>
      </c>
      <c r="F1390" s="51" t="str">
        <f t="shared" si="1391"/>
        <v/>
      </c>
      <c r="G1390" s="51" t="str">
        <f t="shared" si="1391"/>
        <v/>
      </c>
      <c r="H1390" s="51" t="str">
        <f t="shared" si="1391"/>
        <v/>
      </c>
      <c r="I1390" s="51" t="str">
        <f t="shared" si="1391"/>
        <v/>
      </c>
      <c r="J1390" s="51" t="str">
        <f t="shared" si="1391"/>
        <v/>
      </c>
      <c r="K1390" s="51" t="str">
        <f t="shared" si="1391"/>
        <v/>
      </c>
      <c r="L1390" s="51" t="str">
        <f t="shared" si="1391"/>
        <v/>
      </c>
      <c r="M1390" s="51" t="str">
        <f t="shared" si="1391"/>
        <v/>
      </c>
      <c r="N1390" s="51" t="str">
        <f t="shared" si="1391"/>
        <v/>
      </c>
      <c r="O1390" s="51" t="str">
        <f t="shared" si="1391"/>
        <v/>
      </c>
      <c r="P1390" s="51" t="str">
        <f t="shared" si="1391"/>
        <v/>
      </c>
      <c r="Q1390" s="51" t="str">
        <f t="shared" si="1391"/>
        <v/>
      </c>
      <c r="R1390" s="51" t="str">
        <f t="shared" si="1391"/>
        <v/>
      </c>
      <c r="S1390" s="51" t="str">
        <f t="shared" si="1391"/>
        <v/>
      </c>
      <c r="T1390" s="51" t="str">
        <f t="shared" si="1391"/>
        <v/>
      </c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52"/>
      <c r="AN1390" s="52"/>
      <c r="AO1390" s="52"/>
      <c r="AP1390" s="52"/>
      <c r="AQ1390" s="52"/>
      <c r="AR1390" s="52"/>
      <c r="AS1390" s="52"/>
      <c r="AT1390" s="52"/>
      <c r="AU1390" s="52"/>
      <c r="AV1390" s="52"/>
      <c r="AW1390" s="52"/>
      <c r="AX1390" s="52"/>
      <c r="AY1390" s="52"/>
      <c r="AZ1390" s="52"/>
      <c r="BA1390" s="52"/>
      <c r="BB1390" s="52"/>
      <c r="BC1390" s="52"/>
      <c r="BD1390" s="52"/>
      <c r="BE1390" s="52"/>
      <c r="BF1390" s="52"/>
      <c r="BG1390" s="52"/>
      <c r="BH1390" s="52"/>
      <c r="BI1390" s="52"/>
      <c r="BJ1390" s="52"/>
      <c r="BK1390" s="52"/>
      <c r="BL1390" s="52"/>
      <c r="BM1390" s="52"/>
      <c r="BN1390" s="52"/>
      <c r="BO1390" s="52"/>
    </row>
    <row r="1391">
      <c r="B1391" s="49"/>
      <c r="C1391" s="49" t="str">
        <f t="shared" si="2"/>
        <v/>
      </c>
      <c r="D1391" s="50" t="str">
        <f t="shared" si="3"/>
        <v/>
      </c>
      <c r="E1391" s="51" t="str">
        <f t="shared" ref="E1391:T1391" si="1392">IFERROR(VLOOKUP($A1391,INDIRECT("'" &amp; E$1 &amp; "'!$C:$G"), 5, FALSE),"")</f>
        <v/>
      </c>
      <c r="F1391" s="51" t="str">
        <f t="shared" si="1392"/>
        <v/>
      </c>
      <c r="G1391" s="51" t="str">
        <f t="shared" si="1392"/>
        <v/>
      </c>
      <c r="H1391" s="51" t="str">
        <f t="shared" si="1392"/>
        <v/>
      </c>
      <c r="I1391" s="51" t="str">
        <f t="shared" si="1392"/>
        <v/>
      </c>
      <c r="J1391" s="51" t="str">
        <f t="shared" si="1392"/>
        <v/>
      </c>
      <c r="K1391" s="51" t="str">
        <f t="shared" si="1392"/>
        <v/>
      </c>
      <c r="L1391" s="51" t="str">
        <f t="shared" si="1392"/>
        <v/>
      </c>
      <c r="M1391" s="51" t="str">
        <f t="shared" si="1392"/>
        <v/>
      </c>
      <c r="N1391" s="51" t="str">
        <f t="shared" si="1392"/>
        <v/>
      </c>
      <c r="O1391" s="51" t="str">
        <f t="shared" si="1392"/>
        <v/>
      </c>
      <c r="P1391" s="51" t="str">
        <f t="shared" si="1392"/>
        <v/>
      </c>
      <c r="Q1391" s="51" t="str">
        <f t="shared" si="1392"/>
        <v/>
      </c>
      <c r="R1391" s="51" t="str">
        <f t="shared" si="1392"/>
        <v/>
      </c>
      <c r="S1391" s="51" t="str">
        <f t="shared" si="1392"/>
        <v/>
      </c>
      <c r="T1391" s="51" t="str">
        <f t="shared" si="1392"/>
        <v/>
      </c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52"/>
      <c r="AI1391" s="52"/>
      <c r="AJ1391" s="52"/>
      <c r="AK1391" s="52"/>
      <c r="AL1391" s="52"/>
      <c r="AM1391" s="52"/>
      <c r="AN1391" s="52"/>
      <c r="AO1391" s="52"/>
      <c r="AP1391" s="52"/>
      <c r="AQ1391" s="52"/>
      <c r="AR1391" s="52"/>
      <c r="AS1391" s="52"/>
      <c r="AT1391" s="52"/>
      <c r="AU1391" s="52"/>
      <c r="AV1391" s="52"/>
      <c r="AW1391" s="52"/>
      <c r="AX1391" s="52"/>
      <c r="AY1391" s="52"/>
      <c r="AZ1391" s="52"/>
      <c r="BA1391" s="52"/>
      <c r="BB1391" s="52"/>
      <c r="BC1391" s="52"/>
      <c r="BD1391" s="52"/>
      <c r="BE1391" s="52"/>
      <c r="BF1391" s="52"/>
      <c r="BG1391" s="52"/>
      <c r="BH1391" s="52"/>
      <c r="BI1391" s="52"/>
      <c r="BJ1391" s="52"/>
      <c r="BK1391" s="52"/>
      <c r="BL1391" s="52"/>
      <c r="BM1391" s="52"/>
      <c r="BN1391" s="52"/>
      <c r="BO1391" s="52"/>
    </row>
    <row r="1392">
      <c r="B1392" s="49"/>
      <c r="C1392" s="49" t="str">
        <f t="shared" si="2"/>
        <v/>
      </c>
      <c r="D1392" s="50" t="str">
        <f t="shared" si="3"/>
        <v/>
      </c>
      <c r="E1392" s="51" t="str">
        <f t="shared" ref="E1392:T1392" si="1393">IFERROR(VLOOKUP($A1392,INDIRECT("'" &amp; E$1 &amp; "'!$C:$G"), 5, FALSE),"")</f>
        <v/>
      </c>
      <c r="F1392" s="51" t="str">
        <f t="shared" si="1393"/>
        <v/>
      </c>
      <c r="G1392" s="51" t="str">
        <f t="shared" si="1393"/>
        <v/>
      </c>
      <c r="H1392" s="51" t="str">
        <f t="shared" si="1393"/>
        <v/>
      </c>
      <c r="I1392" s="51" t="str">
        <f t="shared" si="1393"/>
        <v/>
      </c>
      <c r="J1392" s="51" t="str">
        <f t="shared" si="1393"/>
        <v/>
      </c>
      <c r="K1392" s="51" t="str">
        <f t="shared" si="1393"/>
        <v/>
      </c>
      <c r="L1392" s="51" t="str">
        <f t="shared" si="1393"/>
        <v/>
      </c>
      <c r="M1392" s="51" t="str">
        <f t="shared" si="1393"/>
        <v/>
      </c>
      <c r="N1392" s="51" t="str">
        <f t="shared" si="1393"/>
        <v/>
      </c>
      <c r="O1392" s="51" t="str">
        <f t="shared" si="1393"/>
        <v/>
      </c>
      <c r="P1392" s="51" t="str">
        <f t="shared" si="1393"/>
        <v/>
      </c>
      <c r="Q1392" s="51" t="str">
        <f t="shared" si="1393"/>
        <v/>
      </c>
      <c r="R1392" s="51" t="str">
        <f t="shared" si="1393"/>
        <v/>
      </c>
      <c r="S1392" s="51" t="str">
        <f t="shared" si="1393"/>
        <v/>
      </c>
      <c r="T1392" s="51" t="str">
        <f t="shared" si="1393"/>
        <v/>
      </c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  <c r="AH1392" s="52"/>
      <c r="AI1392" s="52"/>
      <c r="AJ1392" s="52"/>
      <c r="AK1392" s="52"/>
      <c r="AL1392" s="52"/>
      <c r="AM1392" s="52"/>
      <c r="AN1392" s="52"/>
      <c r="AO1392" s="52"/>
      <c r="AP1392" s="52"/>
      <c r="AQ1392" s="52"/>
      <c r="AR1392" s="52"/>
      <c r="AS1392" s="52"/>
      <c r="AT1392" s="52"/>
      <c r="AU1392" s="52"/>
      <c r="AV1392" s="52"/>
      <c r="AW1392" s="52"/>
      <c r="AX1392" s="52"/>
      <c r="AY1392" s="52"/>
      <c r="AZ1392" s="52"/>
      <c r="BA1392" s="52"/>
      <c r="BB1392" s="52"/>
      <c r="BC1392" s="52"/>
      <c r="BD1392" s="52"/>
      <c r="BE1392" s="52"/>
      <c r="BF1392" s="52"/>
      <c r="BG1392" s="52"/>
      <c r="BH1392" s="52"/>
      <c r="BI1392" s="52"/>
      <c r="BJ1392" s="52"/>
      <c r="BK1392" s="52"/>
      <c r="BL1392" s="52"/>
      <c r="BM1392" s="52"/>
      <c r="BN1392" s="52"/>
      <c r="BO1392" s="52"/>
    </row>
    <row r="1393">
      <c r="B1393" s="49"/>
      <c r="C1393" s="49" t="str">
        <f t="shared" si="2"/>
        <v/>
      </c>
      <c r="D1393" s="50" t="str">
        <f t="shared" si="3"/>
        <v/>
      </c>
      <c r="E1393" s="51" t="str">
        <f t="shared" ref="E1393:T1393" si="1394">IFERROR(VLOOKUP($A1393,INDIRECT("'" &amp; E$1 &amp; "'!$C:$G"), 5, FALSE),"")</f>
        <v/>
      </c>
      <c r="F1393" s="51" t="str">
        <f t="shared" si="1394"/>
        <v/>
      </c>
      <c r="G1393" s="51" t="str">
        <f t="shared" si="1394"/>
        <v/>
      </c>
      <c r="H1393" s="51" t="str">
        <f t="shared" si="1394"/>
        <v/>
      </c>
      <c r="I1393" s="51" t="str">
        <f t="shared" si="1394"/>
        <v/>
      </c>
      <c r="J1393" s="51" t="str">
        <f t="shared" si="1394"/>
        <v/>
      </c>
      <c r="K1393" s="51" t="str">
        <f t="shared" si="1394"/>
        <v/>
      </c>
      <c r="L1393" s="51" t="str">
        <f t="shared" si="1394"/>
        <v/>
      </c>
      <c r="M1393" s="51" t="str">
        <f t="shared" si="1394"/>
        <v/>
      </c>
      <c r="N1393" s="51" t="str">
        <f t="shared" si="1394"/>
        <v/>
      </c>
      <c r="O1393" s="51" t="str">
        <f t="shared" si="1394"/>
        <v/>
      </c>
      <c r="P1393" s="51" t="str">
        <f t="shared" si="1394"/>
        <v/>
      </c>
      <c r="Q1393" s="51" t="str">
        <f t="shared" si="1394"/>
        <v/>
      </c>
      <c r="R1393" s="51" t="str">
        <f t="shared" si="1394"/>
        <v/>
      </c>
      <c r="S1393" s="51" t="str">
        <f t="shared" si="1394"/>
        <v/>
      </c>
      <c r="T1393" s="51" t="str">
        <f t="shared" si="1394"/>
        <v/>
      </c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2"/>
      <c r="AE1393" s="52"/>
      <c r="AF1393" s="52"/>
      <c r="AG1393" s="52"/>
      <c r="AH1393" s="52"/>
      <c r="AI1393" s="52"/>
      <c r="AJ1393" s="52"/>
      <c r="AK1393" s="52"/>
      <c r="AL1393" s="52"/>
      <c r="AM1393" s="52"/>
      <c r="AN1393" s="52"/>
      <c r="AO1393" s="52"/>
      <c r="AP1393" s="52"/>
      <c r="AQ1393" s="52"/>
      <c r="AR1393" s="52"/>
      <c r="AS1393" s="52"/>
      <c r="AT1393" s="52"/>
      <c r="AU1393" s="52"/>
      <c r="AV1393" s="52"/>
      <c r="AW1393" s="52"/>
      <c r="AX1393" s="52"/>
      <c r="AY1393" s="52"/>
      <c r="AZ1393" s="52"/>
      <c r="BA1393" s="52"/>
      <c r="BB1393" s="52"/>
      <c r="BC1393" s="52"/>
      <c r="BD1393" s="52"/>
      <c r="BE1393" s="52"/>
      <c r="BF1393" s="52"/>
      <c r="BG1393" s="52"/>
      <c r="BH1393" s="52"/>
      <c r="BI1393" s="52"/>
      <c r="BJ1393" s="52"/>
      <c r="BK1393" s="52"/>
      <c r="BL1393" s="52"/>
      <c r="BM1393" s="52"/>
      <c r="BN1393" s="52"/>
      <c r="BO1393" s="52"/>
    </row>
    <row r="1394">
      <c r="B1394" s="49"/>
      <c r="C1394" s="49" t="str">
        <f t="shared" si="2"/>
        <v/>
      </c>
      <c r="D1394" s="50" t="str">
        <f t="shared" si="3"/>
        <v/>
      </c>
      <c r="E1394" s="51" t="str">
        <f t="shared" ref="E1394:T1394" si="1395">IFERROR(VLOOKUP($A1394,INDIRECT("'" &amp; E$1 &amp; "'!$C:$G"), 5, FALSE),"")</f>
        <v/>
      </c>
      <c r="F1394" s="51" t="str">
        <f t="shared" si="1395"/>
        <v/>
      </c>
      <c r="G1394" s="51" t="str">
        <f t="shared" si="1395"/>
        <v/>
      </c>
      <c r="H1394" s="51" t="str">
        <f t="shared" si="1395"/>
        <v/>
      </c>
      <c r="I1394" s="51" t="str">
        <f t="shared" si="1395"/>
        <v/>
      </c>
      <c r="J1394" s="51" t="str">
        <f t="shared" si="1395"/>
        <v/>
      </c>
      <c r="K1394" s="51" t="str">
        <f t="shared" si="1395"/>
        <v/>
      </c>
      <c r="L1394" s="51" t="str">
        <f t="shared" si="1395"/>
        <v/>
      </c>
      <c r="M1394" s="51" t="str">
        <f t="shared" si="1395"/>
        <v/>
      </c>
      <c r="N1394" s="51" t="str">
        <f t="shared" si="1395"/>
        <v/>
      </c>
      <c r="O1394" s="51" t="str">
        <f t="shared" si="1395"/>
        <v/>
      </c>
      <c r="P1394" s="51" t="str">
        <f t="shared" si="1395"/>
        <v/>
      </c>
      <c r="Q1394" s="51" t="str">
        <f t="shared" si="1395"/>
        <v/>
      </c>
      <c r="R1394" s="51" t="str">
        <f t="shared" si="1395"/>
        <v/>
      </c>
      <c r="S1394" s="51" t="str">
        <f t="shared" si="1395"/>
        <v/>
      </c>
      <c r="T1394" s="51" t="str">
        <f t="shared" si="1395"/>
        <v/>
      </c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2"/>
      <c r="AE1394" s="52"/>
      <c r="AF1394" s="52"/>
      <c r="AG1394" s="52"/>
      <c r="AH1394" s="52"/>
      <c r="AI1394" s="52"/>
      <c r="AJ1394" s="52"/>
      <c r="AK1394" s="52"/>
      <c r="AL1394" s="52"/>
      <c r="AM1394" s="52"/>
      <c r="AN1394" s="52"/>
      <c r="AO1394" s="52"/>
      <c r="AP1394" s="52"/>
      <c r="AQ1394" s="52"/>
      <c r="AR1394" s="52"/>
      <c r="AS1394" s="52"/>
      <c r="AT1394" s="52"/>
      <c r="AU1394" s="52"/>
      <c r="AV1394" s="52"/>
      <c r="AW1394" s="52"/>
      <c r="AX1394" s="52"/>
      <c r="AY1394" s="52"/>
      <c r="AZ1394" s="52"/>
      <c r="BA1394" s="52"/>
      <c r="BB1394" s="52"/>
      <c r="BC1394" s="52"/>
      <c r="BD1394" s="52"/>
      <c r="BE1394" s="52"/>
      <c r="BF1394" s="52"/>
      <c r="BG1394" s="52"/>
      <c r="BH1394" s="52"/>
      <c r="BI1394" s="52"/>
      <c r="BJ1394" s="52"/>
      <c r="BK1394" s="52"/>
      <c r="BL1394" s="52"/>
      <c r="BM1394" s="52"/>
      <c r="BN1394" s="52"/>
      <c r="BO1394" s="52"/>
    </row>
    <row r="1395">
      <c r="B1395" s="49"/>
      <c r="C1395" s="49" t="str">
        <f t="shared" si="2"/>
        <v/>
      </c>
      <c r="D1395" s="50" t="str">
        <f t="shared" si="3"/>
        <v/>
      </c>
      <c r="E1395" s="51" t="str">
        <f t="shared" ref="E1395:T1395" si="1396">IFERROR(VLOOKUP($A1395,INDIRECT("'" &amp; E$1 &amp; "'!$C:$G"), 5, FALSE),"")</f>
        <v/>
      </c>
      <c r="F1395" s="51" t="str">
        <f t="shared" si="1396"/>
        <v/>
      </c>
      <c r="G1395" s="51" t="str">
        <f t="shared" si="1396"/>
        <v/>
      </c>
      <c r="H1395" s="51" t="str">
        <f t="shared" si="1396"/>
        <v/>
      </c>
      <c r="I1395" s="51" t="str">
        <f t="shared" si="1396"/>
        <v/>
      </c>
      <c r="J1395" s="51" t="str">
        <f t="shared" si="1396"/>
        <v/>
      </c>
      <c r="K1395" s="51" t="str">
        <f t="shared" si="1396"/>
        <v/>
      </c>
      <c r="L1395" s="51" t="str">
        <f t="shared" si="1396"/>
        <v/>
      </c>
      <c r="M1395" s="51" t="str">
        <f t="shared" si="1396"/>
        <v/>
      </c>
      <c r="N1395" s="51" t="str">
        <f t="shared" si="1396"/>
        <v/>
      </c>
      <c r="O1395" s="51" t="str">
        <f t="shared" si="1396"/>
        <v/>
      </c>
      <c r="P1395" s="51" t="str">
        <f t="shared" si="1396"/>
        <v/>
      </c>
      <c r="Q1395" s="51" t="str">
        <f t="shared" si="1396"/>
        <v/>
      </c>
      <c r="R1395" s="51" t="str">
        <f t="shared" si="1396"/>
        <v/>
      </c>
      <c r="S1395" s="51" t="str">
        <f t="shared" si="1396"/>
        <v/>
      </c>
      <c r="T1395" s="51" t="str">
        <f t="shared" si="1396"/>
        <v/>
      </c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2"/>
      <c r="AE1395" s="52"/>
      <c r="AF1395" s="52"/>
      <c r="AG1395" s="52"/>
      <c r="AH1395" s="52"/>
      <c r="AI1395" s="52"/>
      <c r="AJ1395" s="52"/>
      <c r="AK1395" s="52"/>
      <c r="AL1395" s="52"/>
      <c r="AM1395" s="52"/>
      <c r="AN1395" s="52"/>
      <c r="AO1395" s="52"/>
      <c r="AP1395" s="52"/>
      <c r="AQ1395" s="52"/>
      <c r="AR1395" s="52"/>
      <c r="AS1395" s="52"/>
      <c r="AT1395" s="52"/>
      <c r="AU1395" s="52"/>
      <c r="AV1395" s="52"/>
      <c r="AW1395" s="52"/>
      <c r="AX1395" s="52"/>
      <c r="AY1395" s="52"/>
      <c r="AZ1395" s="52"/>
      <c r="BA1395" s="52"/>
      <c r="BB1395" s="52"/>
      <c r="BC1395" s="52"/>
      <c r="BD1395" s="52"/>
      <c r="BE1395" s="52"/>
      <c r="BF1395" s="52"/>
      <c r="BG1395" s="52"/>
      <c r="BH1395" s="52"/>
      <c r="BI1395" s="52"/>
      <c r="BJ1395" s="52"/>
      <c r="BK1395" s="52"/>
      <c r="BL1395" s="52"/>
      <c r="BM1395" s="52"/>
      <c r="BN1395" s="52"/>
      <c r="BO1395" s="52"/>
    </row>
    <row r="1396">
      <c r="B1396" s="49"/>
      <c r="C1396" s="49" t="str">
        <f t="shared" si="2"/>
        <v/>
      </c>
      <c r="D1396" s="50" t="str">
        <f t="shared" si="3"/>
        <v/>
      </c>
      <c r="E1396" s="51" t="str">
        <f t="shared" ref="E1396:T1396" si="1397">IFERROR(VLOOKUP($A1396,INDIRECT("'" &amp; E$1 &amp; "'!$C:$G"), 5, FALSE),"")</f>
        <v/>
      </c>
      <c r="F1396" s="51" t="str">
        <f t="shared" si="1397"/>
        <v/>
      </c>
      <c r="G1396" s="51" t="str">
        <f t="shared" si="1397"/>
        <v/>
      </c>
      <c r="H1396" s="51" t="str">
        <f t="shared" si="1397"/>
        <v/>
      </c>
      <c r="I1396" s="51" t="str">
        <f t="shared" si="1397"/>
        <v/>
      </c>
      <c r="J1396" s="51" t="str">
        <f t="shared" si="1397"/>
        <v/>
      </c>
      <c r="K1396" s="51" t="str">
        <f t="shared" si="1397"/>
        <v/>
      </c>
      <c r="L1396" s="51" t="str">
        <f t="shared" si="1397"/>
        <v/>
      </c>
      <c r="M1396" s="51" t="str">
        <f t="shared" si="1397"/>
        <v/>
      </c>
      <c r="N1396" s="51" t="str">
        <f t="shared" si="1397"/>
        <v/>
      </c>
      <c r="O1396" s="51" t="str">
        <f t="shared" si="1397"/>
        <v/>
      </c>
      <c r="P1396" s="51" t="str">
        <f t="shared" si="1397"/>
        <v/>
      </c>
      <c r="Q1396" s="51" t="str">
        <f t="shared" si="1397"/>
        <v/>
      </c>
      <c r="R1396" s="51" t="str">
        <f t="shared" si="1397"/>
        <v/>
      </c>
      <c r="S1396" s="51" t="str">
        <f t="shared" si="1397"/>
        <v/>
      </c>
      <c r="T1396" s="51" t="str">
        <f t="shared" si="1397"/>
        <v/>
      </c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I1396" s="52"/>
      <c r="AJ1396" s="52"/>
      <c r="AK1396" s="52"/>
      <c r="AL1396" s="52"/>
      <c r="AM1396" s="52"/>
      <c r="AN1396" s="52"/>
      <c r="AO1396" s="52"/>
      <c r="AP1396" s="52"/>
      <c r="AQ1396" s="52"/>
      <c r="AR1396" s="52"/>
      <c r="AS1396" s="52"/>
      <c r="AT1396" s="52"/>
      <c r="AU1396" s="52"/>
      <c r="AV1396" s="52"/>
      <c r="AW1396" s="52"/>
      <c r="AX1396" s="52"/>
      <c r="AY1396" s="52"/>
      <c r="AZ1396" s="52"/>
      <c r="BA1396" s="52"/>
      <c r="BB1396" s="52"/>
      <c r="BC1396" s="52"/>
      <c r="BD1396" s="52"/>
      <c r="BE1396" s="52"/>
      <c r="BF1396" s="52"/>
      <c r="BG1396" s="52"/>
      <c r="BH1396" s="52"/>
      <c r="BI1396" s="52"/>
      <c r="BJ1396" s="52"/>
      <c r="BK1396" s="52"/>
      <c r="BL1396" s="52"/>
      <c r="BM1396" s="52"/>
      <c r="BN1396" s="52"/>
      <c r="BO1396" s="52"/>
    </row>
    <row r="1397">
      <c r="B1397" s="49"/>
      <c r="C1397" s="49" t="str">
        <f t="shared" si="2"/>
        <v/>
      </c>
      <c r="D1397" s="50" t="str">
        <f t="shared" si="3"/>
        <v/>
      </c>
      <c r="E1397" s="51" t="str">
        <f t="shared" ref="E1397:T1397" si="1398">IFERROR(VLOOKUP($A1397,INDIRECT("'" &amp; E$1 &amp; "'!$C:$G"), 5, FALSE),"")</f>
        <v/>
      </c>
      <c r="F1397" s="51" t="str">
        <f t="shared" si="1398"/>
        <v/>
      </c>
      <c r="G1397" s="51" t="str">
        <f t="shared" si="1398"/>
        <v/>
      </c>
      <c r="H1397" s="51" t="str">
        <f t="shared" si="1398"/>
        <v/>
      </c>
      <c r="I1397" s="51" t="str">
        <f t="shared" si="1398"/>
        <v/>
      </c>
      <c r="J1397" s="51" t="str">
        <f t="shared" si="1398"/>
        <v/>
      </c>
      <c r="K1397" s="51" t="str">
        <f t="shared" si="1398"/>
        <v/>
      </c>
      <c r="L1397" s="51" t="str">
        <f t="shared" si="1398"/>
        <v/>
      </c>
      <c r="M1397" s="51" t="str">
        <f t="shared" si="1398"/>
        <v/>
      </c>
      <c r="N1397" s="51" t="str">
        <f t="shared" si="1398"/>
        <v/>
      </c>
      <c r="O1397" s="51" t="str">
        <f t="shared" si="1398"/>
        <v/>
      </c>
      <c r="P1397" s="51" t="str">
        <f t="shared" si="1398"/>
        <v/>
      </c>
      <c r="Q1397" s="51" t="str">
        <f t="shared" si="1398"/>
        <v/>
      </c>
      <c r="R1397" s="51" t="str">
        <f t="shared" si="1398"/>
        <v/>
      </c>
      <c r="S1397" s="51" t="str">
        <f t="shared" si="1398"/>
        <v/>
      </c>
      <c r="T1397" s="51" t="str">
        <f t="shared" si="1398"/>
        <v/>
      </c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2"/>
      <c r="AE1397" s="52"/>
      <c r="AF1397" s="52"/>
      <c r="AG1397" s="52"/>
      <c r="AH1397" s="52"/>
      <c r="AI1397" s="52"/>
      <c r="AJ1397" s="52"/>
      <c r="AK1397" s="52"/>
      <c r="AL1397" s="52"/>
      <c r="AM1397" s="52"/>
      <c r="AN1397" s="52"/>
      <c r="AO1397" s="52"/>
      <c r="AP1397" s="52"/>
      <c r="AQ1397" s="52"/>
      <c r="AR1397" s="52"/>
      <c r="AS1397" s="52"/>
      <c r="AT1397" s="52"/>
      <c r="AU1397" s="52"/>
      <c r="AV1397" s="52"/>
      <c r="AW1397" s="52"/>
      <c r="AX1397" s="52"/>
      <c r="AY1397" s="52"/>
      <c r="AZ1397" s="52"/>
      <c r="BA1397" s="52"/>
      <c r="BB1397" s="52"/>
      <c r="BC1397" s="52"/>
      <c r="BD1397" s="52"/>
      <c r="BE1397" s="52"/>
      <c r="BF1397" s="52"/>
      <c r="BG1397" s="52"/>
      <c r="BH1397" s="52"/>
      <c r="BI1397" s="52"/>
      <c r="BJ1397" s="52"/>
      <c r="BK1397" s="52"/>
      <c r="BL1397" s="52"/>
      <c r="BM1397" s="52"/>
      <c r="BN1397" s="52"/>
      <c r="BO1397" s="52"/>
    </row>
    <row r="1398">
      <c r="B1398" s="49"/>
      <c r="C1398" s="49" t="str">
        <f t="shared" si="2"/>
        <v/>
      </c>
      <c r="D1398" s="50" t="str">
        <f t="shared" si="3"/>
        <v/>
      </c>
      <c r="E1398" s="51" t="str">
        <f t="shared" ref="E1398:T1398" si="1399">IFERROR(VLOOKUP($A1398,INDIRECT("'" &amp; E$1 &amp; "'!$C:$G"), 5, FALSE),"")</f>
        <v/>
      </c>
      <c r="F1398" s="51" t="str">
        <f t="shared" si="1399"/>
        <v/>
      </c>
      <c r="G1398" s="51" t="str">
        <f t="shared" si="1399"/>
        <v/>
      </c>
      <c r="H1398" s="51" t="str">
        <f t="shared" si="1399"/>
        <v/>
      </c>
      <c r="I1398" s="51" t="str">
        <f t="shared" si="1399"/>
        <v/>
      </c>
      <c r="J1398" s="51" t="str">
        <f t="shared" si="1399"/>
        <v/>
      </c>
      <c r="K1398" s="51" t="str">
        <f t="shared" si="1399"/>
        <v/>
      </c>
      <c r="L1398" s="51" t="str">
        <f t="shared" si="1399"/>
        <v/>
      </c>
      <c r="M1398" s="51" t="str">
        <f t="shared" si="1399"/>
        <v/>
      </c>
      <c r="N1398" s="51" t="str">
        <f t="shared" si="1399"/>
        <v/>
      </c>
      <c r="O1398" s="51" t="str">
        <f t="shared" si="1399"/>
        <v/>
      </c>
      <c r="P1398" s="51" t="str">
        <f t="shared" si="1399"/>
        <v/>
      </c>
      <c r="Q1398" s="51" t="str">
        <f t="shared" si="1399"/>
        <v/>
      </c>
      <c r="R1398" s="51" t="str">
        <f t="shared" si="1399"/>
        <v/>
      </c>
      <c r="S1398" s="51" t="str">
        <f t="shared" si="1399"/>
        <v/>
      </c>
      <c r="T1398" s="51" t="str">
        <f t="shared" si="1399"/>
        <v/>
      </c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2"/>
      <c r="AE1398" s="52"/>
      <c r="AF1398" s="52"/>
      <c r="AG1398" s="52"/>
      <c r="AH1398" s="52"/>
      <c r="AI1398" s="52"/>
      <c r="AJ1398" s="52"/>
      <c r="AK1398" s="52"/>
      <c r="AL1398" s="52"/>
      <c r="AM1398" s="52"/>
      <c r="AN1398" s="52"/>
      <c r="AO1398" s="52"/>
      <c r="AP1398" s="52"/>
      <c r="AQ1398" s="52"/>
      <c r="AR1398" s="52"/>
      <c r="AS1398" s="52"/>
      <c r="AT1398" s="52"/>
      <c r="AU1398" s="52"/>
      <c r="AV1398" s="52"/>
      <c r="AW1398" s="52"/>
      <c r="AX1398" s="52"/>
      <c r="AY1398" s="52"/>
      <c r="AZ1398" s="52"/>
      <c r="BA1398" s="52"/>
      <c r="BB1398" s="52"/>
      <c r="BC1398" s="52"/>
      <c r="BD1398" s="52"/>
      <c r="BE1398" s="52"/>
      <c r="BF1398" s="52"/>
      <c r="BG1398" s="52"/>
      <c r="BH1398" s="52"/>
      <c r="BI1398" s="52"/>
      <c r="BJ1398" s="52"/>
      <c r="BK1398" s="52"/>
      <c r="BL1398" s="52"/>
      <c r="BM1398" s="52"/>
      <c r="BN1398" s="52"/>
      <c r="BO1398" s="52"/>
    </row>
    <row r="1399">
      <c r="B1399" s="49"/>
      <c r="C1399" s="49" t="str">
        <f t="shared" si="2"/>
        <v/>
      </c>
      <c r="D1399" s="50" t="str">
        <f t="shared" si="3"/>
        <v/>
      </c>
      <c r="E1399" s="51" t="str">
        <f t="shared" ref="E1399:T1399" si="1400">IFERROR(VLOOKUP($A1399,INDIRECT("'" &amp; E$1 &amp; "'!$C:$G"), 5, FALSE),"")</f>
        <v/>
      </c>
      <c r="F1399" s="51" t="str">
        <f t="shared" si="1400"/>
        <v/>
      </c>
      <c r="G1399" s="51" t="str">
        <f t="shared" si="1400"/>
        <v/>
      </c>
      <c r="H1399" s="51" t="str">
        <f t="shared" si="1400"/>
        <v/>
      </c>
      <c r="I1399" s="51" t="str">
        <f t="shared" si="1400"/>
        <v/>
      </c>
      <c r="J1399" s="51" t="str">
        <f t="shared" si="1400"/>
        <v/>
      </c>
      <c r="K1399" s="51" t="str">
        <f t="shared" si="1400"/>
        <v/>
      </c>
      <c r="L1399" s="51" t="str">
        <f t="shared" si="1400"/>
        <v/>
      </c>
      <c r="M1399" s="51" t="str">
        <f t="shared" si="1400"/>
        <v/>
      </c>
      <c r="N1399" s="51" t="str">
        <f t="shared" si="1400"/>
        <v/>
      </c>
      <c r="O1399" s="51" t="str">
        <f t="shared" si="1400"/>
        <v/>
      </c>
      <c r="P1399" s="51" t="str">
        <f t="shared" si="1400"/>
        <v/>
      </c>
      <c r="Q1399" s="51" t="str">
        <f t="shared" si="1400"/>
        <v/>
      </c>
      <c r="R1399" s="51" t="str">
        <f t="shared" si="1400"/>
        <v/>
      </c>
      <c r="S1399" s="51" t="str">
        <f t="shared" si="1400"/>
        <v/>
      </c>
      <c r="T1399" s="51" t="str">
        <f t="shared" si="1400"/>
        <v/>
      </c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2"/>
      <c r="AE1399" s="52"/>
      <c r="AF1399" s="52"/>
      <c r="AG1399" s="52"/>
      <c r="AH1399" s="52"/>
      <c r="AI1399" s="52"/>
      <c r="AJ1399" s="52"/>
      <c r="AK1399" s="52"/>
      <c r="AL1399" s="52"/>
      <c r="AM1399" s="52"/>
      <c r="AN1399" s="52"/>
      <c r="AO1399" s="52"/>
      <c r="AP1399" s="52"/>
      <c r="AQ1399" s="52"/>
      <c r="AR1399" s="52"/>
      <c r="AS1399" s="52"/>
      <c r="AT1399" s="52"/>
      <c r="AU1399" s="52"/>
      <c r="AV1399" s="52"/>
      <c r="AW1399" s="52"/>
      <c r="AX1399" s="52"/>
      <c r="AY1399" s="52"/>
      <c r="AZ1399" s="52"/>
      <c r="BA1399" s="52"/>
      <c r="BB1399" s="52"/>
      <c r="BC1399" s="52"/>
      <c r="BD1399" s="52"/>
      <c r="BE1399" s="52"/>
      <c r="BF1399" s="52"/>
      <c r="BG1399" s="52"/>
      <c r="BH1399" s="52"/>
      <c r="BI1399" s="52"/>
      <c r="BJ1399" s="52"/>
      <c r="BK1399" s="52"/>
      <c r="BL1399" s="52"/>
      <c r="BM1399" s="52"/>
      <c r="BN1399" s="52"/>
      <c r="BO1399" s="52"/>
    </row>
    <row r="1400">
      <c r="B1400" s="49"/>
      <c r="C1400" s="49" t="str">
        <f t="shared" si="2"/>
        <v/>
      </c>
      <c r="D1400" s="50" t="str">
        <f t="shared" si="3"/>
        <v/>
      </c>
      <c r="E1400" s="51" t="str">
        <f t="shared" ref="E1400:T1400" si="1401">IFERROR(VLOOKUP($A1400,INDIRECT("'" &amp; E$1 &amp; "'!$C:$G"), 5, FALSE),"")</f>
        <v/>
      </c>
      <c r="F1400" s="51" t="str">
        <f t="shared" si="1401"/>
        <v/>
      </c>
      <c r="G1400" s="51" t="str">
        <f t="shared" si="1401"/>
        <v/>
      </c>
      <c r="H1400" s="51" t="str">
        <f t="shared" si="1401"/>
        <v/>
      </c>
      <c r="I1400" s="51" t="str">
        <f t="shared" si="1401"/>
        <v/>
      </c>
      <c r="J1400" s="51" t="str">
        <f t="shared" si="1401"/>
        <v/>
      </c>
      <c r="K1400" s="51" t="str">
        <f t="shared" si="1401"/>
        <v/>
      </c>
      <c r="L1400" s="51" t="str">
        <f t="shared" si="1401"/>
        <v/>
      </c>
      <c r="M1400" s="51" t="str">
        <f t="shared" si="1401"/>
        <v/>
      </c>
      <c r="N1400" s="51" t="str">
        <f t="shared" si="1401"/>
        <v/>
      </c>
      <c r="O1400" s="51" t="str">
        <f t="shared" si="1401"/>
        <v/>
      </c>
      <c r="P1400" s="51" t="str">
        <f t="shared" si="1401"/>
        <v/>
      </c>
      <c r="Q1400" s="51" t="str">
        <f t="shared" si="1401"/>
        <v/>
      </c>
      <c r="R1400" s="51" t="str">
        <f t="shared" si="1401"/>
        <v/>
      </c>
      <c r="S1400" s="51" t="str">
        <f t="shared" si="1401"/>
        <v/>
      </c>
      <c r="T1400" s="51" t="str">
        <f t="shared" si="1401"/>
        <v/>
      </c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2"/>
      <c r="AE1400" s="52"/>
      <c r="AF1400" s="52"/>
      <c r="AG1400" s="52"/>
      <c r="AH1400" s="52"/>
      <c r="AI1400" s="52"/>
      <c r="AJ1400" s="52"/>
      <c r="AK1400" s="52"/>
      <c r="AL1400" s="52"/>
      <c r="AM1400" s="52"/>
      <c r="AN1400" s="52"/>
      <c r="AO1400" s="52"/>
      <c r="AP1400" s="52"/>
      <c r="AQ1400" s="52"/>
      <c r="AR1400" s="52"/>
      <c r="AS1400" s="52"/>
      <c r="AT1400" s="52"/>
      <c r="AU1400" s="52"/>
      <c r="AV1400" s="52"/>
      <c r="AW1400" s="52"/>
      <c r="AX1400" s="52"/>
      <c r="AY1400" s="52"/>
      <c r="AZ1400" s="52"/>
      <c r="BA1400" s="52"/>
      <c r="BB1400" s="52"/>
      <c r="BC1400" s="52"/>
      <c r="BD1400" s="52"/>
      <c r="BE1400" s="52"/>
      <c r="BF1400" s="52"/>
      <c r="BG1400" s="52"/>
      <c r="BH1400" s="52"/>
      <c r="BI1400" s="52"/>
      <c r="BJ1400" s="52"/>
      <c r="BK1400" s="52"/>
      <c r="BL1400" s="52"/>
      <c r="BM1400" s="52"/>
      <c r="BN1400" s="52"/>
      <c r="BO1400" s="52"/>
    </row>
    <row r="1401">
      <c r="B1401" s="49"/>
      <c r="C1401" s="49" t="str">
        <f t="shared" si="2"/>
        <v/>
      </c>
      <c r="D1401" s="50" t="str">
        <f t="shared" si="3"/>
        <v/>
      </c>
      <c r="E1401" s="51" t="str">
        <f t="shared" ref="E1401:T1401" si="1402">IFERROR(VLOOKUP($A1401,INDIRECT("'" &amp; E$1 &amp; "'!$C:$G"), 5, FALSE),"")</f>
        <v/>
      </c>
      <c r="F1401" s="51" t="str">
        <f t="shared" si="1402"/>
        <v/>
      </c>
      <c r="G1401" s="51" t="str">
        <f t="shared" si="1402"/>
        <v/>
      </c>
      <c r="H1401" s="51" t="str">
        <f t="shared" si="1402"/>
        <v/>
      </c>
      <c r="I1401" s="51" t="str">
        <f t="shared" si="1402"/>
        <v/>
      </c>
      <c r="J1401" s="51" t="str">
        <f t="shared" si="1402"/>
        <v/>
      </c>
      <c r="K1401" s="51" t="str">
        <f t="shared" si="1402"/>
        <v/>
      </c>
      <c r="L1401" s="51" t="str">
        <f t="shared" si="1402"/>
        <v/>
      </c>
      <c r="M1401" s="51" t="str">
        <f t="shared" si="1402"/>
        <v/>
      </c>
      <c r="N1401" s="51" t="str">
        <f t="shared" si="1402"/>
        <v/>
      </c>
      <c r="O1401" s="51" t="str">
        <f t="shared" si="1402"/>
        <v/>
      </c>
      <c r="P1401" s="51" t="str">
        <f t="shared" si="1402"/>
        <v/>
      </c>
      <c r="Q1401" s="51" t="str">
        <f t="shared" si="1402"/>
        <v/>
      </c>
      <c r="R1401" s="51" t="str">
        <f t="shared" si="1402"/>
        <v/>
      </c>
      <c r="S1401" s="51" t="str">
        <f t="shared" si="1402"/>
        <v/>
      </c>
      <c r="T1401" s="51" t="str">
        <f t="shared" si="1402"/>
        <v/>
      </c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2"/>
      <c r="AE1401" s="52"/>
      <c r="AF1401" s="52"/>
      <c r="AG1401" s="52"/>
      <c r="AH1401" s="52"/>
      <c r="AI1401" s="52"/>
      <c r="AJ1401" s="52"/>
      <c r="AK1401" s="52"/>
      <c r="AL1401" s="52"/>
      <c r="AM1401" s="52"/>
      <c r="AN1401" s="52"/>
      <c r="AO1401" s="52"/>
      <c r="AP1401" s="52"/>
      <c r="AQ1401" s="52"/>
      <c r="AR1401" s="52"/>
      <c r="AS1401" s="52"/>
      <c r="AT1401" s="52"/>
      <c r="AU1401" s="52"/>
      <c r="AV1401" s="52"/>
      <c r="AW1401" s="52"/>
      <c r="AX1401" s="52"/>
      <c r="AY1401" s="52"/>
      <c r="AZ1401" s="52"/>
      <c r="BA1401" s="52"/>
      <c r="BB1401" s="52"/>
      <c r="BC1401" s="52"/>
      <c r="BD1401" s="52"/>
      <c r="BE1401" s="52"/>
      <c r="BF1401" s="52"/>
      <c r="BG1401" s="52"/>
      <c r="BH1401" s="52"/>
      <c r="BI1401" s="52"/>
      <c r="BJ1401" s="52"/>
      <c r="BK1401" s="52"/>
      <c r="BL1401" s="52"/>
      <c r="BM1401" s="52"/>
      <c r="BN1401" s="52"/>
      <c r="BO1401" s="52"/>
    </row>
    <row r="1402">
      <c r="B1402" s="49"/>
      <c r="C1402" s="49" t="str">
        <f t="shared" si="2"/>
        <v/>
      </c>
      <c r="D1402" s="50" t="str">
        <f t="shared" si="3"/>
        <v/>
      </c>
      <c r="E1402" s="51" t="str">
        <f t="shared" ref="E1402:T1402" si="1403">IFERROR(VLOOKUP($A1402,INDIRECT("'" &amp; E$1 &amp; "'!$C:$G"), 5, FALSE),"")</f>
        <v/>
      </c>
      <c r="F1402" s="51" t="str">
        <f t="shared" si="1403"/>
        <v/>
      </c>
      <c r="G1402" s="51" t="str">
        <f t="shared" si="1403"/>
        <v/>
      </c>
      <c r="H1402" s="51" t="str">
        <f t="shared" si="1403"/>
        <v/>
      </c>
      <c r="I1402" s="51" t="str">
        <f t="shared" si="1403"/>
        <v/>
      </c>
      <c r="J1402" s="51" t="str">
        <f t="shared" si="1403"/>
        <v/>
      </c>
      <c r="K1402" s="51" t="str">
        <f t="shared" si="1403"/>
        <v/>
      </c>
      <c r="L1402" s="51" t="str">
        <f t="shared" si="1403"/>
        <v/>
      </c>
      <c r="M1402" s="51" t="str">
        <f t="shared" si="1403"/>
        <v/>
      </c>
      <c r="N1402" s="51" t="str">
        <f t="shared" si="1403"/>
        <v/>
      </c>
      <c r="O1402" s="51" t="str">
        <f t="shared" si="1403"/>
        <v/>
      </c>
      <c r="P1402" s="51" t="str">
        <f t="shared" si="1403"/>
        <v/>
      </c>
      <c r="Q1402" s="51" t="str">
        <f t="shared" si="1403"/>
        <v/>
      </c>
      <c r="R1402" s="51" t="str">
        <f t="shared" si="1403"/>
        <v/>
      </c>
      <c r="S1402" s="51" t="str">
        <f t="shared" si="1403"/>
        <v/>
      </c>
      <c r="T1402" s="51" t="str">
        <f t="shared" si="1403"/>
        <v/>
      </c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2"/>
      <c r="AE1402" s="52"/>
      <c r="AF1402" s="52"/>
      <c r="AG1402" s="52"/>
      <c r="AH1402" s="52"/>
      <c r="AI1402" s="52"/>
      <c r="AJ1402" s="52"/>
      <c r="AK1402" s="52"/>
      <c r="AL1402" s="52"/>
      <c r="AM1402" s="52"/>
      <c r="AN1402" s="52"/>
      <c r="AO1402" s="52"/>
      <c r="AP1402" s="52"/>
      <c r="AQ1402" s="52"/>
      <c r="AR1402" s="52"/>
      <c r="AS1402" s="52"/>
      <c r="AT1402" s="52"/>
      <c r="AU1402" s="52"/>
      <c r="AV1402" s="52"/>
      <c r="AW1402" s="52"/>
      <c r="AX1402" s="52"/>
      <c r="AY1402" s="52"/>
      <c r="AZ1402" s="52"/>
      <c r="BA1402" s="52"/>
      <c r="BB1402" s="52"/>
      <c r="BC1402" s="52"/>
      <c r="BD1402" s="52"/>
      <c r="BE1402" s="52"/>
      <c r="BF1402" s="52"/>
      <c r="BG1402" s="52"/>
      <c r="BH1402" s="52"/>
      <c r="BI1402" s="52"/>
      <c r="BJ1402" s="52"/>
      <c r="BK1402" s="52"/>
      <c r="BL1402" s="52"/>
      <c r="BM1402" s="52"/>
      <c r="BN1402" s="52"/>
      <c r="BO1402" s="52"/>
    </row>
    <row r="1403">
      <c r="B1403" s="49"/>
      <c r="C1403" s="49" t="str">
        <f t="shared" si="2"/>
        <v/>
      </c>
      <c r="D1403" s="50" t="str">
        <f t="shared" si="3"/>
        <v/>
      </c>
      <c r="E1403" s="51" t="str">
        <f t="shared" ref="E1403:T1403" si="1404">IFERROR(VLOOKUP($A1403,INDIRECT("'" &amp; E$1 &amp; "'!$C:$G"), 5, FALSE),"")</f>
        <v/>
      </c>
      <c r="F1403" s="51" t="str">
        <f t="shared" si="1404"/>
        <v/>
      </c>
      <c r="G1403" s="51" t="str">
        <f t="shared" si="1404"/>
        <v/>
      </c>
      <c r="H1403" s="51" t="str">
        <f t="shared" si="1404"/>
        <v/>
      </c>
      <c r="I1403" s="51" t="str">
        <f t="shared" si="1404"/>
        <v/>
      </c>
      <c r="J1403" s="51" t="str">
        <f t="shared" si="1404"/>
        <v/>
      </c>
      <c r="K1403" s="51" t="str">
        <f t="shared" si="1404"/>
        <v/>
      </c>
      <c r="L1403" s="51" t="str">
        <f t="shared" si="1404"/>
        <v/>
      </c>
      <c r="M1403" s="51" t="str">
        <f t="shared" si="1404"/>
        <v/>
      </c>
      <c r="N1403" s="51" t="str">
        <f t="shared" si="1404"/>
        <v/>
      </c>
      <c r="O1403" s="51" t="str">
        <f t="shared" si="1404"/>
        <v/>
      </c>
      <c r="P1403" s="51" t="str">
        <f t="shared" si="1404"/>
        <v/>
      </c>
      <c r="Q1403" s="51" t="str">
        <f t="shared" si="1404"/>
        <v/>
      </c>
      <c r="R1403" s="51" t="str">
        <f t="shared" si="1404"/>
        <v/>
      </c>
      <c r="S1403" s="51" t="str">
        <f t="shared" si="1404"/>
        <v/>
      </c>
      <c r="T1403" s="51" t="str">
        <f t="shared" si="1404"/>
        <v/>
      </c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2"/>
      <c r="AE1403" s="52"/>
      <c r="AF1403" s="52"/>
      <c r="AG1403" s="52"/>
      <c r="AH1403" s="52"/>
      <c r="AI1403" s="52"/>
      <c r="AJ1403" s="52"/>
      <c r="AK1403" s="52"/>
      <c r="AL1403" s="52"/>
      <c r="AM1403" s="52"/>
      <c r="AN1403" s="52"/>
      <c r="AO1403" s="52"/>
      <c r="AP1403" s="52"/>
      <c r="AQ1403" s="52"/>
      <c r="AR1403" s="52"/>
      <c r="AS1403" s="52"/>
      <c r="AT1403" s="52"/>
      <c r="AU1403" s="52"/>
      <c r="AV1403" s="52"/>
      <c r="AW1403" s="52"/>
      <c r="AX1403" s="52"/>
      <c r="AY1403" s="52"/>
      <c r="AZ1403" s="52"/>
      <c r="BA1403" s="52"/>
      <c r="BB1403" s="52"/>
      <c r="BC1403" s="52"/>
      <c r="BD1403" s="52"/>
      <c r="BE1403" s="52"/>
      <c r="BF1403" s="52"/>
      <c r="BG1403" s="52"/>
      <c r="BH1403" s="52"/>
      <c r="BI1403" s="52"/>
      <c r="BJ1403" s="52"/>
      <c r="BK1403" s="52"/>
      <c r="BL1403" s="52"/>
      <c r="BM1403" s="52"/>
      <c r="BN1403" s="52"/>
      <c r="BO1403" s="52"/>
    </row>
    <row r="1404">
      <c r="B1404" s="49"/>
      <c r="C1404" s="49" t="str">
        <f t="shared" si="2"/>
        <v/>
      </c>
      <c r="D1404" s="50" t="str">
        <f t="shared" si="3"/>
        <v/>
      </c>
      <c r="E1404" s="51" t="str">
        <f t="shared" ref="E1404:T1404" si="1405">IFERROR(VLOOKUP($A1404,INDIRECT("'" &amp; E$1 &amp; "'!$C:$G"), 5, FALSE),"")</f>
        <v/>
      </c>
      <c r="F1404" s="51" t="str">
        <f t="shared" si="1405"/>
        <v/>
      </c>
      <c r="G1404" s="51" t="str">
        <f t="shared" si="1405"/>
        <v/>
      </c>
      <c r="H1404" s="51" t="str">
        <f t="shared" si="1405"/>
        <v/>
      </c>
      <c r="I1404" s="51" t="str">
        <f t="shared" si="1405"/>
        <v/>
      </c>
      <c r="J1404" s="51" t="str">
        <f t="shared" si="1405"/>
        <v/>
      </c>
      <c r="K1404" s="51" t="str">
        <f t="shared" si="1405"/>
        <v/>
      </c>
      <c r="L1404" s="51" t="str">
        <f t="shared" si="1405"/>
        <v/>
      </c>
      <c r="M1404" s="51" t="str">
        <f t="shared" si="1405"/>
        <v/>
      </c>
      <c r="N1404" s="51" t="str">
        <f t="shared" si="1405"/>
        <v/>
      </c>
      <c r="O1404" s="51" t="str">
        <f t="shared" si="1405"/>
        <v/>
      </c>
      <c r="P1404" s="51" t="str">
        <f t="shared" si="1405"/>
        <v/>
      </c>
      <c r="Q1404" s="51" t="str">
        <f t="shared" si="1405"/>
        <v/>
      </c>
      <c r="R1404" s="51" t="str">
        <f t="shared" si="1405"/>
        <v/>
      </c>
      <c r="S1404" s="51" t="str">
        <f t="shared" si="1405"/>
        <v/>
      </c>
      <c r="T1404" s="51" t="str">
        <f t="shared" si="1405"/>
        <v/>
      </c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2"/>
      <c r="AE1404" s="52"/>
      <c r="AF1404" s="52"/>
      <c r="AG1404" s="52"/>
      <c r="AH1404" s="52"/>
      <c r="AI1404" s="52"/>
      <c r="AJ1404" s="52"/>
      <c r="AK1404" s="52"/>
      <c r="AL1404" s="52"/>
      <c r="AM1404" s="52"/>
      <c r="AN1404" s="52"/>
      <c r="AO1404" s="52"/>
      <c r="AP1404" s="52"/>
      <c r="AQ1404" s="52"/>
      <c r="AR1404" s="52"/>
      <c r="AS1404" s="52"/>
      <c r="AT1404" s="52"/>
      <c r="AU1404" s="52"/>
      <c r="AV1404" s="52"/>
      <c r="AW1404" s="52"/>
      <c r="AX1404" s="52"/>
      <c r="AY1404" s="52"/>
      <c r="AZ1404" s="52"/>
      <c r="BA1404" s="52"/>
      <c r="BB1404" s="52"/>
      <c r="BC1404" s="52"/>
      <c r="BD1404" s="52"/>
      <c r="BE1404" s="52"/>
      <c r="BF1404" s="52"/>
      <c r="BG1404" s="52"/>
      <c r="BH1404" s="52"/>
      <c r="BI1404" s="52"/>
      <c r="BJ1404" s="52"/>
      <c r="BK1404" s="52"/>
      <c r="BL1404" s="52"/>
      <c r="BM1404" s="52"/>
      <c r="BN1404" s="52"/>
      <c r="BO1404" s="52"/>
    </row>
    <row r="1405">
      <c r="B1405" s="49"/>
      <c r="C1405" s="49" t="str">
        <f t="shared" si="2"/>
        <v/>
      </c>
      <c r="D1405" s="50" t="str">
        <f t="shared" si="3"/>
        <v/>
      </c>
      <c r="E1405" s="51" t="str">
        <f t="shared" ref="E1405:T1405" si="1406">IFERROR(VLOOKUP($A1405,INDIRECT("'" &amp; E$1 &amp; "'!$C:$G"), 5, FALSE),"")</f>
        <v/>
      </c>
      <c r="F1405" s="51" t="str">
        <f t="shared" si="1406"/>
        <v/>
      </c>
      <c r="G1405" s="51" t="str">
        <f t="shared" si="1406"/>
        <v/>
      </c>
      <c r="H1405" s="51" t="str">
        <f t="shared" si="1406"/>
        <v/>
      </c>
      <c r="I1405" s="51" t="str">
        <f t="shared" si="1406"/>
        <v/>
      </c>
      <c r="J1405" s="51" t="str">
        <f t="shared" si="1406"/>
        <v/>
      </c>
      <c r="K1405" s="51" t="str">
        <f t="shared" si="1406"/>
        <v/>
      </c>
      <c r="L1405" s="51" t="str">
        <f t="shared" si="1406"/>
        <v/>
      </c>
      <c r="M1405" s="51" t="str">
        <f t="shared" si="1406"/>
        <v/>
      </c>
      <c r="N1405" s="51" t="str">
        <f t="shared" si="1406"/>
        <v/>
      </c>
      <c r="O1405" s="51" t="str">
        <f t="shared" si="1406"/>
        <v/>
      </c>
      <c r="P1405" s="51" t="str">
        <f t="shared" si="1406"/>
        <v/>
      </c>
      <c r="Q1405" s="51" t="str">
        <f t="shared" si="1406"/>
        <v/>
      </c>
      <c r="R1405" s="51" t="str">
        <f t="shared" si="1406"/>
        <v/>
      </c>
      <c r="S1405" s="51" t="str">
        <f t="shared" si="1406"/>
        <v/>
      </c>
      <c r="T1405" s="51" t="str">
        <f t="shared" si="1406"/>
        <v/>
      </c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2"/>
      <c r="AE1405" s="52"/>
      <c r="AF1405" s="52"/>
      <c r="AG1405" s="52"/>
      <c r="AH1405" s="52"/>
      <c r="AI1405" s="52"/>
      <c r="AJ1405" s="52"/>
      <c r="AK1405" s="52"/>
      <c r="AL1405" s="52"/>
      <c r="AM1405" s="52"/>
      <c r="AN1405" s="52"/>
      <c r="AO1405" s="52"/>
      <c r="AP1405" s="52"/>
      <c r="AQ1405" s="52"/>
      <c r="AR1405" s="52"/>
      <c r="AS1405" s="52"/>
      <c r="AT1405" s="52"/>
      <c r="AU1405" s="52"/>
      <c r="AV1405" s="52"/>
      <c r="AW1405" s="52"/>
      <c r="AX1405" s="52"/>
      <c r="AY1405" s="52"/>
      <c r="AZ1405" s="52"/>
      <c r="BA1405" s="52"/>
      <c r="BB1405" s="52"/>
      <c r="BC1405" s="52"/>
      <c r="BD1405" s="52"/>
      <c r="BE1405" s="52"/>
      <c r="BF1405" s="52"/>
      <c r="BG1405" s="52"/>
      <c r="BH1405" s="52"/>
      <c r="BI1405" s="52"/>
      <c r="BJ1405" s="52"/>
      <c r="BK1405" s="52"/>
      <c r="BL1405" s="52"/>
      <c r="BM1405" s="52"/>
      <c r="BN1405" s="52"/>
      <c r="BO1405" s="52"/>
    </row>
    <row r="1406">
      <c r="B1406" s="49"/>
      <c r="C1406" s="49" t="str">
        <f t="shared" si="2"/>
        <v/>
      </c>
      <c r="D1406" s="50" t="str">
        <f t="shared" si="3"/>
        <v/>
      </c>
      <c r="E1406" s="51" t="str">
        <f t="shared" ref="E1406:T1406" si="1407">IFERROR(VLOOKUP($A1406,INDIRECT("'" &amp; E$1 &amp; "'!$C:$G"), 5, FALSE),"")</f>
        <v/>
      </c>
      <c r="F1406" s="51" t="str">
        <f t="shared" si="1407"/>
        <v/>
      </c>
      <c r="G1406" s="51" t="str">
        <f t="shared" si="1407"/>
        <v/>
      </c>
      <c r="H1406" s="51" t="str">
        <f t="shared" si="1407"/>
        <v/>
      </c>
      <c r="I1406" s="51" t="str">
        <f t="shared" si="1407"/>
        <v/>
      </c>
      <c r="J1406" s="51" t="str">
        <f t="shared" si="1407"/>
        <v/>
      </c>
      <c r="K1406" s="51" t="str">
        <f t="shared" si="1407"/>
        <v/>
      </c>
      <c r="L1406" s="51" t="str">
        <f t="shared" si="1407"/>
        <v/>
      </c>
      <c r="M1406" s="51" t="str">
        <f t="shared" si="1407"/>
        <v/>
      </c>
      <c r="N1406" s="51" t="str">
        <f t="shared" si="1407"/>
        <v/>
      </c>
      <c r="O1406" s="51" t="str">
        <f t="shared" si="1407"/>
        <v/>
      </c>
      <c r="P1406" s="51" t="str">
        <f t="shared" si="1407"/>
        <v/>
      </c>
      <c r="Q1406" s="51" t="str">
        <f t="shared" si="1407"/>
        <v/>
      </c>
      <c r="R1406" s="51" t="str">
        <f t="shared" si="1407"/>
        <v/>
      </c>
      <c r="S1406" s="51" t="str">
        <f t="shared" si="1407"/>
        <v/>
      </c>
      <c r="T1406" s="51" t="str">
        <f t="shared" si="1407"/>
        <v/>
      </c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2"/>
      <c r="AE1406" s="52"/>
      <c r="AF1406" s="52"/>
      <c r="AG1406" s="52"/>
      <c r="AH1406" s="52"/>
      <c r="AI1406" s="52"/>
      <c r="AJ1406" s="52"/>
      <c r="AK1406" s="52"/>
      <c r="AL1406" s="52"/>
      <c r="AM1406" s="52"/>
      <c r="AN1406" s="52"/>
      <c r="AO1406" s="52"/>
      <c r="AP1406" s="52"/>
      <c r="AQ1406" s="52"/>
      <c r="AR1406" s="52"/>
      <c r="AS1406" s="52"/>
      <c r="AT1406" s="52"/>
      <c r="AU1406" s="52"/>
      <c r="AV1406" s="52"/>
      <c r="AW1406" s="52"/>
      <c r="AX1406" s="52"/>
      <c r="AY1406" s="52"/>
      <c r="AZ1406" s="52"/>
      <c r="BA1406" s="52"/>
      <c r="BB1406" s="52"/>
      <c r="BC1406" s="52"/>
      <c r="BD1406" s="52"/>
      <c r="BE1406" s="52"/>
      <c r="BF1406" s="52"/>
      <c r="BG1406" s="52"/>
      <c r="BH1406" s="52"/>
      <c r="BI1406" s="52"/>
      <c r="BJ1406" s="52"/>
      <c r="BK1406" s="52"/>
      <c r="BL1406" s="52"/>
      <c r="BM1406" s="52"/>
      <c r="BN1406" s="52"/>
      <c r="BO1406" s="52"/>
    </row>
    <row r="1407">
      <c r="B1407" s="49"/>
      <c r="C1407" s="49" t="str">
        <f t="shared" si="2"/>
        <v/>
      </c>
      <c r="D1407" s="50" t="str">
        <f t="shared" si="3"/>
        <v/>
      </c>
      <c r="E1407" s="51" t="str">
        <f t="shared" ref="E1407:T1407" si="1408">IFERROR(VLOOKUP($A1407,INDIRECT("'" &amp; E$1 &amp; "'!$C:$G"), 5, FALSE),"")</f>
        <v/>
      </c>
      <c r="F1407" s="51" t="str">
        <f t="shared" si="1408"/>
        <v/>
      </c>
      <c r="G1407" s="51" t="str">
        <f t="shared" si="1408"/>
        <v/>
      </c>
      <c r="H1407" s="51" t="str">
        <f t="shared" si="1408"/>
        <v/>
      </c>
      <c r="I1407" s="51" t="str">
        <f t="shared" si="1408"/>
        <v/>
      </c>
      <c r="J1407" s="51" t="str">
        <f t="shared" si="1408"/>
        <v/>
      </c>
      <c r="K1407" s="51" t="str">
        <f t="shared" si="1408"/>
        <v/>
      </c>
      <c r="L1407" s="51" t="str">
        <f t="shared" si="1408"/>
        <v/>
      </c>
      <c r="M1407" s="51" t="str">
        <f t="shared" si="1408"/>
        <v/>
      </c>
      <c r="N1407" s="51" t="str">
        <f t="shared" si="1408"/>
        <v/>
      </c>
      <c r="O1407" s="51" t="str">
        <f t="shared" si="1408"/>
        <v/>
      </c>
      <c r="P1407" s="51" t="str">
        <f t="shared" si="1408"/>
        <v/>
      </c>
      <c r="Q1407" s="51" t="str">
        <f t="shared" si="1408"/>
        <v/>
      </c>
      <c r="R1407" s="51" t="str">
        <f t="shared" si="1408"/>
        <v/>
      </c>
      <c r="S1407" s="51" t="str">
        <f t="shared" si="1408"/>
        <v/>
      </c>
      <c r="T1407" s="51" t="str">
        <f t="shared" si="1408"/>
        <v/>
      </c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2"/>
      <c r="AE1407" s="52"/>
      <c r="AF1407" s="52"/>
      <c r="AG1407" s="52"/>
      <c r="AH1407" s="52"/>
      <c r="AI1407" s="52"/>
      <c r="AJ1407" s="52"/>
      <c r="AK1407" s="52"/>
      <c r="AL1407" s="52"/>
      <c r="AM1407" s="52"/>
      <c r="AN1407" s="52"/>
      <c r="AO1407" s="52"/>
      <c r="AP1407" s="52"/>
      <c r="AQ1407" s="52"/>
      <c r="AR1407" s="52"/>
      <c r="AS1407" s="52"/>
      <c r="AT1407" s="52"/>
      <c r="AU1407" s="52"/>
      <c r="AV1407" s="52"/>
      <c r="AW1407" s="52"/>
      <c r="AX1407" s="52"/>
      <c r="AY1407" s="52"/>
      <c r="AZ1407" s="52"/>
      <c r="BA1407" s="52"/>
      <c r="BB1407" s="52"/>
      <c r="BC1407" s="52"/>
      <c r="BD1407" s="52"/>
      <c r="BE1407" s="52"/>
      <c r="BF1407" s="52"/>
      <c r="BG1407" s="52"/>
      <c r="BH1407" s="52"/>
      <c r="BI1407" s="52"/>
      <c r="BJ1407" s="52"/>
      <c r="BK1407" s="52"/>
      <c r="BL1407" s="52"/>
      <c r="BM1407" s="52"/>
      <c r="BN1407" s="52"/>
      <c r="BO1407" s="52"/>
    </row>
    <row r="1408">
      <c r="B1408" s="49"/>
      <c r="C1408" s="49" t="str">
        <f t="shared" si="2"/>
        <v/>
      </c>
      <c r="D1408" s="50" t="str">
        <f t="shared" si="3"/>
        <v/>
      </c>
      <c r="E1408" s="51" t="str">
        <f t="shared" ref="E1408:T1408" si="1409">IFERROR(VLOOKUP($A1408,INDIRECT("'" &amp; E$1 &amp; "'!$C:$G"), 5, FALSE),"")</f>
        <v/>
      </c>
      <c r="F1408" s="51" t="str">
        <f t="shared" si="1409"/>
        <v/>
      </c>
      <c r="G1408" s="51" t="str">
        <f t="shared" si="1409"/>
        <v/>
      </c>
      <c r="H1408" s="51" t="str">
        <f t="shared" si="1409"/>
        <v/>
      </c>
      <c r="I1408" s="51" t="str">
        <f t="shared" si="1409"/>
        <v/>
      </c>
      <c r="J1408" s="51" t="str">
        <f t="shared" si="1409"/>
        <v/>
      </c>
      <c r="K1408" s="51" t="str">
        <f t="shared" si="1409"/>
        <v/>
      </c>
      <c r="L1408" s="51" t="str">
        <f t="shared" si="1409"/>
        <v/>
      </c>
      <c r="M1408" s="51" t="str">
        <f t="shared" si="1409"/>
        <v/>
      </c>
      <c r="N1408" s="51" t="str">
        <f t="shared" si="1409"/>
        <v/>
      </c>
      <c r="O1408" s="51" t="str">
        <f t="shared" si="1409"/>
        <v/>
      </c>
      <c r="P1408" s="51" t="str">
        <f t="shared" si="1409"/>
        <v/>
      </c>
      <c r="Q1408" s="51" t="str">
        <f t="shared" si="1409"/>
        <v/>
      </c>
      <c r="R1408" s="51" t="str">
        <f t="shared" si="1409"/>
        <v/>
      </c>
      <c r="S1408" s="51" t="str">
        <f t="shared" si="1409"/>
        <v/>
      </c>
      <c r="T1408" s="51" t="str">
        <f t="shared" si="1409"/>
        <v/>
      </c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52"/>
      <c r="AI1408" s="52"/>
      <c r="AJ1408" s="52"/>
      <c r="AK1408" s="52"/>
      <c r="AL1408" s="52"/>
      <c r="AM1408" s="52"/>
      <c r="AN1408" s="52"/>
      <c r="AO1408" s="52"/>
      <c r="AP1408" s="52"/>
      <c r="AQ1408" s="52"/>
      <c r="AR1408" s="52"/>
      <c r="AS1408" s="52"/>
      <c r="AT1408" s="52"/>
      <c r="AU1408" s="52"/>
      <c r="AV1408" s="52"/>
      <c r="AW1408" s="52"/>
      <c r="AX1408" s="52"/>
      <c r="AY1408" s="52"/>
      <c r="AZ1408" s="52"/>
      <c r="BA1408" s="52"/>
      <c r="BB1408" s="52"/>
      <c r="BC1408" s="52"/>
      <c r="BD1408" s="52"/>
      <c r="BE1408" s="52"/>
      <c r="BF1408" s="52"/>
      <c r="BG1408" s="52"/>
      <c r="BH1408" s="52"/>
      <c r="BI1408" s="52"/>
      <c r="BJ1408" s="52"/>
      <c r="BK1408" s="52"/>
      <c r="BL1408" s="52"/>
      <c r="BM1408" s="52"/>
      <c r="BN1408" s="52"/>
      <c r="BO1408" s="52"/>
    </row>
    <row r="1409">
      <c r="B1409" s="49"/>
      <c r="C1409" s="49" t="str">
        <f t="shared" si="2"/>
        <v/>
      </c>
      <c r="D1409" s="50" t="str">
        <f t="shared" si="3"/>
        <v/>
      </c>
      <c r="E1409" s="51" t="str">
        <f t="shared" ref="E1409:T1409" si="1410">IFERROR(VLOOKUP($A1409,INDIRECT("'" &amp; E$1 &amp; "'!$C:$G"), 5, FALSE),"")</f>
        <v/>
      </c>
      <c r="F1409" s="51" t="str">
        <f t="shared" si="1410"/>
        <v/>
      </c>
      <c r="G1409" s="51" t="str">
        <f t="shared" si="1410"/>
        <v/>
      </c>
      <c r="H1409" s="51" t="str">
        <f t="shared" si="1410"/>
        <v/>
      </c>
      <c r="I1409" s="51" t="str">
        <f t="shared" si="1410"/>
        <v/>
      </c>
      <c r="J1409" s="51" t="str">
        <f t="shared" si="1410"/>
        <v/>
      </c>
      <c r="K1409" s="51" t="str">
        <f t="shared" si="1410"/>
        <v/>
      </c>
      <c r="L1409" s="51" t="str">
        <f t="shared" si="1410"/>
        <v/>
      </c>
      <c r="M1409" s="51" t="str">
        <f t="shared" si="1410"/>
        <v/>
      </c>
      <c r="N1409" s="51" t="str">
        <f t="shared" si="1410"/>
        <v/>
      </c>
      <c r="O1409" s="51" t="str">
        <f t="shared" si="1410"/>
        <v/>
      </c>
      <c r="P1409" s="51" t="str">
        <f t="shared" si="1410"/>
        <v/>
      </c>
      <c r="Q1409" s="51" t="str">
        <f t="shared" si="1410"/>
        <v/>
      </c>
      <c r="R1409" s="51" t="str">
        <f t="shared" si="1410"/>
        <v/>
      </c>
      <c r="S1409" s="51" t="str">
        <f t="shared" si="1410"/>
        <v/>
      </c>
      <c r="T1409" s="51" t="str">
        <f t="shared" si="1410"/>
        <v/>
      </c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2"/>
      <c r="AE1409" s="52"/>
      <c r="AF1409" s="52"/>
      <c r="AG1409" s="52"/>
      <c r="AH1409" s="52"/>
      <c r="AI1409" s="52"/>
      <c r="AJ1409" s="52"/>
      <c r="AK1409" s="52"/>
      <c r="AL1409" s="52"/>
      <c r="AM1409" s="52"/>
      <c r="AN1409" s="52"/>
      <c r="AO1409" s="52"/>
      <c r="AP1409" s="52"/>
      <c r="AQ1409" s="52"/>
      <c r="AR1409" s="52"/>
      <c r="AS1409" s="52"/>
      <c r="AT1409" s="52"/>
      <c r="AU1409" s="52"/>
      <c r="AV1409" s="52"/>
      <c r="AW1409" s="52"/>
      <c r="AX1409" s="52"/>
      <c r="AY1409" s="52"/>
      <c r="AZ1409" s="52"/>
      <c r="BA1409" s="52"/>
      <c r="BB1409" s="52"/>
      <c r="BC1409" s="52"/>
      <c r="BD1409" s="52"/>
      <c r="BE1409" s="52"/>
      <c r="BF1409" s="52"/>
      <c r="BG1409" s="52"/>
      <c r="BH1409" s="52"/>
      <c r="BI1409" s="52"/>
      <c r="BJ1409" s="52"/>
      <c r="BK1409" s="52"/>
      <c r="BL1409" s="52"/>
      <c r="BM1409" s="52"/>
      <c r="BN1409" s="52"/>
      <c r="BO1409" s="52"/>
    </row>
    <row r="1410">
      <c r="B1410" s="49"/>
      <c r="C1410" s="49" t="str">
        <f t="shared" si="2"/>
        <v/>
      </c>
      <c r="D1410" s="50" t="str">
        <f t="shared" si="3"/>
        <v/>
      </c>
      <c r="E1410" s="51" t="str">
        <f t="shared" ref="E1410:T1410" si="1411">IFERROR(VLOOKUP($A1410,INDIRECT("'" &amp; E$1 &amp; "'!$C:$G"), 5, FALSE),"")</f>
        <v/>
      </c>
      <c r="F1410" s="51" t="str">
        <f t="shared" si="1411"/>
        <v/>
      </c>
      <c r="G1410" s="51" t="str">
        <f t="shared" si="1411"/>
        <v/>
      </c>
      <c r="H1410" s="51" t="str">
        <f t="shared" si="1411"/>
        <v/>
      </c>
      <c r="I1410" s="51" t="str">
        <f t="shared" si="1411"/>
        <v/>
      </c>
      <c r="J1410" s="51" t="str">
        <f t="shared" si="1411"/>
        <v/>
      </c>
      <c r="K1410" s="51" t="str">
        <f t="shared" si="1411"/>
        <v/>
      </c>
      <c r="L1410" s="51" t="str">
        <f t="shared" si="1411"/>
        <v/>
      </c>
      <c r="M1410" s="51" t="str">
        <f t="shared" si="1411"/>
        <v/>
      </c>
      <c r="N1410" s="51" t="str">
        <f t="shared" si="1411"/>
        <v/>
      </c>
      <c r="O1410" s="51" t="str">
        <f t="shared" si="1411"/>
        <v/>
      </c>
      <c r="P1410" s="51" t="str">
        <f t="shared" si="1411"/>
        <v/>
      </c>
      <c r="Q1410" s="51" t="str">
        <f t="shared" si="1411"/>
        <v/>
      </c>
      <c r="R1410" s="51" t="str">
        <f t="shared" si="1411"/>
        <v/>
      </c>
      <c r="S1410" s="51" t="str">
        <f t="shared" si="1411"/>
        <v/>
      </c>
      <c r="T1410" s="51" t="str">
        <f t="shared" si="1411"/>
        <v/>
      </c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2"/>
      <c r="AE1410" s="52"/>
      <c r="AF1410" s="52"/>
      <c r="AG1410" s="52"/>
      <c r="AH1410" s="52"/>
      <c r="AI1410" s="52"/>
      <c r="AJ1410" s="52"/>
      <c r="AK1410" s="52"/>
      <c r="AL1410" s="52"/>
      <c r="AM1410" s="52"/>
      <c r="AN1410" s="52"/>
      <c r="AO1410" s="52"/>
      <c r="AP1410" s="52"/>
      <c r="AQ1410" s="52"/>
      <c r="AR1410" s="52"/>
      <c r="AS1410" s="52"/>
      <c r="AT1410" s="52"/>
      <c r="AU1410" s="52"/>
      <c r="AV1410" s="52"/>
      <c r="AW1410" s="52"/>
      <c r="AX1410" s="52"/>
      <c r="AY1410" s="52"/>
      <c r="AZ1410" s="52"/>
      <c r="BA1410" s="52"/>
      <c r="BB1410" s="52"/>
      <c r="BC1410" s="52"/>
      <c r="BD1410" s="52"/>
      <c r="BE1410" s="52"/>
      <c r="BF1410" s="52"/>
      <c r="BG1410" s="52"/>
      <c r="BH1410" s="52"/>
      <c r="BI1410" s="52"/>
      <c r="BJ1410" s="52"/>
      <c r="BK1410" s="52"/>
      <c r="BL1410" s="52"/>
      <c r="BM1410" s="52"/>
      <c r="BN1410" s="52"/>
      <c r="BO1410" s="52"/>
    </row>
    <row r="1411">
      <c r="B1411" s="49"/>
      <c r="C1411" s="49" t="str">
        <f t="shared" si="2"/>
        <v/>
      </c>
      <c r="D1411" s="50" t="str">
        <f t="shared" si="3"/>
        <v/>
      </c>
      <c r="E1411" s="51" t="str">
        <f t="shared" ref="E1411:T1411" si="1412">IFERROR(VLOOKUP($A1411,INDIRECT("'" &amp; E$1 &amp; "'!$C:$G"), 5, FALSE),"")</f>
        <v/>
      </c>
      <c r="F1411" s="51" t="str">
        <f t="shared" si="1412"/>
        <v/>
      </c>
      <c r="G1411" s="51" t="str">
        <f t="shared" si="1412"/>
        <v/>
      </c>
      <c r="H1411" s="51" t="str">
        <f t="shared" si="1412"/>
        <v/>
      </c>
      <c r="I1411" s="51" t="str">
        <f t="shared" si="1412"/>
        <v/>
      </c>
      <c r="J1411" s="51" t="str">
        <f t="shared" si="1412"/>
        <v/>
      </c>
      <c r="K1411" s="51" t="str">
        <f t="shared" si="1412"/>
        <v/>
      </c>
      <c r="L1411" s="51" t="str">
        <f t="shared" si="1412"/>
        <v/>
      </c>
      <c r="M1411" s="51" t="str">
        <f t="shared" si="1412"/>
        <v/>
      </c>
      <c r="N1411" s="51" t="str">
        <f t="shared" si="1412"/>
        <v/>
      </c>
      <c r="O1411" s="51" t="str">
        <f t="shared" si="1412"/>
        <v/>
      </c>
      <c r="P1411" s="51" t="str">
        <f t="shared" si="1412"/>
        <v/>
      </c>
      <c r="Q1411" s="51" t="str">
        <f t="shared" si="1412"/>
        <v/>
      </c>
      <c r="R1411" s="51" t="str">
        <f t="shared" si="1412"/>
        <v/>
      </c>
      <c r="S1411" s="51" t="str">
        <f t="shared" si="1412"/>
        <v/>
      </c>
      <c r="T1411" s="51" t="str">
        <f t="shared" si="1412"/>
        <v/>
      </c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2"/>
      <c r="AE1411" s="52"/>
      <c r="AF1411" s="52"/>
      <c r="AG1411" s="52"/>
      <c r="AH1411" s="52"/>
      <c r="AI1411" s="52"/>
      <c r="AJ1411" s="52"/>
      <c r="AK1411" s="52"/>
      <c r="AL1411" s="52"/>
      <c r="AM1411" s="52"/>
      <c r="AN1411" s="52"/>
      <c r="AO1411" s="52"/>
      <c r="AP1411" s="52"/>
      <c r="AQ1411" s="52"/>
      <c r="AR1411" s="52"/>
      <c r="AS1411" s="52"/>
      <c r="AT1411" s="52"/>
      <c r="AU1411" s="52"/>
      <c r="AV1411" s="52"/>
      <c r="AW1411" s="52"/>
      <c r="AX1411" s="52"/>
      <c r="AY1411" s="52"/>
      <c r="AZ1411" s="52"/>
      <c r="BA1411" s="52"/>
      <c r="BB1411" s="52"/>
      <c r="BC1411" s="52"/>
      <c r="BD1411" s="52"/>
      <c r="BE1411" s="52"/>
      <c r="BF1411" s="52"/>
      <c r="BG1411" s="52"/>
      <c r="BH1411" s="52"/>
      <c r="BI1411" s="52"/>
      <c r="BJ1411" s="52"/>
      <c r="BK1411" s="52"/>
      <c r="BL1411" s="52"/>
      <c r="BM1411" s="52"/>
      <c r="BN1411" s="52"/>
      <c r="BO1411" s="52"/>
    </row>
    <row r="1412">
      <c r="B1412" s="49"/>
      <c r="C1412" s="49" t="str">
        <f t="shared" si="2"/>
        <v/>
      </c>
      <c r="D1412" s="50" t="str">
        <f t="shared" si="3"/>
        <v/>
      </c>
      <c r="E1412" s="51" t="str">
        <f t="shared" ref="E1412:T1412" si="1413">IFERROR(VLOOKUP($A1412,INDIRECT("'" &amp; E$1 &amp; "'!$C:$G"), 5, FALSE),"")</f>
        <v/>
      </c>
      <c r="F1412" s="51" t="str">
        <f t="shared" si="1413"/>
        <v/>
      </c>
      <c r="G1412" s="51" t="str">
        <f t="shared" si="1413"/>
        <v/>
      </c>
      <c r="H1412" s="51" t="str">
        <f t="shared" si="1413"/>
        <v/>
      </c>
      <c r="I1412" s="51" t="str">
        <f t="shared" si="1413"/>
        <v/>
      </c>
      <c r="J1412" s="51" t="str">
        <f t="shared" si="1413"/>
        <v/>
      </c>
      <c r="K1412" s="51" t="str">
        <f t="shared" si="1413"/>
        <v/>
      </c>
      <c r="L1412" s="51" t="str">
        <f t="shared" si="1413"/>
        <v/>
      </c>
      <c r="M1412" s="51" t="str">
        <f t="shared" si="1413"/>
        <v/>
      </c>
      <c r="N1412" s="51" t="str">
        <f t="shared" si="1413"/>
        <v/>
      </c>
      <c r="O1412" s="51" t="str">
        <f t="shared" si="1413"/>
        <v/>
      </c>
      <c r="P1412" s="51" t="str">
        <f t="shared" si="1413"/>
        <v/>
      </c>
      <c r="Q1412" s="51" t="str">
        <f t="shared" si="1413"/>
        <v/>
      </c>
      <c r="R1412" s="51" t="str">
        <f t="shared" si="1413"/>
        <v/>
      </c>
      <c r="S1412" s="51" t="str">
        <f t="shared" si="1413"/>
        <v/>
      </c>
      <c r="T1412" s="51" t="str">
        <f t="shared" si="1413"/>
        <v/>
      </c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2"/>
      <c r="AE1412" s="52"/>
      <c r="AF1412" s="52"/>
      <c r="AG1412" s="52"/>
      <c r="AH1412" s="52"/>
      <c r="AI1412" s="52"/>
      <c r="AJ1412" s="52"/>
      <c r="AK1412" s="52"/>
      <c r="AL1412" s="52"/>
      <c r="AM1412" s="52"/>
      <c r="AN1412" s="52"/>
      <c r="AO1412" s="52"/>
      <c r="AP1412" s="52"/>
      <c r="AQ1412" s="52"/>
      <c r="AR1412" s="52"/>
      <c r="AS1412" s="52"/>
      <c r="AT1412" s="52"/>
      <c r="AU1412" s="52"/>
      <c r="AV1412" s="52"/>
      <c r="AW1412" s="52"/>
      <c r="AX1412" s="52"/>
      <c r="AY1412" s="52"/>
      <c r="AZ1412" s="52"/>
      <c r="BA1412" s="52"/>
      <c r="BB1412" s="52"/>
      <c r="BC1412" s="52"/>
      <c r="BD1412" s="52"/>
      <c r="BE1412" s="52"/>
      <c r="BF1412" s="52"/>
      <c r="BG1412" s="52"/>
      <c r="BH1412" s="52"/>
      <c r="BI1412" s="52"/>
      <c r="BJ1412" s="52"/>
      <c r="BK1412" s="52"/>
      <c r="BL1412" s="52"/>
      <c r="BM1412" s="52"/>
      <c r="BN1412" s="52"/>
      <c r="BO1412" s="52"/>
    </row>
    <row r="1413">
      <c r="B1413" s="49"/>
      <c r="C1413" s="49" t="str">
        <f t="shared" si="2"/>
        <v/>
      </c>
      <c r="D1413" s="50" t="str">
        <f t="shared" si="3"/>
        <v/>
      </c>
      <c r="E1413" s="51" t="str">
        <f t="shared" ref="E1413:T1413" si="1414">IFERROR(VLOOKUP($A1413,INDIRECT("'" &amp; E$1 &amp; "'!$C:$G"), 5, FALSE),"")</f>
        <v/>
      </c>
      <c r="F1413" s="51" t="str">
        <f t="shared" si="1414"/>
        <v/>
      </c>
      <c r="G1413" s="51" t="str">
        <f t="shared" si="1414"/>
        <v/>
      </c>
      <c r="H1413" s="51" t="str">
        <f t="shared" si="1414"/>
        <v/>
      </c>
      <c r="I1413" s="51" t="str">
        <f t="shared" si="1414"/>
        <v/>
      </c>
      <c r="J1413" s="51" t="str">
        <f t="shared" si="1414"/>
        <v/>
      </c>
      <c r="K1413" s="51" t="str">
        <f t="shared" si="1414"/>
        <v/>
      </c>
      <c r="L1413" s="51" t="str">
        <f t="shared" si="1414"/>
        <v/>
      </c>
      <c r="M1413" s="51" t="str">
        <f t="shared" si="1414"/>
        <v/>
      </c>
      <c r="N1413" s="51" t="str">
        <f t="shared" si="1414"/>
        <v/>
      </c>
      <c r="O1413" s="51" t="str">
        <f t="shared" si="1414"/>
        <v/>
      </c>
      <c r="P1413" s="51" t="str">
        <f t="shared" si="1414"/>
        <v/>
      </c>
      <c r="Q1413" s="51" t="str">
        <f t="shared" si="1414"/>
        <v/>
      </c>
      <c r="R1413" s="51" t="str">
        <f t="shared" si="1414"/>
        <v/>
      </c>
      <c r="S1413" s="51" t="str">
        <f t="shared" si="1414"/>
        <v/>
      </c>
      <c r="T1413" s="51" t="str">
        <f t="shared" si="1414"/>
        <v/>
      </c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2"/>
      <c r="AE1413" s="52"/>
      <c r="AF1413" s="52"/>
      <c r="AG1413" s="52"/>
      <c r="AH1413" s="52"/>
      <c r="AI1413" s="52"/>
      <c r="AJ1413" s="52"/>
      <c r="AK1413" s="52"/>
      <c r="AL1413" s="52"/>
      <c r="AM1413" s="52"/>
      <c r="AN1413" s="52"/>
      <c r="AO1413" s="52"/>
      <c r="AP1413" s="52"/>
      <c r="AQ1413" s="52"/>
      <c r="AR1413" s="52"/>
      <c r="AS1413" s="52"/>
      <c r="AT1413" s="52"/>
      <c r="AU1413" s="52"/>
      <c r="AV1413" s="52"/>
      <c r="AW1413" s="52"/>
      <c r="AX1413" s="52"/>
      <c r="AY1413" s="52"/>
      <c r="AZ1413" s="52"/>
      <c r="BA1413" s="52"/>
      <c r="BB1413" s="52"/>
      <c r="BC1413" s="52"/>
      <c r="BD1413" s="52"/>
      <c r="BE1413" s="52"/>
      <c r="BF1413" s="52"/>
      <c r="BG1413" s="52"/>
      <c r="BH1413" s="52"/>
      <c r="BI1413" s="52"/>
      <c r="BJ1413" s="52"/>
      <c r="BK1413" s="52"/>
      <c r="BL1413" s="52"/>
      <c r="BM1413" s="52"/>
      <c r="BN1413" s="52"/>
      <c r="BO1413" s="52"/>
    </row>
    <row r="1414">
      <c r="B1414" s="49"/>
      <c r="C1414" s="49" t="str">
        <f t="shared" si="2"/>
        <v/>
      </c>
      <c r="D1414" s="50" t="str">
        <f t="shared" si="3"/>
        <v/>
      </c>
      <c r="E1414" s="51" t="str">
        <f t="shared" ref="E1414:T1414" si="1415">IFERROR(VLOOKUP($A1414,INDIRECT("'" &amp; E$1 &amp; "'!$C:$G"), 5, FALSE),"")</f>
        <v/>
      </c>
      <c r="F1414" s="51" t="str">
        <f t="shared" si="1415"/>
        <v/>
      </c>
      <c r="G1414" s="51" t="str">
        <f t="shared" si="1415"/>
        <v/>
      </c>
      <c r="H1414" s="51" t="str">
        <f t="shared" si="1415"/>
        <v/>
      </c>
      <c r="I1414" s="51" t="str">
        <f t="shared" si="1415"/>
        <v/>
      </c>
      <c r="J1414" s="51" t="str">
        <f t="shared" si="1415"/>
        <v/>
      </c>
      <c r="K1414" s="51" t="str">
        <f t="shared" si="1415"/>
        <v/>
      </c>
      <c r="L1414" s="51" t="str">
        <f t="shared" si="1415"/>
        <v/>
      </c>
      <c r="M1414" s="51" t="str">
        <f t="shared" si="1415"/>
        <v/>
      </c>
      <c r="N1414" s="51" t="str">
        <f t="shared" si="1415"/>
        <v/>
      </c>
      <c r="O1414" s="51" t="str">
        <f t="shared" si="1415"/>
        <v/>
      </c>
      <c r="P1414" s="51" t="str">
        <f t="shared" si="1415"/>
        <v/>
      </c>
      <c r="Q1414" s="51" t="str">
        <f t="shared" si="1415"/>
        <v/>
      </c>
      <c r="R1414" s="51" t="str">
        <f t="shared" si="1415"/>
        <v/>
      </c>
      <c r="S1414" s="51" t="str">
        <f t="shared" si="1415"/>
        <v/>
      </c>
      <c r="T1414" s="51" t="str">
        <f t="shared" si="1415"/>
        <v/>
      </c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2"/>
      <c r="AE1414" s="52"/>
      <c r="AF1414" s="52"/>
      <c r="AG1414" s="52"/>
      <c r="AH1414" s="52"/>
      <c r="AI1414" s="52"/>
      <c r="AJ1414" s="52"/>
      <c r="AK1414" s="52"/>
      <c r="AL1414" s="52"/>
      <c r="AM1414" s="52"/>
      <c r="AN1414" s="52"/>
      <c r="AO1414" s="52"/>
      <c r="AP1414" s="52"/>
      <c r="AQ1414" s="52"/>
      <c r="AR1414" s="52"/>
      <c r="AS1414" s="52"/>
      <c r="AT1414" s="52"/>
      <c r="AU1414" s="52"/>
      <c r="AV1414" s="52"/>
      <c r="AW1414" s="52"/>
      <c r="AX1414" s="52"/>
      <c r="AY1414" s="52"/>
      <c r="AZ1414" s="52"/>
      <c r="BA1414" s="52"/>
      <c r="BB1414" s="52"/>
      <c r="BC1414" s="52"/>
      <c r="BD1414" s="52"/>
      <c r="BE1414" s="52"/>
      <c r="BF1414" s="52"/>
      <c r="BG1414" s="52"/>
      <c r="BH1414" s="52"/>
      <c r="BI1414" s="52"/>
      <c r="BJ1414" s="52"/>
      <c r="BK1414" s="52"/>
      <c r="BL1414" s="52"/>
      <c r="BM1414" s="52"/>
      <c r="BN1414" s="52"/>
      <c r="BO1414" s="52"/>
    </row>
    <row r="1415">
      <c r="B1415" s="49"/>
      <c r="C1415" s="49" t="str">
        <f t="shared" si="2"/>
        <v/>
      </c>
      <c r="D1415" s="50" t="str">
        <f t="shared" si="3"/>
        <v/>
      </c>
      <c r="E1415" s="51" t="str">
        <f t="shared" ref="E1415:T1415" si="1416">IFERROR(VLOOKUP($A1415,INDIRECT("'" &amp; E$1 &amp; "'!$C:$G"), 5, FALSE),"")</f>
        <v/>
      </c>
      <c r="F1415" s="51" t="str">
        <f t="shared" si="1416"/>
        <v/>
      </c>
      <c r="G1415" s="51" t="str">
        <f t="shared" si="1416"/>
        <v/>
      </c>
      <c r="H1415" s="51" t="str">
        <f t="shared" si="1416"/>
        <v/>
      </c>
      <c r="I1415" s="51" t="str">
        <f t="shared" si="1416"/>
        <v/>
      </c>
      <c r="J1415" s="51" t="str">
        <f t="shared" si="1416"/>
        <v/>
      </c>
      <c r="K1415" s="51" t="str">
        <f t="shared" si="1416"/>
        <v/>
      </c>
      <c r="L1415" s="51" t="str">
        <f t="shared" si="1416"/>
        <v/>
      </c>
      <c r="M1415" s="51" t="str">
        <f t="shared" si="1416"/>
        <v/>
      </c>
      <c r="N1415" s="51" t="str">
        <f t="shared" si="1416"/>
        <v/>
      </c>
      <c r="O1415" s="51" t="str">
        <f t="shared" si="1416"/>
        <v/>
      </c>
      <c r="P1415" s="51" t="str">
        <f t="shared" si="1416"/>
        <v/>
      </c>
      <c r="Q1415" s="51" t="str">
        <f t="shared" si="1416"/>
        <v/>
      </c>
      <c r="R1415" s="51" t="str">
        <f t="shared" si="1416"/>
        <v/>
      </c>
      <c r="S1415" s="51" t="str">
        <f t="shared" si="1416"/>
        <v/>
      </c>
      <c r="T1415" s="51" t="str">
        <f t="shared" si="1416"/>
        <v/>
      </c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2"/>
      <c r="AE1415" s="52"/>
      <c r="AF1415" s="52"/>
      <c r="AG1415" s="52"/>
      <c r="AH1415" s="52"/>
      <c r="AI1415" s="52"/>
      <c r="AJ1415" s="52"/>
      <c r="AK1415" s="52"/>
      <c r="AL1415" s="52"/>
      <c r="AM1415" s="52"/>
      <c r="AN1415" s="52"/>
      <c r="AO1415" s="52"/>
      <c r="AP1415" s="52"/>
      <c r="AQ1415" s="52"/>
      <c r="AR1415" s="52"/>
      <c r="AS1415" s="52"/>
      <c r="AT1415" s="52"/>
      <c r="AU1415" s="52"/>
      <c r="AV1415" s="52"/>
      <c r="AW1415" s="52"/>
      <c r="AX1415" s="52"/>
      <c r="AY1415" s="52"/>
      <c r="AZ1415" s="52"/>
      <c r="BA1415" s="52"/>
      <c r="BB1415" s="52"/>
      <c r="BC1415" s="52"/>
      <c r="BD1415" s="52"/>
      <c r="BE1415" s="52"/>
      <c r="BF1415" s="52"/>
      <c r="BG1415" s="52"/>
      <c r="BH1415" s="52"/>
      <c r="BI1415" s="52"/>
      <c r="BJ1415" s="52"/>
      <c r="BK1415" s="52"/>
      <c r="BL1415" s="52"/>
      <c r="BM1415" s="52"/>
      <c r="BN1415" s="52"/>
      <c r="BO1415" s="52"/>
    </row>
    <row r="1416">
      <c r="B1416" s="49"/>
      <c r="C1416" s="49" t="str">
        <f t="shared" si="2"/>
        <v/>
      </c>
      <c r="D1416" s="50" t="str">
        <f t="shared" si="3"/>
        <v/>
      </c>
      <c r="E1416" s="51" t="str">
        <f t="shared" ref="E1416:T1416" si="1417">IFERROR(VLOOKUP($A1416,INDIRECT("'" &amp; E$1 &amp; "'!$C:$G"), 5, FALSE),"")</f>
        <v/>
      </c>
      <c r="F1416" s="51" t="str">
        <f t="shared" si="1417"/>
        <v/>
      </c>
      <c r="G1416" s="51" t="str">
        <f t="shared" si="1417"/>
        <v/>
      </c>
      <c r="H1416" s="51" t="str">
        <f t="shared" si="1417"/>
        <v/>
      </c>
      <c r="I1416" s="51" t="str">
        <f t="shared" si="1417"/>
        <v/>
      </c>
      <c r="J1416" s="51" t="str">
        <f t="shared" si="1417"/>
        <v/>
      </c>
      <c r="K1416" s="51" t="str">
        <f t="shared" si="1417"/>
        <v/>
      </c>
      <c r="L1416" s="51" t="str">
        <f t="shared" si="1417"/>
        <v/>
      </c>
      <c r="M1416" s="51" t="str">
        <f t="shared" si="1417"/>
        <v/>
      </c>
      <c r="N1416" s="51" t="str">
        <f t="shared" si="1417"/>
        <v/>
      </c>
      <c r="O1416" s="51" t="str">
        <f t="shared" si="1417"/>
        <v/>
      </c>
      <c r="P1416" s="51" t="str">
        <f t="shared" si="1417"/>
        <v/>
      </c>
      <c r="Q1416" s="51" t="str">
        <f t="shared" si="1417"/>
        <v/>
      </c>
      <c r="R1416" s="51" t="str">
        <f t="shared" si="1417"/>
        <v/>
      </c>
      <c r="S1416" s="51" t="str">
        <f t="shared" si="1417"/>
        <v/>
      </c>
      <c r="T1416" s="51" t="str">
        <f t="shared" si="1417"/>
        <v/>
      </c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2"/>
      <c r="AE1416" s="52"/>
      <c r="AF1416" s="52"/>
      <c r="AG1416" s="52"/>
      <c r="AH1416" s="52"/>
      <c r="AI1416" s="52"/>
      <c r="AJ1416" s="52"/>
      <c r="AK1416" s="52"/>
      <c r="AL1416" s="52"/>
      <c r="AM1416" s="52"/>
      <c r="AN1416" s="52"/>
      <c r="AO1416" s="52"/>
      <c r="AP1416" s="52"/>
      <c r="AQ1416" s="52"/>
      <c r="AR1416" s="52"/>
      <c r="AS1416" s="52"/>
      <c r="AT1416" s="52"/>
      <c r="AU1416" s="52"/>
      <c r="AV1416" s="52"/>
      <c r="AW1416" s="52"/>
      <c r="AX1416" s="52"/>
      <c r="AY1416" s="52"/>
      <c r="AZ1416" s="52"/>
      <c r="BA1416" s="52"/>
      <c r="BB1416" s="52"/>
      <c r="BC1416" s="52"/>
      <c r="BD1416" s="52"/>
      <c r="BE1416" s="52"/>
      <c r="BF1416" s="52"/>
      <c r="BG1416" s="52"/>
      <c r="BH1416" s="52"/>
      <c r="BI1416" s="52"/>
      <c r="BJ1416" s="52"/>
      <c r="BK1416" s="52"/>
      <c r="BL1416" s="52"/>
      <c r="BM1416" s="52"/>
      <c r="BN1416" s="52"/>
      <c r="BO1416" s="52"/>
    </row>
    <row r="1417">
      <c r="B1417" s="49"/>
      <c r="C1417" s="49" t="str">
        <f t="shared" si="2"/>
        <v/>
      </c>
      <c r="D1417" s="50" t="str">
        <f t="shared" si="3"/>
        <v/>
      </c>
      <c r="E1417" s="51" t="str">
        <f t="shared" ref="E1417:T1417" si="1418">IFERROR(VLOOKUP($A1417,INDIRECT("'" &amp; E$1 &amp; "'!$C:$G"), 5, FALSE),"")</f>
        <v/>
      </c>
      <c r="F1417" s="51" t="str">
        <f t="shared" si="1418"/>
        <v/>
      </c>
      <c r="G1417" s="51" t="str">
        <f t="shared" si="1418"/>
        <v/>
      </c>
      <c r="H1417" s="51" t="str">
        <f t="shared" si="1418"/>
        <v/>
      </c>
      <c r="I1417" s="51" t="str">
        <f t="shared" si="1418"/>
        <v/>
      </c>
      <c r="J1417" s="51" t="str">
        <f t="shared" si="1418"/>
        <v/>
      </c>
      <c r="K1417" s="51" t="str">
        <f t="shared" si="1418"/>
        <v/>
      </c>
      <c r="L1417" s="51" t="str">
        <f t="shared" si="1418"/>
        <v/>
      </c>
      <c r="M1417" s="51" t="str">
        <f t="shared" si="1418"/>
        <v/>
      </c>
      <c r="N1417" s="51" t="str">
        <f t="shared" si="1418"/>
        <v/>
      </c>
      <c r="O1417" s="51" t="str">
        <f t="shared" si="1418"/>
        <v/>
      </c>
      <c r="P1417" s="51" t="str">
        <f t="shared" si="1418"/>
        <v/>
      </c>
      <c r="Q1417" s="51" t="str">
        <f t="shared" si="1418"/>
        <v/>
      </c>
      <c r="R1417" s="51" t="str">
        <f t="shared" si="1418"/>
        <v/>
      </c>
      <c r="S1417" s="51" t="str">
        <f t="shared" si="1418"/>
        <v/>
      </c>
      <c r="T1417" s="51" t="str">
        <f t="shared" si="1418"/>
        <v/>
      </c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2"/>
      <c r="AE1417" s="52"/>
      <c r="AF1417" s="52"/>
      <c r="AG1417" s="52"/>
      <c r="AH1417" s="52"/>
      <c r="AI1417" s="52"/>
      <c r="AJ1417" s="52"/>
      <c r="AK1417" s="52"/>
      <c r="AL1417" s="52"/>
      <c r="AM1417" s="52"/>
      <c r="AN1417" s="52"/>
      <c r="AO1417" s="52"/>
      <c r="AP1417" s="52"/>
      <c r="AQ1417" s="52"/>
      <c r="AR1417" s="52"/>
      <c r="AS1417" s="52"/>
      <c r="AT1417" s="52"/>
      <c r="AU1417" s="52"/>
      <c r="AV1417" s="52"/>
      <c r="AW1417" s="52"/>
      <c r="AX1417" s="52"/>
      <c r="AY1417" s="52"/>
      <c r="AZ1417" s="52"/>
      <c r="BA1417" s="52"/>
      <c r="BB1417" s="52"/>
      <c r="BC1417" s="52"/>
      <c r="BD1417" s="52"/>
      <c r="BE1417" s="52"/>
      <c r="BF1417" s="52"/>
      <c r="BG1417" s="52"/>
      <c r="BH1417" s="52"/>
      <c r="BI1417" s="52"/>
      <c r="BJ1417" s="52"/>
      <c r="BK1417" s="52"/>
      <c r="BL1417" s="52"/>
      <c r="BM1417" s="52"/>
      <c r="BN1417" s="52"/>
      <c r="BO1417" s="52"/>
    </row>
    <row r="1418">
      <c r="B1418" s="49"/>
      <c r="C1418" s="49" t="str">
        <f t="shared" si="2"/>
        <v/>
      </c>
      <c r="D1418" s="50" t="str">
        <f t="shared" si="3"/>
        <v/>
      </c>
      <c r="E1418" s="51" t="str">
        <f t="shared" ref="E1418:T1418" si="1419">IFERROR(VLOOKUP($A1418,INDIRECT("'" &amp; E$1 &amp; "'!$C:$G"), 5, FALSE),"")</f>
        <v/>
      </c>
      <c r="F1418" s="51" t="str">
        <f t="shared" si="1419"/>
        <v/>
      </c>
      <c r="G1418" s="51" t="str">
        <f t="shared" si="1419"/>
        <v/>
      </c>
      <c r="H1418" s="51" t="str">
        <f t="shared" si="1419"/>
        <v/>
      </c>
      <c r="I1418" s="51" t="str">
        <f t="shared" si="1419"/>
        <v/>
      </c>
      <c r="J1418" s="51" t="str">
        <f t="shared" si="1419"/>
        <v/>
      </c>
      <c r="K1418" s="51" t="str">
        <f t="shared" si="1419"/>
        <v/>
      </c>
      <c r="L1418" s="51" t="str">
        <f t="shared" si="1419"/>
        <v/>
      </c>
      <c r="M1418" s="51" t="str">
        <f t="shared" si="1419"/>
        <v/>
      </c>
      <c r="N1418" s="51" t="str">
        <f t="shared" si="1419"/>
        <v/>
      </c>
      <c r="O1418" s="51" t="str">
        <f t="shared" si="1419"/>
        <v/>
      </c>
      <c r="P1418" s="51" t="str">
        <f t="shared" si="1419"/>
        <v/>
      </c>
      <c r="Q1418" s="51" t="str">
        <f t="shared" si="1419"/>
        <v/>
      </c>
      <c r="R1418" s="51" t="str">
        <f t="shared" si="1419"/>
        <v/>
      </c>
      <c r="S1418" s="51" t="str">
        <f t="shared" si="1419"/>
        <v/>
      </c>
      <c r="T1418" s="51" t="str">
        <f t="shared" si="1419"/>
        <v/>
      </c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2"/>
      <c r="AE1418" s="52"/>
      <c r="AF1418" s="52"/>
      <c r="AG1418" s="52"/>
      <c r="AH1418" s="52"/>
      <c r="AI1418" s="52"/>
      <c r="AJ1418" s="52"/>
      <c r="AK1418" s="52"/>
      <c r="AL1418" s="52"/>
      <c r="AM1418" s="52"/>
      <c r="AN1418" s="52"/>
      <c r="AO1418" s="52"/>
      <c r="AP1418" s="52"/>
      <c r="AQ1418" s="52"/>
      <c r="AR1418" s="52"/>
      <c r="AS1418" s="52"/>
      <c r="AT1418" s="52"/>
      <c r="AU1418" s="52"/>
      <c r="AV1418" s="52"/>
      <c r="AW1418" s="52"/>
      <c r="AX1418" s="52"/>
      <c r="AY1418" s="52"/>
      <c r="AZ1418" s="52"/>
      <c r="BA1418" s="52"/>
      <c r="BB1418" s="52"/>
      <c r="BC1418" s="52"/>
      <c r="BD1418" s="52"/>
      <c r="BE1418" s="52"/>
      <c r="BF1418" s="52"/>
      <c r="BG1418" s="52"/>
      <c r="BH1418" s="52"/>
      <c r="BI1418" s="52"/>
      <c r="BJ1418" s="52"/>
      <c r="BK1418" s="52"/>
      <c r="BL1418" s="52"/>
      <c r="BM1418" s="52"/>
      <c r="BN1418" s="52"/>
      <c r="BO1418" s="52"/>
    </row>
    <row r="1419">
      <c r="B1419" s="49"/>
      <c r="C1419" s="49" t="str">
        <f t="shared" si="2"/>
        <v/>
      </c>
      <c r="D1419" s="50" t="str">
        <f t="shared" si="3"/>
        <v/>
      </c>
      <c r="E1419" s="51" t="str">
        <f t="shared" ref="E1419:T1419" si="1420">IFERROR(VLOOKUP($A1419,INDIRECT("'" &amp; E$1 &amp; "'!$C:$G"), 5, FALSE),"")</f>
        <v/>
      </c>
      <c r="F1419" s="51" t="str">
        <f t="shared" si="1420"/>
        <v/>
      </c>
      <c r="G1419" s="51" t="str">
        <f t="shared" si="1420"/>
        <v/>
      </c>
      <c r="H1419" s="51" t="str">
        <f t="shared" si="1420"/>
        <v/>
      </c>
      <c r="I1419" s="51" t="str">
        <f t="shared" si="1420"/>
        <v/>
      </c>
      <c r="J1419" s="51" t="str">
        <f t="shared" si="1420"/>
        <v/>
      </c>
      <c r="K1419" s="51" t="str">
        <f t="shared" si="1420"/>
        <v/>
      </c>
      <c r="L1419" s="51" t="str">
        <f t="shared" si="1420"/>
        <v/>
      </c>
      <c r="M1419" s="51" t="str">
        <f t="shared" si="1420"/>
        <v/>
      </c>
      <c r="N1419" s="51" t="str">
        <f t="shared" si="1420"/>
        <v/>
      </c>
      <c r="O1419" s="51" t="str">
        <f t="shared" si="1420"/>
        <v/>
      </c>
      <c r="P1419" s="51" t="str">
        <f t="shared" si="1420"/>
        <v/>
      </c>
      <c r="Q1419" s="51" t="str">
        <f t="shared" si="1420"/>
        <v/>
      </c>
      <c r="R1419" s="51" t="str">
        <f t="shared" si="1420"/>
        <v/>
      </c>
      <c r="S1419" s="51" t="str">
        <f t="shared" si="1420"/>
        <v/>
      </c>
      <c r="T1419" s="51" t="str">
        <f t="shared" si="1420"/>
        <v/>
      </c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2"/>
      <c r="AE1419" s="52"/>
      <c r="AF1419" s="52"/>
      <c r="AG1419" s="52"/>
      <c r="AH1419" s="52"/>
      <c r="AI1419" s="52"/>
      <c r="AJ1419" s="52"/>
      <c r="AK1419" s="52"/>
      <c r="AL1419" s="52"/>
      <c r="AM1419" s="52"/>
      <c r="AN1419" s="52"/>
      <c r="AO1419" s="52"/>
      <c r="AP1419" s="52"/>
      <c r="AQ1419" s="52"/>
      <c r="AR1419" s="52"/>
      <c r="AS1419" s="52"/>
      <c r="AT1419" s="52"/>
      <c r="AU1419" s="52"/>
      <c r="AV1419" s="52"/>
      <c r="AW1419" s="52"/>
      <c r="AX1419" s="52"/>
      <c r="AY1419" s="52"/>
      <c r="AZ1419" s="52"/>
      <c r="BA1419" s="52"/>
      <c r="BB1419" s="52"/>
      <c r="BC1419" s="52"/>
      <c r="BD1419" s="52"/>
      <c r="BE1419" s="52"/>
      <c r="BF1419" s="52"/>
      <c r="BG1419" s="52"/>
      <c r="BH1419" s="52"/>
      <c r="BI1419" s="52"/>
      <c r="BJ1419" s="52"/>
      <c r="BK1419" s="52"/>
      <c r="BL1419" s="52"/>
      <c r="BM1419" s="52"/>
      <c r="BN1419" s="52"/>
      <c r="BO1419" s="52"/>
    </row>
    <row r="1420">
      <c r="B1420" s="49"/>
      <c r="C1420" s="49" t="str">
        <f t="shared" si="2"/>
        <v/>
      </c>
      <c r="D1420" s="50" t="str">
        <f t="shared" si="3"/>
        <v/>
      </c>
      <c r="E1420" s="51" t="str">
        <f t="shared" ref="E1420:T1420" si="1421">IFERROR(VLOOKUP($A1420,INDIRECT("'" &amp; E$1 &amp; "'!$C:$G"), 5, FALSE),"")</f>
        <v/>
      </c>
      <c r="F1420" s="51" t="str">
        <f t="shared" si="1421"/>
        <v/>
      </c>
      <c r="G1420" s="51" t="str">
        <f t="shared" si="1421"/>
        <v/>
      </c>
      <c r="H1420" s="51" t="str">
        <f t="shared" si="1421"/>
        <v/>
      </c>
      <c r="I1420" s="51" t="str">
        <f t="shared" si="1421"/>
        <v/>
      </c>
      <c r="J1420" s="51" t="str">
        <f t="shared" si="1421"/>
        <v/>
      </c>
      <c r="K1420" s="51" t="str">
        <f t="shared" si="1421"/>
        <v/>
      </c>
      <c r="L1420" s="51" t="str">
        <f t="shared" si="1421"/>
        <v/>
      </c>
      <c r="M1420" s="51" t="str">
        <f t="shared" si="1421"/>
        <v/>
      </c>
      <c r="N1420" s="51" t="str">
        <f t="shared" si="1421"/>
        <v/>
      </c>
      <c r="O1420" s="51" t="str">
        <f t="shared" si="1421"/>
        <v/>
      </c>
      <c r="P1420" s="51" t="str">
        <f t="shared" si="1421"/>
        <v/>
      </c>
      <c r="Q1420" s="51" t="str">
        <f t="shared" si="1421"/>
        <v/>
      </c>
      <c r="R1420" s="51" t="str">
        <f t="shared" si="1421"/>
        <v/>
      </c>
      <c r="S1420" s="51" t="str">
        <f t="shared" si="1421"/>
        <v/>
      </c>
      <c r="T1420" s="51" t="str">
        <f t="shared" si="1421"/>
        <v/>
      </c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2"/>
      <c r="AE1420" s="52"/>
      <c r="AF1420" s="52"/>
      <c r="AG1420" s="52"/>
      <c r="AH1420" s="52"/>
      <c r="AI1420" s="52"/>
      <c r="AJ1420" s="52"/>
      <c r="AK1420" s="52"/>
      <c r="AL1420" s="52"/>
      <c r="AM1420" s="52"/>
      <c r="AN1420" s="52"/>
      <c r="AO1420" s="52"/>
      <c r="AP1420" s="52"/>
      <c r="AQ1420" s="52"/>
      <c r="AR1420" s="52"/>
      <c r="AS1420" s="52"/>
      <c r="AT1420" s="52"/>
      <c r="AU1420" s="52"/>
      <c r="AV1420" s="52"/>
      <c r="AW1420" s="52"/>
      <c r="AX1420" s="52"/>
      <c r="AY1420" s="52"/>
      <c r="AZ1420" s="52"/>
      <c r="BA1420" s="52"/>
      <c r="BB1420" s="52"/>
      <c r="BC1420" s="52"/>
      <c r="BD1420" s="52"/>
      <c r="BE1420" s="52"/>
      <c r="BF1420" s="52"/>
      <c r="BG1420" s="52"/>
      <c r="BH1420" s="52"/>
      <c r="BI1420" s="52"/>
      <c r="BJ1420" s="52"/>
      <c r="BK1420" s="52"/>
      <c r="BL1420" s="52"/>
      <c r="BM1420" s="52"/>
      <c r="BN1420" s="52"/>
      <c r="BO1420" s="52"/>
    </row>
    <row r="1421">
      <c r="B1421" s="49"/>
      <c r="C1421" s="49" t="str">
        <f t="shared" si="2"/>
        <v/>
      </c>
      <c r="D1421" s="50" t="str">
        <f t="shared" si="3"/>
        <v/>
      </c>
      <c r="E1421" s="51" t="str">
        <f t="shared" ref="E1421:T1421" si="1422">IFERROR(VLOOKUP($A1421,INDIRECT("'" &amp; E$1 &amp; "'!$C:$G"), 5, FALSE),"")</f>
        <v/>
      </c>
      <c r="F1421" s="51" t="str">
        <f t="shared" si="1422"/>
        <v/>
      </c>
      <c r="G1421" s="51" t="str">
        <f t="shared" si="1422"/>
        <v/>
      </c>
      <c r="H1421" s="51" t="str">
        <f t="shared" si="1422"/>
        <v/>
      </c>
      <c r="I1421" s="51" t="str">
        <f t="shared" si="1422"/>
        <v/>
      </c>
      <c r="J1421" s="51" t="str">
        <f t="shared" si="1422"/>
        <v/>
      </c>
      <c r="K1421" s="51" t="str">
        <f t="shared" si="1422"/>
        <v/>
      </c>
      <c r="L1421" s="51" t="str">
        <f t="shared" si="1422"/>
        <v/>
      </c>
      <c r="M1421" s="51" t="str">
        <f t="shared" si="1422"/>
        <v/>
      </c>
      <c r="N1421" s="51" t="str">
        <f t="shared" si="1422"/>
        <v/>
      </c>
      <c r="O1421" s="51" t="str">
        <f t="shared" si="1422"/>
        <v/>
      </c>
      <c r="P1421" s="51" t="str">
        <f t="shared" si="1422"/>
        <v/>
      </c>
      <c r="Q1421" s="51" t="str">
        <f t="shared" si="1422"/>
        <v/>
      </c>
      <c r="R1421" s="51" t="str">
        <f t="shared" si="1422"/>
        <v/>
      </c>
      <c r="S1421" s="51" t="str">
        <f t="shared" si="1422"/>
        <v/>
      </c>
      <c r="T1421" s="51" t="str">
        <f t="shared" si="1422"/>
        <v/>
      </c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2"/>
      <c r="AE1421" s="52"/>
      <c r="AF1421" s="52"/>
      <c r="AG1421" s="52"/>
      <c r="AH1421" s="52"/>
      <c r="AI1421" s="52"/>
      <c r="AJ1421" s="52"/>
      <c r="AK1421" s="52"/>
      <c r="AL1421" s="52"/>
      <c r="AM1421" s="52"/>
      <c r="AN1421" s="52"/>
      <c r="AO1421" s="52"/>
      <c r="AP1421" s="52"/>
      <c r="AQ1421" s="52"/>
      <c r="AR1421" s="52"/>
      <c r="AS1421" s="52"/>
      <c r="AT1421" s="52"/>
      <c r="AU1421" s="52"/>
      <c r="AV1421" s="52"/>
      <c r="AW1421" s="52"/>
      <c r="AX1421" s="52"/>
      <c r="AY1421" s="52"/>
      <c r="AZ1421" s="52"/>
      <c r="BA1421" s="52"/>
      <c r="BB1421" s="52"/>
      <c r="BC1421" s="52"/>
      <c r="BD1421" s="52"/>
      <c r="BE1421" s="52"/>
      <c r="BF1421" s="52"/>
      <c r="BG1421" s="52"/>
      <c r="BH1421" s="52"/>
      <c r="BI1421" s="52"/>
      <c r="BJ1421" s="52"/>
      <c r="BK1421" s="52"/>
      <c r="BL1421" s="52"/>
      <c r="BM1421" s="52"/>
      <c r="BN1421" s="52"/>
      <c r="BO1421" s="52"/>
    </row>
    <row r="1422">
      <c r="B1422" s="49"/>
      <c r="C1422" s="49" t="str">
        <f t="shared" si="2"/>
        <v/>
      </c>
      <c r="D1422" s="50" t="str">
        <f t="shared" si="3"/>
        <v/>
      </c>
      <c r="E1422" s="51" t="str">
        <f t="shared" ref="E1422:T1422" si="1423">IFERROR(VLOOKUP($A1422,INDIRECT("'" &amp; E$1 &amp; "'!$C:$G"), 5, FALSE),"")</f>
        <v/>
      </c>
      <c r="F1422" s="51" t="str">
        <f t="shared" si="1423"/>
        <v/>
      </c>
      <c r="G1422" s="51" t="str">
        <f t="shared" si="1423"/>
        <v/>
      </c>
      <c r="H1422" s="51" t="str">
        <f t="shared" si="1423"/>
        <v/>
      </c>
      <c r="I1422" s="51" t="str">
        <f t="shared" si="1423"/>
        <v/>
      </c>
      <c r="J1422" s="51" t="str">
        <f t="shared" si="1423"/>
        <v/>
      </c>
      <c r="K1422" s="51" t="str">
        <f t="shared" si="1423"/>
        <v/>
      </c>
      <c r="L1422" s="51" t="str">
        <f t="shared" si="1423"/>
        <v/>
      </c>
      <c r="M1422" s="51" t="str">
        <f t="shared" si="1423"/>
        <v/>
      </c>
      <c r="N1422" s="51" t="str">
        <f t="shared" si="1423"/>
        <v/>
      </c>
      <c r="O1422" s="51" t="str">
        <f t="shared" si="1423"/>
        <v/>
      </c>
      <c r="P1422" s="51" t="str">
        <f t="shared" si="1423"/>
        <v/>
      </c>
      <c r="Q1422" s="51" t="str">
        <f t="shared" si="1423"/>
        <v/>
      </c>
      <c r="R1422" s="51" t="str">
        <f t="shared" si="1423"/>
        <v/>
      </c>
      <c r="S1422" s="51" t="str">
        <f t="shared" si="1423"/>
        <v/>
      </c>
      <c r="T1422" s="51" t="str">
        <f t="shared" si="1423"/>
        <v/>
      </c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2"/>
      <c r="AE1422" s="52"/>
      <c r="AF1422" s="52"/>
      <c r="AG1422" s="52"/>
      <c r="AH1422" s="52"/>
      <c r="AI1422" s="52"/>
      <c r="AJ1422" s="52"/>
      <c r="AK1422" s="52"/>
      <c r="AL1422" s="52"/>
      <c r="AM1422" s="52"/>
      <c r="AN1422" s="52"/>
      <c r="AO1422" s="52"/>
      <c r="AP1422" s="52"/>
      <c r="AQ1422" s="52"/>
      <c r="AR1422" s="52"/>
      <c r="AS1422" s="52"/>
      <c r="AT1422" s="52"/>
      <c r="AU1422" s="52"/>
      <c r="AV1422" s="52"/>
      <c r="AW1422" s="52"/>
      <c r="AX1422" s="52"/>
      <c r="AY1422" s="52"/>
      <c r="AZ1422" s="52"/>
      <c r="BA1422" s="52"/>
      <c r="BB1422" s="52"/>
      <c r="BC1422" s="52"/>
      <c r="BD1422" s="52"/>
      <c r="BE1422" s="52"/>
      <c r="BF1422" s="52"/>
      <c r="BG1422" s="52"/>
      <c r="BH1422" s="52"/>
      <c r="BI1422" s="52"/>
      <c r="BJ1422" s="52"/>
      <c r="BK1422" s="52"/>
      <c r="BL1422" s="52"/>
      <c r="BM1422" s="52"/>
      <c r="BN1422" s="52"/>
      <c r="BO1422" s="52"/>
    </row>
    <row r="1423">
      <c r="B1423" s="49"/>
      <c r="C1423" s="49" t="str">
        <f t="shared" si="2"/>
        <v/>
      </c>
      <c r="D1423" s="50" t="str">
        <f t="shared" si="3"/>
        <v/>
      </c>
      <c r="E1423" s="51" t="str">
        <f t="shared" ref="E1423:T1423" si="1424">IFERROR(VLOOKUP($A1423,INDIRECT("'" &amp; E$1 &amp; "'!$C:$G"), 5, FALSE),"")</f>
        <v/>
      </c>
      <c r="F1423" s="51" t="str">
        <f t="shared" si="1424"/>
        <v/>
      </c>
      <c r="G1423" s="51" t="str">
        <f t="shared" si="1424"/>
        <v/>
      </c>
      <c r="H1423" s="51" t="str">
        <f t="shared" si="1424"/>
        <v/>
      </c>
      <c r="I1423" s="51" t="str">
        <f t="shared" si="1424"/>
        <v/>
      </c>
      <c r="J1423" s="51" t="str">
        <f t="shared" si="1424"/>
        <v/>
      </c>
      <c r="K1423" s="51" t="str">
        <f t="shared" si="1424"/>
        <v/>
      </c>
      <c r="L1423" s="51" t="str">
        <f t="shared" si="1424"/>
        <v/>
      </c>
      <c r="M1423" s="51" t="str">
        <f t="shared" si="1424"/>
        <v/>
      </c>
      <c r="N1423" s="51" t="str">
        <f t="shared" si="1424"/>
        <v/>
      </c>
      <c r="O1423" s="51" t="str">
        <f t="shared" si="1424"/>
        <v/>
      </c>
      <c r="P1423" s="51" t="str">
        <f t="shared" si="1424"/>
        <v/>
      </c>
      <c r="Q1423" s="51" t="str">
        <f t="shared" si="1424"/>
        <v/>
      </c>
      <c r="R1423" s="51" t="str">
        <f t="shared" si="1424"/>
        <v/>
      </c>
      <c r="S1423" s="51" t="str">
        <f t="shared" si="1424"/>
        <v/>
      </c>
      <c r="T1423" s="51" t="str">
        <f t="shared" si="1424"/>
        <v/>
      </c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2"/>
      <c r="AE1423" s="52"/>
      <c r="AF1423" s="52"/>
      <c r="AG1423" s="52"/>
      <c r="AH1423" s="52"/>
      <c r="AI1423" s="52"/>
      <c r="AJ1423" s="52"/>
      <c r="AK1423" s="52"/>
      <c r="AL1423" s="52"/>
      <c r="AM1423" s="52"/>
      <c r="AN1423" s="52"/>
      <c r="AO1423" s="52"/>
      <c r="AP1423" s="52"/>
      <c r="AQ1423" s="52"/>
      <c r="AR1423" s="52"/>
      <c r="AS1423" s="52"/>
      <c r="AT1423" s="52"/>
      <c r="AU1423" s="52"/>
      <c r="AV1423" s="52"/>
      <c r="AW1423" s="52"/>
      <c r="AX1423" s="52"/>
      <c r="AY1423" s="52"/>
      <c r="AZ1423" s="52"/>
      <c r="BA1423" s="52"/>
      <c r="BB1423" s="52"/>
      <c r="BC1423" s="52"/>
      <c r="BD1423" s="52"/>
      <c r="BE1423" s="52"/>
      <c r="BF1423" s="52"/>
      <c r="BG1423" s="52"/>
      <c r="BH1423" s="52"/>
      <c r="BI1423" s="52"/>
      <c r="BJ1423" s="52"/>
      <c r="BK1423" s="52"/>
      <c r="BL1423" s="52"/>
      <c r="BM1423" s="52"/>
      <c r="BN1423" s="52"/>
      <c r="BO1423" s="52"/>
    </row>
    <row r="1424">
      <c r="B1424" s="49"/>
      <c r="C1424" s="49" t="str">
        <f t="shared" si="2"/>
        <v/>
      </c>
      <c r="D1424" s="50" t="str">
        <f t="shared" si="3"/>
        <v/>
      </c>
      <c r="E1424" s="51" t="str">
        <f t="shared" ref="E1424:T1424" si="1425">IFERROR(VLOOKUP($A1424,INDIRECT("'" &amp; E$1 &amp; "'!$C:$G"), 5, FALSE),"")</f>
        <v/>
      </c>
      <c r="F1424" s="51" t="str">
        <f t="shared" si="1425"/>
        <v/>
      </c>
      <c r="G1424" s="51" t="str">
        <f t="shared" si="1425"/>
        <v/>
      </c>
      <c r="H1424" s="51" t="str">
        <f t="shared" si="1425"/>
        <v/>
      </c>
      <c r="I1424" s="51" t="str">
        <f t="shared" si="1425"/>
        <v/>
      </c>
      <c r="J1424" s="51" t="str">
        <f t="shared" si="1425"/>
        <v/>
      </c>
      <c r="K1424" s="51" t="str">
        <f t="shared" si="1425"/>
        <v/>
      </c>
      <c r="L1424" s="51" t="str">
        <f t="shared" si="1425"/>
        <v/>
      </c>
      <c r="M1424" s="51" t="str">
        <f t="shared" si="1425"/>
        <v/>
      </c>
      <c r="N1424" s="51" t="str">
        <f t="shared" si="1425"/>
        <v/>
      </c>
      <c r="O1424" s="51" t="str">
        <f t="shared" si="1425"/>
        <v/>
      </c>
      <c r="P1424" s="51" t="str">
        <f t="shared" si="1425"/>
        <v/>
      </c>
      <c r="Q1424" s="51" t="str">
        <f t="shared" si="1425"/>
        <v/>
      </c>
      <c r="R1424" s="51" t="str">
        <f t="shared" si="1425"/>
        <v/>
      </c>
      <c r="S1424" s="51" t="str">
        <f t="shared" si="1425"/>
        <v/>
      </c>
      <c r="T1424" s="51" t="str">
        <f t="shared" si="1425"/>
        <v/>
      </c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2"/>
      <c r="AE1424" s="52"/>
      <c r="AF1424" s="52"/>
      <c r="AG1424" s="52"/>
      <c r="AH1424" s="52"/>
      <c r="AI1424" s="52"/>
      <c r="AJ1424" s="52"/>
      <c r="AK1424" s="52"/>
      <c r="AL1424" s="52"/>
      <c r="AM1424" s="52"/>
      <c r="AN1424" s="52"/>
      <c r="AO1424" s="52"/>
      <c r="AP1424" s="52"/>
      <c r="AQ1424" s="52"/>
      <c r="AR1424" s="52"/>
      <c r="AS1424" s="52"/>
      <c r="AT1424" s="52"/>
      <c r="AU1424" s="52"/>
      <c r="AV1424" s="52"/>
      <c r="AW1424" s="52"/>
      <c r="AX1424" s="52"/>
      <c r="AY1424" s="52"/>
      <c r="AZ1424" s="52"/>
      <c r="BA1424" s="52"/>
      <c r="BB1424" s="52"/>
      <c r="BC1424" s="52"/>
      <c r="BD1424" s="52"/>
      <c r="BE1424" s="52"/>
      <c r="BF1424" s="52"/>
      <c r="BG1424" s="52"/>
      <c r="BH1424" s="52"/>
      <c r="BI1424" s="52"/>
      <c r="BJ1424" s="52"/>
      <c r="BK1424" s="52"/>
      <c r="BL1424" s="52"/>
      <c r="BM1424" s="52"/>
      <c r="BN1424" s="52"/>
      <c r="BO1424" s="52"/>
    </row>
    <row r="1425">
      <c r="B1425" s="49"/>
      <c r="C1425" s="49" t="str">
        <f t="shared" si="2"/>
        <v/>
      </c>
      <c r="D1425" s="50" t="str">
        <f t="shared" si="3"/>
        <v/>
      </c>
      <c r="E1425" s="51" t="str">
        <f t="shared" ref="E1425:T1425" si="1426">IFERROR(VLOOKUP($A1425,INDIRECT("'" &amp; E$1 &amp; "'!$C:$G"), 5, FALSE),"")</f>
        <v/>
      </c>
      <c r="F1425" s="51" t="str">
        <f t="shared" si="1426"/>
        <v/>
      </c>
      <c r="G1425" s="51" t="str">
        <f t="shared" si="1426"/>
        <v/>
      </c>
      <c r="H1425" s="51" t="str">
        <f t="shared" si="1426"/>
        <v/>
      </c>
      <c r="I1425" s="51" t="str">
        <f t="shared" si="1426"/>
        <v/>
      </c>
      <c r="J1425" s="51" t="str">
        <f t="shared" si="1426"/>
        <v/>
      </c>
      <c r="K1425" s="51" t="str">
        <f t="shared" si="1426"/>
        <v/>
      </c>
      <c r="L1425" s="51" t="str">
        <f t="shared" si="1426"/>
        <v/>
      </c>
      <c r="M1425" s="51" t="str">
        <f t="shared" si="1426"/>
        <v/>
      </c>
      <c r="N1425" s="51" t="str">
        <f t="shared" si="1426"/>
        <v/>
      </c>
      <c r="O1425" s="51" t="str">
        <f t="shared" si="1426"/>
        <v/>
      </c>
      <c r="P1425" s="51" t="str">
        <f t="shared" si="1426"/>
        <v/>
      </c>
      <c r="Q1425" s="51" t="str">
        <f t="shared" si="1426"/>
        <v/>
      </c>
      <c r="R1425" s="51" t="str">
        <f t="shared" si="1426"/>
        <v/>
      </c>
      <c r="S1425" s="51" t="str">
        <f t="shared" si="1426"/>
        <v/>
      </c>
      <c r="T1425" s="51" t="str">
        <f t="shared" si="1426"/>
        <v/>
      </c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2"/>
      <c r="AE1425" s="52"/>
      <c r="AF1425" s="52"/>
      <c r="AG1425" s="52"/>
      <c r="AH1425" s="52"/>
      <c r="AI1425" s="52"/>
      <c r="AJ1425" s="52"/>
      <c r="AK1425" s="52"/>
      <c r="AL1425" s="52"/>
      <c r="AM1425" s="52"/>
      <c r="AN1425" s="52"/>
      <c r="AO1425" s="52"/>
      <c r="AP1425" s="52"/>
      <c r="AQ1425" s="52"/>
      <c r="AR1425" s="52"/>
      <c r="AS1425" s="52"/>
      <c r="AT1425" s="52"/>
      <c r="AU1425" s="52"/>
      <c r="AV1425" s="52"/>
      <c r="AW1425" s="52"/>
      <c r="AX1425" s="52"/>
      <c r="AY1425" s="52"/>
      <c r="AZ1425" s="52"/>
      <c r="BA1425" s="52"/>
      <c r="BB1425" s="52"/>
      <c r="BC1425" s="52"/>
      <c r="BD1425" s="52"/>
      <c r="BE1425" s="52"/>
      <c r="BF1425" s="52"/>
      <c r="BG1425" s="52"/>
      <c r="BH1425" s="52"/>
      <c r="BI1425" s="52"/>
      <c r="BJ1425" s="52"/>
      <c r="BK1425" s="52"/>
      <c r="BL1425" s="52"/>
      <c r="BM1425" s="52"/>
      <c r="BN1425" s="52"/>
      <c r="BO1425" s="52"/>
    </row>
    <row r="1426">
      <c r="B1426" s="49"/>
      <c r="C1426" s="49" t="str">
        <f t="shared" si="2"/>
        <v/>
      </c>
      <c r="D1426" s="50" t="str">
        <f t="shared" si="3"/>
        <v/>
      </c>
      <c r="E1426" s="51" t="str">
        <f t="shared" ref="E1426:T1426" si="1427">IFERROR(VLOOKUP($A1426,INDIRECT("'" &amp; E$1 &amp; "'!$C:$G"), 5, FALSE),"")</f>
        <v/>
      </c>
      <c r="F1426" s="51" t="str">
        <f t="shared" si="1427"/>
        <v/>
      </c>
      <c r="G1426" s="51" t="str">
        <f t="shared" si="1427"/>
        <v/>
      </c>
      <c r="H1426" s="51" t="str">
        <f t="shared" si="1427"/>
        <v/>
      </c>
      <c r="I1426" s="51" t="str">
        <f t="shared" si="1427"/>
        <v/>
      </c>
      <c r="J1426" s="51" t="str">
        <f t="shared" si="1427"/>
        <v/>
      </c>
      <c r="K1426" s="51" t="str">
        <f t="shared" si="1427"/>
        <v/>
      </c>
      <c r="L1426" s="51" t="str">
        <f t="shared" si="1427"/>
        <v/>
      </c>
      <c r="M1426" s="51" t="str">
        <f t="shared" si="1427"/>
        <v/>
      </c>
      <c r="N1426" s="51" t="str">
        <f t="shared" si="1427"/>
        <v/>
      </c>
      <c r="O1426" s="51" t="str">
        <f t="shared" si="1427"/>
        <v/>
      </c>
      <c r="P1426" s="51" t="str">
        <f t="shared" si="1427"/>
        <v/>
      </c>
      <c r="Q1426" s="51" t="str">
        <f t="shared" si="1427"/>
        <v/>
      </c>
      <c r="R1426" s="51" t="str">
        <f t="shared" si="1427"/>
        <v/>
      </c>
      <c r="S1426" s="51" t="str">
        <f t="shared" si="1427"/>
        <v/>
      </c>
      <c r="T1426" s="51" t="str">
        <f t="shared" si="1427"/>
        <v/>
      </c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2"/>
      <c r="AE1426" s="52"/>
      <c r="AF1426" s="52"/>
      <c r="AG1426" s="52"/>
      <c r="AH1426" s="52"/>
      <c r="AI1426" s="52"/>
      <c r="AJ1426" s="52"/>
      <c r="AK1426" s="52"/>
      <c r="AL1426" s="52"/>
      <c r="AM1426" s="52"/>
      <c r="AN1426" s="52"/>
      <c r="AO1426" s="52"/>
      <c r="AP1426" s="52"/>
      <c r="AQ1426" s="52"/>
      <c r="AR1426" s="52"/>
      <c r="AS1426" s="52"/>
      <c r="AT1426" s="52"/>
      <c r="AU1426" s="52"/>
      <c r="AV1426" s="52"/>
      <c r="AW1426" s="52"/>
      <c r="AX1426" s="52"/>
      <c r="AY1426" s="52"/>
      <c r="AZ1426" s="52"/>
      <c r="BA1426" s="52"/>
      <c r="BB1426" s="52"/>
      <c r="BC1426" s="52"/>
      <c r="BD1426" s="52"/>
      <c r="BE1426" s="52"/>
      <c r="BF1426" s="52"/>
      <c r="BG1426" s="52"/>
      <c r="BH1426" s="52"/>
      <c r="BI1426" s="52"/>
      <c r="BJ1426" s="52"/>
      <c r="BK1426" s="52"/>
      <c r="BL1426" s="52"/>
      <c r="BM1426" s="52"/>
      <c r="BN1426" s="52"/>
      <c r="BO1426" s="52"/>
    </row>
    <row r="1427">
      <c r="B1427" s="49"/>
      <c r="C1427" s="49" t="str">
        <f t="shared" si="2"/>
        <v/>
      </c>
      <c r="D1427" s="50" t="str">
        <f t="shared" si="3"/>
        <v/>
      </c>
      <c r="E1427" s="51" t="str">
        <f t="shared" ref="E1427:T1427" si="1428">IFERROR(VLOOKUP($A1427,INDIRECT("'" &amp; E$1 &amp; "'!$C:$G"), 5, FALSE),"")</f>
        <v/>
      </c>
      <c r="F1427" s="51" t="str">
        <f t="shared" si="1428"/>
        <v/>
      </c>
      <c r="G1427" s="51" t="str">
        <f t="shared" si="1428"/>
        <v/>
      </c>
      <c r="H1427" s="51" t="str">
        <f t="shared" si="1428"/>
        <v/>
      </c>
      <c r="I1427" s="51" t="str">
        <f t="shared" si="1428"/>
        <v/>
      </c>
      <c r="J1427" s="51" t="str">
        <f t="shared" si="1428"/>
        <v/>
      </c>
      <c r="K1427" s="51" t="str">
        <f t="shared" si="1428"/>
        <v/>
      </c>
      <c r="L1427" s="51" t="str">
        <f t="shared" si="1428"/>
        <v/>
      </c>
      <c r="M1427" s="51" t="str">
        <f t="shared" si="1428"/>
        <v/>
      </c>
      <c r="N1427" s="51" t="str">
        <f t="shared" si="1428"/>
        <v/>
      </c>
      <c r="O1427" s="51" t="str">
        <f t="shared" si="1428"/>
        <v/>
      </c>
      <c r="P1427" s="51" t="str">
        <f t="shared" si="1428"/>
        <v/>
      </c>
      <c r="Q1427" s="51" t="str">
        <f t="shared" si="1428"/>
        <v/>
      </c>
      <c r="R1427" s="51" t="str">
        <f t="shared" si="1428"/>
        <v/>
      </c>
      <c r="S1427" s="51" t="str">
        <f t="shared" si="1428"/>
        <v/>
      </c>
      <c r="T1427" s="51" t="str">
        <f t="shared" si="1428"/>
        <v/>
      </c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2"/>
      <c r="AE1427" s="52"/>
      <c r="AF1427" s="52"/>
      <c r="AG1427" s="52"/>
      <c r="AH1427" s="52"/>
      <c r="AI1427" s="52"/>
      <c r="AJ1427" s="52"/>
      <c r="AK1427" s="52"/>
      <c r="AL1427" s="52"/>
      <c r="AM1427" s="52"/>
      <c r="AN1427" s="52"/>
      <c r="AO1427" s="52"/>
      <c r="AP1427" s="52"/>
      <c r="AQ1427" s="52"/>
      <c r="AR1427" s="52"/>
      <c r="AS1427" s="52"/>
      <c r="AT1427" s="52"/>
      <c r="AU1427" s="52"/>
      <c r="AV1427" s="52"/>
      <c r="AW1427" s="52"/>
      <c r="AX1427" s="52"/>
      <c r="AY1427" s="52"/>
      <c r="AZ1427" s="52"/>
      <c r="BA1427" s="52"/>
      <c r="BB1427" s="52"/>
      <c r="BC1427" s="52"/>
      <c r="BD1427" s="52"/>
      <c r="BE1427" s="52"/>
      <c r="BF1427" s="52"/>
      <c r="BG1427" s="52"/>
      <c r="BH1427" s="52"/>
      <c r="BI1427" s="52"/>
      <c r="BJ1427" s="52"/>
      <c r="BK1427" s="52"/>
      <c r="BL1427" s="52"/>
      <c r="BM1427" s="52"/>
      <c r="BN1427" s="52"/>
      <c r="BO1427" s="52"/>
    </row>
    <row r="1428">
      <c r="B1428" s="49"/>
      <c r="C1428" s="49" t="str">
        <f t="shared" si="2"/>
        <v/>
      </c>
      <c r="D1428" s="50" t="str">
        <f t="shared" si="3"/>
        <v/>
      </c>
      <c r="E1428" s="51" t="str">
        <f t="shared" ref="E1428:T1428" si="1429">IFERROR(VLOOKUP($A1428,INDIRECT("'" &amp; E$1 &amp; "'!$C:$G"), 5, FALSE),"")</f>
        <v/>
      </c>
      <c r="F1428" s="51" t="str">
        <f t="shared" si="1429"/>
        <v/>
      </c>
      <c r="G1428" s="51" t="str">
        <f t="shared" si="1429"/>
        <v/>
      </c>
      <c r="H1428" s="51" t="str">
        <f t="shared" si="1429"/>
        <v/>
      </c>
      <c r="I1428" s="51" t="str">
        <f t="shared" si="1429"/>
        <v/>
      </c>
      <c r="J1428" s="51" t="str">
        <f t="shared" si="1429"/>
        <v/>
      </c>
      <c r="K1428" s="51" t="str">
        <f t="shared" si="1429"/>
        <v/>
      </c>
      <c r="L1428" s="51" t="str">
        <f t="shared" si="1429"/>
        <v/>
      </c>
      <c r="M1428" s="51" t="str">
        <f t="shared" si="1429"/>
        <v/>
      </c>
      <c r="N1428" s="51" t="str">
        <f t="shared" si="1429"/>
        <v/>
      </c>
      <c r="O1428" s="51" t="str">
        <f t="shared" si="1429"/>
        <v/>
      </c>
      <c r="P1428" s="51" t="str">
        <f t="shared" si="1429"/>
        <v/>
      </c>
      <c r="Q1428" s="51" t="str">
        <f t="shared" si="1429"/>
        <v/>
      </c>
      <c r="R1428" s="51" t="str">
        <f t="shared" si="1429"/>
        <v/>
      </c>
      <c r="S1428" s="51" t="str">
        <f t="shared" si="1429"/>
        <v/>
      </c>
      <c r="T1428" s="51" t="str">
        <f t="shared" si="1429"/>
        <v/>
      </c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52"/>
      <c r="AN1428" s="52"/>
      <c r="AO1428" s="52"/>
      <c r="AP1428" s="52"/>
      <c r="AQ1428" s="52"/>
      <c r="AR1428" s="52"/>
      <c r="AS1428" s="52"/>
      <c r="AT1428" s="52"/>
      <c r="AU1428" s="52"/>
      <c r="AV1428" s="52"/>
      <c r="AW1428" s="52"/>
      <c r="AX1428" s="52"/>
      <c r="AY1428" s="52"/>
      <c r="AZ1428" s="52"/>
      <c r="BA1428" s="52"/>
      <c r="BB1428" s="52"/>
      <c r="BC1428" s="52"/>
      <c r="BD1428" s="52"/>
      <c r="BE1428" s="52"/>
      <c r="BF1428" s="52"/>
      <c r="BG1428" s="52"/>
      <c r="BH1428" s="52"/>
      <c r="BI1428" s="52"/>
      <c r="BJ1428" s="52"/>
      <c r="BK1428" s="52"/>
      <c r="BL1428" s="52"/>
      <c r="BM1428" s="52"/>
      <c r="BN1428" s="52"/>
      <c r="BO1428" s="52"/>
    </row>
    <row r="1429">
      <c r="B1429" s="49"/>
      <c r="C1429" s="49" t="str">
        <f t="shared" si="2"/>
        <v/>
      </c>
      <c r="D1429" s="50" t="str">
        <f t="shared" si="3"/>
        <v/>
      </c>
      <c r="E1429" s="51" t="str">
        <f t="shared" ref="E1429:T1429" si="1430">IFERROR(VLOOKUP($A1429,INDIRECT("'" &amp; E$1 &amp; "'!$C:$G"), 5, FALSE),"")</f>
        <v/>
      </c>
      <c r="F1429" s="51" t="str">
        <f t="shared" si="1430"/>
        <v/>
      </c>
      <c r="G1429" s="51" t="str">
        <f t="shared" si="1430"/>
        <v/>
      </c>
      <c r="H1429" s="51" t="str">
        <f t="shared" si="1430"/>
        <v/>
      </c>
      <c r="I1429" s="51" t="str">
        <f t="shared" si="1430"/>
        <v/>
      </c>
      <c r="J1429" s="51" t="str">
        <f t="shared" si="1430"/>
        <v/>
      </c>
      <c r="K1429" s="51" t="str">
        <f t="shared" si="1430"/>
        <v/>
      </c>
      <c r="L1429" s="51" t="str">
        <f t="shared" si="1430"/>
        <v/>
      </c>
      <c r="M1429" s="51" t="str">
        <f t="shared" si="1430"/>
        <v/>
      </c>
      <c r="N1429" s="51" t="str">
        <f t="shared" si="1430"/>
        <v/>
      </c>
      <c r="O1429" s="51" t="str">
        <f t="shared" si="1430"/>
        <v/>
      </c>
      <c r="P1429" s="51" t="str">
        <f t="shared" si="1430"/>
        <v/>
      </c>
      <c r="Q1429" s="51" t="str">
        <f t="shared" si="1430"/>
        <v/>
      </c>
      <c r="R1429" s="51" t="str">
        <f t="shared" si="1430"/>
        <v/>
      </c>
      <c r="S1429" s="51" t="str">
        <f t="shared" si="1430"/>
        <v/>
      </c>
      <c r="T1429" s="51" t="str">
        <f t="shared" si="1430"/>
        <v/>
      </c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2"/>
      <c r="AE1429" s="52"/>
      <c r="AF1429" s="52"/>
      <c r="AG1429" s="52"/>
      <c r="AH1429" s="52"/>
      <c r="AI1429" s="52"/>
      <c r="AJ1429" s="52"/>
      <c r="AK1429" s="52"/>
      <c r="AL1429" s="52"/>
      <c r="AM1429" s="52"/>
      <c r="AN1429" s="52"/>
      <c r="AO1429" s="52"/>
      <c r="AP1429" s="52"/>
      <c r="AQ1429" s="52"/>
      <c r="AR1429" s="52"/>
      <c r="AS1429" s="52"/>
      <c r="AT1429" s="52"/>
      <c r="AU1429" s="52"/>
      <c r="AV1429" s="52"/>
      <c r="AW1429" s="52"/>
      <c r="AX1429" s="52"/>
      <c r="AY1429" s="52"/>
      <c r="AZ1429" s="52"/>
      <c r="BA1429" s="52"/>
      <c r="BB1429" s="52"/>
      <c r="BC1429" s="52"/>
      <c r="BD1429" s="52"/>
      <c r="BE1429" s="52"/>
      <c r="BF1429" s="52"/>
      <c r="BG1429" s="52"/>
      <c r="BH1429" s="52"/>
      <c r="BI1429" s="52"/>
      <c r="BJ1429" s="52"/>
      <c r="BK1429" s="52"/>
      <c r="BL1429" s="52"/>
      <c r="BM1429" s="52"/>
      <c r="BN1429" s="52"/>
      <c r="BO1429" s="52"/>
    </row>
    <row r="1430">
      <c r="B1430" s="49"/>
      <c r="C1430" s="49" t="str">
        <f t="shared" si="2"/>
        <v/>
      </c>
      <c r="D1430" s="50" t="str">
        <f t="shared" si="3"/>
        <v/>
      </c>
      <c r="E1430" s="51" t="str">
        <f t="shared" ref="E1430:T1430" si="1431">IFERROR(VLOOKUP($A1430,INDIRECT("'" &amp; E$1 &amp; "'!$C:$G"), 5, FALSE),"")</f>
        <v/>
      </c>
      <c r="F1430" s="51" t="str">
        <f t="shared" si="1431"/>
        <v/>
      </c>
      <c r="G1430" s="51" t="str">
        <f t="shared" si="1431"/>
        <v/>
      </c>
      <c r="H1430" s="51" t="str">
        <f t="shared" si="1431"/>
        <v/>
      </c>
      <c r="I1430" s="51" t="str">
        <f t="shared" si="1431"/>
        <v/>
      </c>
      <c r="J1430" s="51" t="str">
        <f t="shared" si="1431"/>
        <v/>
      </c>
      <c r="K1430" s="51" t="str">
        <f t="shared" si="1431"/>
        <v/>
      </c>
      <c r="L1430" s="51" t="str">
        <f t="shared" si="1431"/>
        <v/>
      </c>
      <c r="M1430" s="51" t="str">
        <f t="shared" si="1431"/>
        <v/>
      </c>
      <c r="N1430" s="51" t="str">
        <f t="shared" si="1431"/>
        <v/>
      </c>
      <c r="O1430" s="51" t="str">
        <f t="shared" si="1431"/>
        <v/>
      </c>
      <c r="P1430" s="51" t="str">
        <f t="shared" si="1431"/>
        <v/>
      </c>
      <c r="Q1430" s="51" t="str">
        <f t="shared" si="1431"/>
        <v/>
      </c>
      <c r="R1430" s="51" t="str">
        <f t="shared" si="1431"/>
        <v/>
      </c>
      <c r="S1430" s="51" t="str">
        <f t="shared" si="1431"/>
        <v/>
      </c>
      <c r="T1430" s="51" t="str">
        <f t="shared" si="1431"/>
        <v/>
      </c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2"/>
      <c r="AE1430" s="52"/>
      <c r="AF1430" s="52"/>
      <c r="AG1430" s="52"/>
      <c r="AH1430" s="52"/>
      <c r="AI1430" s="52"/>
      <c r="AJ1430" s="52"/>
      <c r="AK1430" s="52"/>
      <c r="AL1430" s="52"/>
      <c r="AM1430" s="52"/>
      <c r="AN1430" s="52"/>
      <c r="AO1430" s="52"/>
      <c r="AP1430" s="52"/>
      <c r="AQ1430" s="52"/>
      <c r="AR1430" s="52"/>
      <c r="AS1430" s="52"/>
      <c r="AT1430" s="52"/>
      <c r="AU1430" s="52"/>
      <c r="AV1430" s="52"/>
      <c r="AW1430" s="52"/>
      <c r="AX1430" s="52"/>
      <c r="AY1430" s="52"/>
      <c r="AZ1430" s="52"/>
      <c r="BA1430" s="52"/>
      <c r="BB1430" s="52"/>
      <c r="BC1430" s="52"/>
      <c r="BD1430" s="52"/>
      <c r="BE1430" s="52"/>
      <c r="BF1430" s="52"/>
      <c r="BG1430" s="52"/>
      <c r="BH1430" s="52"/>
      <c r="BI1430" s="52"/>
      <c r="BJ1430" s="52"/>
      <c r="BK1430" s="52"/>
      <c r="BL1430" s="52"/>
      <c r="BM1430" s="52"/>
      <c r="BN1430" s="52"/>
      <c r="BO1430" s="52"/>
    </row>
    <row r="1431">
      <c r="B1431" s="49"/>
      <c r="C1431" s="49" t="str">
        <f t="shared" si="2"/>
        <v/>
      </c>
      <c r="D1431" s="50" t="str">
        <f t="shared" si="3"/>
        <v/>
      </c>
      <c r="E1431" s="51" t="str">
        <f t="shared" ref="E1431:T1431" si="1432">IFERROR(VLOOKUP($A1431,INDIRECT("'" &amp; E$1 &amp; "'!$C:$G"), 5, FALSE),"")</f>
        <v/>
      </c>
      <c r="F1431" s="51" t="str">
        <f t="shared" si="1432"/>
        <v/>
      </c>
      <c r="G1431" s="51" t="str">
        <f t="shared" si="1432"/>
        <v/>
      </c>
      <c r="H1431" s="51" t="str">
        <f t="shared" si="1432"/>
        <v/>
      </c>
      <c r="I1431" s="51" t="str">
        <f t="shared" si="1432"/>
        <v/>
      </c>
      <c r="J1431" s="51" t="str">
        <f t="shared" si="1432"/>
        <v/>
      </c>
      <c r="K1431" s="51" t="str">
        <f t="shared" si="1432"/>
        <v/>
      </c>
      <c r="L1431" s="51" t="str">
        <f t="shared" si="1432"/>
        <v/>
      </c>
      <c r="M1431" s="51" t="str">
        <f t="shared" si="1432"/>
        <v/>
      </c>
      <c r="N1431" s="51" t="str">
        <f t="shared" si="1432"/>
        <v/>
      </c>
      <c r="O1431" s="51" t="str">
        <f t="shared" si="1432"/>
        <v/>
      </c>
      <c r="P1431" s="51" t="str">
        <f t="shared" si="1432"/>
        <v/>
      </c>
      <c r="Q1431" s="51" t="str">
        <f t="shared" si="1432"/>
        <v/>
      </c>
      <c r="R1431" s="51" t="str">
        <f t="shared" si="1432"/>
        <v/>
      </c>
      <c r="S1431" s="51" t="str">
        <f t="shared" si="1432"/>
        <v/>
      </c>
      <c r="T1431" s="51" t="str">
        <f t="shared" si="1432"/>
        <v/>
      </c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2"/>
      <c r="AE1431" s="52"/>
      <c r="AF1431" s="52"/>
      <c r="AG1431" s="52"/>
      <c r="AH1431" s="52"/>
      <c r="AI1431" s="52"/>
      <c r="AJ1431" s="52"/>
      <c r="AK1431" s="52"/>
      <c r="AL1431" s="52"/>
      <c r="AM1431" s="52"/>
      <c r="AN1431" s="52"/>
      <c r="AO1431" s="52"/>
      <c r="AP1431" s="52"/>
      <c r="AQ1431" s="52"/>
      <c r="AR1431" s="52"/>
      <c r="AS1431" s="52"/>
      <c r="AT1431" s="52"/>
      <c r="AU1431" s="52"/>
      <c r="AV1431" s="52"/>
      <c r="AW1431" s="52"/>
      <c r="AX1431" s="52"/>
      <c r="AY1431" s="52"/>
      <c r="AZ1431" s="52"/>
      <c r="BA1431" s="52"/>
      <c r="BB1431" s="52"/>
      <c r="BC1431" s="52"/>
      <c r="BD1431" s="52"/>
      <c r="BE1431" s="52"/>
      <c r="BF1431" s="52"/>
      <c r="BG1431" s="52"/>
      <c r="BH1431" s="52"/>
      <c r="BI1431" s="52"/>
      <c r="BJ1431" s="52"/>
      <c r="BK1431" s="52"/>
      <c r="BL1431" s="52"/>
      <c r="BM1431" s="52"/>
      <c r="BN1431" s="52"/>
      <c r="BO1431" s="52"/>
    </row>
    <row r="1432">
      <c r="B1432" s="49"/>
      <c r="C1432" s="49" t="str">
        <f t="shared" si="2"/>
        <v/>
      </c>
      <c r="D1432" s="50" t="str">
        <f t="shared" si="3"/>
        <v/>
      </c>
      <c r="E1432" s="51" t="str">
        <f t="shared" ref="E1432:T1432" si="1433">IFERROR(VLOOKUP($A1432,INDIRECT("'" &amp; E$1 &amp; "'!$C:$G"), 5, FALSE),"")</f>
        <v/>
      </c>
      <c r="F1432" s="51" t="str">
        <f t="shared" si="1433"/>
        <v/>
      </c>
      <c r="G1432" s="51" t="str">
        <f t="shared" si="1433"/>
        <v/>
      </c>
      <c r="H1432" s="51" t="str">
        <f t="shared" si="1433"/>
        <v/>
      </c>
      <c r="I1432" s="51" t="str">
        <f t="shared" si="1433"/>
        <v/>
      </c>
      <c r="J1432" s="51" t="str">
        <f t="shared" si="1433"/>
        <v/>
      </c>
      <c r="K1432" s="51" t="str">
        <f t="shared" si="1433"/>
        <v/>
      </c>
      <c r="L1432" s="51" t="str">
        <f t="shared" si="1433"/>
        <v/>
      </c>
      <c r="M1432" s="51" t="str">
        <f t="shared" si="1433"/>
        <v/>
      </c>
      <c r="N1432" s="51" t="str">
        <f t="shared" si="1433"/>
        <v/>
      </c>
      <c r="O1432" s="51" t="str">
        <f t="shared" si="1433"/>
        <v/>
      </c>
      <c r="P1432" s="51" t="str">
        <f t="shared" si="1433"/>
        <v/>
      </c>
      <c r="Q1432" s="51" t="str">
        <f t="shared" si="1433"/>
        <v/>
      </c>
      <c r="R1432" s="51" t="str">
        <f t="shared" si="1433"/>
        <v/>
      </c>
      <c r="S1432" s="51" t="str">
        <f t="shared" si="1433"/>
        <v/>
      </c>
      <c r="T1432" s="51" t="str">
        <f t="shared" si="1433"/>
        <v/>
      </c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2"/>
      <c r="AE1432" s="52"/>
      <c r="AF1432" s="52"/>
      <c r="AG1432" s="52"/>
      <c r="AH1432" s="52"/>
      <c r="AI1432" s="52"/>
      <c r="AJ1432" s="52"/>
      <c r="AK1432" s="52"/>
      <c r="AL1432" s="52"/>
      <c r="AM1432" s="52"/>
      <c r="AN1432" s="52"/>
      <c r="AO1432" s="52"/>
      <c r="AP1432" s="52"/>
      <c r="AQ1432" s="52"/>
      <c r="AR1432" s="52"/>
      <c r="AS1432" s="52"/>
      <c r="AT1432" s="52"/>
      <c r="AU1432" s="52"/>
      <c r="AV1432" s="52"/>
      <c r="AW1432" s="52"/>
      <c r="AX1432" s="52"/>
      <c r="AY1432" s="52"/>
      <c r="AZ1432" s="52"/>
      <c r="BA1432" s="52"/>
      <c r="BB1432" s="52"/>
      <c r="BC1432" s="52"/>
      <c r="BD1432" s="52"/>
      <c r="BE1432" s="52"/>
      <c r="BF1432" s="52"/>
      <c r="BG1432" s="52"/>
      <c r="BH1432" s="52"/>
      <c r="BI1432" s="52"/>
      <c r="BJ1432" s="52"/>
      <c r="BK1432" s="52"/>
      <c r="BL1432" s="52"/>
      <c r="BM1432" s="52"/>
      <c r="BN1432" s="52"/>
      <c r="BO1432" s="52"/>
    </row>
    <row r="1433">
      <c r="B1433" s="49"/>
      <c r="C1433" s="49" t="str">
        <f t="shared" si="2"/>
        <v/>
      </c>
      <c r="D1433" s="50" t="str">
        <f t="shared" si="3"/>
        <v/>
      </c>
      <c r="E1433" s="51" t="str">
        <f t="shared" ref="E1433:T1433" si="1434">IFERROR(VLOOKUP($A1433,INDIRECT("'" &amp; E$1 &amp; "'!$C:$G"), 5, FALSE),"")</f>
        <v/>
      </c>
      <c r="F1433" s="51" t="str">
        <f t="shared" si="1434"/>
        <v/>
      </c>
      <c r="G1433" s="51" t="str">
        <f t="shared" si="1434"/>
        <v/>
      </c>
      <c r="H1433" s="51" t="str">
        <f t="shared" si="1434"/>
        <v/>
      </c>
      <c r="I1433" s="51" t="str">
        <f t="shared" si="1434"/>
        <v/>
      </c>
      <c r="J1433" s="51" t="str">
        <f t="shared" si="1434"/>
        <v/>
      </c>
      <c r="K1433" s="51" t="str">
        <f t="shared" si="1434"/>
        <v/>
      </c>
      <c r="L1433" s="51" t="str">
        <f t="shared" si="1434"/>
        <v/>
      </c>
      <c r="M1433" s="51" t="str">
        <f t="shared" si="1434"/>
        <v/>
      </c>
      <c r="N1433" s="51" t="str">
        <f t="shared" si="1434"/>
        <v/>
      </c>
      <c r="O1433" s="51" t="str">
        <f t="shared" si="1434"/>
        <v/>
      </c>
      <c r="P1433" s="51" t="str">
        <f t="shared" si="1434"/>
        <v/>
      </c>
      <c r="Q1433" s="51" t="str">
        <f t="shared" si="1434"/>
        <v/>
      </c>
      <c r="R1433" s="51" t="str">
        <f t="shared" si="1434"/>
        <v/>
      </c>
      <c r="S1433" s="51" t="str">
        <f t="shared" si="1434"/>
        <v/>
      </c>
      <c r="T1433" s="51" t="str">
        <f t="shared" si="1434"/>
        <v/>
      </c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2"/>
      <c r="AE1433" s="52"/>
      <c r="AF1433" s="52"/>
      <c r="AG1433" s="52"/>
      <c r="AH1433" s="52"/>
      <c r="AI1433" s="52"/>
      <c r="AJ1433" s="52"/>
      <c r="AK1433" s="52"/>
      <c r="AL1433" s="52"/>
      <c r="AM1433" s="52"/>
      <c r="AN1433" s="52"/>
      <c r="AO1433" s="52"/>
      <c r="AP1433" s="52"/>
      <c r="AQ1433" s="52"/>
      <c r="AR1433" s="52"/>
      <c r="AS1433" s="52"/>
      <c r="AT1433" s="52"/>
      <c r="AU1433" s="52"/>
      <c r="AV1433" s="52"/>
      <c r="AW1433" s="52"/>
      <c r="AX1433" s="52"/>
      <c r="AY1433" s="52"/>
      <c r="AZ1433" s="52"/>
      <c r="BA1433" s="52"/>
      <c r="BB1433" s="52"/>
      <c r="BC1433" s="52"/>
      <c r="BD1433" s="52"/>
      <c r="BE1433" s="52"/>
      <c r="BF1433" s="52"/>
      <c r="BG1433" s="52"/>
      <c r="BH1433" s="52"/>
      <c r="BI1433" s="52"/>
      <c r="BJ1433" s="52"/>
      <c r="BK1433" s="52"/>
      <c r="BL1433" s="52"/>
      <c r="BM1433" s="52"/>
      <c r="BN1433" s="52"/>
      <c r="BO1433" s="52"/>
    </row>
    <row r="1434">
      <c r="B1434" s="49"/>
      <c r="C1434" s="49" t="str">
        <f t="shared" si="2"/>
        <v/>
      </c>
      <c r="D1434" s="50" t="str">
        <f t="shared" si="3"/>
        <v/>
      </c>
      <c r="E1434" s="51" t="str">
        <f t="shared" ref="E1434:T1434" si="1435">IFERROR(VLOOKUP($A1434,INDIRECT("'" &amp; E$1 &amp; "'!$C:$G"), 5, FALSE),"")</f>
        <v/>
      </c>
      <c r="F1434" s="51" t="str">
        <f t="shared" si="1435"/>
        <v/>
      </c>
      <c r="G1434" s="51" t="str">
        <f t="shared" si="1435"/>
        <v/>
      </c>
      <c r="H1434" s="51" t="str">
        <f t="shared" si="1435"/>
        <v/>
      </c>
      <c r="I1434" s="51" t="str">
        <f t="shared" si="1435"/>
        <v/>
      </c>
      <c r="J1434" s="51" t="str">
        <f t="shared" si="1435"/>
        <v/>
      </c>
      <c r="K1434" s="51" t="str">
        <f t="shared" si="1435"/>
        <v/>
      </c>
      <c r="L1434" s="51" t="str">
        <f t="shared" si="1435"/>
        <v/>
      </c>
      <c r="M1434" s="51" t="str">
        <f t="shared" si="1435"/>
        <v/>
      </c>
      <c r="N1434" s="51" t="str">
        <f t="shared" si="1435"/>
        <v/>
      </c>
      <c r="O1434" s="51" t="str">
        <f t="shared" si="1435"/>
        <v/>
      </c>
      <c r="P1434" s="51" t="str">
        <f t="shared" si="1435"/>
        <v/>
      </c>
      <c r="Q1434" s="51" t="str">
        <f t="shared" si="1435"/>
        <v/>
      </c>
      <c r="R1434" s="51" t="str">
        <f t="shared" si="1435"/>
        <v/>
      </c>
      <c r="S1434" s="51" t="str">
        <f t="shared" si="1435"/>
        <v/>
      </c>
      <c r="T1434" s="51" t="str">
        <f t="shared" si="1435"/>
        <v/>
      </c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2"/>
      <c r="AE1434" s="52"/>
      <c r="AF1434" s="52"/>
      <c r="AG1434" s="52"/>
      <c r="AH1434" s="52"/>
      <c r="AI1434" s="52"/>
      <c r="AJ1434" s="52"/>
      <c r="AK1434" s="52"/>
      <c r="AL1434" s="52"/>
      <c r="AM1434" s="52"/>
      <c r="AN1434" s="52"/>
      <c r="AO1434" s="52"/>
      <c r="AP1434" s="52"/>
      <c r="AQ1434" s="52"/>
      <c r="AR1434" s="52"/>
      <c r="AS1434" s="52"/>
      <c r="AT1434" s="52"/>
      <c r="AU1434" s="52"/>
      <c r="AV1434" s="52"/>
      <c r="AW1434" s="52"/>
      <c r="AX1434" s="52"/>
      <c r="AY1434" s="52"/>
      <c r="AZ1434" s="52"/>
      <c r="BA1434" s="52"/>
      <c r="BB1434" s="52"/>
      <c r="BC1434" s="52"/>
      <c r="BD1434" s="52"/>
      <c r="BE1434" s="52"/>
      <c r="BF1434" s="52"/>
      <c r="BG1434" s="52"/>
      <c r="BH1434" s="52"/>
      <c r="BI1434" s="52"/>
      <c r="BJ1434" s="52"/>
      <c r="BK1434" s="52"/>
      <c r="BL1434" s="52"/>
      <c r="BM1434" s="52"/>
      <c r="BN1434" s="52"/>
      <c r="BO1434" s="52"/>
    </row>
    <row r="1435">
      <c r="B1435" s="49"/>
      <c r="C1435" s="49" t="str">
        <f t="shared" si="2"/>
        <v/>
      </c>
      <c r="D1435" s="50" t="str">
        <f t="shared" si="3"/>
        <v/>
      </c>
      <c r="E1435" s="51" t="str">
        <f t="shared" ref="E1435:T1435" si="1436">IFERROR(VLOOKUP($A1435,INDIRECT("'" &amp; E$1 &amp; "'!$C:$G"), 5, FALSE),"")</f>
        <v/>
      </c>
      <c r="F1435" s="51" t="str">
        <f t="shared" si="1436"/>
        <v/>
      </c>
      <c r="G1435" s="51" t="str">
        <f t="shared" si="1436"/>
        <v/>
      </c>
      <c r="H1435" s="51" t="str">
        <f t="shared" si="1436"/>
        <v/>
      </c>
      <c r="I1435" s="51" t="str">
        <f t="shared" si="1436"/>
        <v/>
      </c>
      <c r="J1435" s="51" t="str">
        <f t="shared" si="1436"/>
        <v/>
      </c>
      <c r="K1435" s="51" t="str">
        <f t="shared" si="1436"/>
        <v/>
      </c>
      <c r="L1435" s="51" t="str">
        <f t="shared" si="1436"/>
        <v/>
      </c>
      <c r="M1435" s="51" t="str">
        <f t="shared" si="1436"/>
        <v/>
      </c>
      <c r="N1435" s="51" t="str">
        <f t="shared" si="1436"/>
        <v/>
      </c>
      <c r="O1435" s="51" t="str">
        <f t="shared" si="1436"/>
        <v/>
      </c>
      <c r="P1435" s="51" t="str">
        <f t="shared" si="1436"/>
        <v/>
      </c>
      <c r="Q1435" s="51" t="str">
        <f t="shared" si="1436"/>
        <v/>
      </c>
      <c r="R1435" s="51" t="str">
        <f t="shared" si="1436"/>
        <v/>
      </c>
      <c r="S1435" s="51" t="str">
        <f t="shared" si="1436"/>
        <v/>
      </c>
      <c r="T1435" s="51" t="str">
        <f t="shared" si="1436"/>
        <v/>
      </c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2"/>
      <c r="AE1435" s="52"/>
      <c r="AF1435" s="52"/>
      <c r="AG1435" s="52"/>
      <c r="AH1435" s="52"/>
      <c r="AI1435" s="52"/>
      <c r="AJ1435" s="52"/>
      <c r="AK1435" s="52"/>
      <c r="AL1435" s="52"/>
      <c r="AM1435" s="52"/>
      <c r="AN1435" s="52"/>
      <c r="AO1435" s="52"/>
      <c r="AP1435" s="52"/>
      <c r="AQ1435" s="52"/>
      <c r="AR1435" s="52"/>
      <c r="AS1435" s="52"/>
      <c r="AT1435" s="52"/>
      <c r="AU1435" s="52"/>
      <c r="AV1435" s="52"/>
      <c r="AW1435" s="52"/>
      <c r="AX1435" s="52"/>
      <c r="AY1435" s="52"/>
      <c r="AZ1435" s="52"/>
      <c r="BA1435" s="52"/>
      <c r="BB1435" s="52"/>
      <c r="BC1435" s="52"/>
      <c r="BD1435" s="52"/>
      <c r="BE1435" s="52"/>
      <c r="BF1435" s="52"/>
      <c r="BG1435" s="52"/>
      <c r="BH1435" s="52"/>
      <c r="BI1435" s="52"/>
      <c r="BJ1435" s="52"/>
      <c r="BK1435" s="52"/>
      <c r="BL1435" s="52"/>
      <c r="BM1435" s="52"/>
      <c r="BN1435" s="52"/>
      <c r="BO1435" s="52"/>
    </row>
    <row r="1436">
      <c r="B1436" s="49"/>
      <c r="C1436" s="49" t="str">
        <f t="shared" si="2"/>
        <v/>
      </c>
      <c r="D1436" s="50" t="str">
        <f t="shared" si="3"/>
        <v/>
      </c>
      <c r="E1436" s="51" t="str">
        <f t="shared" ref="E1436:T1436" si="1437">IFERROR(VLOOKUP($A1436,INDIRECT("'" &amp; E$1 &amp; "'!$C:$G"), 5, FALSE),"")</f>
        <v/>
      </c>
      <c r="F1436" s="51" t="str">
        <f t="shared" si="1437"/>
        <v/>
      </c>
      <c r="G1436" s="51" t="str">
        <f t="shared" si="1437"/>
        <v/>
      </c>
      <c r="H1436" s="51" t="str">
        <f t="shared" si="1437"/>
        <v/>
      </c>
      <c r="I1436" s="51" t="str">
        <f t="shared" si="1437"/>
        <v/>
      </c>
      <c r="J1436" s="51" t="str">
        <f t="shared" si="1437"/>
        <v/>
      </c>
      <c r="K1436" s="51" t="str">
        <f t="shared" si="1437"/>
        <v/>
      </c>
      <c r="L1436" s="51" t="str">
        <f t="shared" si="1437"/>
        <v/>
      </c>
      <c r="M1436" s="51" t="str">
        <f t="shared" si="1437"/>
        <v/>
      </c>
      <c r="N1436" s="51" t="str">
        <f t="shared" si="1437"/>
        <v/>
      </c>
      <c r="O1436" s="51" t="str">
        <f t="shared" si="1437"/>
        <v/>
      </c>
      <c r="P1436" s="51" t="str">
        <f t="shared" si="1437"/>
        <v/>
      </c>
      <c r="Q1436" s="51" t="str">
        <f t="shared" si="1437"/>
        <v/>
      </c>
      <c r="R1436" s="51" t="str">
        <f t="shared" si="1437"/>
        <v/>
      </c>
      <c r="S1436" s="51" t="str">
        <f t="shared" si="1437"/>
        <v/>
      </c>
      <c r="T1436" s="51" t="str">
        <f t="shared" si="1437"/>
        <v/>
      </c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I1436" s="52"/>
      <c r="AJ1436" s="52"/>
      <c r="AK1436" s="52"/>
      <c r="AL1436" s="52"/>
      <c r="AM1436" s="52"/>
      <c r="AN1436" s="52"/>
      <c r="AO1436" s="52"/>
      <c r="AP1436" s="52"/>
      <c r="AQ1436" s="52"/>
      <c r="AR1436" s="52"/>
      <c r="AS1436" s="52"/>
      <c r="AT1436" s="52"/>
      <c r="AU1436" s="52"/>
      <c r="AV1436" s="52"/>
      <c r="AW1436" s="52"/>
      <c r="AX1436" s="52"/>
      <c r="AY1436" s="52"/>
      <c r="AZ1436" s="52"/>
      <c r="BA1436" s="52"/>
      <c r="BB1436" s="52"/>
      <c r="BC1436" s="52"/>
      <c r="BD1436" s="52"/>
      <c r="BE1436" s="52"/>
      <c r="BF1436" s="52"/>
      <c r="BG1436" s="52"/>
      <c r="BH1436" s="52"/>
      <c r="BI1436" s="52"/>
      <c r="BJ1436" s="52"/>
      <c r="BK1436" s="52"/>
      <c r="BL1436" s="52"/>
      <c r="BM1436" s="52"/>
      <c r="BN1436" s="52"/>
      <c r="BO1436" s="52"/>
    </row>
    <row r="1437">
      <c r="B1437" s="49"/>
      <c r="C1437" s="49" t="str">
        <f t="shared" si="2"/>
        <v/>
      </c>
      <c r="D1437" s="50" t="str">
        <f t="shared" si="3"/>
        <v/>
      </c>
      <c r="E1437" s="51" t="str">
        <f t="shared" ref="E1437:T1437" si="1438">IFERROR(VLOOKUP($A1437,INDIRECT("'" &amp; E$1 &amp; "'!$C:$G"), 5, FALSE),"")</f>
        <v/>
      </c>
      <c r="F1437" s="51" t="str">
        <f t="shared" si="1438"/>
        <v/>
      </c>
      <c r="G1437" s="51" t="str">
        <f t="shared" si="1438"/>
        <v/>
      </c>
      <c r="H1437" s="51" t="str">
        <f t="shared" si="1438"/>
        <v/>
      </c>
      <c r="I1437" s="51" t="str">
        <f t="shared" si="1438"/>
        <v/>
      </c>
      <c r="J1437" s="51" t="str">
        <f t="shared" si="1438"/>
        <v/>
      </c>
      <c r="K1437" s="51" t="str">
        <f t="shared" si="1438"/>
        <v/>
      </c>
      <c r="L1437" s="51" t="str">
        <f t="shared" si="1438"/>
        <v/>
      </c>
      <c r="M1437" s="51" t="str">
        <f t="shared" si="1438"/>
        <v/>
      </c>
      <c r="N1437" s="51" t="str">
        <f t="shared" si="1438"/>
        <v/>
      </c>
      <c r="O1437" s="51" t="str">
        <f t="shared" si="1438"/>
        <v/>
      </c>
      <c r="P1437" s="51" t="str">
        <f t="shared" si="1438"/>
        <v/>
      </c>
      <c r="Q1437" s="51" t="str">
        <f t="shared" si="1438"/>
        <v/>
      </c>
      <c r="R1437" s="51" t="str">
        <f t="shared" si="1438"/>
        <v/>
      </c>
      <c r="S1437" s="51" t="str">
        <f t="shared" si="1438"/>
        <v/>
      </c>
      <c r="T1437" s="51" t="str">
        <f t="shared" si="1438"/>
        <v/>
      </c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2"/>
      <c r="AE1437" s="52"/>
      <c r="AF1437" s="52"/>
      <c r="AG1437" s="52"/>
      <c r="AH1437" s="52"/>
      <c r="AI1437" s="52"/>
      <c r="AJ1437" s="52"/>
      <c r="AK1437" s="52"/>
      <c r="AL1437" s="52"/>
      <c r="AM1437" s="52"/>
      <c r="AN1437" s="52"/>
      <c r="AO1437" s="52"/>
      <c r="AP1437" s="52"/>
      <c r="AQ1437" s="52"/>
      <c r="AR1437" s="52"/>
      <c r="AS1437" s="52"/>
      <c r="AT1437" s="52"/>
      <c r="AU1437" s="52"/>
      <c r="AV1437" s="52"/>
      <c r="AW1437" s="52"/>
      <c r="AX1437" s="52"/>
      <c r="AY1437" s="52"/>
      <c r="AZ1437" s="52"/>
      <c r="BA1437" s="52"/>
      <c r="BB1437" s="52"/>
      <c r="BC1437" s="52"/>
      <c r="BD1437" s="52"/>
      <c r="BE1437" s="52"/>
      <c r="BF1437" s="52"/>
      <c r="BG1437" s="52"/>
      <c r="BH1437" s="52"/>
      <c r="BI1437" s="52"/>
      <c r="BJ1437" s="52"/>
      <c r="BK1437" s="52"/>
      <c r="BL1437" s="52"/>
      <c r="BM1437" s="52"/>
      <c r="BN1437" s="52"/>
      <c r="BO1437" s="52"/>
    </row>
    <row r="1438">
      <c r="B1438" s="49"/>
      <c r="C1438" s="49" t="str">
        <f t="shared" si="2"/>
        <v/>
      </c>
      <c r="D1438" s="50" t="str">
        <f t="shared" si="3"/>
        <v/>
      </c>
      <c r="E1438" s="51" t="str">
        <f t="shared" ref="E1438:T1438" si="1439">IFERROR(VLOOKUP($A1438,INDIRECT("'" &amp; E$1 &amp; "'!$C:$G"), 5, FALSE),"")</f>
        <v/>
      </c>
      <c r="F1438" s="51" t="str">
        <f t="shared" si="1439"/>
        <v/>
      </c>
      <c r="G1438" s="51" t="str">
        <f t="shared" si="1439"/>
        <v/>
      </c>
      <c r="H1438" s="51" t="str">
        <f t="shared" si="1439"/>
        <v/>
      </c>
      <c r="I1438" s="51" t="str">
        <f t="shared" si="1439"/>
        <v/>
      </c>
      <c r="J1438" s="51" t="str">
        <f t="shared" si="1439"/>
        <v/>
      </c>
      <c r="K1438" s="51" t="str">
        <f t="shared" si="1439"/>
        <v/>
      </c>
      <c r="L1438" s="51" t="str">
        <f t="shared" si="1439"/>
        <v/>
      </c>
      <c r="M1438" s="51" t="str">
        <f t="shared" si="1439"/>
        <v/>
      </c>
      <c r="N1438" s="51" t="str">
        <f t="shared" si="1439"/>
        <v/>
      </c>
      <c r="O1438" s="51" t="str">
        <f t="shared" si="1439"/>
        <v/>
      </c>
      <c r="P1438" s="51" t="str">
        <f t="shared" si="1439"/>
        <v/>
      </c>
      <c r="Q1438" s="51" t="str">
        <f t="shared" si="1439"/>
        <v/>
      </c>
      <c r="R1438" s="51" t="str">
        <f t="shared" si="1439"/>
        <v/>
      </c>
      <c r="S1438" s="51" t="str">
        <f t="shared" si="1439"/>
        <v/>
      </c>
      <c r="T1438" s="51" t="str">
        <f t="shared" si="1439"/>
        <v/>
      </c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  <c r="AH1438" s="52"/>
      <c r="AI1438" s="52"/>
      <c r="AJ1438" s="52"/>
      <c r="AK1438" s="52"/>
      <c r="AL1438" s="52"/>
      <c r="AM1438" s="52"/>
      <c r="AN1438" s="52"/>
      <c r="AO1438" s="52"/>
      <c r="AP1438" s="52"/>
      <c r="AQ1438" s="52"/>
      <c r="AR1438" s="52"/>
      <c r="AS1438" s="52"/>
      <c r="AT1438" s="52"/>
      <c r="AU1438" s="52"/>
      <c r="AV1438" s="52"/>
      <c r="AW1438" s="52"/>
      <c r="AX1438" s="52"/>
      <c r="AY1438" s="52"/>
      <c r="AZ1438" s="52"/>
      <c r="BA1438" s="52"/>
      <c r="BB1438" s="52"/>
      <c r="BC1438" s="52"/>
      <c r="BD1438" s="52"/>
      <c r="BE1438" s="52"/>
      <c r="BF1438" s="52"/>
      <c r="BG1438" s="52"/>
      <c r="BH1438" s="52"/>
      <c r="BI1438" s="52"/>
      <c r="BJ1438" s="52"/>
      <c r="BK1438" s="52"/>
      <c r="BL1438" s="52"/>
      <c r="BM1438" s="52"/>
      <c r="BN1438" s="52"/>
      <c r="BO1438" s="52"/>
    </row>
    <row r="1439">
      <c r="B1439" s="49"/>
      <c r="C1439" s="49" t="str">
        <f t="shared" si="2"/>
        <v/>
      </c>
      <c r="D1439" s="50" t="str">
        <f t="shared" si="3"/>
        <v/>
      </c>
      <c r="E1439" s="51" t="str">
        <f t="shared" ref="E1439:T1439" si="1440">IFERROR(VLOOKUP($A1439,INDIRECT("'" &amp; E$1 &amp; "'!$C:$G"), 5, FALSE),"")</f>
        <v/>
      </c>
      <c r="F1439" s="51" t="str">
        <f t="shared" si="1440"/>
        <v/>
      </c>
      <c r="G1439" s="51" t="str">
        <f t="shared" si="1440"/>
        <v/>
      </c>
      <c r="H1439" s="51" t="str">
        <f t="shared" si="1440"/>
        <v/>
      </c>
      <c r="I1439" s="51" t="str">
        <f t="shared" si="1440"/>
        <v/>
      </c>
      <c r="J1439" s="51" t="str">
        <f t="shared" si="1440"/>
        <v/>
      </c>
      <c r="K1439" s="51" t="str">
        <f t="shared" si="1440"/>
        <v/>
      </c>
      <c r="L1439" s="51" t="str">
        <f t="shared" si="1440"/>
        <v/>
      </c>
      <c r="M1439" s="51" t="str">
        <f t="shared" si="1440"/>
        <v/>
      </c>
      <c r="N1439" s="51" t="str">
        <f t="shared" si="1440"/>
        <v/>
      </c>
      <c r="O1439" s="51" t="str">
        <f t="shared" si="1440"/>
        <v/>
      </c>
      <c r="P1439" s="51" t="str">
        <f t="shared" si="1440"/>
        <v/>
      </c>
      <c r="Q1439" s="51" t="str">
        <f t="shared" si="1440"/>
        <v/>
      </c>
      <c r="R1439" s="51" t="str">
        <f t="shared" si="1440"/>
        <v/>
      </c>
      <c r="S1439" s="51" t="str">
        <f t="shared" si="1440"/>
        <v/>
      </c>
      <c r="T1439" s="51" t="str">
        <f t="shared" si="1440"/>
        <v/>
      </c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2"/>
      <c r="AE1439" s="52"/>
      <c r="AF1439" s="52"/>
      <c r="AG1439" s="52"/>
      <c r="AH1439" s="52"/>
      <c r="AI1439" s="52"/>
      <c r="AJ1439" s="52"/>
      <c r="AK1439" s="52"/>
      <c r="AL1439" s="52"/>
      <c r="AM1439" s="52"/>
      <c r="AN1439" s="52"/>
      <c r="AO1439" s="52"/>
      <c r="AP1439" s="52"/>
      <c r="AQ1439" s="52"/>
      <c r="AR1439" s="52"/>
      <c r="AS1439" s="52"/>
      <c r="AT1439" s="52"/>
      <c r="AU1439" s="52"/>
      <c r="AV1439" s="52"/>
      <c r="AW1439" s="52"/>
      <c r="AX1439" s="52"/>
      <c r="AY1439" s="52"/>
      <c r="AZ1439" s="52"/>
      <c r="BA1439" s="52"/>
      <c r="BB1439" s="52"/>
      <c r="BC1439" s="52"/>
      <c r="BD1439" s="52"/>
      <c r="BE1439" s="52"/>
      <c r="BF1439" s="52"/>
      <c r="BG1439" s="52"/>
      <c r="BH1439" s="52"/>
      <c r="BI1439" s="52"/>
      <c r="BJ1439" s="52"/>
      <c r="BK1439" s="52"/>
      <c r="BL1439" s="52"/>
      <c r="BM1439" s="52"/>
      <c r="BN1439" s="52"/>
      <c r="BO1439" s="52"/>
    </row>
    <row r="1440">
      <c r="B1440" s="49"/>
      <c r="C1440" s="49" t="str">
        <f t="shared" si="2"/>
        <v/>
      </c>
      <c r="D1440" s="50" t="str">
        <f t="shared" si="3"/>
        <v/>
      </c>
      <c r="E1440" s="51" t="str">
        <f t="shared" ref="E1440:T1440" si="1441">IFERROR(VLOOKUP($A1440,INDIRECT("'" &amp; E$1 &amp; "'!$C:$G"), 5, FALSE),"")</f>
        <v/>
      </c>
      <c r="F1440" s="51" t="str">
        <f t="shared" si="1441"/>
        <v/>
      </c>
      <c r="G1440" s="51" t="str">
        <f t="shared" si="1441"/>
        <v/>
      </c>
      <c r="H1440" s="51" t="str">
        <f t="shared" si="1441"/>
        <v/>
      </c>
      <c r="I1440" s="51" t="str">
        <f t="shared" si="1441"/>
        <v/>
      </c>
      <c r="J1440" s="51" t="str">
        <f t="shared" si="1441"/>
        <v/>
      </c>
      <c r="K1440" s="51" t="str">
        <f t="shared" si="1441"/>
        <v/>
      </c>
      <c r="L1440" s="51" t="str">
        <f t="shared" si="1441"/>
        <v/>
      </c>
      <c r="M1440" s="51" t="str">
        <f t="shared" si="1441"/>
        <v/>
      </c>
      <c r="N1440" s="51" t="str">
        <f t="shared" si="1441"/>
        <v/>
      </c>
      <c r="O1440" s="51" t="str">
        <f t="shared" si="1441"/>
        <v/>
      </c>
      <c r="P1440" s="51" t="str">
        <f t="shared" si="1441"/>
        <v/>
      </c>
      <c r="Q1440" s="51" t="str">
        <f t="shared" si="1441"/>
        <v/>
      </c>
      <c r="R1440" s="51" t="str">
        <f t="shared" si="1441"/>
        <v/>
      </c>
      <c r="S1440" s="51" t="str">
        <f t="shared" si="1441"/>
        <v/>
      </c>
      <c r="T1440" s="51" t="str">
        <f t="shared" si="1441"/>
        <v/>
      </c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2"/>
      <c r="AE1440" s="52"/>
      <c r="AF1440" s="52"/>
      <c r="AG1440" s="52"/>
      <c r="AH1440" s="52"/>
      <c r="AI1440" s="52"/>
      <c r="AJ1440" s="52"/>
      <c r="AK1440" s="52"/>
      <c r="AL1440" s="52"/>
      <c r="AM1440" s="52"/>
      <c r="AN1440" s="52"/>
      <c r="AO1440" s="52"/>
      <c r="AP1440" s="52"/>
      <c r="AQ1440" s="52"/>
      <c r="AR1440" s="52"/>
      <c r="AS1440" s="52"/>
      <c r="AT1440" s="52"/>
      <c r="AU1440" s="52"/>
      <c r="AV1440" s="52"/>
      <c r="AW1440" s="52"/>
      <c r="AX1440" s="52"/>
      <c r="AY1440" s="52"/>
      <c r="AZ1440" s="52"/>
      <c r="BA1440" s="52"/>
      <c r="BB1440" s="52"/>
      <c r="BC1440" s="52"/>
      <c r="BD1440" s="52"/>
      <c r="BE1440" s="52"/>
      <c r="BF1440" s="52"/>
      <c r="BG1440" s="52"/>
      <c r="BH1440" s="52"/>
      <c r="BI1440" s="52"/>
      <c r="BJ1440" s="52"/>
      <c r="BK1440" s="52"/>
      <c r="BL1440" s="52"/>
      <c r="BM1440" s="52"/>
      <c r="BN1440" s="52"/>
      <c r="BO1440" s="52"/>
    </row>
    <row r="1441">
      <c r="B1441" s="49"/>
      <c r="C1441" s="49" t="str">
        <f t="shared" si="2"/>
        <v/>
      </c>
      <c r="D1441" s="50" t="str">
        <f t="shared" si="3"/>
        <v/>
      </c>
      <c r="E1441" s="51" t="str">
        <f t="shared" ref="E1441:T1441" si="1442">IFERROR(VLOOKUP($A1441,INDIRECT("'" &amp; E$1 &amp; "'!$C:$G"), 5, FALSE),"")</f>
        <v/>
      </c>
      <c r="F1441" s="51" t="str">
        <f t="shared" si="1442"/>
        <v/>
      </c>
      <c r="G1441" s="51" t="str">
        <f t="shared" si="1442"/>
        <v/>
      </c>
      <c r="H1441" s="51" t="str">
        <f t="shared" si="1442"/>
        <v/>
      </c>
      <c r="I1441" s="51" t="str">
        <f t="shared" si="1442"/>
        <v/>
      </c>
      <c r="J1441" s="51" t="str">
        <f t="shared" si="1442"/>
        <v/>
      </c>
      <c r="K1441" s="51" t="str">
        <f t="shared" si="1442"/>
        <v/>
      </c>
      <c r="L1441" s="51" t="str">
        <f t="shared" si="1442"/>
        <v/>
      </c>
      <c r="M1441" s="51" t="str">
        <f t="shared" si="1442"/>
        <v/>
      </c>
      <c r="N1441" s="51" t="str">
        <f t="shared" si="1442"/>
        <v/>
      </c>
      <c r="O1441" s="51" t="str">
        <f t="shared" si="1442"/>
        <v/>
      </c>
      <c r="P1441" s="51" t="str">
        <f t="shared" si="1442"/>
        <v/>
      </c>
      <c r="Q1441" s="51" t="str">
        <f t="shared" si="1442"/>
        <v/>
      </c>
      <c r="R1441" s="51" t="str">
        <f t="shared" si="1442"/>
        <v/>
      </c>
      <c r="S1441" s="51" t="str">
        <f t="shared" si="1442"/>
        <v/>
      </c>
      <c r="T1441" s="51" t="str">
        <f t="shared" si="1442"/>
        <v/>
      </c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2"/>
      <c r="AE1441" s="52"/>
      <c r="AF1441" s="52"/>
      <c r="AG1441" s="52"/>
      <c r="AH1441" s="52"/>
      <c r="AI1441" s="52"/>
      <c r="AJ1441" s="52"/>
      <c r="AK1441" s="52"/>
      <c r="AL1441" s="52"/>
      <c r="AM1441" s="52"/>
      <c r="AN1441" s="52"/>
      <c r="AO1441" s="52"/>
      <c r="AP1441" s="52"/>
      <c r="AQ1441" s="52"/>
      <c r="AR1441" s="52"/>
      <c r="AS1441" s="52"/>
      <c r="AT1441" s="52"/>
      <c r="AU1441" s="52"/>
      <c r="AV1441" s="52"/>
      <c r="AW1441" s="52"/>
      <c r="AX1441" s="52"/>
      <c r="AY1441" s="52"/>
      <c r="AZ1441" s="52"/>
      <c r="BA1441" s="52"/>
      <c r="BB1441" s="52"/>
      <c r="BC1441" s="52"/>
      <c r="BD1441" s="52"/>
      <c r="BE1441" s="52"/>
      <c r="BF1441" s="52"/>
      <c r="BG1441" s="52"/>
      <c r="BH1441" s="52"/>
      <c r="BI1441" s="52"/>
      <c r="BJ1441" s="52"/>
      <c r="BK1441" s="52"/>
      <c r="BL1441" s="52"/>
      <c r="BM1441" s="52"/>
      <c r="BN1441" s="52"/>
      <c r="BO1441" s="52"/>
    </row>
    <row r="1442">
      <c r="B1442" s="49"/>
      <c r="C1442" s="49" t="str">
        <f t="shared" si="2"/>
        <v/>
      </c>
      <c r="D1442" s="50" t="str">
        <f t="shared" si="3"/>
        <v/>
      </c>
      <c r="E1442" s="51" t="str">
        <f t="shared" ref="E1442:T1442" si="1443">IFERROR(VLOOKUP($A1442,INDIRECT("'" &amp; E$1 &amp; "'!$C:$G"), 5, FALSE),"")</f>
        <v/>
      </c>
      <c r="F1442" s="51" t="str">
        <f t="shared" si="1443"/>
        <v/>
      </c>
      <c r="G1442" s="51" t="str">
        <f t="shared" si="1443"/>
        <v/>
      </c>
      <c r="H1442" s="51" t="str">
        <f t="shared" si="1443"/>
        <v/>
      </c>
      <c r="I1442" s="51" t="str">
        <f t="shared" si="1443"/>
        <v/>
      </c>
      <c r="J1442" s="51" t="str">
        <f t="shared" si="1443"/>
        <v/>
      </c>
      <c r="K1442" s="51" t="str">
        <f t="shared" si="1443"/>
        <v/>
      </c>
      <c r="L1442" s="51" t="str">
        <f t="shared" si="1443"/>
        <v/>
      </c>
      <c r="M1442" s="51" t="str">
        <f t="shared" si="1443"/>
        <v/>
      </c>
      <c r="N1442" s="51" t="str">
        <f t="shared" si="1443"/>
        <v/>
      </c>
      <c r="O1442" s="51" t="str">
        <f t="shared" si="1443"/>
        <v/>
      </c>
      <c r="P1442" s="51" t="str">
        <f t="shared" si="1443"/>
        <v/>
      </c>
      <c r="Q1442" s="51" t="str">
        <f t="shared" si="1443"/>
        <v/>
      </c>
      <c r="R1442" s="51" t="str">
        <f t="shared" si="1443"/>
        <v/>
      </c>
      <c r="S1442" s="51" t="str">
        <f t="shared" si="1443"/>
        <v/>
      </c>
      <c r="T1442" s="51" t="str">
        <f t="shared" si="1443"/>
        <v/>
      </c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2"/>
      <c r="AE1442" s="52"/>
      <c r="AF1442" s="52"/>
      <c r="AG1442" s="52"/>
      <c r="AH1442" s="52"/>
      <c r="AI1442" s="52"/>
      <c r="AJ1442" s="52"/>
      <c r="AK1442" s="52"/>
      <c r="AL1442" s="52"/>
      <c r="AM1442" s="52"/>
      <c r="AN1442" s="52"/>
      <c r="AO1442" s="52"/>
      <c r="AP1442" s="52"/>
      <c r="AQ1442" s="52"/>
      <c r="AR1442" s="52"/>
      <c r="AS1442" s="52"/>
      <c r="AT1442" s="52"/>
      <c r="AU1442" s="52"/>
      <c r="AV1442" s="52"/>
      <c r="AW1442" s="52"/>
      <c r="AX1442" s="52"/>
      <c r="AY1442" s="52"/>
      <c r="AZ1442" s="52"/>
      <c r="BA1442" s="52"/>
      <c r="BB1442" s="52"/>
      <c r="BC1442" s="52"/>
      <c r="BD1442" s="52"/>
      <c r="BE1442" s="52"/>
      <c r="BF1442" s="52"/>
      <c r="BG1442" s="52"/>
      <c r="BH1442" s="52"/>
      <c r="BI1442" s="52"/>
      <c r="BJ1442" s="52"/>
      <c r="BK1442" s="52"/>
      <c r="BL1442" s="52"/>
      <c r="BM1442" s="52"/>
      <c r="BN1442" s="52"/>
      <c r="BO1442" s="52"/>
    </row>
    <row r="1443">
      <c r="B1443" s="49"/>
      <c r="C1443" s="49" t="str">
        <f t="shared" si="2"/>
        <v/>
      </c>
      <c r="D1443" s="50" t="str">
        <f t="shared" si="3"/>
        <v/>
      </c>
      <c r="E1443" s="51" t="str">
        <f t="shared" ref="E1443:T1443" si="1444">IFERROR(VLOOKUP($A1443,INDIRECT("'" &amp; E$1 &amp; "'!$C:$G"), 5, FALSE),"")</f>
        <v/>
      </c>
      <c r="F1443" s="51" t="str">
        <f t="shared" si="1444"/>
        <v/>
      </c>
      <c r="G1443" s="51" t="str">
        <f t="shared" si="1444"/>
        <v/>
      </c>
      <c r="H1443" s="51" t="str">
        <f t="shared" si="1444"/>
        <v/>
      </c>
      <c r="I1443" s="51" t="str">
        <f t="shared" si="1444"/>
        <v/>
      </c>
      <c r="J1443" s="51" t="str">
        <f t="shared" si="1444"/>
        <v/>
      </c>
      <c r="K1443" s="51" t="str">
        <f t="shared" si="1444"/>
        <v/>
      </c>
      <c r="L1443" s="51" t="str">
        <f t="shared" si="1444"/>
        <v/>
      </c>
      <c r="M1443" s="51" t="str">
        <f t="shared" si="1444"/>
        <v/>
      </c>
      <c r="N1443" s="51" t="str">
        <f t="shared" si="1444"/>
        <v/>
      </c>
      <c r="O1443" s="51" t="str">
        <f t="shared" si="1444"/>
        <v/>
      </c>
      <c r="P1443" s="51" t="str">
        <f t="shared" si="1444"/>
        <v/>
      </c>
      <c r="Q1443" s="51" t="str">
        <f t="shared" si="1444"/>
        <v/>
      </c>
      <c r="R1443" s="51" t="str">
        <f t="shared" si="1444"/>
        <v/>
      </c>
      <c r="S1443" s="51" t="str">
        <f t="shared" si="1444"/>
        <v/>
      </c>
      <c r="T1443" s="51" t="str">
        <f t="shared" si="1444"/>
        <v/>
      </c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2"/>
      <c r="AE1443" s="52"/>
      <c r="AF1443" s="52"/>
      <c r="AG1443" s="52"/>
      <c r="AH1443" s="52"/>
      <c r="AI1443" s="52"/>
      <c r="AJ1443" s="52"/>
      <c r="AK1443" s="52"/>
      <c r="AL1443" s="52"/>
      <c r="AM1443" s="52"/>
      <c r="AN1443" s="52"/>
      <c r="AO1443" s="52"/>
      <c r="AP1443" s="52"/>
      <c r="AQ1443" s="52"/>
      <c r="AR1443" s="52"/>
      <c r="AS1443" s="52"/>
      <c r="AT1443" s="52"/>
      <c r="AU1443" s="52"/>
      <c r="AV1443" s="52"/>
      <c r="AW1443" s="52"/>
      <c r="AX1443" s="52"/>
      <c r="AY1443" s="52"/>
      <c r="AZ1443" s="52"/>
      <c r="BA1443" s="52"/>
      <c r="BB1443" s="52"/>
      <c r="BC1443" s="52"/>
      <c r="BD1443" s="52"/>
      <c r="BE1443" s="52"/>
      <c r="BF1443" s="52"/>
      <c r="BG1443" s="52"/>
      <c r="BH1443" s="52"/>
      <c r="BI1443" s="52"/>
      <c r="BJ1443" s="52"/>
      <c r="BK1443" s="52"/>
      <c r="BL1443" s="52"/>
      <c r="BM1443" s="52"/>
      <c r="BN1443" s="52"/>
      <c r="BO1443" s="52"/>
    </row>
    <row r="1444">
      <c r="B1444" s="49"/>
      <c r="C1444" s="49" t="str">
        <f t="shared" si="2"/>
        <v/>
      </c>
      <c r="D1444" s="50" t="str">
        <f t="shared" si="3"/>
        <v/>
      </c>
      <c r="E1444" s="51" t="str">
        <f t="shared" ref="E1444:T1444" si="1445">IFERROR(VLOOKUP($A1444,INDIRECT("'" &amp; E$1 &amp; "'!$C:$G"), 5, FALSE),"")</f>
        <v/>
      </c>
      <c r="F1444" s="51" t="str">
        <f t="shared" si="1445"/>
        <v/>
      </c>
      <c r="G1444" s="51" t="str">
        <f t="shared" si="1445"/>
        <v/>
      </c>
      <c r="H1444" s="51" t="str">
        <f t="shared" si="1445"/>
        <v/>
      </c>
      <c r="I1444" s="51" t="str">
        <f t="shared" si="1445"/>
        <v/>
      </c>
      <c r="J1444" s="51" t="str">
        <f t="shared" si="1445"/>
        <v/>
      </c>
      <c r="K1444" s="51" t="str">
        <f t="shared" si="1445"/>
        <v/>
      </c>
      <c r="L1444" s="51" t="str">
        <f t="shared" si="1445"/>
        <v/>
      </c>
      <c r="M1444" s="51" t="str">
        <f t="shared" si="1445"/>
        <v/>
      </c>
      <c r="N1444" s="51" t="str">
        <f t="shared" si="1445"/>
        <v/>
      </c>
      <c r="O1444" s="51" t="str">
        <f t="shared" si="1445"/>
        <v/>
      </c>
      <c r="P1444" s="51" t="str">
        <f t="shared" si="1445"/>
        <v/>
      </c>
      <c r="Q1444" s="51" t="str">
        <f t="shared" si="1445"/>
        <v/>
      </c>
      <c r="R1444" s="51" t="str">
        <f t="shared" si="1445"/>
        <v/>
      </c>
      <c r="S1444" s="51" t="str">
        <f t="shared" si="1445"/>
        <v/>
      </c>
      <c r="T1444" s="51" t="str">
        <f t="shared" si="1445"/>
        <v/>
      </c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2"/>
      <c r="AE1444" s="52"/>
      <c r="AF1444" s="52"/>
      <c r="AG1444" s="52"/>
      <c r="AH1444" s="52"/>
      <c r="AI1444" s="52"/>
      <c r="AJ1444" s="52"/>
      <c r="AK1444" s="52"/>
      <c r="AL1444" s="52"/>
      <c r="AM1444" s="52"/>
      <c r="AN1444" s="52"/>
      <c r="AO1444" s="52"/>
      <c r="AP1444" s="52"/>
      <c r="AQ1444" s="52"/>
      <c r="AR1444" s="52"/>
      <c r="AS1444" s="52"/>
      <c r="AT1444" s="52"/>
      <c r="AU1444" s="52"/>
      <c r="AV1444" s="52"/>
      <c r="AW1444" s="52"/>
      <c r="AX1444" s="52"/>
      <c r="AY1444" s="52"/>
      <c r="AZ1444" s="52"/>
      <c r="BA1444" s="52"/>
      <c r="BB1444" s="52"/>
      <c r="BC1444" s="52"/>
      <c r="BD1444" s="52"/>
      <c r="BE1444" s="52"/>
      <c r="BF1444" s="52"/>
      <c r="BG1444" s="52"/>
      <c r="BH1444" s="52"/>
      <c r="BI1444" s="52"/>
      <c r="BJ1444" s="52"/>
      <c r="BK1444" s="52"/>
      <c r="BL1444" s="52"/>
      <c r="BM1444" s="52"/>
      <c r="BN1444" s="52"/>
      <c r="BO1444" s="52"/>
    </row>
    <row r="1445">
      <c r="B1445" s="49"/>
      <c r="C1445" s="49" t="str">
        <f t="shared" si="2"/>
        <v/>
      </c>
      <c r="D1445" s="50" t="str">
        <f t="shared" si="3"/>
        <v/>
      </c>
      <c r="E1445" s="51" t="str">
        <f t="shared" ref="E1445:T1445" si="1446">IFERROR(VLOOKUP($A1445,INDIRECT("'" &amp; E$1 &amp; "'!$C:$G"), 5, FALSE),"")</f>
        <v/>
      </c>
      <c r="F1445" s="51" t="str">
        <f t="shared" si="1446"/>
        <v/>
      </c>
      <c r="G1445" s="51" t="str">
        <f t="shared" si="1446"/>
        <v/>
      </c>
      <c r="H1445" s="51" t="str">
        <f t="shared" si="1446"/>
        <v/>
      </c>
      <c r="I1445" s="51" t="str">
        <f t="shared" si="1446"/>
        <v/>
      </c>
      <c r="J1445" s="51" t="str">
        <f t="shared" si="1446"/>
        <v/>
      </c>
      <c r="K1445" s="51" t="str">
        <f t="shared" si="1446"/>
        <v/>
      </c>
      <c r="L1445" s="51" t="str">
        <f t="shared" si="1446"/>
        <v/>
      </c>
      <c r="M1445" s="51" t="str">
        <f t="shared" si="1446"/>
        <v/>
      </c>
      <c r="N1445" s="51" t="str">
        <f t="shared" si="1446"/>
        <v/>
      </c>
      <c r="O1445" s="51" t="str">
        <f t="shared" si="1446"/>
        <v/>
      </c>
      <c r="P1445" s="51" t="str">
        <f t="shared" si="1446"/>
        <v/>
      </c>
      <c r="Q1445" s="51" t="str">
        <f t="shared" si="1446"/>
        <v/>
      </c>
      <c r="R1445" s="51" t="str">
        <f t="shared" si="1446"/>
        <v/>
      </c>
      <c r="S1445" s="51" t="str">
        <f t="shared" si="1446"/>
        <v/>
      </c>
      <c r="T1445" s="51" t="str">
        <f t="shared" si="1446"/>
        <v/>
      </c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2"/>
      <c r="AE1445" s="52"/>
      <c r="AF1445" s="52"/>
      <c r="AG1445" s="52"/>
      <c r="AH1445" s="52"/>
      <c r="AI1445" s="52"/>
      <c r="AJ1445" s="52"/>
      <c r="AK1445" s="52"/>
      <c r="AL1445" s="52"/>
      <c r="AM1445" s="52"/>
      <c r="AN1445" s="52"/>
      <c r="AO1445" s="52"/>
      <c r="AP1445" s="52"/>
      <c r="AQ1445" s="52"/>
      <c r="AR1445" s="52"/>
      <c r="AS1445" s="52"/>
      <c r="AT1445" s="52"/>
      <c r="AU1445" s="52"/>
      <c r="AV1445" s="52"/>
      <c r="AW1445" s="52"/>
      <c r="AX1445" s="52"/>
      <c r="AY1445" s="52"/>
      <c r="AZ1445" s="52"/>
      <c r="BA1445" s="52"/>
      <c r="BB1445" s="52"/>
      <c r="BC1445" s="52"/>
      <c r="BD1445" s="52"/>
      <c r="BE1445" s="52"/>
      <c r="BF1445" s="52"/>
      <c r="BG1445" s="52"/>
      <c r="BH1445" s="52"/>
      <c r="BI1445" s="52"/>
      <c r="BJ1445" s="52"/>
      <c r="BK1445" s="52"/>
      <c r="BL1445" s="52"/>
      <c r="BM1445" s="52"/>
      <c r="BN1445" s="52"/>
      <c r="BO1445" s="52"/>
    </row>
    <row r="1446">
      <c r="B1446" s="49"/>
      <c r="C1446" s="49" t="str">
        <f t="shared" si="2"/>
        <v/>
      </c>
      <c r="D1446" s="50" t="str">
        <f t="shared" si="3"/>
        <v/>
      </c>
      <c r="E1446" s="51" t="str">
        <f t="shared" ref="E1446:T1446" si="1447">IFERROR(VLOOKUP($A1446,INDIRECT("'" &amp; E$1 &amp; "'!$C:$G"), 5, FALSE),"")</f>
        <v/>
      </c>
      <c r="F1446" s="51" t="str">
        <f t="shared" si="1447"/>
        <v/>
      </c>
      <c r="G1446" s="51" t="str">
        <f t="shared" si="1447"/>
        <v/>
      </c>
      <c r="H1446" s="51" t="str">
        <f t="shared" si="1447"/>
        <v/>
      </c>
      <c r="I1446" s="51" t="str">
        <f t="shared" si="1447"/>
        <v/>
      </c>
      <c r="J1446" s="51" t="str">
        <f t="shared" si="1447"/>
        <v/>
      </c>
      <c r="K1446" s="51" t="str">
        <f t="shared" si="1447"/>
        <v/>
      </c>
      <c r="L1446" s="51" t="str">
        <f t="shared" si="1447"/>
        <v/>
      </c>
      <c r="M1446" s="51" t="str">
        <f t="shared" si="1447"/>
        <v/>
      </c>
      <c r="N1446" s="51" t="str">
        <f t="shared" si="1447"/>
        <v/>
      </c>
      <c r="O1446" s="51" t="str">
        <f t="shared" si="1447"/>
        <v/>
      </c>
      <c r="P1446" s="51" t="str">
        <f t="shared" si="1447"/>
        <v/>
      </c>
      <c r="Q1446" s="51" t="str">
        <f t="shared" si="1447"/>
        <v/>
      </c>
      <c r="R1446" s="51" t="str">
        <f t="shared" si="1447"/>
        <v/>
      </c>
      <c r="S1446" s="51" t="str">
        <f t="shared" si="1447"/>
        <v/>
      </c>
      <c r="T1446" s="51" t="str">
        <f t="shared" si="1447"/>
        <v/>
      </c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2"/>
      <c r="AE1446" s="52"/>
      <c r="AF1446" s="52"/>
      <c r="AG1446" s="52"/>
      <c r="AH1446" s="52"/>
      <c r="AI1446" s="52"/>
      <c r="AJ1446" s="52"/>
      <c r="AK1446" s="52"/>
      <c r="AL1446" s="52"/>
      <c r="AM1446" s="52"/>
      <c r="AN1446" s="52"/>
      <c r="AO1446" s="52"/>
      <c r="AP1446" s="52"/>
      <c r="AQ1446" s="52"/>
      <c r="AR1446" s="52"/>
      <c r="AS1446" s="52"/>
      <c r="AT1446" s="52"/>
      <c r="AU1446" s="52"/>
      <c r="AV1446" s="52"/>
      <c r="AW1446" s="52"/>
      <c r="AX1446" s="52"/>
      <c r="AY1446" s="52"/>
      <c r="AZ1446" s="52"/>
      <c r="BA1446" s="52"/>
      <c r="BB1446" s="52"/>
      <c r="BC1446" s="52"/>
      <c r="BD1446" s="52"/>
      <c r="BE1446" s="52"/>
      <c r="BF1446" s="52"/>
      <c r="BG1446" s="52"/>
      <c r="BH1446" s="52"/>
      <c r="BI1446" s="52"/>
      <c r="BJ1446" s="52"/>
      <c r="BK1446" s="52"/>
      <c r="BL1446" s="52"/>
      <c r="BM1446" s="52"/>
      <c r="BN1446" s="52"/>
      <c r="BO1446" s="52"/>
    </row>
    <row r="1447">
      <c r="B1447" s="49"/>
      <c r="C1447" s="49" t="str">
        <f t="shared" si="2"/>
        <v/>
      </c>
      <c r="D1447" s="50" t="str">
        <f t="shared" si="3"/>
        <v/>
      </c>
      <c r="E1447" s="51" t="str">
        <f t="shared" ref="E1447:T1447" si="1448">IFERROR(VLOOKUP($A1447,INDIRECT("'" &amp; E$1 &amp; "'!$C:$G"), 5, FALSE),"")</f>
        <v/>
      </c>
      <c r="F1447" s="51" t="str">
        <f t="shared" si="1448"/>
        <v/>
      </c>
      <c r="G1447" s="51" t="str">
        <f t="shared" si="1448"/>
        <v/>
      </c>
      <c r="H1447" s="51" t="str">
        <f t="shared" si="1448"/>
        <v/>
      </c>
      <c r="I1447" s="51" t="str">
        <f t="shared" si="1448"/>
        <v/>
      </c>
      <c r="J1447" s="51" t="str">
        <f t="shared" si="1448"/>
        <v/>
      </c>
      <c r="K1447" s="51" t="str">
        <f t="shared" si="1448"/>
        <v/>
      </c>
      <c r="L1447" s="51" t="str">
        <f t="shared" si="1448"/>
        <v/>
      </c>
      <c r="M1447" s="51" t="str">
        <f t="shared" si="1448"/>
        <v/>
      </c>
      <c r="N1447" s="51" t="str">
        <f t="shared" si="1448"/>
        <v/>
      </c>
      <c r="O1447" s="51" t="str">
        <f t="shared" si="1448"/>
        <v/>
      </c>
      <c r="P1447" s="51" t="str">
        <f t="shared" si="1448"/>
        <v/>
      </c>
      <c r="Q1447" s="51" t="str">
        <f t="shared" si="1448"/>
        <v/>
      </c>
      <c r="R1447" s="51" t="str">
        <f t="shared" si="1448"/>
        <v/>
      </c>
      <c r="S1447" s="51" t="str">
        <f t="shared" si="1448"/>
        <v/>
      </c>
      <c r="T1447" s="51" t="str">
        <f t="shared" si="1448"/>
        <v/>
      </c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2"/>
      <c r="AE1447" s="52"/>
      <c r="AF1447" s="52"/>
      <c r="AG1447" s="52"/>
      <c r="AH1447" s="52"/>
      <c r="AI1447" s="52"/>
      <c r="AJ1447" s="52"/>
      <c r="AK1447" s="52"/>
      <c r="AL1447" s="52"/>
      <c r="AM1447" s="52"/>
      <c r="AN1447" s="52"/>
      <c r="AO1447" s="52"/>
      <c r="AP1447" s="52"/>
      <c r="AQ1447" s="52"/>
      <c r="AR1447" s="52"/>
      <c r="AS1447" s="52"/>
      <c r="AT1447" s="52"/>
      <c r="AU1447" s="52"/>
      <c r="AV1447" s="52"/>
      <c r="AW1447" s="52"/>
      <c r="AX1447" s="52"/>
      <c r="AY1447" s="52"/>
      <c r="AZ1447" s="52"/>
      <c r="BA1447" s="52"/>
      <c r="BB1447" s="52"/>
      <c r="BC1447" s="52"/>
      <c r="BD1447" s="52"/>
      <c r="BE1447" s="52"/>
      <c r="BF1447" s="52"/>
      <c r="BG1447" s="52"/>
      <c r="BH1447" s="52"/>
      <c r="BI1447" s="52"/>
      <c r="BJ1447" s="52"/>
      <c r="BK1447" s="52"/>
      <c r="BL1447" s="52"/>
      <c r="BM1447" s="52"/>
      <c r="BN1447" s="52"/>
      <c r="BO1447" s="52"/>
    </row>
    <row r="1448">
      <c r="B1448" s="49"/>
      <c r="C1448" s="49" t="str">
        <f t="shared" si="2"/>
        <v/>
      </c>
      <c r="D1448" s="50" t="str">
        <f t="shared" si="3"/>
        <v/>
      </c>
      <c r="E1448" s="51" t="str">
        <f t="shared" ref="E1448:T1448" si="1449">IFERROR(VLOOKUP($A1448,INDIRECT("'" &amp; E$1 &amp; "'!$C:$G"), 5, FALSE),"")</f>
        <v/>
      </c>
      <c r="F1448" s="51" t="str">
        <f t="shared" si="1449"/>
        <v/>
      </c>
      <c r="G1448" s="51" t="str">
        <f t="shared" si="1449"/>
        <v/>
      </c>
      <c r="H1448" s="51" t="str">
        <f t="shared" si="1449"/>
        <v/>
      </c>
      <c r="I1448" s="51" t="str">
        <f t="shared" si="1449"/>
        <v/>
      </c>
      <c r="J1448" s="51" t="str">
        <f t="shared" si="1449"/>
        <v/>
      </c>
      <c r="K1448" s="51" t="str">
        <f t="shared" si="1449"/>
        <v/>
      </c>
      <c r="L1448" s="51" t="str">
        <f t="shared" si="1449"/>
        <v/>
      </c>
      <c r="M1448" s="51" t="str">
        <f t="shared" si="1449"/>
        <v/>
      </c>
      <c r="N1448" s="51" t="str">
        <f t="shared" si="1449"/>
        <v/>
      </c>
      <c r="O1448" s="51" t="str">
        <f t="shared" si="1449"/>
        <v/>
      </c>
      <c r="P1448" s="51" t="str">
        <f t="shared" si="1449"/>
        <v/>
      </c>
      <c r="Q1448" s="51" t="str">
        <f t="shared" si="1449"/>
        <v/>
      </c>
      <c r="R1448" s="51" t="str">
        <f t="shared" si="1449"/>
        <v/>
      </c>
      <c r="S1448" s="51" t="str">
        <f t="shared" si="1449"/>
        <v/>
      </c>
      <c r="T1448" s="51" t="str">
        <f t="shared" si="1449"/>
        <v/>
      </c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2"/>
      <c r="AE1448" s="52"/>
      <c r="AF1448" s="52"/>
      <c r="AG1448" s="52"/>
      <c r="AH1448" s="52"/>
      <c r="AI1448" s="52"/>
      <c r="AJ1448" s="52"/>
      <c r="AK1448" s="52"/>
      <c r="AL1448" s="52"/>
      <c r="AM1448" s="52"/>
      <c r="AN1448" s="52"/>
      <c r="AO1448" s="52"/>
      <c r="AP1448" s="52"/>
      <c r="AQ1448" s="52"/>
      <c r="AR1448" s="52"/>
      <c r="AS1448" s="52"/>
      <c r="AT1448" s="52"/>
      <c r="AU1448" s="52"/>
      <c r="AV1448" s="52"/>
      <c r="AW1448" s="52"/>
      <c r="AX1448" s="52"/>
      <c r="AY1448" s="52"/>
      <c r="AZ1448" s="52"/>
      <c r="BA1448" s="52"/>
      <c r="BB1448" s="52"/>
      <c r="BC1448" s="52"/>
      <c r="BD1448" s="52"/>
      <c r="BE1448" s="52"/>
      <c r="BF1448" s="52"/>
      <c r="BG1448" s="52"/>
      <c r="BH1448" s="52"/>
      <c r="BI1448" s="52"/>
      <c r="BJ1448" s="52"/>
      <c r="BK1448" s="52"/>
      <c r="BL1448" s="52"/>
      <c r="BM1448" s="52"/>
      <c r="BN1448" s="52"/>
      <c r="BO1448" s="52"/>
    </row>
    <row r="1449">
      <c r="B1449" s="49"/>
      <c r="C1449" s="49" t="str">
        <f t="shared" si="2"/>
        <v/>
      </c>
      <c r="D1449" s="50" t="str">
        <f t="shared" si="3"/>
        <v/>
      </c>
      <c r="E1449" s="51" t="str">
        <f t="shared" ref="E1449:T1449" si="1450">IFERROR(VLOOKUP($A1449,INDIRECT("'" &amp; E$1 &amp; "'!$C:$G"), 5, FALSE),"")</f>
        <v/>
      </c>
      <c r="F1449" s="51" t="str">
        <f t="shared" si="1450"/>
        <v/>
      </c>
      <c r="G1449" s="51" t="str">
        <f t="shared" si="1450"/>
        <v/>
      </c>
      <c r="H1449" s="51" t="str">
        <f t="shared" si="1450"/>
        <v/>
      </c>
      <c r="I1449" s="51" t="str">
        <f t="shared" si="1450"/>
        <v/>
      </c>
      <c r="J1449" s="51" t="str">
        <f t="shared" si="1450"/>
        <v/>
      </c>
      <c r="K1449" s="51" t="str">
        <f t="shared" si="1450"/>
        <v/>
      </c>
      <c r="L1449" s="51" t="str">
        <f t="shared" si="1450"/>
        <v/>
      </c>
      <c r="M1449" s="51" t="str">
        <f t="shared" si="1450"/>
        <v/>
      </c>
      <c r="N1449" s="51" t="str">
        <f t="shared" si="1450"/>
        <v/>
      </c>
      <c r="O1449" s="51" t="str">
        <f t="shared" si="1450"/>
        <v/>
      </c>
      <c r="P1449" s="51" t="str">
        <f t="shared" si="1450"/>
        <v/>
      </c>
      <c r="Q1449" s="51" t="str">
        <f t="shared" si="1450"/>
        <v/>
      </c>
      <c r="R1449" s="51" t="str">
        <f t="shared" si="1450"/>
        <v/>
      </c>
      <c r="S1449" s="51" t="str">
        <f t="shared" si="1450"/>
        <v/>
      </c>
      <c r="T1449" s="51" t="str">
        <f t="shared" si="1450"/>
        <v/>
      </c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2"/>
      <c r="AE1449" s="52"/>
      <c r="AF1449" s="52"/>
      <c r="AG1449" s="52"/>
      <c r="AH1449" s="52"/>
      <c r="AI1449" s="52"/>
      <c r="AJ1449" s="52"/>
      <c r="AK1449" s="52"/>
      <c r="AL1449" s="52"/>
      <c r="AM1449" s="52"/>
      <c r="AN1449" s="52"/>
      <c r="AO1449" s="52"/>
      <c r="AP1449" s="52"/>
      <c r="AQ1449" s="52"/>
      <c r="AR1449" s="52"/>
      <c r="AS1449" s="52"/>
      <c r="AT1449" s="52"/>
      <c r="AU1449" s="52"/>
      <c r="AV1449" s="52"/>
      <c r="AW1449" s="52"/>
      <c r="AX1449" s="52"/>
      <c r="AY1449" s="52"/>
      <c r="AZ1449" s="52"/>
      <c r="BA1449" s="52"/>
      <c r="BB1449" s="52"/>
      <c r="BC1449" s="52"/>
      <c r="BD1449" s="52"/>
      <c r="BE1449" s="52"/>
      <c r="BF1449" s="52"/>
      <c r="BG1449" s="52"/>
      <c r="BH1449" s="52"/>
      <c r="BI1449" s="52"/>
      <c r="BJ1449" s="52"/>
      <c r="BK1449" s="52"/>
      <c r="BL1449" s="52"/>
      <c r="BM1449" s="52"/>
      <c r="BN1449" s="52"/>
      <c r="BO1449" s="52"/>
    </row>
    <row r="1450">
      <c r="B1450" s="49"/>
      <c r="C1450" s="49" t="str">
        <f t="shared" si="2"/>
        <v/>
      </c>
      <c r="D1450" s="50" t="str">
        <f t="shared" si="3"/>
        <v/>
      </c>
      <c r="E1450" s="51" t="str">
        <f t="shared" ref="E1450:T1450" si="1451">IFERROR(VLOOKUP($A1450,INDIRECT("'" &amp; E$1 &amp; "'!$C:$G"), 5, FALSE),"")</f>
        <v/>
      </c>
      <c r="F1450" s="51" t="str">
        <f t="shared" si="1451"/>
        <v/>
      </c>
      <c r="G1450" s="51" t="str">
        <f t="shared" si="1451"/>
        <v/>
      </c>
      <c r="H1450" s="51" t="str">
        <f t="shared" si="1451"/>
        <v/>
      </c>
      <c r="I1450" s="51" t="str">
        <f t="shared" si="1451"/>
        <v/>
      </c>
      <c r="J1450" s="51" t="str">
        <f t="shared" si="1451"/>
        <v/>
      </c>
      <c r="K1450" s="51" t="str">
        <f t="shared" si="1451"/>
        <v/>
      </c>
      <c r="L1450" s="51" t="str">
        <f t="shared" si="1451"/>
        <v/>
      </c>
      <c r="M1450" s="51" t="str">
        <f t="shared" si="1451"/>
        <v/>
      </c>
      <c r="N1450" s="51" t="str">
        <f t="shared" si="1451"/>
        <v/>
      </c>
      <c r="O1450" s="51" t="str">
        <f t="shared" si="1451"/>
        <v/>
      </c>
      <c r="P1450" s="51" t="str">
        <f t="shared" si="1451"/>
        <v/>
      </c>
      <c r="Q1450" s="51" t="str">
        <f t="shared" si="1451"/>
        <v/>
      </c>
      <c r="R1450" s="51" t="str">
        <f t="shared" si="1451"/>
        <v/>
      </c>
      <c r="S1450" s="51" t="str">
        <f t="shared" si="1451"/>
        <v/>
      </c>
      <c r="T1450" s="51" t="str">
        <f t="shared" si="1451"/>
        <v/>
      </c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2"/>
      <c r="AE1450" s="52"/>
      <c r="AF1450" s="52"/>
      <c r="AG1450" s="52"/>
      <c r="AH1450" s="52"/>
      <c r="AI1450" s="52"/>
      <c r="AJ1450" s="52"/>
      <c r="AK1450" s="52"/>
      <c r="AL1450" s="52"/>
      <c r="AM1450" s="52"/>
      <c r="AN1450" s="52"/>
      <c r="AO1450" s="52"/>
      <c r="AP1450" s="52"/>
      <c r="AQ1450" s="52"/>
      <c r="AR1450" s="52"/>
      <c r="AS1450" s="52"/>
      <c r="AT1450" s="52"/>
      <c r="AU1450" s="52"/>
      <c r="AV1450" s="52"/>
      <c r="AW1450" s="52"/>
      <c r="AX1450" s="52"/>
      <c r="AY1450" s="52"/>
      <c r="AZ1450" s="52"/>
      <c r="BA1450" s="52"/>
      <c r="BB1450" s="52"/>
      <c r="BC1450" s="52"/>
      <c r="BD1450" s="52"/>
      <c r="BE1450" s="52"/>
      <c r="BF1450" s="52"/>
      <c r="BG1450" s="52"/>
      <c r="BH1450" s="52"/>
      <c r="BI1450" s="52"/>
      <c r="BJ1450" s="52"/>
      <c r="BK1450" s="52"/>
      <c r="BL1450" s="52"/>
      <c r="BM1450" s="52"/>
      <c r="BN1450" s="52"/>
      <c r="BO1450" s="52"/>
    </row>
    <row r="1451">
      <c r="B1451" s="49"/>
      <c r="C1451" s="49" t="str">
        <f t="shared" si="2"/>
        <v/>
      </c>
      <c r="D1451" s="50" t="str">
        <f t="shared" si="3"/>
        <v/>
      </c>
      <c r="E1451" s="51" t="str">
        <f t="shared" ref="E1451:T1451" si="1452">IFERROR(VLOOKUP($A1451,INDIRECT("'" &amp; E$1 &amp; "'!$C:$G"), 5, FALSE),"")</f>
        <v/>
      </c>
      <c r="F1451" s="51" t="str">
        <f t="shared" si="1452"/>
        <v/>
      </c>
      <c r="G1451" s="51" t="str">
        <f t="shared" si="1452"/>
        <v/>
      </c>
      <c r="H1451" s="51" t="str">
        <f t="shared" si="1452"/>
        <v/>
      </c>
      <c r="I1451" s="51" t="str">
        <f t="shared" si="1452"/>
        <v/>
      </c>
      <c r="J1451" s="51" t="str">
        <f t="shared" si="1452"/>
        <v/>
      </c>
      <c r="K1451" s="51" t="str">
        <f t="shared" si="1452"/>
        <v/>
      </c>
      <c r="L1451" s="51" t="str">
        <f t="shared" si="1452"/>
        <v/>
      </c>
      <c r="M1451" s="51" t="str">
        <f t="shared" si="1452"/>
        <v/>
      </c>
      <c r="N1451" s="51" t="str">
        <f t="shared" si="1452"/>
        <v/>
      </c>
      <c r="O1451" s="51" t="str">
        <f t="shared" si="1452"/>
        <v/>
      </c>
      <c r="P1451" s="51" t="str">
        <f t="shared" si="1452"/>
        <v/>
      </c>
      <c r="Q1451" s="51" t="str">
        <f t="shared" si="1452"/>
        <v/>
      </c>
      <c r="R1451" s="51" t="str">
        <f t="shared" si="1452"/>
        <v/>
      </c>
      <c r="S1451" s="51" t="str">
        <f t="shared" si="1452"/>
        <v/>
      </c>
      <c r="T1451" s="51" t="str">
        <f t="shared" si="1452"/>
        <v/>
      </c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2"/>
      <c r="AE1451" s="52"/>
      <c r="AF1451" s="52"/>
      <c r="AG1451" s="52"/>
      <c r="AH1451" s="52"/>
      <c r="AI1451" s="52"/>
      <c r="AJ1451" s="52"/>
      <c r="AK1451" s="52"/>
      <c r="AL1451" s="52"/>
      <c r="AM1451" s="52"/>
      <c r="AN1451" s="52"/>
      <c r="AO1451" s="52"/>
      <c r="AP1451" s="52"/>
      <c r="AQ1451" s="52"/>
      <c r="AR1451" s="52"/>
      <c r="AS1451" s="52"/>
      <c r="AT1451" s="52"/>
      <c r="AU1451" s="52"/>
      <c r="AV1451" s="52"/>
      <c r="AW1451" s="52"/>
      <c r="AX1451" s="52"/>
      <c r="AY1451" s="52"/>
      <c r="AZ1451" s="52"/>
      <c r="BA1451" s="52"/>
      <c r="BB1451" s="52"/>
      <c r="BC1451" s="52"/>
      <c r="BD1451" s="52"/>
      <c r="BE1451" s="52"/>
      <c r="BF1451" s="52"/>
      <c r="BG1451" s="52"/>
      <c r="BH1451" s="52"/>
      <c r="BI1451" s="52"/>
      <c r="BJ1451" s="52"/>
      <c r="BK1451" s="52"/>
      <c r="BL1451" s="52"/>
      <c r="BM1451" s="52"/>
      <c r="BN1451" s="52"/>
      <c r="BO1451" s="52"/>
    </row>
    <row r="1452">
      <c r="B1452" s="49"/>
      <c r="C1452" s="49" t="str">
        <f t="shared" si="2"/>
        <v/>
      </c>
      <c r="D1452" s="50" t="str">
        <f t="shared" si="3"/>
        <v/>
      </c>
      <c r="E1452" s="51" t="str">
        <f t="shared" ref="E1452:T1452" si="1453">IFERROR(VLOOKUP($A1452,INDIRECT("'" &amp; E$1 &amp; "'!$C:$G"), 5, FALSE),"")</f>
        <v/>
      </c>
      <c r="F1452" s="51" t="str">
        <f t="shared" si="1453"/>
        <v/>
      </c>
      <c r="G1452" s="51" t="str">
        <f t="shared" si="1453"/>
        <v/>
      </c>
      <c r="H1452" s="51" t="str">
        <f t="shared" si="1453"/>
        <v/>
      </c>
      <c r="I1452" s="51" t="str">
        <f t="shared" si="1453"/>
        <v/>
      </c>
      <c r="J1452" s="51" t="str">
        <f t="shared" si="1453"/>
        <v/>
      </c>
      <c r="K1452" s="51" t="str">
        <f t="shared" si="1453"/>
        <v/>
      </c>
      <c r="L1452" s="51" t="str">
        <f t="shared" si="1453"/>
        <v/>
      </c>
      <c r="M1452" s="51" t="str">
        <f t="shared" si="1453"/>
        <v/>
      </c>
      <c r="N1452" s="51" t="str">
        <f t="shared" si="1453"/>
        <v/>
      </c>
      <c r="O1452" s="51" t="str">
        <f t="shared" si="1453"/>
        <v/>
      </c>
      <c r="P1452" s="51" t="str">
        <f t="shared" si="1453"/>
        <v/>
      </c>
      <c r="Q1452" s="51" t="str">
        <f t="shared" si="1453"/>
        <v/>
      </c>
      <c r="R1452" s="51" t="str">
        <f t="shared" si="1453"/>
        <v/>
      </c>
      <c r="S1452" s="51" t="str">
        <f t="shared" si="1453"/>
        <v/>
      </c>
      <c r="T1452" s="51" t="str">
        <f t="shared" si="1453"/>
        <v/>
      </c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2"/>
      <c r="AE1452" s="52"/>
      <c r="AF1452" s="52"/>
      <c r="AG1452" s="52"/>
      <c r="AH1452" s="52"/>
      <c r="AI1452" s="52"/>
      <c r="AJ1452" s="52"/>
      <c r="AK1452" s="52"/>
      <c r="AL1452" s="52"/>
      <c r="AM1452" s="52"/>
      <c r="AN1452" s="52"/>
      <c r="AO1452" s="52"/>
      <c r="AP1452" s="52"/>
      <c r="AQ1452" s="52"/>
      <c r="AR1452" s="52"/>
      <c r="AS1452" s="52"/>
      <c r="AT1452" s="52"/>
      <c r="AU1452" s="52"/>
      <c r="AV1452" s="52"/>
      <c r="AW1452" s="52"/>
      <c r="AX1452" s="52"/>
      <c r="AY1452" s="52"/>
      <c r="AZ1452" s="52"/>
      <c r="BA1452" s="52"/>
      <c r="BB1452" s="52"/>
      <c r="BC1452" s="52"/>
      <c r="BD1452" s="52"/>
      <c r="BE1452" s="52"/>
      <c r="BF1452" s="52"/>
      <c r="BG1452" s="52"/>
      <c r="BH1452" s="52"/>
      <c r="BI1452" s="52"/>
      <c r="BJ1452" s="52"/>
      <c r="BK1452" s="52"/>
      <c r="BL1452" s="52"/>
      <c r="BM1452" s="52"/>
      <c r="BN1452" s="52"/>
      <c r="BO1452" s="52"/>
    </row>
    <row r="1453">
      <c r="B1453" s="49"/>
      <c r="C1453" s="49" t="str">
        <f t="shared" si="2"/>
        <v/>
      </c>
      <c r="D1453" s="50" t="str">
        <f t="shared" si="3"/>
        <v/>
      </c>
      <c r="E1453" s="51" t="str">
        <f t="shared" ref="E1453:T1453" si="1454">IFERROR(VLOOKUP($A1453,INDIRECT("'" &amp; E$1 &amp; "'!$C:$G"), 5, FALSE),"")</f>
        <v/>
      </c>
      <c r="F1453" s="51" t="str">
        <f t="shared" si="1454"/>
        <v/>
      </c>
      <c r="G1453" s="51" t="str">
        <f t="shared" si="1454"/>
        <v/>
      </c>
      <c r="H1453" s="51" t="str">
        <f t="shared" si="1454"/>
        <v/>
      </c>
      <c r="I1453" s="51" t="str">
        <f t="shared" si="1454"/>
        <v/>
      </c>
      <c r="J1453" s="51" t="str">
        <f t="shared" si="1454"/>
        <v/>
      </c>
      <c r="K1453" s="51" t="str">
        <f t="shared" si="1454"/>
        <v/>
      </c>
      <c r="L1453" s="51" t="str">
        <f t="shared" si="1454"/>
        <v/>
      </c>
      <c r="M1453" s="51" t="str">
        <f t="shared" si="1454"/>
        <v/>
      </c>
      <c r="N1453" s="51" t="str">
        <f t="shared" si="1454"/>
        <v/>
      </c>
      <c r="O1453" s="51" t="str">
        <f t="shared" si="1454"/>
        <v/>
      </c>
      <c r="P1453" s="51" t="str">
        <f t="shared" si="1454"/>
        <v/>
      </c>
      <c r="Q1453" s="51" t="str">
        <f t="shared" si="1454"/>
        <v/>
      </c>
      <c r="R1453" s="51" t="str">
        <f t="shared" si="1454"/>
        <v/>
      </c>
      <c r="S1453" s="51" t="str">
        <f t="shared" si="1454"/>
        <v/>
      </c>
      <c r="T1453" s="51" t="str">
        <f t="shared" si="1454"/>
        <v/>
      </c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2"/>
      <c r="AE1453" s="52"/>
      <c r="AF1453" s="52"/>
      <c r="AG1453" s="52"/>
      <c r="AH1453" s="52"/>
      <c r="AI1453" s="52"/>
      <c r="AJ1453" s="52"/>
      <c r="AK1453" s="52"/>
      <c r="AL1453" s="52"/>
      <c r="AM1453" s="52"/>
      <c r="AN1453" s="52"/>
      <c r="AO1453" s="52"/>
      <c r="AP1453" s="52"/>
      <c r="AQ1453" s="52"/>
      <c r="AR1453" s="52"/>
      <c r="AS1453" s="52"/>
      <c r="AT1453" s="52"/>
      <c r="AU1453" s="52"/>
      <c r="AV1453" s="52"/>
      <c r="AW1453" s="52"/>
      <c r="AX1453" s="52"/>
      <c r="AY1453" s="52"/>
      <c r="AZ1453" s="52"/>
      <c r="BA1453" s="52"/>
      <c r="BB1453" s="52"/>
      <c r="BC1453" s="52"/>
      <c r="BD1453" s="52"/>
      <c r="BE1453" s="52"/>
      <c r="BF1453" s="52"/>
      <c r="BG1453" s="52"/>
      <c r="BH1453" s="52"/>
      <c r="BI1453" s="52"/>
      <c r="BJ1453" s="52"/>
      <c r="BK1453" s="52"/>
      <c r="BL1453" s="52"/>
      <c r="BM1453" s="52"/>
      <c r="BN1453" s="52"/>
      <c r="BO1453" s="52"/>
    </row>
    <row r="1454">
      <c r="B1454" s="49"/>
      <c r="C1454" s="49" t="str">
        <f t="shared" si="2"/>
        <v/>
      </c>
      <c r="D1454" s="50" t="str">
        <f t="shared" si="3"/>
        <v/>
      </c>
      <c r="E1454" s="51" t="str">
        <f t="shared" ref="E1454:T1454" si="1455">IFERROR(VLOOKUP($A1454,INDIRECT("'" &amp; E$1 &amp; "'!$C:$G"), 5, FALSE),"")</f>
        <v/>
      </c>
      <c r="F1454" s="51" t="str">
        <f t="shared" si="1455"/>
        <v/>
      </c>
      <c r="G1454" s="51" t="str">
        <f t="shared" si="1455"/>
        <v/>
      </c>
      <c r="H1454" s="51" t="str">
        <f t="shared" si="1455"/>
        <v/>
      </c>
      <c r="I1454" s="51" t="str">
        <f t="shared" si="1455"/>
        <v/>
      </c>
      <c r="J1454" s="51" t="str">
        <f t="shared" si="1455"/>
        <v/>
      </c>
      <c r="K1454" s="51" t="str">
        <f t="shared" si="1455"/>
        <v/>
      </c>
      <c r="L1454" s="51" t="str">
        <f t="shared" si="1455"/>
        <v/>
      </c>
      <c r="M1454" s="51" t="str">
        <f t="shared" si="1455"/>
        <v/>
      </c>
      <c r="N1454" s="51" t="str">
        <f t="shared" si="1455"/>
        <v/>
      </c>
      <c r="O1454" s="51" t="str">
        <f t="shared" si="1455"/>
        <v/>
      </c>
      <c r="P1454" s="51" t="str">
        <f t="shared" si="1455"/>
        <v/>
      </c>
      <c r="Q1454" s="51" t="str">
        <f t="shared" si="1455"/>
        <v/>
      </c>
      <c r="R1454" s="51" t="str">
        <f t="shared" si="1455"/>
        <v/>
      </c>
      <c r="S1454" s="51" t="str">
        <f t="shared" si="1455"/>
        <v/>
      </c>
      <c r="T1454" s="51" t="str">
        <f t="shared" si="1455"/>
        <v/>
      </c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2"/>
      <c r="AE1454" s="52"/>
      <c r="AF1454" s="52"/>
      <c r="AG1454" s="52"/>
      <c r="AH1454" s="52"/>
      <c r="AI1454" s="52"/>
      <c r="AJ1454" s="52"/>
      <c r="AK1454" s="52"/>
      <c r="AL1454" s="52"/>
      <c r="AM1454" s="52"/>
      <c r="AN1454" s="52"/>
      <c r="AO1454" s="52"/>
      <c r="AP1454" s="52"/>
      <c r="AQ1454" s="52"/>
      <c r="AR1454" s="52"/>
      <c r="AS1454" s="52"/>
      <c r="AT1454" s="52"/>
      <c r="AU1454" s="52"/>
      <c r="AV1454" s="52"/>
      <c r="AW1454" s="52"/>
      <c r="AX1454" s="52"/>
      <c r="AY1454" s="52"/>
      <c r="AZ1454" s="52"/>
      <c r="BA1454" s="52"/>
      <c r="BB1454" s="52"/>
      <c r="BC1454" s="52"/>
      <c r="BD1454" s="52"/>
      <c r="BE1454" s="52"/>
      <c r="BF1454" s="52"/>
      <c r="BG1454" s="52"/>
      <c r="BH1454" s="52"/>
      <c r="BI1454" s="52"/>
      <c r="BJ1454" s="52"/>
      <c r="BK1454" s="52"/>
      <c r="BL1454" s="52"/>
      <c r="BM1454" s="52"/>
      <c r="BN1454" s="52"/>
      <c r="BO1454" s="52"/>
    </row>
    <row r="1455">
      <c r="B1455" s="49"/>
      <c r="C1455" s="49" t="str">
        <f t="shared" si="2"/>
        <v/>
      </c>
      <c r="D1455" s="50" t="str">
        <f t="shared" si="3"/>
        <v/>
      </c>
      <c r="E1455" s="51" t="str">
        <f t="shared" ref="E1455:T1455" si="1456">IFERROR(VLOOKUP($A1455,INDIRECT("'" &amp; E$1 &amp; "'!$C:$G"), 5, FALSE),"")</f>
        <v/>
      </c>
      <c r="F1455" s="51" t="str">
        <f t="shared" si="1456"/>
        <v/>
      </c>
      <c r="G1455" s="51" t="str">
        <f t="shared" si="1456"/>
        <v/>
      </c>
      <c r="H1455" s="51" t="str">
        <f t="shared" si="1456"/>
        <v/>
      </c>
      <c r="I1455" s="51" t="str">
        <f t="shared" si="1456"/>
        <v/>
      </c>
      <c r="J1455" s="51" t="str">
        <f t="shared" si="1456"/>
        <v/>
      </c>
      <c r="K1455" s="51" t="str">
        <f t="shared" si="1456"/>
        <v/>
      </c>
      <c r="L1455" s="51" t="str">
        <f t="shared" si="1456"/>
        <v/>
      </c>
      <c r="M1455" s="51" t="str">
        <f t="shared" si="1456"/>
        <v/>
      </c>
      <c r="N1455" s="51" t="str">
        <f t="shared" si="1456"/>
        <v/>
      </c>
      <c r="O1455" s="51" t="str">
        <f t="shared" si="1456"/>
        <v/>
      </c>
      <c r="P1455" s="51" t="str">
        <f t="shared" si="1456"/>
        <v/>
      </c>
      <c r="Q1455" s="51" t="str">
        <f t="shared" si="1456"/>
        <v/>
      </c>
      <c r="R1455" s="51" t="str">
        <f t="shared" si="1456"/>
        <v/>
      </c>
      <c r="S1455" s="51" t="str">
        <f t="shared" si="1456"/>
        <v/>
      </c>
      <c r="T1455" s="51" t="str">
        <f t="shared" si="1456"/>
        <v/>
      </c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2"/>
      <c r="AE1455" s="52"/>
      <c r="AF1455" s="52"/>
      <c r="AG1455" s="52"/>
      <c r="AH1455" s="52"/>
      <c r="AI1455" s="52"/>
      <c r="AJ1455" s="52"/>
      <c r="AK1455" s="52"/>
      <c r="AL1455" s="52"/>
      <c r="AM1455" s="52"/>
      <c r="AN1455" s="52"/>
      <c r="AO1455" s="52"/>
      <c r="AP1455" s="52"/>
      <c r="AQ1455" s="52"/>
      <c r="AR1455" s="52"/>
      <c r="AS1455" s="52"/>
      <c r="AT1455" s="52"/>
      <c r="AU1455" s="52"/>
      <c r="AV1455" s="52"/>
      <c r="AW1455" s="52"/>
      <c r="AX1455" s="52"/>
      <c r="AY1455" s="52"/>
      <c r="AZ1455" s="52"/>
      <c r="BA1455" s="52"/>
      <c r="BB1455" s="52"/>
      <c r="BC1455" s="52"/>
      <c r="BD1455" s="52"/>
      <c r="BE1455" s="52"/>
      <c r="BF1455" s="52"/>
      <c r="BG1455" s="52"/>
      <c r="BH1455" s="52"/>
      <c r="BI1455" s="52"/>
      <c r="BJ1455" s="52"/>
      <c r="BK1455" s="52"/>
      <c r="BL1455" s="52"/>
      <c r="BM1455" s="52"/>
      <c r="BN1455" s="52"/>
      <c r="BO1455" s="52"/>
    </row>
    <row r="1456">
      <c r="B1456" s="49"/>
      <c r="C1456" s="49" t="str">
        <f t="shared" si="2"/>
        <v/>
      </c>
      <c r="D1456" s="50" t="str">
        <f t="shared" si="3"/>
        <v/>
      </c>
      <c r="E1456" s="51" t="str">
        <f t="shared" ref="E1456:T1456" si="1457">IFERROR(VLOOKUP($A1456,INDIRECT("'" &amp; E$1 &amp; "'!$C:$G"), 5, FALSE),"")</f>
        <v/>
      </c>
      <c r="F1456" s="51" t="str">
        <f t="shared" si="1457"/>
        <v/>
      </c>
      <c r="G1456" s="51" t="str">
        <f t="shared" si="1457"/>
        <v/>
      </c>
      <c r="H1456" s="51" t="str">
        <f t="shared" si="1457"/>
        <v/>
      </c>
      <c r="I1456" s="51" t="str">
        <f t="shared" si="1457"/>
        <v/>
      </c>
      <c r="J1456" s="51" t="str">
        <f t="shared" si="1457"/>
        <v/>
      </c>
      <c r="K1456" s="51" t="str">
        <f t="shared" si="1457"/>
        <v/>
      </c>
      <c r="L1456" s="51" t="str">
        <f t="shared" si="1457"/>
        <v/>
      </c>
      <c r="M1456" s="51" t="str">
        <f t="shared" si="1457"/>
        <v/>
      </c>
      <c r="N1456" s="51" t="str">
        <f t="shared" si="1457"/>
        <v/>
      </c>
      <c r="O1456" s="51" t="str">
        <f t="shared" si="1457"/>
        <v/>
      </c>
      <c r="P1456" s="51" t="str">
        <f t="shared" si="1457"/>
        <v/>
      </c>
      <c r="Q1456" s="51" t="str">
        <f t="shared" si="1457"/>
        <v/>
      </c>
      <c r="R1456" s="51" t="str">
        <f t="shared" si="1457"/>
        <v/>
      </c>
      <c r="S1456" s="51" t="str">
        <f t="shared" si="1457"/>
        <v/>
      </c>
      <c r="T1456" s="51" t="str">
        <f t="shared" si="1457"/>
        <v/>
      </c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2"/>
      <c r="AE1456" s="52"/>
      <c r="AF1456" s="52"/>
      <c r="AG1456" s="52"/>
      <c r="AH1456" s="52"/>
      <c r="AI1456" s="52"/>
      <c r="AJ1456" s="52"/>
      <c r="AK1456" s="52"/>
      <c r="AL1456" s="52"/>
      <c r="AM1456" s="52"/>
      <c r="AN1456" s="52"/>
      <c r="AO1456" s="52"/>
      <c r="AP1456" s="52"/>
      <c r="AQ1456" s="52"/>
      <c r="AR1456" s="52"/>
      <c r="AS1456" s="52"/>
      <c r="AT1456" s="52"/>
      <c r="AU1456" s="52"/>
      <c r="AV1456" s="52"/>
      <c r="AW1456" s="52"/>
      <c r="AX1456" s="52"/>
      <c r="AY1456" s="52"/>
      <c r="AZ1456" s="52"/>
      <c r="BA1456" s="52"/>
      <c r="BB1456" s="52"/>
      <c r="BC1456" s="52"/>
      <c r="BD1456" s="52"/>
      <c r="BE1456" s="52"/>
      <c r="BF1456" s="52"/>
      <c r="BG1456" s="52"/>
      <c r="BH1456" s="52"/>
      <c r="BI1456" s="52"/>
      <c r="BJ1456" s="52"/>
      <c r="BK1456" s="52"/>
      <c r="BL1456" s="52"/>
      <c r="BM1456" s="52"/>
      <c r="BN1456" s="52"/>
      <c r="BO1456" s="52"/>
    </row>
    <row r="1457">
      <c r="B1457" s="49"/>
      <c r="C1457" s="49" t="str">
        <f t="shared" si="2"/>
        <v/>
      </c>
      <c r="D1457" s="50" t="str">
        <f t="shared" si="3"/>
        <v/>
      </c>
      <c r="E1457" s="51" t="str">
        <f t="shared" ref="E1457:T1457" si="1458">IFERROR(VLOOKUP($A1457,INDIRECT("'" &amp; E$1 &amp; "'!$C:$G"), 5, FALSE),"")</f>
        <v/>
      </c>
      <c r="F1457" s="51" t="str">
        <f t="shared" si="1458"/>
        <v/>
      </c>
      <c r="G1457" s="51" t="str">
        <f t="shared" si="1458"/>
        <v/>
      </c>
      <c r="H1457" s="51" t="str">
        <f t="shared" si="1458"/>
        <v/>
      </c>
      <c r="I1457" s="51" t="str">
        <f t="shared" si="1458"/>
        <v/>
      </c>
      <c r="J1457" s="51" t="str">
        <f t="shared" si="1458"/>
        <v/>
      </c>
      <c r="K1457" s="51" t="str">
        <f t="shared" si="1458"/>
        <v/>
      </c>
      <c r="L1457" s="51" t="str">
        <f t="shared" si="1458"/>
        <v/>
      </c>
      <c r="M1457" s="51" t="str">
        <f t="shared" si="1458"/>
        <v/>
      </c>
      <c r="N1457" s="51" t="str">
        <f t="shared" si="1458"/>
        <v/>
      </c>
      <c r="O1457" s="51" t="str">
        <f t="shared" si="1458"/>
        <v/>
      </c>
      <c r="P1457" s="51" t="str">
        <f t="shared" si="1458"/>
        <v/>
      </c>
      <c r="Q1457" s="51" t="str">
        <f t="shared" si="1458"/>
        <v/>
      </c>
      <c r="R1457" s="51" t="str">
        <f t="shared" si="1458"/>
        <v/>
      </c>
      <c r="S1457" s="51" t="str">
        <f t="shared" si="1458"/>
        <v/>
      </c>
      <c r="T1457" s="51" t="str">
        <f t="shared" si="1458"/>
        <v/>
      </c>
      <c r="U1457" s="52"/>
      <c r="V1457" s="52"/>
      <c r="W1457" s="52"/>
      <c r="X1457" s="52"/>
      <c r="Y1457" s="52"/>
      <c r="Z1457" s="52"/>
      <c r="AA1457" s="52"/>
      <c r="AB1457" s="52"/>
      <c r="AC1457" s="52"/>
      <c r="AD1457" s="52"/>
      <c r="AE1457" s="52"/>
      <c r="AF1457" s="52"/>
      <c r="AG1457" s="52"/>
      <c r="AH1457" s="52"/>
      <c r="AI1457" s="52"/>
      <c r="AJ1457" s="52"/>
      <c r="AK1457" s="52"/>
      <c r="AL1457" s="52"/>
      <c r="AM1457" s="52"/>
      <c r="AN1457" s="52"/>
      <c r="AO1457" s="52"/>
      <c r="AP1457" s="52"/>
      <c r="AQ1457" s="52"/>
      <c r="AR1457" s="52"/>
      <c r="AS1457" s="52"/>
      <c r="AT1457" s="52"/>
      <c r="AU1457" s="52"/>
      <c r="AV1457" s="52"/>
      <c r="AW1457" s="52"/>
      <c r="AX1457" s="52"/>
      <c r="AY1457" s="52"/>
      <c r="AZ1457" s="52"/>
      <c r="BA1457" s="52"/>
      <c r="BB1457" s="52"/>
      <c r="BC1457" s="52"/>
      <c r="BD1457" s="52"/>
      <c r="BE1457" s="52"/>
      <c r="BF1457" s="52"/>
      <c r="BG1457" s="52"/>
      <c r="BH1457" s="52"/>
      <c r="BI1457" s="52"/>
      <c r="BJ1457" s="52"/>
      <c r="BK1457" s="52"/>
      <c r="BL1457" s="52"/>
      <c r="BM1457" s="52"/>
      <c r="BN1457" s="52"/>
      <c r="BO1457" s="52"/>
    </row>
    <row r="1458">
      <c r="B1458" s="49"/>
      <c r="C1458" s="49" t="str">
        <f t="shared" si="2"/>
        <v/>
      </c>
      <c r="D1458" s="50" t="str">
        <f t="shared" si="3"/>
        <v/>
      </c>
      <c r="E1458" s="51" t="str">
        <f t="shared" ref="E1458:T1458" si="1459">IFERROR(VLOOKUP($A1458,INDIRECT("'" &amp; E$1 &amp; "'!$C:$G"), 5, FALSE),"")</f>
        <v/>
      </c>
      <c r="F1458" s="51" t="str">
        <f t="shared" si="1459"/>
        <v/>
      </c>
      <c r="G1458" s="51" t="str">
        <f t="shared" si="1459"/>
        <v/>
      </c>
      <c r="H1458" s="51" t="str">
        <f t="shared" si="1459"/>
        <v/>
      </c>
      <c r="I1458" s="51" t="str">
        <f t="shared" si="1459"/>
        <v/>
      </c>
      <c r="J1458" s="51" t="str">
        <f t="shared" si="1459"/>
        <v/>
      </c>
      <c r="K1458" s="51" t="str">
        <f t="shared" si="1459"/>
        <v/>
      </c>
      <c r="L1458" s="51" t="str">
        <f t="shared" si="1459"/>
        <v/>
      </c>
      <c r="M1458" s="51" t="str">
        <f t="shared" si="1459"/>
        <v/>
      </c>
      <c r="N1458" s="51" t="str">
        <f t="shared" si="1459"/>
        <v/>
      </c>
      <c r="O1458" s="51" t="str">
        <f t="shared" si="1459"/>
        <v/>
      </c>
      <c r="P1458" s="51" t="str">
        <f t="shared" si="1459"/>
        <v/>
      </c>
      <c r="Q1458" s="51" t="str">
        <f t="shared" si="1459"/>
        <v/>
      </c>
      <c r="R1458" s="51" t="str">
        <f t="shared" si="1459"/>
        <v/>
      </c>
      <c r="S1458" s="51" t="str">
        <f t="shared" si="1459"/>
        <v/>
      </c>
      <c r="T1458" s="51" t="str">
        <f t="shared" si="1459"/>
        <v/>
      </c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2"/>
      <c r="AE1458" s="52"/>
      <c r="AF1458" s="52"/>
      <c r="AG1458" s="52"/>
      <c r="AH1458" s="52"/>
      <c r="AI1458" s="52"/>
      <c r="AJ1458" s="52"/>
      <c r="AK1458" s="52"/>
      <c r="AL1458" s="52"/>
      <c r="AM1458" s="52"/>
      <c r="AN1458" s="52"/>
      <c r="AO1458" s="52"/>
      <c r="AP1458" s="52"/>
      <c r="AQ1458" s="52"/>
      <c r="AR1458" s="52"/>
      <c r="AS1458" s="52"/>
      <c r="AT1458" s="52"/>
      <c r="AU1458" s="52"/>
      <c r="AV1458" s="52"/>
      <c r="AW1458" s="52"/>
      <c r="AX1458" s="52"/>
      <c r="AY1458" s="52"/>
      <c r="AZ1458" s="52"/>
      <c r="BA1458" s="52"/>
      <c r="BB1458" s="52"/>
      <c r="BC1458" s="52"/>
      <c r="BD1458" s="52"/>
      <c r="BE1458" s="52"/>
      <c r="BF1458" s="52"/>
      <c r="BG1458" s="52"/>
      <c r="BH1458" s="52"/>
      <c r="BI1458" s="52"/>
      <c r="BJ1458" s="52"/>
      <c r="BK1458" s="52"/>
      <c r="BL1458" s="52"/>
      <c r="BM1458" s="52"/>
      <c r="BN1458" s="52"/>
      <c r="BO1458" s="52"/>
    </row>
    <row r="1459">
      <c r="B1459" s="49"/>
      <c r="C1459" s="49" t="str">
        <f t="shared" si="2"/>
        <v/>
      </c>
      <c r="D1459" s="50" t="str">
        <f t="shared" si="3"/>
        <v/>
      </c>
      <c r="E1459" s="51" t="str">
        <f t="shared" ref="E1459:T1459" si="1460">IFERROR(VLOOKUP($A1459,INDIRECT("'" &amp; E$1 &amp; "'!$C:$G"), 5, FALSE),"")</f>
        <v/>
      </c>
      <c r="F1459" s="51" t="str">
        <f t="shared" si="1460"/>
        <v/>
      </c>
      <c r="G1459" s="51" t="str">
        <f t="shared" si="1460"/>
        <v/>
      </c>
      <c r="H1459" s="51" t="str">
        <f t="shared" si="1460"/>
        <v/>
      </c>
      <c r="I1459" s="51" t="str">
        <f t="shared" si="1460"/>
        <v/>
      </c>
      <c r="J1459" s="51" t="str">
        <f t="shared" si="1460"/>
        <v/>
      </c>
      <c r="K1459" s="51" t="str">
        <f t="shared" si="1460"/>
        <v/>
      </c>
      <c r="L1459" s="51" t="str">
        <f t="shared" si="1460"/>
        <v/>
      </c>
      <c r="M1459" s="51" t="str">
        <f t="shared" si="1460"/>
        <v/>
      </c>
      <c r="N1459" s="51" t="str">
        <f t="shared" si="1460"/>
        <v/>
      </c>
      <c r="O1459" s="51" t="str">
        <f t="shared" si="1460"/>
        <v/>
      </c>
      <c r="P1459" s="51" t="str">
        <f t="shared" si="1460"/>
        <v/>
      </c>
      <c r="Q1459" s="51" t="str">
        <f t="shared" si="1460"/>
        <v/>
      </c>
      <c r="R1459" s="51" t="str">
        <f t="shared" si="1460"/>
        <v/>
      </c>
      <c r="S1459" s="51" t="str">
        <f t="shared" si="1460"/>
        <v/>
      </c>
      <c r="T1459" s="51" t="str">
        <f t="shared" si="1460"/>
        <v/>
      </c>
      <c r="U1459" s="52"/>
      <c r="V1459" s="52"/>
      <c r="W1459" s="52"/>
      <c r="X1459" s="52"/>
      <c r="Y1459" s="52"/>
      <c r="Z1459" s="52"/>
      <c r="AA1459" s="52"/>
      <c r="AB1459" s="52"/>
      <c r="AC1459" s="52"/>
      <c r="AD1459" s="52"/>
      <c r="AE1459" s="52"/>
      <c r="AF1459" s="52"/>
      <c r="AG1459" s="52"/>
      <c r="AH1459" s="52"/>
      <c r="AI1459" s="52"/>
      <c r="AJ1459" s="52"/>
      <c r="AK1459" s="52"/>
      <c r="AL1459" s="52"/>
      <c r="AM1459" s="52"/>
      <c r="AN1459" s="52"/>
      <c r="AO1459" s="52"/>
      <c r="AP1459" s="52"/>
      <c r="AQ1459" s="52"/>
      <c r="AR1459" s="52"/>
      <c r="AS1459" s="52"/>
      <c r="AT1459" s="52"/>
      <c r="AU1459" s="52"/>
      <c r="AV1459" s="52"/>
      <c r="AW1459" s="52"/>
      <c r="AX1459" s="52"/>
      <c r="AY1459" s="52"/>
      <c r="AZ1459" s="52"/>
      <c r="BA1459" s="52"/>
      <c r="BB1459" s="52"/>
      <c r="BC1459" s="52"/>
      <c r="BD1459" s="52"/>
      <c r="BE1459" s="52"/>
      <c r="BF1459" s="52"/>
      <c r="BG1459" s="52"/>
      <c r="BH1459" s="52"/>
      <c r="BI1459" s="52"/>
      <c r="BJ1459" s="52"/>
      <c r="BK1459" s="52"/>
      <c r="BL1459" s="52"/>
      <c r="BM1459" s="52"/>
      <c r="BN1459" s="52"/>
      <c r="BO1459" s="52"/>
    </row>
    <row r="1460">
      <c r="B1460" s="49"/>
      <c r="C1460" s="49" t="str">
        <f t="shared" si="2"/>
        <v/>
      </c>
      <c r="D1460" s="50" t="str">
        <f t="shared" si="3"/>
        <v/>
      </c>
      <c r="E1460" s="51" t="str">
        <f t="shared" ref="E1460:T1460" si="1461">IFERROR(VLOOKUP($A1460,INDIRECT("'" &amp; E$1 &amp; "'!$C:$G"), 5, FALSE),"")</f>
        <v/>
      </c>
      <c r="F1460" s="51" t="str">
        <f t="shared" si="1461"/>
        <v/>
      </c>
      <c r="G1460" s="51" t="str">
        <f t="shared" si="1461"/>
        <v/>
      </c>
      <c r="H1460" s="51" t="str">
        <f t="shared" si="1461"/>
        <v/>
      </c>
      <c r="I1460" s="51" t="str">
        <f t="shared" si="1461"/>
        <v/>
      </c>
      <c r="J1460" s="51" t="str">
        <f t="shared" si="1461"/>
        <v/>
      </c>
      <c r="K1460" s="51" t="str">
        <f t="shared" si="1461"/>
        <v/>
      </c>
      <c r="L1460" s="51" t="str">
        <f t="shared" si="1461"/>
        <v/>
      </c>
      <c r="M1460" s="51" t="str">
        <f t="shared" si="1461"/>
        <v/>
      </c>
      <c r="N1460" s="51" t="str">
        <f t="shared" si="1461"/>
        <v/>
      </c>
      <c r="O1460" s="51" t="str">
        <f t="shared" si="1461"/>
        <v/>
      </c>
      <c r="P1460" s="51" t="str">
        <f t="shared" si="1461"/>
        <v/>
      </c>
      <c r="Q1460" s="51" t="str">
        <f t="shared" si="1461"/>
        <v/>
      </c>
      <c r="R1460" s="51" t="str">
        <f t="shared" si="1461"/>
        <v/>
      </c>
      <c r="S1460" s="51" t="str">
        <f t="shared" si="1461"/>
        <v/>
      </c>
      <c r="T1460" s="51" t="str">
        <f t="shared" si="1461"/>
        <v/>
      </c>
      <c r="U1460" s="52"/>
      <c r="V1460" s="52"/>
      <c r="W1460" s="52"/>
      <c r="X1460" s="52"/>
      <c r="Y1460" s="52"/>
      <c r="Z1460" s="52"/>
      <c r="AA1460" s="52"/>
      <c r="AB1460" s="52"/>
      <c r="AC1460" s="52"/>
      <c r="AD1460" s="52"/>
      <c r="AE1460" s="52"/>
      <c r="AF1460" s="52"/>
      <c r="AG1460" s="52"/>
      <c r="AH1460" s="52"/>
      <c r="AI1460" s="52"/>
      <c r="AJ1460" s="52"/>
      <c r="AK1460" s="52"/>
      <c r="AL1460" s="52"/>
      <c r="AM1460" s="52"/>
      <c r="AN1460" s="52"/>
      <c r="AO1460" s="52"/>
      <c r="AP1460" s="52"/>
      <c r="AQ1460" s="52"/>
      <c r="AR1460" s="52"/>
      <c r="AS1460" s="52"/>
      <c r="AT1460" s="52"/>
      <c r="AU1460" s="52"/>
      <c r="AV1460" s="52"/>
      <c r="AW1460" s="52"/>
      <c r="AX1460" s="52"/>
      <c r="AY1460" s="52"/>
      <c r="AZ1460" s="52"/>
      <c r="BA1460" s="52"/>
      <c r="BB1460" s="52"/>
      <c r="BC1460" s="52"/>
      <c r="BD1460" s="52"/>
      <c r="BE1460" s="52"/>
      <c r="BF1460" s="52"/>
      <c r="BG1460" s="52"/>
      <c r="BH1460" s="52"/>
      <c r="BI1460" s="52"/>
      <c r="BJ1460" s="52"/>
      <c r="BK1460" s="52"/>
      <c r="BL1460" s="52"/>
      <c r="BM1460" s="52"/>
      <c r="BN1460" s="52"/>
      <c r="BO1460" s="52"/>
    </row>
    <row r="1461">
      <c r="B1461" s="49"/>
      <c r="C1461" s="49" t="str">
        <f t="shared" si="2"/>
        <v/>
      </c>
      <c r="D1461" s="50" t="str">
        <f t="shared" si="3"/>
        <v/>
      </c>
      <c r="E1461" s="51" t="str">
        <f t="shared" ref="E1461:T1461" si="1462">IFERROR(VLOOKUP($A1461,INDIRECT("'" &amp; E$1 &amp; "'!$C:$G"), 5, FALSE),"")</f>
        <v/>
      </c>
      <c r="F1461" s="51" t="str">
        <f t="shared" si="1462"/>
        <v/>
      </c>
      <c r="G1461" s="51" t="str">
        <f t="shared" si="1462"/>
        <v/>
      </c>
      <c r="H1461" s="51" t="str">
        <f t="shared" si="1462"/>
        <v/>
      </c>
      <c r="I1461" s="51" t="str">
        <f t="shared" si="1462"/>
        <v/>
      </c>
      <c r="J1461" s="51" t="str">
        <f t="shared" si="1462"/>
        <v/>
      </c>
      <c r="K1461" s="51" t="str">
        <f t="shared" si="1462"/>
        <v/>
      </c>
      <c r="L1461" s="51" t="str">
        <f t="shared" si="1462"/>
        <v/>
      </c>
      <c r="M1461" s="51" t="str">
        <f t="shared" si="1462"/>
        <v/>
      </c>
      <c r="N1461" s="51" t="str">
        <f t="shared" si="1462"/>
        <v/>
      </c>
      <c r="O1461" s="51" t="str">
        <f t="shared" si="1462"/>
        <v/>
      </c>
      <c r="P1461" s="51" t="str">
        <f t="shared" si="1462"/>
        <v/>
      </c>
      <c r="Q1461" s="51" t="str">
        <f t="shared" si="1462"/>
        <v/>
      </c>
      <c r="R1461" s="51" t="str">
        <f t="shared" si="1462"/>
        <v/>
      </c>
      <c r="S1461" s="51" t="str">
        <f t="shared" si="1462"/>
        <v/>
      </c>
      <c r="T1461" s="51" t="str">
        <f t="shared" si="1462"/>
        <v/>
      </c>
      <c r="U1461" s="52"/>
      <c r="V1461" s="52"/>
      <c r="W1461" s="52"/>
      <c r="X1461" s="52"/>
      <c r="Y1461" s="52"/>
      <c r="Z1461" s="52"/>
      <c r="AA1461" s="52"/>
      <c r="AB1461" s="52"/>
      <c r="AC1461" s="52"/>
      <c r="AD1461" s="52"/>
      <c r="AE1461" s="52"/>
      <c r="AF1461" s="52"/>
      <c r="AG1461" s="52"/>
      <c r="AH1461" s="52"/>
      <c r="AI1461" s="52"/>
      <c r="AJ1461" s="52"/>
      <c r="AK1461" s="52"/>
      <c r="AL1461" s="52"/>
      <c r="AM1461" s="52"/>
      <c r="AN1461" s="52"/>
      <c r="AO1461" s="52"/>
      <c r="AP1461" s="52"/>
      <c r="AQ1461" s="52"/>
      <c r="AR1461" s="52"/>
      <c r="AS1461" s="52"/>
      <c r="AT1461" s="52"/>
      <c r="AU1461" s="52"/>
      <c r="AV1461" s="52"/>
      <c r="AW1461" s="52"/>
      <c r="AX1461" s="52"/>
      <c r="AY1461" s="52"/>
      <c r="AZ1461" s="52"/>
      <c r="BA1461" s="52"/>
      <c r="BB1461" s="52"/>
      <c r="BC1461" s="52"/>
      <c r="BD1461" s="52"/>
      <c r="BE1461" s="52"/>
      <c r="BF1461" s="52"/>
      <c r="BG1461" s="52"/>
      <c r="BH1461" s="52"/>
      <c r="BI1461" s="52"/>
      <c r="BJ1461" s="52"/>
      <c r="BK1461" s="52"/>
      <c r="BL1461" s="52"/>
      <c r="BM1461" s="52"/>
      <c r="BN1461" s="52"/>
      <c r="BO1461" s="52"/>
    </row>
    <row r="1462">
      <c r="B1462" s="49"/>
      <c r="C1462" s="49" t="str">
        <f t="shared" si="2"/>
        <v/>
      </c>
      <c r="D1462" s="50" t="str">
        <f t="shared" si="3"/>
        <v/>
      </c>
      <c r="E1462" s="51" t="str">
        <f t="shared" ref="E1462:T1462" si="1463">IFERROR(VLOOKUP($A1462,INDIRECT("'" &amp; E$1 &amp; "'!$C:$G"), 5, FALSE),"")</f>
        <v/>
      </c>
      <c r="F1462" s="51" t="str">
        <f t="shared" si="1463"/>
        <v/>
      </c>
      <c r="G1462" s="51" t="str">
        <f t="shared" si="1463"/>
        <v/>
      </c>
      <c r="H1462" s="51" t="str">
        <f t="shared" si="1463"/>
        <v/>
      </c>
      <c r="I1462" s="51" t="str">
        <f t="shared" si="1463"/>
        <v/>
      </c>
      <c r="J1462" s="51" t="str">
        <f t="shared" si="1463"/>
        <v/>
      </c>
      <c r="K1462" s="51" t="str">
        <f t="shared" si="1463"/>
        <v/>
      </c>
      <c r="L1462" s="51" t="str">
        <f t="shared" si="1463"/>
        <v/>
      </c>
      <c r="M1462" s="51" t="str">
        <f t="shared" si="1463"/>
        <v/>
      </c>
      <c r="N1462" s="51" t="str">
        <f t="shared" si="1463"/>
        <v/>
      </c>
      <c r="O1462" s="51" t="str">
        <f t="shared" si="1463"/>
        <v/>
      </c>
      <c r="P1462" s="51" t="str">
        <f t="shared" si="1463"/>
        <v/>
      </c>
      <c r="Q1462" s="51" t="str">
        <f t="shared" si="1463"/>
        <v/>
      </c>
      <c r="R1462" s="51" t="str">
        <f t="shared" si="1463"/>
        <v/>
      </c>
      <c r="S1462" s="51" t="str">
        <f t="shared" si="1463"/>
        <v/>
      </c>
      <c r="T1462" s="51" t="str">
        <f t="shared" si="1463"/>
        <v/>
      </c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2"/>
      <c r="AE1462" s="52"/>
      <c r="AF1462" s="52"/>
      <c r="AG1462" s="52"/>
      <c r="AH1462" s="52"/>
      <c r="AI1462" s="52"/>
      <c r="AJ1462" s="52"/>
      <c r="AK1462" s="52"/>
      <c r="AL1462" s="52"/>
      <c r="AM1462" s="52"/>
      <c r="AN1462" s="52"/>
      <c r="AO1462" s="52"/>
      <c r="AP1462" s="52"/>
      <c r="AQ1462" s="52"/>
      <c r="AR1462" s="52"/>
      <c r="AS1462" s="52"/>
      <c r="AT1462" s="52"/>
      <c r="AU1462" s="52"/>
      <c r="AV1462" s="52"/>
      <c r="AW1462" s="52"/>
      <c r="AX1462" s="52"/>
      <c r="AY1462" s="52"/>
      <c r="AZ1462" s="52"/>
      <c r="BA1462" s="52"/>
      <c r="BB1462" s="52"/>
      <c r="BC1462" s="52"/>
      <c r="BD1462" s="52"/>
      <c r="BE1462" s="52"/>
      <c r="BF1462" s="52"/>
      <c r="BG1462" s="52"/>
      <c r="BH1462" s="52"/>
      <c r="BI1462" s="52"/>
      <c r="BJ1462" s="52"/>
      <c r="BK1462" s="52"/>
      <c r="BL1462" s="52"/>
      <c r="BM1462" s="52"/>
      <c r="BN1462" s="52"/>
      <c r="BO1462" s="52"/>
    </row>
    <row r="1463">
      <c r="B1463" s="49"/>
      <c r="C1463" s="49" t="str">
        <f t="shared" si="2"/>
        <v/>
      </c>
      <c r="D1463" s="50" t="str">
        <f t="shared" si="3"/>
        <v/>
      </c>
      <c r="E1463" s="51" t="str">
        <f t="shared" ref="E1463:T1463" si="1464">IFERROR(VLOOKUP($A1463,INDIRECT("'" &amp; E$1 &amp; "'!$C:$G"), 5, FALSE),"")</f>
        <v/>
      </c>
      <c r="F1463" s="51" t="str">
        <f t="shared" si="1464"/>
        <v/>
      </c>
      <c r="G1463" s="51" t="str">
        <f t="shared" si="1464"/>
        <v/>
      </c>
      <c r="H1463" s="51" t="str">
        <f t="shared" si="1464"/>
        <v/>
      </c>
      <c r="I1463" s="51" t="str">
        <f t="shared" si="1464"/>
        <v/>
      </c>
      <c r="J1463" s="51" t="str">
        <f t="shared" si="1464"/>
        <v/>
      </c>
      <c r="K1463" s="51" t="str">
        <f t="shared" si="1464"/>
        <v/>
      </c>
      <c r="L1463" s="51" t="str">
        <f t="shared" si="1464"/>
        <v/>
      </c>
      <c r="M1463" s="51" t="str">
        <f t="shared" si="1464"/>
        <v/>
      </c>
      <c r="N1463" s="51" t="str">
        <f t="shared" si="1464"/>
        <v/>
      </c>
      <c r="O1463" s="51" t="str">
        <f t="shared" si="1464"/>
        <v/>
      </c>
      <c r="P1463" s="51" t="str">
        <f t="shared" si="1464"/>
        <v/>
      </c>
      <c r="Q1463" s="51" t="str">
        <f t="shared" si="1464"/>
        <v/>
      </c>
      <c r="R1463" s="51" t="str">
        <f t="shared" si="1464"/>
        <v/>
      </c>
      <c r="S1463" s="51" t="str">
        <f t="shared" si="1464"/>
        <v/>
      </c>
      <c r="T1463" s="51" t="str">
        <f t="shared" si="1464"/>
        <v/>
      </c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52"/>
      <c r="AI1463" s="52"/>
      <c r="AJ1463" s="52"/>
      <c r="AK1463" s="52"/>
      <c r="AL1463" s="52"/>
      <c r="AM1463" s="52"/>
      <c r="AN1463" s="52"/>
      <c r="AO1463" s="52"/>
      <c r="AP1463" s="52"/>
      <c r="AQ1463" s="52"/>
      <c r="AR1463" s="52"/>
      <c r="AS1463" s="52"/>
      <c r="AT1463" s="52"/>
      <c r="AU1463" s="52"/>
      <c r="AV1463" s="52"/>
      <c r="AW1463" s="52"/>
      <c r="AX1463" s="52"/>
      <c r="AY1463" s="52"/>
      <c r="AZ1463" s="52"/>
      <c r="BA1463" s="52"/>
      <c r="BB1463" s="52"/>
      <c r="BC1463" s="52"/>
      <c r="BD1463" s="52"/>
      <c r="BE1463" s="52"/>
      <c r="BF1463" s="52"/>
      <c r="BG1463" s="52"/>
      <c r="BH1463" s="52"/>
      <c r="BI1463" s="52"/>
      <c r="BJ1463" s="52"/>
      <c r="BK1463" s="52"/>
      <c r="BL1463" s="52"/>
      <c r="BM1463" s="52"/>
      <c r="BN1463" s="52"/>
      <c r="BO1463" s="52"/>
    </row>
    <row r="1464">
      <c r="B1464" s="49"/>
      <c r="C1464" s="49" t="str">
        <f t="shared" si="2"/>
        <v/>
      </c>
      <c r="D1464" s="50" t="str">
        <f t="shared" si="3"/>
        <v/>
      </c>
      <c r="E1464" s="51" t="str">
        <f t="shared" ref="E1464:T1464" si="1465">IFERROR(VLOOKUP($A1464,INDIRECT("'" &amp; E$1 &amp; "'!$C:$G"), 5, FALSE),"")</f>
        <v/>
      </c>
      <c r="F1464" s="51" t="str">
        <f t="shared" si="1465"/>
        <v/>
      </c>
      <c r="G1464" s="51" t="str">
        <f t="shared" si="1465"/>
        <v/>
      </c>
      <c r="H1464" s="51" t="str">
        <f t="shared" si="1465"/>
        <v/>
      </c>
      <c r="I1464" s="51" t="str">
        <f t="shared" si="1465"/>
        <v/>
      </c>
      <c r="J1464" s="51" t="str">
        <f t="shared" si="1465"/>
        <v/>
      </c>
      <c r="K1464" s="51" t="str">
        <f t="shared" si="1465"/>
        <v/>
      </c>
      <c r="L1464" s="51" t="str">
        <f t="shared" si="1465"/>
        <v/>
      </c>
      <c r="M1464" s="51" t="str">
        <f t="shared" si="1465"/>
        <v/>
      </c>
      <c r="N1464" s="51" t="str">
        <f t="shared" si="1465"/>
        <v/>
      </c>
      <c r="O1464" s="51" t="str">
        <f t="shared" si="1465"/>
        <v/>
      </c>
      <c r="P1464" s="51" t="str">
        <f t="shared" si="1465"/>
        <v/>
      </c>
      <c r="Q1464" s="51" t="str">
        <f t="shared" si="1465"/>
        <v/>
      </c>
      <c r="R1464" s="51" t="str">
        <f t="shared" si="1465"/>
        <v/>
      </c>
      <c r="S1464" s="51" t="str">
        <f t="shared" si="1465"/>
        <v/>
      </c>
      <c r="T1464" s="51" t="str">
        <f t="shared" si="1465"/>
        <v/>
      </c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2"/>
      <c r="AE1464" s="52"/>
      <c r="AF1464" s="52"/>
      <c r="AG1464" s="52"/>
      <c r="AH1464" s="52"/>
      <c r="AI1464" s="52"/>
      <c r="AJ1464" s="52"/>
      <c r="AK1464" s="52"/>
      <c r="AL1464" s="52"/>
      <c r="AM1464" s="52"/>
      <c r="AN1464" s="52"/>
      <c r="AO1464" s="52"/>
      <c r="AP1464" s="52"/>
      <c r="AQ1464" s="52"/>
      <c r="AR1464" s="52"/>
      <c r="AS1464" s="52"/>
      <c r="AT1464" s="52"/>
      <c r="AU1464" s="52"/>
      <c r="AV1464" s="52"/>
      <c r="AW1464" s="52"/>
      <c r="AX1464" s="52"/>
      <c r="AY1464" s="52"/>
      <c r="AZ1464" s="52"/>
      <c r="BA1464" s="52"/>
      <c r="BB1464" s="52"/>
      <c r="BC1464" s="52"/>
      <c r="BD1464" s="52"/>
      <c r="BE1464" s="52"/>
      <c r="BF1464" s="52"/>
      <c r="BG1464" s="52"/>
      <c r="BH1464" s="52"/>
      <c r="BI1464" s="52"/>
      <c r="BJ1464" s="52"/>
      <c r="BK1464" s="52"/>
      <c r="BL1464" s="52"/>
      <c r="BM1464" s="52"/>
      <c r="BN1464" s="52"/>
      <c r="BO1464" s="52"/>
    </row>
    <row r="1465">
      <c r="B1465" s="49"/>
      <c r="C1465" s="49" t="str">
        <f t="shared" si="2"/>
        <v/>
      </c>
      <c r="D1465" s="50" t="str">
        <f t="shared" si="3"/>
        <v/>
      </c>
      <c r="E1465" s="51" t="str">
        <f t="shared" ref="E1465:T1465" si="1466">IFERROR(VLOOKUP($A1465,INDIRECT("'" &amp; E$1 &amp; "'!$C:$G"), 5, FALSE),"")</f>
        <v/>
      </c>
      <c r="F1465" s="51" t="str">
        <f t="shared" si="1466"/>
        <v/>
      </c>
      <c r="G1465" s="51" t="str">
        <f t="shared" si="1466"/>
        <v/>
      </c>
      <c r="H1465" s="51" t="str">
        <f t="shared" si="1466"/>
        <v/>
      </c>
      <c r="I1465" s="51" t="str">
        <f t="shared" si="1466"/>
        <v/>
      </c>
      <c r="J1465" s="51" t="str">
        <f t="shared" si="1466"/>
        <v/>
      </c>
      <c r="K1465" s="51" t="str">
        <f t="shared" si="1466"/>
        <v/>
      </c>
      <c r="L1465" s="51" t="str">
        <f t="shared" si="1466"/>
        <v/>
      </c>
      <c r="M1465" s="51" t="str">
        <f t="shared" si="1466"/>
        <v/>
      </c>
      <c r="N1465" s="51" t="str">
        <f t="shared" si="1466"/>
        <v/>
      </c>
      <c r="O1465" s="51" t="str">
        <f t="shared" si="1466"/>
        <v/>
      </c>
      <c r="P1465" s="51" t="str">
        <f t="shared" si="1466"/>
        <v/>
      </c>
      <c r="Q1465" s="51" t="str">
        <f t="shared" si="1466"/>
        <v/>
      </c>
      <c r="R1465" s="51" t="str">
        <f t="shared" si="1466"/>
        <v/>
      </c>
      <c r="S1465" s="51" t="str">
        <f t="shared" si="1466"/>
        <v/>
      </c>
      <c r="T1465" s="51" t="str">
        <f t="shared" si="1466"/>
        <v/>
      </c>
      <c r="U1465" s="52"/>
      <c r="V1465" s="52"/>
      <c r="W1465" s="52"/>
      <c r="X1465" s="52"/>
      <c r="Y1465" s="52"/>
      <c r="Z1465" s="52"/>
      <c r="AA1465" s="52"/>
      <c r="AB1465" s="52"/>
      <c r="AC1465" s="52"/>
      <c r="AD1465" s="52"/>
      <c r="AE1465" s="52"/>
      <c r="AF1465" s="52"/>
      <c r="AG1465" s="52"/>
      <c r="AH1465" s="52"/>
      <c r="AI1465" s="52"/>
      <c r="AJ1465" s="52"/>
      <c r="AK1465" s="52"/>
      <c r="AL1465" s="52"/>
      <c r="AM1465" s="52"/>
      <c r="AN1465" s="52"/>
      <c r="AO1465" s="52"/>
      <c r="AP1465" s="52"/>
      <c r="AQ1465" s="52"/>
      <c r="AR1465" s="52"/>
      <c r="AS1465" s="52"/>
      <c r="AT1465" s="52"/>
      <c r="AU1465" s="52"/>
      <c r="AV1465" s="52"/>
      <c r="AW1465" s="52"/>
      <c r="AX1465" s="52"/>
      <c r="AY1465" s="52"/>
      <c r="AZ1465" s="52"/>
      <c r="BA1465" s="52"/>
      <c r="BB1465" s="52"/>
      <c r="BC1465" s="52"/>
      <c r="BD1465" s="52"/>
      <c r="BE1465" s="52"/>
      <c r="BF1465" s="52"/>
      <c r="BG1465" s="52"/>
      <c r="BH1465" s="52"/>
      <c r="BI1465" s="52"/>
      <c r="BJ1465" s="52"/>
      <c r="BK1465" s="52"/>
      <c r="BL1465" s="52"/>
      <c r="BM1465" s="52"/>
      <c r="BN1465" s="52"/>
      <c r="BO1465" s="52"/>
    </row>
    <row r="1466">
      <c r="B1466" s="49"/>
      <c r="C1466" s="49" t="str">
        <f t="shared" si="2"/>
        <v/>
      </c>
      <c r="D1466" s="50" t="str">
        <f t="shared" si="3"/>
        <v/>
      </c>
      <c r="E1466" s="51" t="str">
        <f t="shared" ref="E1466:T1466" si="1467">IFERROR(VLOOKUP($A1466,INDIRECT("'" &amp; E$1 &amp; "'!$C:$G"), 5, FALSE),"")</f>
        <v/>
      </c>
      <c r="F1466" s="51" t="str">
        <f t="shared" si="1467"/>
        <v/>
      </c>
      <c r="G1466" s="51" t="str">
        <f t="shared" si="1467"/>
        <v/>
      </c>
      <c r="H1466" s="51" t="str">
        <f t="shared" si="1467"/>
        <v/>
      </c>
      <c r="I1466" s="51" t="str">
        <f t="shared" si="1467"/>
        <v/>
      </c>
      <c r="J1466" s="51" t="str">
        <f t="shared" si="1467"/>
        <v/>
      </c>
      <c r="K1466" s="51" t="str">
        <f t="shared" si="1467"/>
        <v/>
      </c>
      <c r="L1466" s="51" t="str">
        <f t="shared" si="1467"/>
        <v/>
      </c>
      <c r="M1466" s="51" t="str">
        <f t="shared" si="1467"/>
        <v/>
      </c>
      <c r="N1466" s="51" t="str">
        <f t="shared" si="1467"/>
        <v/>
      </c>
      <c r="O1466" s="51" t="str">
        <f t="shared" si="1467"/>
        <v/>
      </c>
      <c r="P1466" s="51" t="str">
        <f t="shared" si="1467"/>
        <v/>
      </c>
      <c r="Q1466" s="51" t="str">
        <f t="shared" si="1467"/>
        <v/>
      </c>
      <c r="R1466" s="51" t="str">
        <f t="shared" si="1467"/>
        <v/>
      </c>
      <c r="S1466" s="51" t="str">
        <f t="shared" si="1467"/>
        <v/>
      </c>
      <c r="T1466" s="51" t="str">
        <f t="shared" si="1467"/>
        <v/>
      </c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52"/>
      <c r="AN1466" s="52"/>
      <c r="AO1466" s="52"/>
      <c r="AP1466" s="52"/>
      <c r="AQ1466" s="52"/>
      <c r="AR1466" s="52"/>
      <c r="AS1466" s="52"/>
      <c r="AT1466" s="52"/>
      <c r="AU1466" s="52"/>
      <c r="AV1466" s="52"/>
      <c r="AW1466" s="52"/>
      <c r="AX1466" s="52"/>
      <c r="AY1466" s="52"/>
      <c r="AZ1466" s="52"/>
      <c r="BA1466" s="52"/>
      <c r="BB1466" s="52"/>
      <c r="BC1466" s="52"/>
      <c r="BD1466" s="52"/>
      <c r="BE1466" s="52"/>
      <c r="BF1466" s="52"/>
      <c r="BG1466" s="52"/>
      <c r="BH1466" s="52"/>
      <c r="BI1466" s="52"/>
      <c r="BJ1466" s="52"/>
      <c r="BK1466" s="52"/>
      <c r="BL1466" s="52"/>
      <c r="BM1466" s="52"/>
      <c r="BN1466" s="52"/>
      <c r="BO1466" s="52"/>
    </row>
    <row r="1467">
      <c r="B1467" s="49"/>
      <c r="C1467" s="49" t="str">
        <f t="shared" si="2"/>
        <v/>
      </c>
      <c r="D1467" s="50" t="str">
        <f t="shared" si="3"/>
        <v/>
      </c>
      <c r="E1467" s="51" t="str">
        <f t="shared" ref="E1467:T1467" si="1468">IFERROR(VLOOKUP($A1467,INDIRECT("'" &amp; E$1 &amp; "'!$C:$G"), 5, FALSE),"")</f>
        <v/>
      </c>
      <c r="F1467" s="51" t="str">
        <f t="shared" si="1468"/>
        <v/>
      </c>
      <c r="G1467" s="51" t="str">
        <f t="shared" si="1468"/>
        <v/>
      </c>
      <c r="H1467" s="51" t="str">
        <f t="shared" si="1468"/>
        <v/>
      </c>
      <c r="I1467" s="51" t="str">
        <f t="shared" si="1468"/>
        <v/>
      </c>
      <c r="J1467" s="51" t="str">
        <f t="shared" si="1468"/>
        <v/>
      </c>
      <c r="K1467" s="51" t="str">
        <f t="shared" si="1468"/>
        <v/>
      </c>
      <c r="L1467" s="51" t="str">
        <f t="shared" si="1468"/>
        <v/>
      </c>
      <c r="M1467" s="51" t="str">
        <f t="shared" si="1468"/>
        <v/>
      </c>
      <c r="N1467" s="51" t="str">
        <f t="shared" si="1468"/>
        <v/>
      </c>
      <c r="O1467" s="51" t="str">
        <f t="shared" si="1468"/>
        <v/>
      </c>
      <c r="P1467" s="51" t="str">
        <f t="shared" si="1468"/>
        <v/>
      </c>
      <c r="Q1467" s="51" t="str">
        <f t="shared" si="1468"/>
        <v/>
      </c>
      <c r="R1467" s="51" t="str">
        <f t="shared" si="1468"/>
        <v/>
      </c>
      <c r="S1467" s="51" t="str">
        <f t="shared" si="1468"/>
        <v/>
      </c>
      <c r="T1467" s="51" t="str">
        <f t="shared" si="1468"/>
        <v/>
      </c>
      <c r="U1467" s="52"/>
      <c r="V1467" s="52"/>
      <c r="W1467" s="52"/>
      <c r="X1467" s="52"/>
      <c r="Y1467" s="52"/>
      <c r="Z1467" s="52"/>
      <c r="AA1467" s="52"/>
      <c r="AB1467" s="52"/>
      <c r="AC1467" s="52"/>
      <c r="AD1467" s="52"/>
      <c r="AE1467" s="52"/>
      <c r="AF1467" s="52"/>
      <c r="AG1467" s="52"/>
      <c r="AH1467" s="52"/>
      <c r="AI1467" s="52"/>
      <c r="AJ1467" s="52"/>
      <c r="AK1467" s="52"/>
      <c r="AL1467" s="52"/>
      <c r="AM1467" s="52"/>
      <c r="AN1467" s="52"/>
      <c r="AO1467" s="52"/>
      <c r="AP1467" s="52"/>
      <c r="AQ1467" s="52"/>
      <c r="AR1467" s="52"/>
      <c r="AS1467" s="52"/>
      <c r="AT1467" s="52"/>
      <c r="AU1467" s="52"/>
      <c r="AV1467" s="52"/>
      <c r="AW1467" s="52"/>
      <c r="AX1467" s="52"/>
      <c r="AY1467" s="52"/>
      <c r="AZ1467" s="52"/>
      <c r="BA1467" s="52"/>
      <c r="BB1467" s="52"/>
      <c r="BC1467" s="52"/>
      <c r="BD1467" s="52"/>
      <c r="BE1467" s="52"/>
      <c r="BF1467" s="52"/>
      <c r="BG1467" s="52"/>
      <c r="BH1467" s="52"/>
      <c r="BI1467" s="52"/>
      <c r="BJ1467" s="52"/>
      <c r="BK1467" s="52"/>
      <c r="BL1467" s="52"/>
      <c r="BM1467" s="52"/>
      <c r="BN1467" s="52"/>
      <c r="BO1467" s="52"/>
    </row>
    <row r="1468">
      <c r="B1468" s="49"/>
      <c r="C1468" s="49" t="str">
        <f t="shared" si="2"/>
        <v/>
      </c>
      <c r="D1468" s="50" t="str">
        <f t="shared" si="3"/>
        <v/>
      </c>
      <c r="E1468" s="51" t="str">
        <f t="shared" ref="E1468:T1468" si="1469">IFERROR(VLOOKUP($A1468,INDIRECT("'" &amp; E$1 &amp; "'!$C:$G"), 5, FALSE),"")</f>
        <v/>
      </c>
      <c r="F1468" s="51" t="str">
        <f t="shared" si="1469"/>
        <v/>
      </c>
      <c r="G1468" s="51" t="str">
        <f t="shared" si="1469"/>
        <v/>
      </c>
      <c r="H1468" s="51" t="str">
        <f t="shared" si="1469"/>
        <v/>
      </c>
      <c r="I1468" s="51" t="str">
        <f t="shared" si="1469"/>
        <v/>
      </c>
      <c r="J1468" s="51" t="str">
        <f t="shared" si="1469"/>
        <v/>
      </c>
      <c r="K1468" s="51" t="str">
        <f t="shared" si="1469"/>
        <v/>
      </c>
      <c r="L1468" s="51" t="str">
        <f t="shared" si="1469"/>
        <v/>
      </c>
      <c r="M1468" s="51" t="str">
        <f t="shared" si="1469"/>
        <v/>
      </c>
      <c r="N1468" s="51" t="str">
        <f t="shared" si="1469"/>
        <v/>
      </c>
      <c r="O1468" s="51" t="str">
        <f t="shared" si="1469"/>
        <v/>
      </c>
      <c r="P1468" s="51" t="str">
        <f t="shared" si="1469"/>
        <v/>
      </c>
      <c r="Q1468" s="51" t="str">
        <f t="shared" si="1469"/>
        <v/>
      </c>
      <c r="R1468" s="51" t="str">
        <f t="shared" si="1469"/>
        <v/>
      </c>
      <c r="S1468" s="51" t="str">
        <f t="shared" si="1469"/>
        <v/>
      </c>
      <c r="T1468" s="51" t="str">
        <f t="shared" si="1469"/>
        <v/>
      </c>
      <c r="U1468" s="52"/>
      <c r="V1468" s="52"/>
      <c r="W1468" s="52"/>
      <c r="X1468" s="52"/>
      <c r="Y1468" s="52"/>
      <c r="Z1468" s="52"/>
      <c r="AA1468" s="52"/>
      <c r="AB1468" s="52"/>
      <c r="AC1468" s="52"/>
      <c r="AD1468" s="52"/>
      <c r="AE1468" s="52"/>
      <c r="AF1468" s="52"/>
      <c r="AG1468" s="52"/>
      <c r="AH1468" s="52"/>
      <c r="AI1468" s="52"/>
      <c r="AJ1468" s="52"/>
      <c r="AK1468" s="52"/>
      <c r="AL1468" s="52"/>
      <c r="AM1468" s="52"/>
      <c r="AN1468" s="52"/>
      <c r="AO1468" s="52"/>
      <c r="AP1468" s="52"/>
      <c r="AQ1468" s="52"/>
      <c r="AR1468" s="52"/>
      <c r="AS1468" s="52"/>
      <c r="AT1468" s="52"/>
      <c r="AU1468" s="52"/>
      <c r="AV1468" s="52"/>
      <c r="AW1468" s="52"/>
      <c r="AX1468" s="52"/>
      <c r="AY1468" s="52"/>
      <c r="AZ1468" s="52"/>
      <c r="BA1468" s="52"/>
      <c r="BB1468" s="52"/>
      <c r="BC1468" s="52"/>
      <c r="BD1468" s="52"/>
      <c r="BE1468" s="52"/>
      <c r="BF1468" s="52"/>
      <c r="BG1468" s="52"/>
      <c r="BH1468" s="52"/>
      <c r="BI1468" s="52"/>
      <c r="BJ1468" s="52"/>
      <c r="BK1468" s="52"/>
      <c r="BL1468" s="52"/>
      <c r="BM1468" s="52"/>
      <c r="BN1468" s="52"/>
      <c r="BO1468" s="52"/>
    </row>
    <row r="1469">
      <c r="B1469" s="49"/>
      <c r="C1469" s="49" t="str">
        <f t="shared" si="2"/>
        <v/>
      </c>
      <c r="D1469" s="50" t="str">
        <f t="shared" si="3"/>
        <v/>
      </c>
      <c r="E1469" s="51" t="str">
        <f t="shared" ref="E1469:T1469" si="1470">IFERROR(VLOOKUP($A1469,INDIRECT("'" &amp; E$1 &amp; "'!$C:$G"), 5, FALSE),"")</f>
        <v/>
      </c>
      <c r="F1469" s="51" t="str">
        <f t="shared" si="1470"/>
        <v/>
      </c>
      <c r="G1469" s="51" t="str">
        <f t="shared" si="1470"/>
        <v/>
      </c>
      <c r="H1469" s="51" t="str">
        <f t="shared" si="1470"/>
        <v/>
      </c>
      <c r="I1469" s="51" t="str">
        <f t="shared" si="1470"/>
        <v/>
      </c>
      <c r="J1469" s="51" t="str">
        <f t="shared" si="1470"/>
        <v/>
      </c>
      <c r="K1469" s="51" t="str">
        <f t="shared" si="1470"/>
        <v/>
      </c>
      <c r="L1469" s="51" t="str">
        <f t="shared" si="1470"/>
        <v/>
      </c>
      <c r="M1469" s="51" t="str">
        <f t="shared" si="1470"/>
        <v/>
      </c>
      <c r="N1469" s="51" t="str">
        <f t="shared" si="1470"/>
        <v/>
      </c>
      <c r="O1469" s="51" t="str">
        <f t="shared" si="1470"/>
        <v/>
      </c>
      <c r="P1469" s="51" t="str">
        <f t="shared" si="1470"/>
        <v/>
      </c>
      <c r="Q1469" s="51" t="str">
        <f t="shared" si="1470"/>
        <v/>
      </c>
      <c r="R1469" s="51" t="str">
        <f t="shared" si="1470"/>
        <v/>
      </c>
      <c r="S1469" s="51" t="str">
        <f t="shared" si="1470"/>
        <v/>
      </c>
      <c r="T1469" s="51" t="str">
        <f t="shared" si="1470"/>
        <v/>
      </c>
      <c r="U1469" s="52"/>
      <c r="V1469" s="52"/>
      <c r="W1469" s="52"/>
      <c r="X1469" s="52"/>
      <c r="Y1469" s="52"/>
      <c r="Z1469" s="52"/>
      <c r="AA1469" s="52"/>
      <c r="AB1469" s="52"/>
      <c r="AC1469" s="52"/>
      <c r="AD1469" s="52"/>
      <c r="AE1469" s="52"/>
      <c r="AF1469" s="52"/>
      <c r="AG1469" s="52"/>
      <c r="AH1469" s="52"/>
      <c r="AI1469" s="52"/>
      <c r="AJ1469" s="52"/>
      <c r="AK1469" s="52"/>
      <c r="AL1469" s="52"/>
      <c r="AM1469" s="52"/>
      <c r="AN1469" s="52"/>
      <c r="AO1469" s="52"/>
      <c r="AP1469" s="52"/>
      <c r="AQ1469" s="52"/>
      <c r="AR1469" s="52"/>
      <c r="AS1469" s="52"/>
      <c r="AT1469" s="52"/>
      <c r="AU1469" s="52"/>
      <c r="AV1469" s="52"/>
      <c r="AW1469" s="52"/>
      <c r="AX1469" s="52"/>
      <c r="AY1469" s="52"/>
      <c r="AZ1469" s="52"/>
      <c r="BA1469" s="52"/>
      <c r="BB1469" s="52"/>
      <c r="BC1469" s="52"/>
      <c r="BD1469" s="52"/>
      <c r="BE1469" s="52"/>
      <c r="BF1469" s="52"/>
      <c r="BG1469" s="52"/>
      <c r="BH1469" s="52"/>
      <c r="BI1469" s="52"/>
      <c r="BJ1469" s="52"/>
      <c r="BK1469" s="52"/>
      <c r="BL1469" s="52"/>
      <c r="BM1469" s="52"/>
      <c r="BN1469" s="52"/>
      <c r="BO1469" s="52"/>
    </row>
    <row r="1470">
      <c r="B1470" s="49"/>
      <c r="C1470" s="49" t="str">
        <f t="shared" si="2"/>
        <v/>
      </c>
      <c r="D1470" s="50" t="str">
        <f t="shared" si="3"/>
        <v/>
      </c>
      <c r="E1470" s="51" t="str">
        <f t="shared" ref="E1470:T1470" si="1471">IFERROR(VLOOKUP($A1470,INDIRECT("'" &amp; E$1 &amp; "'!$C:$G"), 5, FALSE),"")</f>
        <v/>
      </c>
      <c r="F1470" s="51" t="str">
        <f t="shared" si="1471"/>
        <v/>
      </c>
      <c r="G1470" s="51" t="str">
        <f t="shared" si="1471"/>
        <v/>
      </c>
      <c r="H1470" s="51" t="str">
        <f t="shared" si="1471"/>
        <v/>
      </c>
      <c r="I1470" s="51" t="str">
        <f t="shared" si="1471"/>
        <v/>
      </c>
      <c r="J1470" s="51" t="str">
        <f t="shared" si="1471"/>
        <v/>
      </c>
      <c r="K1470" s="51" t="str">
        <f t="shared" si="1471"/>
        <v/>
      </c>
      <c r="L1470" s="51" t="str">
        <f t="shared" si="1471"/>
        <v/>
      </c>
      <c r="M1470" s="51" t="str">
        <f t="shared" si="1471"/>
        <v/>
      </c>
      <c r="N1470" s="51" t="str">
        <f t="shared" si="1471"/>
        <v/>
      </c>
      <c r="O1470" s="51" t="str">
        <f t="shared" si="1471"/>
        <v/>
      </c>
      <c r="P1470" s="51" t="str">
        <f t="shared" si="1471"/>
        <v/>
      </c>
      <c r="Q1470" s="51" t="str">
        <f t="shared" si="1471"/>
        <v/>
      </c>
      <c r="R1470" s="51" t="str">
        <f t="shared" si="1471"/>
        <v/>
      </c>
      <c r="S1470" s="51" t="str">
        <f t="shared" si="1471"/>
        <v/>
      </c>
      <c r="T1470" s="51" t="str">
        <f t="shared" si="1471"/>
        <v/>
      </c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2"/>
      <c r="AE1470" s="52"/>
      <c r="AF1470" s="52"/>
      <c r="AG1470" s="52"/>
      <c r="AH1470" s="52"/>
      <c r="AI1470" s="52"/>
      <c r="AJ1470" s="52"/>
      <c r="AK1470" s="52"/>
      <c r="AL1470" s="52"/>
      <c r="AM1470" s="52"/>
      <c r="AN1470" s="52"/>
      <c r="AO1470" s="52"/>
      <c r="AP1470" s="52"/>
      <c r="AQ1470" s="52"/>
      <c r="AR1470" s="52"/>
      <c r="AS1470" s="52"/>
      <c r="AT1470" s="52"/>
      <c r="AU1470" s="52"/>
      <c r="AV1470" s="52"/>
      <c r="AW1470" s="52"/>
      <c r="AX1470" s="52"/>
      <c r="AY1470" s="52"/>
      <c r="AZ1470" s="52"/>
      <c r="BA1470" s="52"/>
      <c r="BB1470" s="52"/>
      <c r="BC1470" s="52"/>
      <c r="BD1470" s="52"/>
      <c r="BE1470" s="52"/>
      <c r="BF1470" s="52"/>
      <c r="BG1470" s="52"/>
      <c r="BH1470" s="52"/>
      <c r="BI1470" s="52"/>
      <c r="BJ1470" s="52"/>
      <c r="BK1470" s="52"/>
      <c r="BL1470" s="52"/>
      <c r="BM1470" s="52"/>
      <c r="BN1470" s="52"/>
      <c r="BO1470" s="52"/>
    </row>
    <row r="1471">
      <c r="B1471" s="49"/>
      <c r="C1471" s="49" t="str">
        <f t="shared" si="2"/>
        <v/>
      </c>
      <c r="D1471" s="50" t="str">
        <f t="shared" si="3"/>
        <v/>
      </c>
      <c r="E1471" s="51" t="str">
        <f t="shared" ref="E1471:T1471" si="1472">IFERROR(VLOOKUP($A1471,INDIRECT("'" &amp; E$1 &amp; "'!$C:$G"), 5, FALSE),"")</f>
        <v/>
      </c>
      <c r="F1471" s="51" t="str">
        <f t="shared" si="1472"/>
        <v/>
      </c>
      <c r="G1471" s="51" t="str">
        <f t="shared" si="1472"/>
        <v/>
      </c>
      <c r="H1471" s="51" t="str">
        <f t="shared" si="1472"/>
        <v/>
      </c>
      <c r="I1471" s="51" t="str">
        <f t="shared" si="1472"/>
        <v/>
      </c>
      <c r="J1471" s="51" t="str">
        <f t="shared" si="1472"/>
        <v/>
      </c>
      <c r="K1471" s="51" t="str">
        <f t="shared" si="1472"/>
        <v/>
      </c>
      <c r="L1471" s="51" t="str">
        <f t="shared" si="1472"/>
        <v/>
      </c>
      <c r="M1471" s="51" t="str">
        <f t="shared" si="1472"/>
        <v/>
      </c>
      <c r="N1471" s="51" t="str">
        <f t="shared" si="1472"/>
        <v/>
      </c>
      <c r="O1471" s="51" t="str">
        <f t="shared" si="1472"/>
        <v/>
      </c>
      <c r="P1471" s="51" t="str">
        <f t="shared" si="1472"/>
        <v/>
      </c>
      <c r="Q1471" s="51" t="str">
        <f t="shared" si="1472"/>
        <v/>
      </c>
      <c r="R1471" s="51" t="str">
        <f t="shared" si="1472"/>
        <v/>
      </c>
      <c r="S1471" s="51" t="str">
        <f t="shared" si="1472"/>
        <v/>
      </c>
      <c r="T1471" s="51" t="str">
        <f t="shared" si="1472"/>
        <v/>
      </c>
      <c r="U1471" s="52"/>
      <c r="V1471" s="52"/>
      <c r="W1471" s="52"/>
      <c r="X1471" s="52"/>
      <c r="Y1471" s="52"/>
      <c r="Z1471" s="52"/>
      <c r="AA1471" s="52"/>
      <c r="AB1471" s="52"/>
      <c r="AC1471" s="52"/>
      <c r="AD1471" s="52"/>
      <c r="AE1471" s="52"/>
      <c r="AF1471" s="52"/>
      <c r="AG1471" s="52"/>
      <c r="AH1471" s="52"/>
      <c r="AI1471" s="52"/>
      <c r="AJ1471" s="52"/>
      <c r="AK1471" s="52"/>
      <c r="AL1471" s="52"/>
      <c r="AM1471" s="52"/>
      <c r="AN1471" s="52"/>
      <c r="AO1471" s="52"/>
      <c r="AP1471" s="52"/>
      <c r="AQ1471" s="52"/>
      <c r="AR1471" s="52"/>
      <c r="AS1471" s="52"/>
      <c r="AT1471" s="52"/>
      <c r="AU1471" s="52"/>
      <c r="AV1471" s="52"/>
      <c r="AW1471" s="52"/>
      <c r="AX1471" s="52"/>
      <c r="AY1471" s="52"/>
      <c r="AZ1471" s="52"/>
      <c r="BA1471" s="52"/>
      <c r="BB1471" s="52"/>
      <c r="BC1471" s="52"/>
      <c r="BD1471" s="52"/>
      <c r="BE1471" s="52"/>
      <c r="BF1471" s="52"/>
      <c r="BG1471" s="52"/>
      <c r="BH1471" s="52"/>
      <c r="BI1471" s="52"/>
      <c r="BJ1471" s="52"/>
      <c r="BK1471" s="52"/>
      <c r="BL1471" s="52"/>
      <c r="BM1471" s="52"/>
      <c r="BN1471" s="52"/>
      <c r="BO1471" s="52"/>
    </row>
    <row r="1472">
      <c r="B1472" s="49"/>
      <c r="C1472" s="49" t="str">
        <f t="shared" si="2"/>
        <v/>
      </c>
      <c r="D1472" s="50" t="str">
        <f t="shared" si="3"/>
        <v/>
      </c>
      <c r="E1472" s="51" t="str">
        <f t="shared" ref="E1472:T1472" si="1473">IFERROR(VLOOKUP($A1472,INDIRECT("'" &amp; E$1 &amp; "'!$C:$G"), 5, FALSE),"")</f>
        <v/>
      </c>
      <c r="F1472" s="51" t="str">
        <f t="shared" si="1473"/>
        <v/>
      </c>
      <c r="G1472" s="51" t="str">
        <f t="shared" si="1473"/>
        <v/>
      </c>
      <c r="H1472" s="51" t="str">
        <f t="shared" si="1473"/>
        <v/>
      </c>
      <c r="I1472" s="51" t="str">
        <f t="shared" si="1473"/>
        <v/>
      </c>
      <c r="J1472" s="51" t="str">
        <f t="shared" si="1473"/>
        <v/>
      </c>
      <c r="K1472" s="51" t="str">
        <f t="shared" si="1473"/>
        <v/>
      </c>
      <c r="L1472" s="51" t="str">
        <f t="shared" si="1473"/>
        <v/>
      </c>
      <c r="M1472" s="51" t="str">
        <f t="shared" si="1473"/>
        <v/>
      </c>
      <c r="N1472" s="51" t="str">
        <f t="shared" si="1473"/>
        <v/>
      </c>
      <c r="O1472" s="51" t="str">
        <f t="shared" si="1473"/>
        <v/>
      </c>
      <c r="P1472" s="51" t="str">
        <f t="shared" si="1473"/>
        <v/>
      </c>
      <c r="Q1472" s="51" t="str">
        <f t="shared" si="1473"/>
        <v/>
      </c>
      <c r="R1472" s="51" t="str">
        <f t="shared" si="1473"/>
        <v/>
      </c>
      <c r="S1472" s="51" t="str">
        <f t="shared" si="1473"/>
        <v/>
      </c>
      <c r="T1472" s="51" t="str">
        <f t="shared" si="1473"/>
        <v/>
      </c>
      <c r="U1472" s="52"/>
      <c r="V1472" s="52"/>
      <c r="W1472" s="52"/>
      <c r="X1472" s="52"/>
      <c r="Y1472" s="52"/>
      <c r="Z1472" s="52"/>
      <c r="AA1472" s="52"/>
      <c r="AB1472" s="52"/>
      <c r="AC1472" s="52"/>
      <c r="AD1472" s="52"/>
      <c r="AE1472" s="52"/>
      <c r="AF1472" s="52"/>
      <c r="AG1472" s="52"/>
      <c r="AH1472" s="52"/>
      <c r="AI1472" s="52"/>
      <c r="AJ1472" s="52"/>
      <c r="AK1472" s="52"/>
      <c r="AL1472" s="52"/>
      <c r="AM1472" s="52"/>
      <c r="AN1472" s="52"/>
      <c r="AO1472" s="52"/>
      <c r="AP1472" s="52"/>
      <c r="AQ1472" s="52"/>
      <c r="AR1472" s="52"/>
      <c r="AS1472" s="52"/>
      <c r="AT1472" s="52"/>
      <c r="AU1472" s="52"/>
      <c r="AV1472" s="52"/>
      <c r="AW1472" s="52"/>
      <c r="AX1472" s="52"/>
      <c r="AY1472" s="52"/>
      <c r="AZ1472" s="52"/>
      <c r="BA1472" s="52"/>
      <c r="BB1472" s="52"/>
      <c r="BC1472" s="52"/>
      <c r="BD1472" s="52"/>
      <c r="BE1472" s="52"/>
      <c r="BF1472" s="52"/>
      <c r="BG1472" s="52"/>
      <c r="BH1472" s="52"/>
      <c r="BI1472" s="52"/>
      <c r="BJ1472" s="52"/>
      <c r="BK1472" s="52"/>
      <c r="BL1472" s="52"/>
      <c r="BM1472" s="52"/>
      <c r="BN1472" s="52"/>
      <c r="BO1472" s="52"/>
    </row>
    <row r="1473">
      <c r="B1473" s="49"/>
      <c r="C1473" s="49" t="str">
        <f t="shared" si="2"/>
        <v/>
      </c>
      <c r="D1473" s="50" t="str">
        <f t="shared" si="3"/>
        <v/>
      </c>
      <c r="E1473" s="51" t="str">
        <f t="shared" ref="E1473:T1473" si="1474">IFERROR(VLOOKUP($A1473,INDIRECT("'" &amp; E$1 &amp; "'!$C:$G"), 5, FALSE),"")</f>
        <v/>
      </c>
      <c r="F1473" s="51" t="str">
        <f t="shared" si="1474"/>
        <v/>
      </c>
      <c r="G1473" s="51" t="str">
        <f t="shared" si="1474"/>
        <v/>
      </c>
      <c r="H1473" s="51" t="str">
        <f t="shared" si="1474"/>
        <v/>
      </c>
      <c r="I1473" s="51" t="str">
        <f t="shared" si="1474"/>
        <v/>
      </c>
      <c r="J1473" s="51" t="str">
        <f t="shared" si="1474"/>
        <v/>
      </c>
      <c r="K1473" s="51" t="str">
        <f t="shared" si="1474"/>
        <v/>
      </c>
      <c r="L1473" s="51" t="str">
        <f t="shared" si="1474"/>
        <v/>
      </c>
      <c r="M1473" s="51" t="str">
        <f t="shared" si="1474"/>
        <v/>
      </c>
      <c r="N1473" s="51" t="str">
        <f t="shared" si="1474"/>
        <v/>
      </c>
      <c r="O1473" s="51" t="str">
        <f t="shared" si="1474"/>
        <v/>
      </c>
      <c r="P1473" s="51" t="str">
        <f t="shared" si="1474"/>
        <v/>
      </c>
      <c r="Q1473" s="51" t="str">
        <f t="shared" si="1474"/>
        <v/>
      </c>
      <c r="R1473" s="51" t="str">
        <f t="shared" si="1474"/>
        <v/>
      </c>
      <c r="S1473" s="51" t="str">
        <f t="shared" si="1474"/>
        <v/>
      </c>
      <c r="T1473" s="51" t="str">
        <f t="shared" si="1474"/>
        <v/>
      </c>
      <c r="U1473" s="52"/>
      <c r="V1473" s="52"/>
      <c r="W1473" s="52"/>
      <c r="X1473" s="52"/>
      <c r="Y1473" s="52"/>
      <c r="Z1473" s="52"/>
      <c r="AA1473" s="52"/>
      <c r="AB1473" s="52"/>
      <c r="AC1473" s="52"/>
      <c r="AD1473" s="52"/>
      <c r="AE1473" s="52"/>
      <c r="AF1473" s="52"/>
      <c r="AG1473" s="52"/>
      <c r="AH1473" s="52"/>
      <c r="AI1473" s="52"/>
      <c r="AJ1473" s="52"/>
      <c r="AK1473" s="52"/>
      <c r="AL1473" s="52"/>
      <c r="AM1473" s="52"/>
      <c r="AN1473" s="52"/>
      <c r="AO1473" s="52"/>
      <c r="AP1473" s="52"/>
      <c r="AQ1473" s="52"/>
      <c r="AR1473" s="52"/>
      <c r="AS1473" s="52"/>
      <c r="AT1473" s="52"/>
      <c r="AU1473" s="52"/>
      <c r="AV1473" s="52"/>
      <c r="AW1473" s="52"/>
      <c r="AX1473" s="52"/>
      <c r="AY1473" s="52"/>
      <c r="AZ1473" s="52"/>
      <c r="BA1473" s="52"/>
      <c r="BB1473" s="52"/>
      <c r="BC1473" s="52"/>
      <c r="BD1473" s="52"/>
      <c r="BE1473" s="52"/>
      <c r="BF1473" s="52"/>
      <c r="BG1473" s="52"/>
      <c r="BH1473" s="52"/>
      <c r="BI1473" s="52"/>
      <c r="BJ1473" s="52"/>
      <c r="BK1473" s="52"/>
      <c r="BL1473" s="52"/>
      <c r="BM1473" s="52"/>
      <c r="BN1473" s="52"/>
      <c r="BO1473" s="52"/>
    </row>
    <row r="1474">
      <c r="B1474" s="49"/>
      <c r="C1474" s="49" t="str">
        <f t="shared" si="2"/>
        <v/>
      </c>
      <c r="D1474" s="50" t="str">
        <f t="shared" si="3"/>
        <v/>
      </c>
      <c r="E1474" s="51" t="str">
        <f t="shared" ref="E1474:T1474" si="1475">IFERROR(VLOOKUP($A1474,INDIRECT("'" &amp; E$1 &amp; "'!$C:$G"), 5, FALSE),"")</f>
        <v/>
      </c>
      <c r="F1474" s="51" t="str">
        <f t="shared" si="1475"/>
        <v/>
      </c>
      <c r="G1474" s="51" t="str">
        <f t="shared" si="1475"/>
        <v/>
      </c>
      <c r="H1474" s="51" t="str">
        <f t="shared" si="1475"/>
        <v/>
      </c>
      <c r="I1474" s="51" t="str">
        <f t="shared" si="1475"/>
        <v/>
      </c>
      <c r="J1474" s="51" t="str">
        <f t="shared" si="1475"/>
        <v/>
      </c>
      <c r="K1474" s="51" t="str">
        <f t="shared" si="1475"/>
        <v/>
      </c>
      <c r="L1474" s="51" t="str">
        <f t="shared" si="1475"/>
        <v/>
      </c>
      <c r="M1474" s="51" t="str">
        <f t="shared" si="1475"/>
        <v/>
      </c>
      <c r="N1474" s="51" t="str">
        <f t="shared" si="1475"/>
        <v/>
      </c>
      <c r="O1474" s="51" t="str">
        <f t="shared" si="1475"/>
        <v/>
      </c>
      <c r="P1474" s="51" t="str">
        <f t="shared" si="1475"/>
        <v/>
      </c>
      <c r="Q1474" s="51" t="str">
        <f t="shared" si="1475"/>
        <v/>
      </c>
      <c r="R1474" s="51" t="str">
        <f t="shared" si="1475"/>
        <v/>
      </c>
      <c r="S1474" s="51" t="str">
        <f t="shared" si="1475"/>
        <v/>
      </c>
      <c r="T1474" s="51" t="str">
        <f t="shared" si="1475"/>
        <v/>
      </c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2"/>
      <c r="AE1474" s="52"/>
      <c r="AF1474" s="52"/>
      <c r="AG1474" s="52"/>
      <c r="AH1474" s="52"/>
      <c r="AI1474" s="52"/>
      <c r="AJ1474" s="52"/>
      <c r="AK1474" s="52"/>
      <c r="AL1474" s="52"/>
      <c r="AM1474" s="52"/>
      <c r="AN1474" s="52"/>
      <c r="AO1474" s="52"/>
      <c r="AP1474" s="52"/>
      <c r="AQ1474" s="52"/>
      <c r="AR1474" s="52"/>
      <c r="AS1474" s="52"/>
      <c r="AT1474" s="52"/>
      <c r="AU1474" s="52"/>
      <c r="AV1474" s="52"/>
      <c r="AW1474" s="52"/>
      <c r="AX1474" s="52"/>
      <c r="AY1474" s="52"/>
      <c r="AZ1474" s="52"/>
      <c r="BA1474" s="52"/>
      <c r="BB1474" s="52"/>
      <c r="BC1474" s="52"/>
      <c r="BD1474" s="52"/>
      <c r="BE1474" s="52"/>
      <c r="BF1474" s="52"/>
      <c r="BG1474" s="52"/>
      <c r="BH1474" s="52"/>
      <c r="BI1474" s="52"/>
      <c r="BJ1474" s="52"/>
      <c r="BK1474" s="52"/>
      <c r="BL1474" s="52"/>
      <c r="BM1474" s="52"/>
      <c r="BN1474" s="52"/>
      <c r="BO1474" s="52"/>
    </row>
    <row r="1475">
      <c r="B1475" s="49"/>
      <c r="C1475" s="49" t="str">
        <f t="shared" si="2"/>
        <v/>
      </c>
      <c r="D1475" s="50" t="str">
        <f t="shared" si="3"/>
        <v/>
      </c>
      <c r="E1475" s="51" t="str">
        <f t="shared" ref="E1475:T1475" si="1476">IFERROR(VLOOKUP($A1475,INDIRECT("'" &amp; E$1 &amp; "'!$C:$G"), 5, FALSE),"")</f>
        <v/>
      </c>
      <c r="F1475" s="51" t="str">
        <f t="shared" si="1476"/>
        <v/>
      </c>
      <c r="G1475" s="51" t="str">
        <f t="shared" si="1476"/>
        <v/>
      </c>
      <c r="H1475" s="51" t="str">
        <f t="shared" si="1476"/>
        <v/>
      </c>
      <c r="I1475" s="51" t="str">
        <f t="shared" si="1476"/>
        <v/>
      </c>
      <c r="J1475" s="51" t="str">
        <f t="shared" si="1476"/>
        <v/>
      </c>
      <c r="K1475" s="51" t="str">
        <f t="shared" si="1476"/>
        <v/>
      </c>
      <c r="L1475" s="51" t="str">
        <f t="shared" si="1476"/>
        <v/>
      </c>
      <c r="M1475" s="51" t="str">
        <f t="shared" si="1476"/>
        <v/>
      </c>
      <c r="N1475" s="51" t="str">
        <f t="shared" si="1476"/>
        <v/>
      </c>
      <c r="O1475" s="51" t="str">
        <f t="shared" si="1476"/>
        <v/>
      </c>
      <c r="P1475" s="51" t="str">
        <f t="shared" si="1476"/>
        <v/>
      </c>
      <c r="Q1475" s="51" t="str">
        <f t="shared" si="1476"/>
        <v/>
      </c>
      <c r="R1475" s="51" t="str">
        <f t="shared" si="1476"/>
        <v/>
      </c>
      <c r="S1475" s="51" t="str">
        <f t="shared" si="1476"/>
        <v/>
      </c>
      <c r="T1475" s="51" t="str">
        <f t="shared" si="1476"/>
        <v/>
      </c>
      <c r="U1475" s="52"/>
      <c r="V1475" s="52"/>
      <c r="W1475" s="52"/>
      <c r="X1475" s="52"/>
      <c r="Y1475" s="52"/>
      <c r="Z1475" s="52"/>
      <c r="AA1475" s="52"/>
      <c r="AB1475" s="52"/>
      <c r="AC1475" s="52"/>
      <c r="AD1475" s="52"/>
      <c r="AE1475" s="52"/>
      <c r="AF1475" s="52"/>
      <c r="AG1475" s="52"/>
      <c r="AH1475" s="52"/>
      <c r="AI1475" s="52"/>
      <c r="AJ1475" s="52"/>
      <c r="AK1475" s="52"/>
      <c r="AL1475" s="52"/>
      <c r="AM1475" s="52"/>
      <c r="AN1475" s="52"/>
      <c r="AO1475" s="52"/>
      <c r="AP1475" s="52"/>
      <c r="AQ1475" s="52"/>
      <c r="AR1475" s="52"/>
      <c r="AS1475" s="52"/>
      <c r="AT1475" s="52"/>
      <c r="AU1475" s="52"/>
      <c r="AV1475" s="52"/>
      <c r="AW1475" s="52"/>
      <c r="AX1475" s="52"/>
      <c r="AY1475" s="52"/>
      <c r="AZ1475" s="52"/>
      <c r="BA1475" s="52"/>
      <c r="BB1475" s="52"/>
      <c r="BC1475" s="52"/>
      <c r="BD1475" s="52"/>
      <c r="BE1475" s="52"/>
      <c r="BF1475" s="52"/>
      <c r="BG1475" s="52"/>
      <c r="BH1475" s="52"/>
      <c r="BI1475" s="52"/>
      <c r="BJ1475" s="52"/>
      <c r="BK1475" s="52"/>
      <c r="BL1475" s="52"/>
      <c r="BM1475" s="52"/>
      <c r="BN1475" s="52"/>
      <c r="BO1475" s="52"/>
    </row>
    <row r="1476">
      <c r="B1476" s="49"/>
      <c r="C1476" s="49" t="str">
        <f t="shared" si="2"/>
        <v/>
      </c>
      <c r="D1476" s="50" t="str">
        <f t="shared" si="3"/>
        <v/>
      </c>
      <c r="E1476" s="51" t="str">
        <f t="shared" ref="E1476:T1476" si="1477">IFERROR(VLOOKUP($A1476,INDIRECT("'" &amp; E$1 &amp; "'!$C:$G"), 5, FALSE),"")</f>
        <v/>
      </c>
      <c r="F1476" s="51" t="str">
        <f t="shared" si="1477"/>
        <v/>
      </c>
      <c r="G1476" s="51" t="str">
        <f t="shared" si="1477"/>
        <v/>
      </c>
      <c r="H1476" s="51" t="str">
        <f t="shared" si="1477"/>
        <v/>
      </c>
      <c r="I1476" s="51" t="str">
        <f t="shared" si="1477"/>
        <v/>
      </c>
      <c r="J1476" s="51" t="str">
        <f t="shared" si="1477"/>
        <v/>
      </c>
      <c r="K1476" s="51" t="str">
        <f t="shared" si="1477"/>
        <v/>
      </c>
      <c r="L1476" s="51" t="str">
        <f t="shared" si="1477"/>
        <v/>
      </c>
      <c r="M1476" s="51" t="str">
        <f t="shared" si="1477"/>
        <v/>
      </c>
      <c r="N1476" s="51" t="str">
        <f t="shared" si="1477"/>
        <v/>
      </c>
      <c r="O1476" s="51" t="str">
        <f t="shared" si="1477"/>
        <v/>
      </c>
      <c r="P1476" s="51" t="str">
        <f t="shared" si="1477"/>
        <v/>
      </c>
      <c r="Q1476" s="51" t="str">
        <f t="shared" si="1477"/>
        <v/>
      </c>
      <c r="R1476" s="51" t="str">
        <f t="shared" si="1477"/>
        <v/>
      </c>
      <c r="S1476" s="51" t="str">
        <f t="shared" si="1477"/>
        <v/>
      </c>
      <c r="T1476" s="51" t="str">
        <f t="shared" si="1477"/>
        <v/>
      </c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2"/>
      <c r="AE1476" s="52"/>
      <c r="AF1476" s="52"/>
      <c r="AG1476" s="52"/>
      <c r="AH1476" s="52"/>
      <c r="AI1476" s="52"/>
      <c r="AJ1476" s="52"/>
      <c r="AK1476" s="52"/>
      <c r="AL1476" s="52"/>
      <c r="AM1476" s="52"/>
      <c r="AN1476" s="52"/>
      <c r="AO1476" s="52"/>
      <c r="AP1476" s="52"/>
      <c r="AQ1476" s="52"/>
      <c r="AR1476" s="52"/>
      <c r="AS1476" s="52"/>
      <c r="AT1476" s="52"/>
      <c r="AU1476" s="52"/>
      <c r="AV1476" s="52"/>
      <c r="AW1476" s="52"/>
      <c r="AX1476" s="52"/>
      <c r="AY1476" s="52"/>
      <c r="AZ1476" s="52"/>
      <c r="BA1476" s="52"/>
      <c r="BB1476" s="52"/>
      <c r="BC1476" s="52"/>
      <c r="BD1476" s="52"/>
      <c r="BE1476" s="52"/>
      <c r="BF1476" s="52"/>
      <c r="BG1476" s="52"/>
      <c r="BH1476" s="52"/>
      <c r="BI1476" s="52"/>
      <c r="BJ1476" s="52"/>
      <c r="BK1476" s="52"/>
      <c r="BL1476" s="52"/>
      <c r="BM1476" s="52"/>
      <c r="BN1476" s="52"/>
      <c r="BO1476" s="52"/>
    </row>
    <row r="1477">
      <c r="B1477" s="49"/>
      <c r="C1477" s="49" t="str">
        <f t="shared" si="2"/>
        <v/>
      </c>
      <c r="D1477" s="50" t="str">
        <f t="shared" si="3"/>
        <v/>
      </c>
      <c r="E1477" s="51" t="str">
        <f t="shared" ref="E1477:T1477" si="1478">IFERROR(VLOOKUP($A1477,INDIRECT("'" &amp; E$1 &amp; "'!$C:$G"), 5, FALSE),"")</f>
        <v/>
      </c>
      <c r="F1477" s="51" t="str">
        <f t="shared" si="1478"/>
        <v/>
      </c>
      <c r="G1477" s="51" t="str">
        <f t="shared" si="1478"/>
        <v/>
      </c>
      <c r="H1477" s="51" t="str">
        <f t="shared" si="1478"/>
        <v/>
      </c>
      <c r="I1477" s="51" t="str">
        <f t="shared" si="1478"/>
        <v/>
      </c>
      <c r="J1477" s="51" t="str">
        <f t="shared" si="1478"/>
        <v/>
      </c>
      <c r="K1477" s="51" t="str">
        <f t="shared" si="1478"/>
        <v/>
      </c>
      <c r="L1477" s="51" t="str">
        <f t="shared" si="1478"/>
        <v/>
      </c>
      <c r="M1477" s="51" t="str">
        <f t="shared" si="1478"/>
        <v/>
      </c>
      <c r="N1477" s="51" t="str">
        <f t="shared" si="1478"/>
        <v/>
      </c>
      <c r="O1477" s="51" t="str">
        <f t="shared" si="1478"/>
        <v/>
      </c>
      <c r="P1477" s="51" t="str">
        <f t="shared" si="1478"/>
        <v/>
      </c>
      <c r="Q1477" s="51" t="str">
        <f t="shared" si="1478"/>
        <v/>
      </c>
      <c r="R1477" s="51" t="str">
        <f t="shared" si="1478"/>
        <v/>
      </c>
      <c r="S1477" s="51" t="str">
        <f t="shared" si="1478"/>
        <v/>
      </c>
      <c r="T1477" s="51" t="str">
        <f t="shared" si="1478"/>
        <v/>
      </c>
      <c r="U1477" s="52"/>
      <c r="V1477" s="52"/>
      <c r="W1477" s="52"/>
      <c r="X1477" s="52"/>
      <c r="Y1477" s="52"/>
      <c r="Z1477" s="52"/>
      <c r="AA1477" s="52"/>
      <c r="AB1477" s="52"/>
      <c r="AC1477" s="52"/>
      <c r="AD1477" s="52"/>
      <c r="AE1477" s="52"/>
      <c r="AF1477" s="52"/>
      <c r="AG1477" s="52"/>
      <c r="AH1477" s="52"/>
      <c r="AI1477" s="52"/>
      <c r="AJ1477" s="52"/>
      <c r="AK1477" s="52"/>
      <c r="AL1477" s="52"/>
      <c r="AM1477" s="52"/>
      <c r="AN1477" s="52"/>
      <c r="AO1477" s="52"/>
      <c r="AP1477" s="52"/>
      <c r="AQ1477" s="52"/>
      <c r="AR1477" s="52"/>
      <c r="AS1477" s="52"/>
      <c r="AT1477" s="52"/>
      <c r="AU1477" s="52"/>
      <c r="AV1477" s="52"/>
      <c r="AW1477" s="52"/>
      <c r="AX1477" s="52"/>
      <c r="AY1477" s="52"/>
      <c r="AZ1477" s="52"/>
      <c r="BA1477" s="52"/>
      <c r="BB1477" s="52"/>
      <c r="BC1477" s="52"/>
      <c r="BD1477" s="52"/>
      <c r="BE1477" s="52"/>
      <c r="BF1477" s="52"/>
      <c r="BG1477" s="52"/>
      <c r="BH1477" s="52"/>
      <c r="BI1477" s="52"/>
      <c r="BJ1477" s="52"/>
      <c r="BK1477" s="52"/>
      <c r="BL1477" s="52"/>
      <c r="BM1477" s="52"/>
      <c r="BN1477" s="52"/>
      <c r="BO1477" s="52"/>
    </row>
    <row r="1478">
      <c r="B1478" s="49"/>
      <c r="C1478" s="49" t="str">
        <f t="shared" si="2"/>
        <v/>
      </c>
      <c r="D1478" s="50" t="str">
        <f t="shared" si="3"/>
        <v/>
      </c>
      <c r="E1478" s="51" t="str">
        <f t="shared" ref="E1478:T1478" si="1479">IFERROR(VLOOKUP($A1478,INDIRECT("'" &amp; E$1 &amp; "'!$C:$G"), 5, FALSE),"")</f>
        <v/>
      </c>
      <c r="F1478" s="51" t="str">
        <f t="shared" si="1479"/>
        <v/>
      </c>
      <c r="G1478" s="51" t="str">
        <f t="shared" si="1479"/>
        <v/>
      </c>
      <c r="H1478" s="51" t="str">
        <f t="shared" si="1479"/>
        <v/>
      </c>
      <c r="I1478" s="51" t="str">
        <f t="shared" si="1479"/>
        <v/>
      </c>
      <c r="J1478" s="51" t="str">
        <f t="shared" si="1479"/>
        <v/>
      </c>
      <c r="K1478" s="51" t="str">
        <f t="shared" si="1479"/>
        <v/>
      </c>
      <c r="L1478" s="51" t="str">
        <f t="shared" si="1479"/>
        <v/>
      </c>
      <c r="M1478" s="51" t="str">
        <f t="shared" si="1479"/>
        <v/>
      </c>
      <c r="N1478" s="51" t="str">
        <f t="shared" si="1479"/>
        <v/>
      </c>
      <c r="O1478" s="51" t="str">
        <f t="shared" si="1479"/>
        <v/>
      </c>
      <c r="P1478" s="51" t="str">
        <f t="shared" si="1479"/>
        <v/>
      </c>
      <c r="Q1478" s="51" t="str">
        <f t="shared" si="1479"/>
        <v/>
      </c>
      <c r="R1478" s="51" t="str">
        <f t="shared" si="1479"/>
        <v/>
      </c>
      <c r="S1478" s="51" t="str">
        <f t="shared" si="1479"/>
        <v/>
      </c>
      <c r="T1478" s="51" t="str">
        <f t="shared" si="1479"/>
        <v/>
      </c>
      <c r="U1478" s="52"/>
      <c r="V1478" s="52"/>
      <c r="W1478" s="52"/>
      <c r="X1478" s="52"/>
      <c r="Y1478" s="52"/>
      <c r="Z1478" s="52"/>
      <c r="AA1478" s="52"/>
      <c r="AB1478" s="52"/>
      <c r="AC1478" s="52"/>
      <c r="AD1478" s="52"/>
      <c r="AE1478" s="52"/>
      <c r="AF1478" s="52"/>
      <c r="AG1478" s="52"/>
      <c r="AH1478" s="52"/>
      <c r="AI1478" s="52"/>
      <c r="AJ1478" s="52"/>
      <c r="AK1478" s="52"/>
      <c r="AL1478" s="52"/>
      <c r="AM1478" s="52"/>
      <c r="AN1478" s="52"/>
      <c r="AO1478" s="52"/>
      <c r="AP1478" s="52"/>
      <c r="AQ1478" s="52"/>
      <c r="AR1478" s="52"/>
      <c r="AS1478" s="52"/>
      <c r="AT1478" s="52"/>
      <c r="AU1478" s="52"/>
      <c r="AV1478" s="52"/>
      <c r="AW1478" s="52"/>
      <c r="AX1478" s="52"/>
      <c r="AY1478" s="52"/>
      <c r="AZ1478" s="52"/>
      <c r="BA1478" s="52"/>
      <c r="BB1478" s="52"/>
      <c r="BC1478" s="52"/>
      <c r="BD1478" s="52"/>
      <c r="BE1478" s="52"/>
      <c r="BF1478" s="52"/>
      <c r="BG1478" s="52"/>
      <c r="BH1478" s="52"/>
      <c r="BI1478" s="52"/>
      <c r="BJ1478" s="52"/>
      <c r="BK1478" s="52"/>
      <c r="BL1478" s="52"/>
      <c r="BM1478" s="52"/>
      <c r="BN1478" s="52"/>
      <c r="BO1478" s="52"/>
    </row>
    <row r="1479">
      <c r="B1479" s="49"/>
      <c r="C1479" s="49" t="str">
        <f t="shared" si="2"/>
        <v/>
      </c>
      <c r="D1479" s="50" t="str">
        <f t="shared" si="3"/>
        <v/>
      </c>
      <c r="E1479" s="51" t="str">
        <f t="shared" ref="E1479:T1479" si="1480">IFERROR(VLOOKUP($A1479,INDIRECT("'" &amp; E$1 &amp; "'!$C:$G"), 5, FALSE),"")</f>
        <v/>
      </c>
      <c r="F1479" s="51" t="str">
        <f t="shared" si="1480"/>
        <v/>
      </c>
      <c r="G1479" s="51" t="str">
        <f t="shared" si="1480"/>
        <v/>
      </c>
      <c r="H1479" s="51" t="str">
        <f t="shared" si="1480"/>
        <v/>
      </c>
      <c r="I1479" s="51" t="str">
        <f t="shared" si="1480"/>
        <v/>
      </c>
      <c r="J1479" s="51" t="str">
        <f t="shared" si="1480"/>
        <v/>
      </c>
      <c r="K1479" s="51" t="str">
        <f t="shared" si="1480"/>
        <v/>
      </c>
      <c r="L1479" s="51" t="str">
        <f t="shared" si="1480"/>
        <v/>
      </c>
      <c r="M1479" s="51" t="str">
        <f t="shared" si="1480"/>
        <v/>
      </c>
      <c r="N1479" s="51" t="str">
        <f t="shared" si="1480"/>
        <v/>
      </c>
      <c r="O1479" s="51" t="str">
        <f t="shared" si="1480"/>
        <v/>
      </c>
      <c r="P1479" s="51" t="str">
        <f t="shared" si="1480"/>
        <v/>
      </c>
      <c r="Q1479" s="51" t="str">
        <f t="shared" si="1480"/>
        <v/>
      </c>
      <c r="R1479" s="51" t="str">
        <f t="shared" si="1480"/>
        <v/>
      </c>
      <c r="S1479" s="51" t="str">
        <f t="shared" si="1480"/>
        <v/>
      </c>
      <c r="T1479" s="51" t="str">
        <f t="shared" si="1480"/>
        <v/>
      </c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2"/>
      <c r="AE1479" s="52"/>
      <c r="AF1479" s="52"/>
      <c r="AG1479" s="52"/>
      <c r="AH1479" s="52"/>
      <c r="AI1479" s="52"/>
      <c r="AJ1479" s="52"/>
      <c r="AK1479" s="52"/>
      <c r="AL1479" s="52"/>
      <c r="AM1479" s="52"/>
      <c r="AN1479" s="52"/>
      <c r="AO1479" s="52"/>
      <c r="AP1479" s="52"/>
      <c r="AQ1479" s="52"/>
      <c r="AR1479" s="52"/>
      <c r="AS1479" s="52"/>
      <c r="AT1479" s="52"/>
      <c r="AU1479" s="52"/>
      <c r="AV1479" s="52"/>
      <c r="AW1479" s="52"/>
      <c r="AX1479" s="52"/>
      <c r="AY1479" s="52"/>
      <c r="AZ1479" s="52"/>
      <c r="BA1479" s="52"/>
      <c r="BB1479" s="52"/>
      <c r="BC1479" s="52"/>
      <c r="BD1479" s="52"/>
      <c r="BE1479" s="52"/>
      <c r="BF1479" s="52"/>
      <c r="BG1479" s="52"/>
      <c r="BH1479" s="52"/>
      <c r="BI1479" s="52"/>
      <c r="BJ1479" s="52"/>
      <c r="BK1479" s="52"/>
      <c r="BL1479" s="52"/>
      <c r="BM1479" s="52"/>
      <c r="BN1479" s="52"/>
      <c r="BO1479" s="52"/>
    </row>
    <row r="1480">
      <c r="B1480" s="49"/>
      <c r="C1480" s="49" t="str">
        <f t="shared" si="2"/>
        <v/>
      </c>
      <c r="D1480" s="50" t="str">
        <f t="shared" si="3"/>
        <v/>
      </c>
      <c r="E1480" s="51" t="str">
        <f t="shared" ref="E1480:T1480" si="1481">IFERROR(VLOOKUP($A1480,INDIRECT("'" &amp; E$1 &amp; "'!$C:$G"), 5, FALSE),"")</f>
        <v/>
      </c>
      <c r="F1480" s="51" t="str">
        <f t="shared" si="1481"/>
        <v/>
      </c>
      <c r="G1480" s="51" t="str">
        <f t="shared" si="1481"/>
        <v/>
      </c>
      <c r="H1480" s="51" t="str">
        <f t="shared" si="1481"/>
        <v/>
      </c>
      <c r="I1480" s="51" t="str">
        <f t="shared" si="1481"/>
        <v/>
      </c>
      <c r="J1480" s="51" t="str">
        <f t="shared" si="1481"/>
        <v/>
      </c>
      <c r="K1480" s="51" t="str">
        <f t="shared" si="1481"/>
        <v/>
      </c>
      <c r="L1480" s="51" t="str">
        <f t="shared" si="1481"/>
        <v/>
      </c>
      <c r="M1480" s="51" t="str">
        <f t="shared" si="1481"/>
        <v/>
      </c>
      <c r="N1480" s="51" t="str">
        <f t="shared" si="1481"/>
        <v/>
      </c>
      <c r="O1480" s="51" t="str">
        <f t="shared" si="1481"/>
        <v/>
      </c>
      <c r="P1480" s="51" t="str">
        <f t="shared" si="1481"/>
        <v/>
      </c>
      <c r="Q1480" s="51" t="str">
        <f t="shared" si="1481"/>
        <v/>
      </c>
      <c r="R1480" s="51" t="str">
        <f t="shared" si="1481"/>
        <v/>
      </c>
      <c r="S1480" s="51" t="str">
        <f t="shared" si="1481"/>
        <v/>
      </c>
      <c r="T1480" s="51" t="str">
        <f t="shared" si="1481"/>
        <v/>
      </c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2"/>
      <c r="AE1480" s="52"/>
      <c r="AF1480" s="52"/>
      <c r="AG1480" s="52"/>
      <c r="AH1480" s="52"/>
      <c r="AI1480" s="52"/>
      <c r="AJ1480" s="52"/>
      <c r="AK1480" s="52"/>
      <c r="AL1480" s="52"/>
      <c r="AM1480" s="52"/>
      <c r="AN1480" s="52"/>
      <c r="AO1480" s="52"/>
      <c r="AP1480" s="52"/>
      <c r="AQ1480" s="52"/>
      <c r="AR1480" s="52"/>
      <c r="AS1480" s="52"/>
      <c r="AT1480" s="52"/>
      <c r="AU1480" s="52"/>
      <c r="AV1480" s="52"/>
      <c r="AW1480" s="52"/>
      <c r="AX1480" s="52"/>
      <c r="AY1480" s="52"/>
      <c r="AZ1480" s="52"/>
      <c r="BA1480" s="52"/>
      <c r="BB1480" s="52"/>
      <c r="BC1480" s="52"/>
      <c r="BD1480" s="52"/>
      <c r="BE1480" s="52"/>
      <c r="BF1480" s="52"/>
      <c r="BG1480" s="52"/>
      <c r="BH1480" s="52"/>
      <c r="BI1480" s="52"/>
      <c r="BJ1480" s="52"/>
      <c r="BK1480" s="52"/>
      <c r="BL1480" s="52"/>
      <c r="BM1480" s="52"/>
      <c r="BN1480" s="52"/>
      <c r="BO1480" s="52"/>
    </row>
    <row r="1481">
      <c r="B1481" s="49"/>
      <c r="C1481" s="49" t="str">
        <f t="shared" si="2"/>
        <v/>
      </c>
      <c r="D1481" s="50" t="str">
        <f t="shared" si="3"/>
        <v/>
      </c>
      <c r="E1481" s="51" t="str">
        <f t="shared" ref="E1481:T1481" si="1482">IFERROR(VLOOKUP($A1481,INDIRECT("'" &amp; E$1 &amp; "'!$C:$G"), 5, FALSE),"")</f>
        <v/>
      </c>
      <c r="F1481" s="51" t="str">
        <f t="shared" si="1482"/>
        <v/>
      </c>
      <c r="G1481" s="51" t="str">
        <f t="shared" si="1482"/>
        <v/>
      </c>
      <c r="H1481" s="51" t="str">
        <f t="shared" si="1482"/>
        <v/>
      </c>
      <c r="I1481" s="51" t="str">
        <f t="shared" si="1482"/>
        <v/>
      </c>
      <c r="J1481" s="51" t="str">
        <f t="shared" si="1482"/>
        <v/>
      </c>
      <c r="K1481" s="51" t="str">
        <f t="shared" si="1482"/>
        <v/>
      </c>
      <c r="L1481" s="51" t="str">
        <f t="shared" si="1482"/>
        <v/>
      </c>
      <c r="M1481" s="51" t="str">
        <f t="shared" si="1482"/>
        <v/>
      </c>
      <c r="N1481" s="51" t="str">
        <f t="shared" si="1482"/>
        <v/>
      </c>
      <c r="O1481" s="51" t="str">
        <f t="shared" si="1482"/>
        <v/>
      </c>
      <c r="P1481" s="51" t="str">
        <f t="shared" si="1482"/>
        <v/>
      </c>
      <c r="Q1481" s="51" t="str">
        <f t="shared" si="1482"/>
        <v/>
      </c>
      <c r="R1481" s="51" t="str">
        <f t="shared" si="1482"/>
        <v/>
      </c>
      <c r="S1481" s="51" t="str">
        <f t="shared" si="1482"/>
        <v/>
      </c>
      <c r="T1481" s="51" t="str">
        <f t="shared" si="1482"/>
        <v/>
      </c>
      <c r="U1481" s="52"/>
      <c r="V1481" s="52"/>
      <c r="W1481" s="52"/>
      <c r="X1481" s="52"/>
      <c r="Y1481" s="52"/>
      <c r="Z1481" s="52"/>
      <c r="AA1481" s="52"/>
      <c r="AB1481" s="52"/>
      <c r="AC1481" s="52"/>
      <c r="AD1481" s="52"/>
      <c r="AE1481" s="52"/>
      <c r="AF1481" s="52"/>
      <c r="AG1481" s="52"/>
      <c r="AH1481" s="52"/>
      <c r="AI1481" s="52"/>
      <c r="AJ1481" s="52"/>
      <c r="AK1481" s="52"/>
      <c r="AL1481" s="52"/>
      <c r="AM1481" s="52"/>
      <c r="AN1481" s="52"/>
      <c r="AO1481" s="52"/>
      <c r="AP1481" s="52"/>
      <c r="AQ1481" s="52"/>
      <c r="AR1481" s="52"/>
      <c r="AS1481" s="52"/>
      <c r="AT1481" s="52"/>
      <c r="AU1481" s="52"/>
      <c r="AV1481" s="52"/>
      <c r="AW1481" s="52"/>
      <c r="AX1481" s="52"/>
      <c r="AY1481" s="52"/>
      <c r="AZ1481" s="52"/>
      <c r="BA1481" s="52"/>
      <c r="BB1481" s="52"/>
      <c r="BC1481" s="52"/>
      <c r="BD1481" s="52"/>
      <c r="BE1481" s="52"/>
      <c r="BF1481" s="52"/>
      <c r="BG1481" s="52"/>
      <c r="BH1481" s="52"/>
      <c r="BI1481" s="52"/>
      <c r="BJ1481" s="52"/>
      <c r="BK1481" s="52"/>
      <c r="BL1481" s="52"/>
      <c r="BM1481" s="52"/>
      <c r="BN1481" s="52"/>
      <c r="BO1481" s="52"/>
    </row>
    <row r="1482">
      <c r="B1482" s="49"/>
      <c r="C1482" s="49" t="str">
        <f t="shared" si="2"/>
        <v/>
      </c>
      <c r="D1482" s="50" t="str">
        <f t="shared" si="3"/>
        <v/>
      </c>
      <c r="E1482" s="51" t="str">
        <f t="shared" ref="E1482:T1482" si="1483">IFERROR(VLOOKUP($A1482,INDIRECT("'" &amp; E$1 &amp; "'!$C:$G"), 5, FALSE),"")</f>
        <v/>
      </c>
      <c r="F1482" s="51" t="str">
        <f t="shared" si="1483"/>
        <v/>
      </c>
      <c r="G1482" s="51" t="str">
        <f t="shared" si="1483"/>
        <v/>
      </c>
      <c r="H1482" s="51" t="str">
        <f t="shared" si="1483"/>
        <v/>
      </c>
      <c r="I1482" s="51" t="str">
        <f t="shared" si="1483"/>
        <v/>
      </c>
      <c r="J1482" s="51" t="str">
        <f t="shared" si="1483"/>
        <v/>
      </c>
      <c r="K1482" s="51" t="str">
        <f t="shared" si="1483"/>
        <v/>
      </c>
      <c r="L1482" s="51" t="str">
        <f t="shared" si="1483"/>
        <v/>
      </c>
      <c r="M1482" s="51" t="str">
        <f t="shared" si="1483"/>
        <v/>
      </c>
      <c r="N1482" s="51" t="str">
        <f t="shared" si="1483"/>
        <v/>
      </c>
      <c r="O1482" s="51" t="str">
        <f t="shared" si="1483"/>
        <v/>
      </c>
      <c r="P1482" s="51" t="str">
        <f t="shared" si="1483"/>
        <v/>
      </c>
      <c r="Q1482" s="51" t="str">
        <f t="shared" si="1483"/>
        <v/>
      </c>
      <c r="R1482" s="51" t="str">
        <f t="shared" si="1483"/>
        <v/>
      </c>
      <c r="S1482" s="51" t="str">
        <f t="shared" si="1483"/>
        <v/>
      </c>
      <c r="T1482" s="51" t="str">
        <f t="shared" si="1483"/>
        <v/>
      </c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2"/>
      <c r="AE1482" s="52"/>
      <c r="AF1482" s="52"/>
      <c r="AG1482" s="52"/>
      <c r="AH1482" s="52"/>
      <c r="AI1482" s="52"/>
      <c r="AJ1482" s="52"/>
      <c r="AK1482" s="52"/>
      <c r="AL1482" s="52"/>
      <c r="AM1482" s="52"/>
      <c r="AN1482" s="52"/>
      <c r="AO1482" s="52"/>
      <c r="AP1482" s="52"/>
      <c r="AQ1482" s="52"/>
      <c r="AR1482" s="52"/>
      <c r="AS1482" s="52"/>
      <c r="AT1482" s="52"/>
      <c r="AU1482" s="52"/>
      <c r="AV1482" s="52"/>
      <c r="AW1482" s="52"/>
      <c r="AX1482" s="52"/>
      <c r="AY1482" s="52"/>
      <c r="AZ1482" s="52"/>
      <c r="BA1482" s="52"/>
      <c r="BB1482" s="52"/>
      <c r="BC1482" s="52"/>
      <c r="BD1482" s="52"/>
      <c r="BE1482" s="52"/>
      <c r="BF1482" s="52"/>
      <c r="BG1482" s="52"/>
      <c r="BH1482" s="52"/>
      <c r="BI1482" s="52"/>
      <c r="BJ1482" s="52"/>
      <c r="BK1482" s="52"/>
      <c r="BL1482" s="52"/>
      <c r="BM1482" s="52"/>
      <c r="BN1482" s="52"/>
      <c r="BO1482" s="52"/>
    </row>
    <row r="1483">
      <c r="B1483" s="49"/>
      <c r="C1483" s="49" t="str">
        <f t="shared" si="2"/>
        <v/>
      </c>
      <c r="D1483" s="50" t="str">
        <f t="shared" si="3"/>
        <v/>
      </c>
      <c r="E1483" s="51" t="str">
        <f t="shared" ref="E1483:T1483" si="1484">IFERROR(VLOOKUP($A1483,INDIRECT("'" &amp; E$1 &amp; "'!$C:$G"), 5, FALSE),"")</f>
        <v/>
      </c>
      <c r="F1483" s="51" t="str">
        <f t="shared" si="1484"/>
        <v/>
      </c>
      <c r="G1483" s="51" t="str">
        <f t="shared" si="1484"/>
        <v/>
      </c>
      <c r="H1483" s="51" t="str">
        <f t="shared" si="1484"/>
        <v/>
      </c>
      <c r="I1483" s="51" t="str">
        <f t="shared" si="1484"/>
        <v/>
      </c>
      <c r="J1483" s="51" t="str">
        <f t="shared" si="1484"/>
        <v/>
      </c>
      <c r="K1483" s="51" t="str">
        <f t="shared" si="1484"/>
        <v/>
      </c>
      <c r="L1483" s="51" t="str">
        <f t="shared" si="1484"/>
        <v/>
      </c>
      <c r="M1483" s="51" t="str">
        <f t="shared" si="1484"/>
        <v/>
      </c>
      <c r="N1483" s="51" t="str">
        <f t="shared" si="1484"/>
        <v/>
      </c>
      <c r="O1483" s="51" t="str">
        <f t="shared" si="1484"/>
        <v/>
      </c>
      <c r="P1483" s="51" t="str">
        <f t="shared" si="1484"/>
        <v/>
      </c>
      <c r="Q1483" s="51" t="str">
        <f t="shared" si="1484"/>
        <v/>
      </c>
      <c r="R1483" s="51" t="str">
        <f t="shared" si="1484"/>
        <v/>
      </c>
      <c r="S1483" s="51" t="str">
        <f t="shared" si="1484"/>
        <v/>
      </c>
      <c r="T1483" s="51" t="str">
        <f t="shared" si="1484"/>
        <v/>
      </c>
      <c r="U1483" s="52"/>
      <c r="V1483" s="52"/>
      <c r="W1483" s="52"/>
      <c r="X1483" s="52"/>
      <c r="Y1483" s="52"/>
      <c r="Z1483" s="52"/>
      <c r="AA1483" s="52"/>
      <c r="AB1483" s="52"/>
      <c r="AC1483" s="52"/>
      <c r="AD1483" s="52"/>
      <c r="AE1483" s="52"/>
      <c r="AF1483" s="52"/>
      <c r="AG1483" s="52"/>
      <c r="AH1483" s="52"/>
      <c r="AI1483" s="52"/>
      <c r="AJ1483" s="52"/>
      <c r="AK1483" s="52"/>
      <c r="AL1483" s="52"/>
      <c r="AM1483" s="52"/>
      <c r="AN1483" s="52"/>
      <c r="AO1483" s="52"/>
      <c r="AP1483" s="52"/>
      <c r="AQ1483" s="52"/>
      <c r="AR1483" s="52"/>
      <c r="AS1483" s="52"/>
      <c r="AT1483" s="52"/>
      <c r="AU1483" s="52"/>
      <c r="AV1483" s="52"/>
      <c r="AW1483" s="52"/>
      <c r="AX1483" s="52"/>
      <c r="AY1483" s="52"/>
      <c r="AZ1483" s="52"/>
      <c r="BA1483" s="52"/>
      <c r="BB1483" s="52"/>
      <c r="BC1483" s="52"/>
      <c r="BD1483" s="52"/>
      <c r="BE1483" s="52"/>
      <c r="BF1483" s="52"/>
      <c r="BG1483" s="52"/>
      <c r="BH1483" s="52"/>
      <c r="BI1483" s="52"/>
      <c r="BJ1483" s="52"/>
      <c r="BK1483" s="52"/>
      <c r="BL1483" s="52"/>
      <c r="BM1483" s="52"/>
      <c r="BN1483" s="52"/>
      <c r="BO1483" s="52"/>
    </row>
    <row r="1484">
      <c r="B1484" s="49"/>
      <c r="C1484" s="49" t="str">
        <f t="shared" si="2"/>
        <v/>
      </c>
      <c r="D1484" s="50" t="str">
        <f t="shared" si="3"/>
        <v/>
      </c>
      <c r="E1484" s="51" t="str">
        <f t="shared" ref="E1484:T1484" si="1485">IFERROR(VLOOKUP($A1484,INDIRECT("'" &amp; E$1 &amp; "'!$C:$G"), 5, FALSE),"")</f>
        <v/>
      </c>
      <c r="F1484" s="51" t="str">
        <f t="shared" si="1485"/>
        <v/>
      </c>
      <c r="G1484" s="51" t="str">
        <f t="shared" si="1485"/>
        <v/>
      </c>
      <c r="H1484" s="51" t="str">
        <f t="shared" si="1485"/>
        <v/>
      </c>
      <c r="I1484" s="51" t="str">
        <f t="shared" si="1485"/>
        <v/>
      </c>
      <c r="J1484" s="51" t="str">
        <f t="shared" si="1485"/>
        <v/>
      </c>
      <c r="K1484" s="51" t="str">
        <f t="shared" si="1485"/>
        <v/>
      </c>
      <c r="L1484" s="51" t="str">
        <f t="shared" si="1485"/>
        <v/>
      </c>
      <c r="M1484" s="51" t="str">
        <f t="shared" si="1485"/>
        <v/>
      </c>
      <c r="N1484" s="51" t="str">
        <f t="shared" si="1485"/>
        <v/>
      </c>
      <c r="O1484" s="51" t="str">
        <f t="shared" si="1485"/>
        <v/>
      </c>
      <c r="P1484" s="51" t="str">
        <f t="shared" si="1485"/>
        <v/>
      </c>
      <c r="Q1484" s="51" t="str">
        <f t="shared" si="1485"/>
        <v/>
      </c>
      <c r="R1484" s="51" t="str">
        <f t="shared" si="1485"/>
        <v/>
      </c>
      <c r="S1484" s="51" t="str">
        <f t="shared" si="1485"/>
        <v/>
      </c>
      <c r="T1484" s="51" t="str">
        <f t="shared" si="1485"/>
        <v/>
      </c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  <c r="AH1484" s="52"/>
      <c r="AI1484" s="52"/>
      <c r="AJ1484" s="52"/>
      <c r="AK1484" s="52"/>
      <c r="AL1484" s="52"/>
      <c r="AM1484" s="52"/>
      <c r="AN1484" s="52"/>
      <c r="AO1484" s="52"/>
      <c r="AP1484" s="52"/>
      <c r="AQ1484" s="52"/>
      <c r="AR1484" s="52"/>
      <c r="AS1484" s="52"/>
      <c r="AT1484" s="52"/>
      <c r="AU1484" s="52"/>
      <c r="AV1484" s="52"/>
      <c r="AW1484" s="52"/>
      <c r="AX1484" s="52"/>
      <c r="AY1484" s="52"/>
      <c r="AZ1484" s="52"/>
      <c r="BA1484" s="52"/>
      <c r="BB1484" s="52"/>
      <c r="BC1484" s="52"/>
      <c r="BD1484" s="52"/>
      <c r="BE1484" s="52"/>
      <c r="BF1484" s="52"/>
      <c r="BG1484" s="52"/>
      <c r="BH1484" s="52"/>
      <c r="BI1484" s="52"/>
      <c r="BJ1484" s="52"/>
      <c r="BK1484" s="52"/>
      <c r="BL1484" s="52"/>
      <c r="BM1484" s="52"/>
      <c r="BN1484" s="52"/>
      <c r="BO1484" s="52"/>
    </row>
    <row r="1485">
      <c r="B1485" s="49"/>
      <c r="C1485" s="49" t="str">
        <f t="shared" si="2"/>
        <v/>
      </c>
      <c r="D1485" s="50" t="str">
        <f t="shared" si="3"/>
        <v/>
      </c>
      <c r="E1485" s="51" t="str">
        <f t="shared" ref="E1485:T1485" si="1486">IFERROR(VLOOKUP($A1485,INDIRECT("'" &amp; E$1 &amp; "'!$C:$G"), 5, FALSE),"")</f>
        <v/>
      </c>
      <c r="F1485" s="51" t="str">
        <f t="shared" si="1486"/>
        <v/>
      </c>
      <c r="G1485" s="51" t="str">
        <f t="shared" si="1486"/>
        <v/>
      </c>
      <c r="H1485" s="51" t="str">
        <f t="shared" si="1486"/>
        <v/>
      </c>
      <c r="I1485" s="51" t="str">
        <f t="shared" si="1486"/>
        <v/>
      </c>
      <c r="J1485" s="51" t="str">
        <f t="shared" si="1486"/>
        <v/>
      </c>
      <c r="K1485" s="51" t="str">
        <f t="shared" si="1486"/>
        <v/>
      </c>
      <c r="L1485" s="51" t="str">
        <f t="shared" si="1486"/>
        <v/>
      </c>
      <c r="M1485" s="51" t="str">
        <f t="shared" si="1486"/>
        <v/>
      </c>
      <c r="N1485" s="51" t="str">
        <f t="shared" si="1486"/>
        <v/>
      </c>
      <c r="O1485" s="51" t="str">
        <f t="shared" si="1486"/>
        <v/>
      </c>
      <c r="P1485" s="51" t="str">
        <f t="shared" si="1486"/>
        <v/>
      </c>
      <c r="Q1485" s="51" t="str">
        <f t="shared" si="1486"/>
        <v/>
      </c>
      <c r="R1485" s="51" t="str">
        <f t="shared" si="1486"/>
        <v/>
      </c>
      <c r="S1485" s="51" t="str">
        <f t="shared" si="1486"/>
        <v/>
      </c>
      <c r="T1485" s="51" t="str">
        <f t="shared" si="1486"/>
        <v/>
      </c>
      <c r="U1485" s="52"/>
      <c r="V1485" s="52"/>
      <c r="W1485" s="52"/>
      <c r="X1485" s="52"/>
      <c r="Y1485" s="52"/>
      <c r="Z1485" s="52"/>
      <c r="AA1485" s="52"/>
      <c r="AB1485" s="52"/>
      <c r="AC1485" s="52"/>
      <c r="AD1485" s="52"/>
      <c r="AE1485" s="52"/>
      <c r="AF1485" s="52"/>
      <c r="AG1485" s="52"/>
      <c r="AH1485" s="52"/>
      <c r="AI1485" s="52"/>
      <c r="AJ1485" s="52"/>
      <c r="AK1485" s="52"/>
      <c r="AL1485" s="52"/>
      <c r="AM1485" s="52"/>
      <c r="AN1485" s="52"/>
      <c r="AO1485" s="52"/>
      <c r="AP1485" s="52"/>
      <c r="AQ1485" s="52"/>
      <c r="AR1485" s="52"/>
      <c r="AS1485" s="52"/>
      <c r="AT1485" s="52"/>
      <c r="AU1485" s="52"/>
      <c r="AV1485" s="52"/>
      <c r="AW1485" s="52"/>
      <c r="AX1485" s="52"/>
      <c r="AY1485" s="52"/>
      <c r="AZ1485" s="52"/>
      <c r="BA1485" s="52"/>
      <c r="BB1485" s="52"/>
      <c r="BC1485" s="52"/>
      <c r="BD1485" s="52"/>
      <c r="BE1485" s="52"/>
      <c r="BF1485" s="52"/>
      <c r="BG1485" s="52"/>
      <c r="BH1485" s="52"/>
      <c r="BI1485" s="52"/>
      <c r="BJ1485" s="52"/>
      <c r="BK1485" s="52"/>
      <c r="BL1485" s="52"/>
      <c r="BM1485" s="52"/>
      <c r="BN1485" s="52"/>
      <c r="BO1485" s="52"/>
    </row>
    <row r="1486">
      <c r="B1486" s="49"/>
      <c r="C1486" s="49" t="str">
        <f t="shared" si="2"/>
        <v/>
      </c>
      <c r="D1486" s="50" t="str">
        <f t="shared" si="3"/>
        <v/>
      </c>
      <c r="E1486" s="51" t="str">
        <f t="shared" ref="E1486:T1486" si="1487">IFERROR(VLOOKUP($A1486,INDIRECT("'" &amp; E$1 &amp; "'!$C:$G"), 5, FALSE),"")</f>
        <v/>
      </c>
      <c r="F1486" s="51" t="str">
        <f t="shared" si="1487"/>
        <v/>
      </c>
      <c r="G1486" s="51" t="str">
        <f t="shared" si="1487"/>
        <v/>
      </c>
      <c r="H1486" s="51" t="str">
        <f t="shared" si="1487"/>
        <v/>
      </c>
      <c r="I1486" s="51" t="str">
        <f t="shared" si="1487"/>
        <v/>
      </c>
      <c r="J1486" s="51" t="str">
        <f t="shared" si="1487"/>
        <v/>
      </c>
      <c r="K1486" s="51" t="str">
        <f t="shared" si="1487"/>
        <v/>
      </c>
      <c r="L1486" s="51" t="str">
        <f t="shared" si="1487"/>
        <v/>
      </c>
      <c r="M1486" s="51" t="str">
        <f t="shared" si="1487"/>
        <v/>
      </c>
      <c r="N1486" s="51" t="str">
        <f t="shared" si="1487"/>
        <v/>
      </c>
      <c r="O1486" s="51" t="str">
        <f t="shared" si="1487"/>
        <v/>
      </c>
      <c r="P1486" s="51" t="str">
        <f t="shared" si="1487"/>
        <v/>
      </c>
      <c r="Q1486" s="51" t="str">
        <f t="shared" si="1487"/>
        <v/>
      </c>
      <c r="R1486" s="51" t="str">
        <f t="shared" si="1487"/>
        <v/>
      </c>
      <c r="S1486" s="51" t="str">
        <f t="shared" si="1487"/>
        <v/>
      </c>
      <c r="T1486" s="51" t="str">
        <f t="shared" si="1487"/>
        <v/>
      </c>
      <c r="U1486" s="52"/>
      <c r="V1486" s="52"/>
      <c r="W1486" s="52"/>
      <c r="X1486" s="52"/>
      <c r="Y1486" s="52"/>
      <c r="Z1486" s="52"/>
      <c r="AA1486" s="52"/>
      <c r="AB1486" s="52"/>
      <c r="AC1486" s="52"/>
      <c r="AD1486" s="52"/>
      <c r="AE1486" s="52"/>
      <c r="AF1486" s="52"/>
      <c r="AG1486" s="52"/>
      <c r="AH1486" s="52"/>
      <c r="AI1486" s="52"/>
      <c r="AJ1486" s="52"/>
      <c r="AK1486" s="52"/>
      <c r="AL1486" s="52"/>
      <c r="AM1486" s="52"/>
      <c r="AN1486" s="52"/>
      <c r="AO1486" s="52"/>
      <c r="AP1486" s="52"/>
      <c r="AQ1486" s="52"/>
      <c r="AR1486" s="52"/>
      <c r="AS1486" s="52"/>
      <c r="AT1486" s="52"/>
      <c r="AU1486" s="52"/>
      <c r="AV1486" s="52"/>
      <c r="AW1486" s="52"/>
      <c r="AX1486" s="52"/>
      <c r="AY1486" s="52"/>
      <c r="AZ1486" s="52"/>
      <c r="BA1486" s="52"/>
      <c r="BB1486" s="52"/>
      <c r="BC1486" s="52"/>
      <c r="BD1486" s="52"/>
      <c r="BE1486" s="52"/>
      <c r="BF1486" s="52"/>
      <c r="BG1486" s="52"/>
      <c r="BH1486" s="52"/>
      <c r="BI1486" s="52"/>
      <c r="BJ1486" s="52"/>
      <c r="BK1486" s="52"/>
      <c r="BL1486" s="52"/>
      <c r="BM1486" s="52"/>
      <c r="BN1486" s="52"/>
      <c r="BO1486" s="52"/>
    </row>
    <row r="1487">
      <c r="B1487" s="49"/>
      <c r="C1487" s="49" t="str">
        <f t="shared" si="2"/>
        <v/>
      </c>
      <c r="D1487" s="50" t="str">
        <f t="shared" si="3"/>
        <v/>
      </c>
      <c r="E1487" s="51" t="str">
        <f t="shared" ref="E1487:T1487" si="1488">IFERROR(VLOOKUP($A1487,INDIRECT("'" &amp; E$1 &amp; "'!$C:$G"), 5, FALSE),"")</f>
        <v/>
      </c>
      <c r="F1487" s="51" t="str">
        <f t="shared" si="1488"/>
        <v/>
      </c>
      <c r="G1487" s="51" t="str">
        <f t="shared" si="1488"/>
        <v/>
      </c>
      <c r="H1487" s="51" t="str">
        <f t="shared" si="1488"/>
        <v/>
      </c>
      <c r="I1487" s="51" t="str">
        <f t="shared" si="1488"/>
        <v/>
      </c>
      <c r="J1487" s="51" t="str">
        <f t="shared" si="1488"/>
        <v/>
      </c>
      <c r="K1487" s="51" t="str">
        <f t="shared" si="1488"/>
        <v/>
      </c>
      <c r="L1487" s="51" t="str">
        <f t="shared" si="1488"/>
        <v/>
      </c>
      <c r="M1487" s="51" t="str">
        <f t="shared" si="1488"/>
        <v/>
      </c>
      <c r="N1487" s="51" t="str">
        <f t="shared" si="1488"/>
        <v/>
      </c>
      <c r="O1487" s="51" t="str">
        <f t="shared" si="1488"/>
        <v/>
      </c>
      <c r="P1487" s="51" t="str">
        <f t="shared" si="1488"/>
        <v/>
      </c>
      <c r="Q1487" s="51" t="str">
        <f t="shared" si="1488"/>
        <v/>
      </c>
      <c r="R1487" s="51" t="str">
        <f t="shared" si="1488"/>
        <v/>
      </c>
      <c r="S1487" s="51" t="str">
        <f t="shared" si="1488"/>
        <v/>
      </c>
      <c r="T1487" s="51" t="str">
        <f t="shared" si="1488"/>
        <v/>
      </c>
      <c r="U1487" s="52"/>
      <c r="V1487" s="52"/>
      <c r="W1487" s="52"/>
      <c r="X1487" s="52"/>
      <c r="Y1487" s="52"/>
      <c r="Z1487" s="52"/>
      <c r="AA1487" s="52"/>
      <c r="AB1487" s="52"/>
      <c r="AC1487" s="52"/>
      <c r="AD1487" s="52"/>
      <c r="AE1487" s="52"/>
      <c r="AF1487" s="52"/>
      <c r="AG1487" s="52"/>
      <c r="AH1487" s="52"/>
      <c r="AI1487" s="52"/>
      <c r="AJ1487" s="52"/>
      <c r="AK1487" s="52"/>
      <c r="AL1487" s="52"/>
      <c r="AM1487" s="52"/>
      <c r="AN1487" s="52"/>
      <c r="AO1487" s="52"/>
      <c r="AP1487" s="52"/>
      <c r="AQ1487" s="52"/>
      <c r="AR1487" s="52"/>
      <c r="AS1487" s="52"/>
      <c r="AT1487" s="52"/>
      <c r="AU1487" s="52"/>
      <c r="AV1487" s="52"/>
      <c r="AW1487" s="52"/>
      <c r="AX1487" s="52"/>
      <c r="AY1487" s="52"/>
      <c r="AZ1487" s="52"/>
      <c r="BA1487" s="52"/>
      <c r="BB1487" s="52"/>
      <c r="BC1487" s="52"/>
      <c r="BD1487" s="52"/>
      <c r="BE1487" s="52"/>
      <c r="BF1487" s="52"/>
      <c r="BG1487" s="52"/>
      <c r="BH1487" s="52"/>
      <c r="BI1487" s="52"/>
      <c r="BJ1487" s="52"/>
      <c r="BK1487" s="52"/>
      <c r="BL1487" s="52"/>
      <c r="BM1487" s="52"/>
      <c r="BN1487" s="52"/>
      <c r="BO1487" s="52"/>
    </row>
    <row r="1488">
      <c r="B1488" s="49"/>
      <c r="C1488" s="49" t="str">
        <f t="shared" si="2"/>
        <v/>
      </c>
      <c r="D1488" s="50" t="str">
        <f t="shared" si="3"/>
        <v/>
      </c>
      <c r="E1488" s="51" t="str">
        <f t="shared" ref="E1488:T1488" si="1489">IFERROR(VLOOKUP($A1488,INDIRECT("'" &amp; E$1 &amp; "'!$C:$G"), 5, FALSE),"")</f>
        <v/>
      </c>
      <c r="F1488" s="51" t="str">
        <f t="shared" si="1489"/>
        <v/>
      </c>
      <c r="G1488" s="51" t="str">
        <f t="shared" si="1489"/>
        <v/>
      </c>
      <c r="H1488" s="51" t="str">
        <f t="shared" si="1489"/>
        <v/>
      </c>
      <c r="I1488" s="51" t="str">
        <f t="shared" si="1489"/>
        <v/>
      </c>
      <c r="J1488" s="51" t="str">
        <f t="shared" si="1489"/>
        <v/>
      </c>
      <c r="K1488" s="51" t="str">
        <f t="shared" si="1489"/>
        <v/>
      </c>
      <c r="L1488" s="51" t="str">
        <f t="shared" si="1489"/>
        <v/>
      </c>
      <c r="M1488" s="51" t="str">
        <f t="shared" si="1489"/>
        <v/>
      </c>
      <c r="N1488" s="51" t="str">
        <f t="shared" si="1489"/>
        <v/>
      </c>
      <c r="O1488" s="51" t="str">
        <f t="shared" si="1489"/>
        <v/>
      </c>
      <c r="P1488" s="51" t="str">
        <f t="shared" si="1489"/>
        <v/>
      </c>
      <c r="Q1488" s="51" t="str">
        <f t="shared" si="1489"/>
        <v/>
      </c>
      <c r="R1488" s="51" t="str">
        <f t="shared" si="1489"/>
        <v/>
      </c>
      <c r="S1488" s="51" t="str">
        <f t="shared" si="1489"/>
        <v/>
      </c>
      <c r="T1488" s="51" t="str">
        <f t="shared" si="1489"/>
        <v/>
      </c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2"/>
      <c r="AE1488" s="52"/>
      <c r="AF1488" s="52"/>
      <c r="AG1488" s="52"/>
      <c r="AH1488" s="52"/>
      <c r="AI1488" s="52"/>
      <c r="AJ1488" s="52"/>
      <c r="AK1488" s="52"/>
      <c r="AL1488" s="52"/>
      <c r="AM1488" s="52"/>
      <c r="AN1488" s="52"/>
      <c r="AO1488" s="52"/>
      <c r="AP1488" s="52"/>
      <c r="AQ1488" s="52"/>
      <c r="AR1488" s="52"/>
      <c r="AS1488" s="52"/>
      <c r="AT1488" s="52"/>
      <c r="AU1488" s="52"/>
      <c r="AV1488" s="52"/>
      <c r="AW1488" s="52"/>
      <c r="AX1488" s="52"/>
      <c r="AY1488" s="52"/>
      <c r="AZ1488" s="52"/>
      <c r="BA1488" s="52"/>
      <c r="BB1488" s="52"/>
      <c r="BC1488" s="52"/>
      <c r="BD1488" s="52"/>
      <c r="BE1488" s="52"/>
      <c r="BF1488" s="52"/>
      <c r="BG1488" s="52"/>
      <c r="BH1488" s="52"/>
      <c r="BI1488" s="52"/>
      <c r="BJ1488" s="52"/>
      <c r="BK1488" s="52"/>
      <c r="BL1488" s="52"/>
      <c r="BM1488" s="52"/>
      <c r="BN1488" s="52"/>
      <c r="BO1488" s="52"/>
    </row>
    <row r="1489">
      <c r="B1489" s="49"/>
      <c r="C1489" s="49" t="str">
        <f t="shared" si="2"/>
        <v/>
      </c>
      <c r="D1489" s="50" t="str">
        <f t="shared" si="3"/>
        <v/>
      </c>
      <c r="E1489" s="51" t="str">
        <f t="shared" ref="E1489:T1489" si="1490">IFERROR(VLOOKUP($A1489,INDIRECT("'" &amp; E$1 &amp; "'!$C:$G"), 5, FALSE),"")</f>
        <v/>
      </c>
      <c r="F1489" s="51" t="str">
        <f t="shared" si="1490"/>
        <v/>
      </c>
      <c r="G1489" s="51" t="str">
        <f t="shared" si="1490"/>
        <v/>
      </c>
      <c r="H1489" s="51" t="str">
        <f t="shared" si="1490"/>
        <v/>
      </c>
      <c r="I1489" s="51" t="str">
        <f t="shared" si="1490"/>
        <v/>
      </c>
      <c r="J1489" s="51" t="str">
        <f t="shared" si="1490"/>
        <v/>
      </c>
      <c r="K1489" s="51" t="str">
        <f t="shared" si="1490"/>
        <v/>
      </c>
      <c r="L1489" s="51" t="str">
        <f t="shared" si="1490"/>
        <v/>
      </c>
      <c r="M1489" s="51" t="str">
        <f t="shared" si="1490"/>
        <v/>
      </c>
      <c r="N1489" s="51" t="str">
        <f t="shared" si="1490"/>
        <v/>
      </c>
      <c r="O1489" s="51" t="str">
        <f t="shared" si="1490"/>
        <v/>
      </c>
      <c r="P1489" s="51" t="str">
        <f t="shared" si="1490"/>
        <v/>
      </c>
      <c r="Q1489" s="51" t="str">
        <f t="shared" si="1490"/>
        <v/>
      </c>
      <c r="R1489" s="51" t="str">
        <f t="shared" si="1490"/>
        <v/>
      </c>
      <c r="S1489" s="51" t="str">
        <f t="shared" si="1490"/>
        <v/>
      </c>
      <c r="T1489" s="51" t="str">
        <f t="shared" si="1490"/>
        <v/>
      </c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2"/>
      <c r="AE1489" s="52"/>
      <c r="AF1489" s="52"/>
      <c r="AG1489" s="52"/>
      <c r="AH1489" s="52"/>
      <c r="AI1489" s="52"/>
      <c r="AJ1489" s="52"/>
      <c r="AK1489" s="52"/>
      <c r="AL1489" s="52"/>
      <c r="AM1489" s="52"/>
      <c r="AN1489" s="52"/>
      <c r="AO1489" s="52"/>
      <c r="AP1489" s="52"/>
      <c r="AQ1489" s="52"/>
      <c r="AR1489" s="52"/>
      <c r="AS1489" s="52"/>
      <c r="AT1489" s="52"/>
      <c r="AU1489" s="52"/>
      <c r="AV1489" s="52"/>
      <c r="AW1489" s="52"/>
      <c r="AX1489" s="52"/>
      <c r="AY1489" s="52"/>
      <c r="AZ1489" s="52"/>
      <c r="BA1489" s="52"/>
      <c r="BB1489" s="52"/>
      <c r="BC1489" s="52"/>
      <c r="BD1489" s="52"/>
      <c r="BE1489" s="52"/>
      <c r="BF1489" s="52"/>
      <c r="BG1489" s="52"/>
      <c r="BH1489" s="52"/>
      <c r="BI1489" s="52"/>
      <c r="BJ1489" s="52"/>
      <c r="BK1489" s="52"/>
      <c r="BL1489" s="52"/>
      <c r="BM1489" s="52"/>
      <c r="BN1489" s="52"/>
      <c r="BO1489" s="52"/>
    </row>
    <row r="1490">
      <c r="B1490" s="49"/>
      <c r="C1490" s="49" t="str">
        <f t="shared" si="2"/>
        <v/>
      </c>
      <c r="D1490" s="50" t="str">
        <f t="shared" si="3"/>
        <v/>
      </c>
      <c r="E1490" s="51" t="str">
        <f t="shared" ref="E1490:T1490" si="1491">IFERROR(VLOOKUP($A1490,INDIRECT("'" &amp; E$1 &amp; "'!$C:$G"), 5, FALSE),"")</f>
        <v/>
      </c>
      <c r="F1490" s="51" t="str">
        <f t="shared" si="1491"/>
        <v/>
      </c>
      <c r="G1490" s="51" t="str">
        <f t="shared" si="1491"/>
        <v/>
      </c>
      <c r="H1490" s="51" t="str">
        <f t="shared" si="1491"/>
        <v/>
      </c>
      <c r="I1490" s="51" t="str">
        <f t="shared" si="1491"/>
        <v/>
      </c>
      <c r="J1490" s="51" t="str">
        <f t="shared" si="1491"/>
        <v/>
      </c>
      <c r="K1490" s="51" t="str">
        <f t="shared" si="1491"/>
        <v/>
      </c>
      <c r="L1490" s="51" t="str">
        <f t="shared" si="1491"/>
        <v/>
      </c>
      <c r="M1490" s="51" t="str">
        <f t="shared" si="1491"/>
        <v/>
      </c>
      <c r="N1490" s="51" t="str">
        <f t="shared" si="1491"/>
        <v/>
      </c>
      <c r="O1490" s="51" t="str">
        <f t="shared" si="1491"/>
        <v/>
      </c>
      <c r="P1490" s="51" t="str">
        <f t="shared" si="1491"/>
        <v/>
      </c>
      <c r="Q1490" s="51" t="str">
        <f t="shared" si="1491"/>
        <v/>
      </c>
      <c r="R1490" s="51" t="str">
        <f t="shared" si="1491"/>
        <v/>
      </c>
      <c r="S1490" s="51" t="str">
        <f t="shared" si="1491"/>
        <v/>
      </c>
      <c r="T1490" s="51" t="str">
        <f t="shared" si="1491"/>
        <v/>
      </c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2"/>
      <c r="AE1490" s="52"/>
      <c r="AF1490" s="52"/>
      <c r="AG1490" s="52"/>
      <c r="AH1490" s="52"/>
      <c r="AI1490" s="52"/>
      <c r="AJ1490" s="52"/>
      <c r="AK1490" s="52"/>
      <c r="AL1490" s="52"/>
      <c r="AM1490" s="52"/>
      <c r="AN1490" s="52"/>
      <c r="AO1490" s="52"/>
      <c r="AP1490" s="52"/>
      <c r="AQ1490" s="52"/>
      <c r="AR1490" s="52"/>
      <c r="AS1490" s="52"/>
      <c r="AT1490" s="52"/>
      <c r="AU1490" s="52"/>
      <c r="AV1490" s="52"/>
      <c r="AW1490" s="52"/>
      <c r="AX1490" s="52"/>
      <c r="AY1490" s="52"/>
      <c r="AZ1490" s="52"/>
      <c r="BA1490" s="52"/>
      <c r="BB1490" s="52"/>
      <c r="BC1490" s="52"/>
      <c r="BD1490" s="52"/>
      <c r="BE1490" s="52"/>
      <c r="BF1490" s="52"/>
      <c r="BG1490" s="52"/>
      <c r="BH1490" s="52"/>
      <c r="BI1490" s="52"/>
      <c r="BJ1490" s="52"/>
      <c r="BK1490" s="52"/>
      <c r="BL1490" s="52"/>
      <c r="BM1490" s="52"/>
      <c r="BN1490" s="52"/>
      <c r="BO1490" s="52"/>
    </row>
    <row r="1491">
      <c r="B1491" s="49"/>
      <c r="C1491" s="49" t="str">
        <f t="shared" si="2"/>
        <v/>
      </c>
      <c r="D1491" s="50" t="str">
        <f t="shared" si="3"/>
        <v/>
      </c>
      <c r="E1491" s="51" t="str">
        <f t="shared" ref="E1491:T1491" si="1492">IFERROR(VLOOKUP($A1491,INDIRECT("'" &amp; E$1 &amp; "'!$C:$G"), 5, FALSE),"")</f>
        <v/>
      </c>
      <c r="F1491" s="51" t="str">
        <f t="shared" si="1492"/>
        <v/>
      </c>
      <c r="G1491" s="51" t="str">
        <f t="shared" si="1492"/>
        <v/>
      </c>
      <c r="H1491" s="51" t="str">
        <f t="shared" si="1492"/>
        <v/>
      </c>
      <c r="I1491" s="51" t="str">
        <f t="shared" si="1492"/>
        <v/>
      </c>
      <c r="J1491" s="51" t="str">
        <f t="shared" si="1492"/>
        <v/>
      </c>
      <c r="K1491" s="51" t="str">
        <f t="shared" si="1492"/>
        <v/>
      </c>
      <c r="L1491" s="51" t="str">
        <f t="shared" si="1492"/>
        <v/>
      </c>
      <c r="M1491" s="51" t="str">
        <f t="shared" si="1492"/>
        <v/>
      </c>
      <c r="N1491" s="51" t="str">
        <f t="shared" si="1492"/>
        <v/>
      </c>
      <c r="O1491" s="51" t="str">
        <f t="shared" si="1492"/>
        <v/>
      </c>
      <c r="P1491" s="51" t="str">
        <f t="shared" si="1492"/>
        <v/>
      </c>
      <c r="Q1491" s="51" t="str">
        <f t="shared" si="1492"/>
        <v/>
      </c>
      <c r="R1491" s="51" t="str">
        <f t="shared" si="1492"/>
        <v/>
      </c>
      <c r="S1491" s="51" t="str">
        <f t="shared" si="1492"/>
        <v/>
      </c>
      <c r="T1491" s="51" t="str">
        <f t="shared" si="1492"/>
        <v/>
      </c>
      <c r="U1491" s="52"/>
      <c r="V1491" s="52"/>
      <c r="W1491" s="52"/>
      <c r="X1491" s="52"/>
      <c r="Y1491" s="52"/>
      <c r="Z1491" s="52"/>
      <c r="AA1491" s="52"/>
      <c r="AB1491" s="52"/>
      <c r="AC1491" s="52"/>
      <c r="AD1491" s="52"/>
      <c r="AE1491" s="52"/>
      <c r="AF1491" s="52"/>
      <c r="AG1491" s="52"/>
      <c r="AH1491" s="52"/>
      <c r="AI1491" s="52"/>
      <c r="AJ1491" s="52"/>
      <c r="AK1491" s="52"/>
      <c r="AL1491" s="52"/>
      <c r="AM1491" s="52"/>
      <c r="AN1491" s="52"/>
      <c r="AO1491" s="52"/>
      <c r="AP1491" s="52"/>
      <c r="AQ1491" s="52"/>
      <c r="AR1491" s="52"/>
      <c r="AS1491" s="52"/>
      <c r="AT1491" s="52"/>
      <c r="AU1491" s="52"/>
      <c r="AV1491" s="52"/>
      <c r="AW1491" s="52"/>
      <c r="AX1491" s="52"/>
      <c r="AY1491" s="52"/>
      <c r="AZ1491" s="52"/>
      <c r="BA1491" s="52"/>
      <c r="BB1491" s="52"/>
      <c r="BC1491" s="52"/>
      <c r="BD1491" s="52"/>
      <c r="BE1491" s="52"/>
      <c r="BF1491" s="52"/>
      <c r="BG1491" s="52"/>
      <c r="BH1491" s="52"/>
      <c r="BI1491" s="52"/>
      <c r="BJ1491" s="52"/>
      <c r="BK1491" s="52"/>
      <c r="BL1491" s="52"/>
      <c r="BM1491" s="52"/>
      <c r="BN1491" s="52"/>
      <c r="BO1491" s="52"/>
    </row>
    <row r="1492">
      <c r="B1492" s="49"/>
      <c r="C1492" s="49" t="str">
        <f t="shared" si="2"/>
        <v/>
      </c>
      <c r="D1492" s="50" t="str">
        <f t="shared" si="3"/>
        <v/>
      </c>
      <c r="E1492" s="51" t="str">
        <f t="shared" ref="E1492:T1492" si="1493">IFERROR(VLOOKUP($A1492,INDIRECT("'" &amp; E$1 &amp; "'!$C:$G"), 5, FALSE),"")</f>
        <v/>
      </c>
      <c r="F1492" s="51" t="str">
        <f t="shared" si="1493"/>
        <v/>
      </c>
      <c r="G1492" s="51" t="str">
        <f t="shared" si="1493"/>
        <v/>
      </c>
      <c r="H1492" s="51" t="str">
        <f t="shared" si="1493"/>
        <v/>
      </c>
      <c r="I1492" s="51" t="str">
        <f t="shared" si="1493"/>
        <v/>
      </c>
      <c r="J1492" s="51" t="str">
        <f t="shared" si="1493"/>
        <v/>
      </c>
      <c r="K1492" s="51" t="str">
        <f t="shared" si="1493"/>
        <v/>
      </c>
      <c r="L1492" s="51" t="str">
        <f t="shared" si="1493"/>
        <v/>
      </c>
      <c r="M1492" s="51" t="str">
        <f t="shared" si="1493"/>
        <v/>
      </c>
      <c r="N1492" s="51" t="str">
        <f t="shared" si="1493"/>
        <v/>
      </c>
      <c r="O1492" s="51" t="str">
        <f t="shared" si="1493"/>
        <v/>
      </c>
      <c r="P1492" s="51" t="str">
        <f t="shared" si="1493"/>
        <v/>
      </c>
      <c r="Q1492" s="51" t="str">
        <f t="shared" si="1493"/>
        <v/>
      </c>
      <c r="R1492" s="51" t="str">
        <f t="shared" si="1493"/>
        <v/>
      </c>
      <c r="S1492" s="51" t="str">
        <f t="shared" si="1493"/>
        <v/>
      </c>
      <c r="T1492" s="51" t="str">
        <f t="shared" si="1493"/>
        <v/>
      </c>
      <c r="U1492" s="52"/>
      <c r="V1492" s="52"/>
      <c r="W1492" s="52"/>
      <c r="X1492" s="52"/>
      <c r="Y1492" s="52"/>
      <c r="Z1492" s="52"/>
      <c r="AA1492" s="52"/>
      <c r="AB1492" s="52"/>
      <c r="AC1492" s="52"/>
      <c r="AD1492" s="52"/>
      <c r="AE1492" s="52"/>
      <c r="AF1492" s="52"/>
      <c r="AG1492" s="52"/>
      <c r="AH1492" s="52"/>
      <c r="AI1492" s="52"/>
      <c r="AJ1492" s="52"/>
      <c r="AK1492" s="52"/>
      <c r="AL1492" s="52"/>
      <c r="AM1492" s="52"/>
      <c r="AN1492" s="52"/>
      <c r="AO1492" s="52"/>
      <c r="AP1492" s="52"/>
      <c r="AQ1492" s="52"/>
      <c r="AR1492" s="52"/>
      <c r="AS1492" s="52"/>
      <c r="AT1492" s="52"/>
      <c r="AU1492" s="52"/>
      <c r="AV1492" s="52"/>
      <c r="AW1492" s="52"/>
      <c r="AX1492" s="52"/>
      <c r="AY1492" s="52"/>
      <c r="AZ1492" s="52"/>
      <c r="BA1492" s="52"/>
      <c r="BB1492" s="52"/>
      <c r="BC1492" s="52"/>
      <c r="BD1492" s="52"/>
      <c r="BE1492" s="52"/>
      <c r="BF1492" s="52"/>
      <c r="BG1492" s="52"/>
      <c r="BH1492" s="52"/>
      <c r="BI1492" s="52"/>
      <c r="BJ1492" s="52"/>
      <c r="BK1492" s="52"/>
      <c r="BL1492" s="52"/>
      <c r="BM1492" s="52"/>
      <c r="BN1492" s="52"/>
      <c r="BO1492" s="52"/>
    </row>
    <row r="1493">
      <c r="B1493" s="49"/>
      <c r="C1493" s="49" t="str">
        <f t="shared" si="2"/>
        <v/>
      </c>
      <c r="D1493" s="50" t="str">
        <f t="shared" si="3"/>
        <v/>
      </c>
      <c r="E1493" s="51" t="str">
        <f t="shared" ref="E1493:T1493" si="1494">IFERROR(VLOOKUP($A1493,INDIRECT("'" &amp; E$1 &amp; "'!$C:$G"), 5, FALSE),"")</f>
        <v/>
      </c>
      <c r="F1493" s="51" t="str">
        <f t="shared" si="1494"/>
        <v/>
      </c>
      <c r="G1493" s="51" t="str">
        <f t="shared" si="1494"/>
        <v/>
      </c>
      <c r="H1493" s="51" t="str">
        <f t="shared" si="1494"/>
        <v/>
      </c>
      <c r="I1493" s="51" t="str">
        <f t="shared" si="1494"/>
        <v/>
      </c>
      <c r="J1493" s="51" t="str">
        <f t="shared" si="1494"/>
        <v/>
      </c>
      <c r="K1493" s="51" t="str">
        <f t="shared" si="1494"/>
        <v/>
      </c>
      <c r="L1493" s="51" t="str">
        <f t="shared" si="1494"/>
        <v/>
      </c>
      <c r="M1493" s="51" t="str">
        <f t="shared" si="1494"/>
        <v/>
      </c>
      <c r="N1493" s="51" t="str">
        <f t="shared" si="1494"/>
        <v/>
      </c>
      <c r="O1493" s="51" t="str">
        <f t="shared" si="1494"/>
        <v/>
      </c>
      <c r="P1493" s="51" t="str">
        <f t="shared" si="1494"/>
        <v/>
      </c>
      <c r="Q1493" s="51" t="str">
        <f t="shared" si="1494"/>
        <v/>
      </c>
      <c r="R1493" s="51" t="str">
        <f t="shared" si="1494"/>
        <v/>
      </c>
      <c r="S1493" s="51" t="str">
        <f t="shared" si="1494"/>
        <v/>
      </c>
      <c r="T1493" s="51" t="str">
        <f t="shared" si="1494"/>
        <v/>
      </c>
      <c r="U1493" s="52"/>
      <c r="V1493" s="52"/>
      <c r="W1493" s="52"/>
      <c r="X1493" s="52"/>
      <c r="Y1493" s="52"/>
      <c r="Z1493" s="52"/>
      <c r="AA1493" s="52"/>
      <c r="AB1493" s="52"/>
      <c r="AC1493" s="52"/>
      <c r="AD1493" s="52"/>
      <c r="AE1493" s="52"/>
      <c r="AF1493" s="52"/>
      <c r="AG1493" s="52"/>
      <c r="AH1493" s="52"/>
      <c r="AI1493" s="52"/>
      <c r="AJ1493" s="52"/>
      <c r="AK1493" s="52"/>
      <c r="AL1493" s="52"/>
      <c r="AM1493" s="52"/>
      <c r="AN1493" s="52"/>
      <c r="AO1493" s="52"/>
      <c r="AP1493" s="52"/>
      <c r="AQ1493" s="52"/>
      <c r="AR1493" s="52"/>
      <c r="AS1493" s="52"/>
      <c r="AT1493" s="52"/>
      <c r="AU1493" s="52"/>
      <c r="AV1493" s="52"/>
      <c r="AW1493" s="52"/>
      <c r="AX1493" s="52"/>
      <c r="AY1493" s="52"/>
      <c r="AZ1493" s="52"/>
      <c r="BA1493" s="52"/>
      <c r="BB1493" s="52"/>
      <c r="BC1493" s="52"/>
      <c r="BD1493" s="52"/>
      <c r="BE1493" s="52"/>
      <c r="BF1493" s="52"/>
      <c r="BG1493" s="52"/>
      <c r="BH1493" s="52"/>
      <c r="BI1493" s="52"/>
      <c r="BJ1493" s="52"/>
      <c r="BK1493" s="52"/>
      <c r="BL1493" s="52"/>
      <c r="BM1493" s="52"/>
      <c r="BN1493" s="52"/>
      <c r="BO1493" s="52"/>
    </row>
    <row r="1494">
      <c r="B1494" s="49"/>
      <c r="C1494" s="49" t="str">
        <f t="shared" si="2"/>
        <v/>
      </c>
      <c r="D1494" s="50" t="str">
        <f t="shared" si="3"/>
        <v/>
      </c>
      <c r="E1494" s="51" t="str">
        <f t="shared" ref="E1494:T1494" si="1495">IFERROR(VLOOKUP($A1494,INDIRECT("'" &amp; E$1 &amp; "'!$C:$G"), 5, FALSE),"")</f>
        <v/>
      </c>
      <c r="F1494" s="51" t="str">
        <f t="shared" si="1495"/>
        <v/>
      </c>
      <c r="G1494" s="51" t="str">
        <f t="shared" si="1495"/>
        <v/>
      </c>
      <c r="H1494" s="51" t="str">
        <f t="shared" si="1495"/>
        <v/>
      </c>
      <c r="I1494" s="51" t="str">
        <f t="shared" si="1495"/>
        <v/>
      </c>
      <c r="J1494" s="51" t="str">
        <f t="shared" si="1495"/>
        <v/>
      </c>
      <c r="K1494" s="51" t="str">
        <f t="shared" si="1495"/>
        <v/>
      </c>
      <c r="L1494" s="51" t="str">
        <f t="shared" si="1495"/>
        <v/>
      </c>
      <c r="M1494" s="51" t="str">
        <f t="shared" si="1495"/>
        <v/>
      </c>
      <c r="N1494" s="51" t="str">
        <f t="shared" si="1495"/>
        <v/>
      </c>
      <c r="O1494" s="51" t="str">
        <f t="shared" si="1495"/>
        <v/>
      </c>
      <c r="P1494" s="51" t="str">
        <f t="shared" si="1495"/>
        <v/>
      </c>
      <c r="Q1494" s="51" t="str">
        <f t="shared" si="1495"/>
        <v/>
      </c>
      <c r="R1494" s="51" t="str">
        <f t="shared" si="1495"/>
        <v/>
      </c>
      <c r="S1494" s="51" t="str">
        <f t="shared" si="1495"/>
        <v/>
      </c>
      <c r="T1494" s="51" t="str">
        <f t="shared" si="1495"/>
        <v/>
      </c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2"/>
      <c r="AE1494" s="52"/>
      <c r="AF1494" s="52"/>
      <c r="AG1494" s="52"/>
      <c r="AH1494" s="52"/>
      <c r="AI1494" s="52"/>
      <c r="AJ1494" s="52"/>
      <c r="AK1494" s="52"/>
      <c r="AL1494" s="52"/>
      <c r="AM1494" s="52"/>
      <c r="AN1494" s="52"/>
      <c r="AO1494" s="52"/>
      <c r="AP1494" s="52"/>
      <c r="AQ1494" s="52"/>
      <c r="AR1494" s="52"/>
      <c r="AS1494" s="52"/>
      <c r="AT1494" s="52"/>
      <c r="AU1494" s="52"/>
      <c r="AV1494" s="52"/>
      <c r="AW1494" s="52"/>
      <c r="AX1494" s="52"/>
      <c r="AY1494" s="52"/>
      <c r="AZ1494" s="52"/>
      <c r="BA1494" s="52"/>
      <c r="BB1494" s="52"/>
      <c r="BC1494" s="52"/>
      <c r="BD1494" s="52"/>
      <c r="BE1494" s="52"/>
      <c r="BF1494" s="52"/>
      <c r="BG1494" s="52"/>
      <c r="BH1494" s="52"/>
      <c r="BI1494" s="52"/>
      <c r="BJ1494" s="52"/>
      <c r="BK1494" s="52"/>
      <c r="BL1494" s="52"/>
      <c r="BM1494" s="52"/>
      <c r="BN1494" s="52"/>
      <c r="BO1494" s="52"/>
    </row>
    <row r="1495">
      <c r="B1495" s="49"/>
      <c r="C1495" s="49" t="str">
        <f t="shared" si="2"/>
        <v/>
      </c>
      <c r="D1495" s="50" t="str">
        <f t="shared" si="3"/>
        <v/>
      </c>
      <c r="E1495" s="51" t="str">
        <f t="shared" ref="E1495:T1495" si="1496">IFERROR(VLOOKUP($A1495,INDIRECT("'" &amp; E$1 &amp; "'!$C:$G"), 5, FALSE),"")</f>
        <v/>
      </c>
      <c r="F1495" s="51" t="str">
        <f t="shared" si="1496"/>
        <v/>
      </c>
      <c r="G1495" s="51" t="str">
        <f t="shared" si="1496"/>
        <v/>
      </c>
      <c r="H1495" s="51" t="str">
        <f t="shared" si="1496"/>
        <v/>
      </c>
      <c r="I1495" s="51" t="str">
        <f t="shared" si="1496"/>
        <v/>
      </c>
      <c r="J1495" s="51" t="str">
        <f t="shared" si="1496"/>
        <v/>
      </c>
      <c r="K1495" s="51" t="str">
        <f t="shared" si="1496"/>
        <v/>
      </c>
      <c r="L1495" s="51" t="str">
        <f t="shared" si="1496"/>
        <v/>
      </c>
      <c r="M1495" s="51" t="str">
        <f t="shared" si="1496"/>
        <v/>
      </c>
      <c r="N1495" s="51" t="str">
        <f t="shared" si="1496"/>
        <v/>
      </c>
      <c r="O1495" s="51" t="str">
        <f t="shared" si="1496"/>
        <v/>
      </c>
      <c r="P1495" s="51" t="str">
        <f t="shared" si="1496"/>
        <v/>
      </c>
      <c r="Q1495" s="51" t="str">
        <f t="shared" si="1496"/>
        <v/>
      </c>
      <c r="R1495" s="51" t="str">
        <f t="shared" si="1496"/>
        <v/>
      </c>
      <c r="S1495" s="51" t="str">
        <f t="shared" si="1496"/>
        <v/>
      </c>
      <c r="T1495" s="51" t="str">
        <f t="shared" si="1496"/>
        <v/>
      </c>
      <c r="U1495" s="52"/>
      <c r="V1495" s="52"/>
      <c r="W1495" s="52"/>
      <c r="X1495" s="52"/>
      <c r="Y1495" s="52"/>
      <c r="Z1495" s="52"/>
      <c r="AA1495" s="52"/>
      <c r="AB1495" s="52"/>
      <c r="AC1495" s="52"/>
      <c r="AD1495" s="52"/>
      <c r="AE1495" s="52"/>
      <c r="AF1495" s="52"/>
      <c r="AG1495" s="52"/>
      <c r="AH1495" s="52"/>
      <c r="AI1495" s="52"/>
      <c r="AJ1495" s="52"/>
      <c r="AK1495" s="52"/>
      <c r="AL1495" s="52"/>
      <c r="AM1495" s="52"/>
      <c r="AN1495" s="52"/>
      <c r="AO1495" s="52"/>
      <c r="AP1495" s="52"/>
      <c r="AQ1495" s="52"/>
      <c r="AR1495" s="52"/>
      <c r="AS1495" s="52"/>
      <c r="AT1495" s="52"/>
      <c r="AU1495" s="52"/>
      <c r="AV1495" s="52"/>
      <c r="AW1495" s="52"/>
      <c r="AX1495" s="52"/>
      <c r="AY1495" s="52"/>
      <c r="AZ1495" s="52"/>
      <c r="BA1495" s="52"/>
      <c r="BB1495" s="52"/>
      <c r="BC1495" s="52"/>
      <c r="BD1495" s="52"/>
      <c r="BE1495" s="52"/>
      <c r="BF1495" s="52"/>
      <c r="BG1495" s="52"/>
      <c r="BH1495" s="52"/>
      <c r="BI1495" s="52"/>
      <c r="BJ1495" s="52"/>
      <c r="BK1495" s="52"/>
      <c r="BL1495" s="52"/>
      <c r="BM1495" s="52"/>
      <c r="BN1495" s="52"/>
      <c r="BO1495" s="52"/>
    </row>
    <row r="1496">
      <c r="B1496" s="49"/>
      <c r="C1496" s="49" t="str">
        <f t="shared" si="2"/>
        <v/>
      </c>
      <c r="D1496" s="50" t="str">
        <f t="shared" si="3"/>
        <v/>
      </c>
      <c r="E1496" s="51" t="str">
        <f t="shared" ref="E1496:T1496" si="1497">IFERROR(VLOOKUP($A1496,INDIRECT("'" &amp; E$1 &amp; "'!$C:$G"), 5, FALSE),"")</f>
        <v/>
      </c>
      <c r="F1496" s="51" t="str">
        <f t="shared" si="1497"/>
        <v/>
      </c>
      <c r="G1496" s="51" t="str">
        <f t="shared" si="1497"/>
        <v/>
      </c>
      <c r="H1496" s="51" t="str">
        <f t="shared" si="1497"/>
        <v/>
      </c>
      <c r="I1496" s="51" t="str">
        <f t="shared" si="1497"/>
        <v/>
      </c>
      <c r="J1496" s="51" t="str">
        <f t="shared" si="1497"/>
        <v/>
      </c>
      <c r="K1496" s="51" t="str">
        <f t="shared" si="1497"/>
        <v/>
      </c>
      <c r="L1496" s="51" t="str">
        <f t="shared" si="1497"/>
        <v/>
      </c>
      <c r="M1496" s="51" t="str">
        <f t="shared" si="1497"/>
        <v/>
      </c>
      <c r="N1496" s="51" t="str">
        <f t="shared" si="1497"/>
        <v/>
      </c>
      <c r="O1496" s="51" t="str">
        <f t="shared" si="1497"/>
        <v/>
      </c>
      <c r="P1496" s="51" t="str">
        <f t="shared" si="1497"/>
        <v/>
      </c>
      <c r="Q1496" s="51" t="str">
        <f t="shared" si="1497"/>
        <v/>
      </c>
      <c r="R1496" s="51" t="str">
        <f t="shared" si="1497"/>
        <v/>
      </c>
      <c r="S1496" s="51" t="str">
        <f t="shared" si="1497"/>
        <v/>
      </c>
      <c r="T1496" s="51" t="str">
        <f t="shared" si="1497"/>
        <v/>
      </c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2"/>
      <c r="AE1496" s="52"/>
      <c r="AF1496" s="52"/>
      <c r="AG1496" s="52"/>
      <c r="AH1496" s="52"/>
      <c r="AI1496" s="52"/>
      <c r="AJ1496" s="52"/>
      <c r="AK1496" s="52"/>
      <c r="AL1496" s="52"/>
      <c r="AM1496" s="52"/>
      <c r="AN1496" s="52"/>
      <c r="AO1496" s="52"/>
      <c r="AP1496" s="52"/>
      <c r="AQ1496" s="52"/>
      <c r="AR1496" s="52"/>
      <c r="AS1496" s="52"/>
      <c r="AT1496" s="52"/>
      <c r="AU1496" s="52"/>
      <c r="AV1496" s="52"/>
      <c r="AW1496" s="52"/>
      <c r="AX1496" s="52"/>
      <c r="AY1496" s="52"/>
      <c r="AZ1496" s="52"/>
      <c r="BA1496" s="52"/>
      <c r="BB1496" s="52"/>
      <c r="BC1496" s="52"/>
      <c r="BD1496" s="52"/>
      <c r="BE1496" s="52"/>
      <c r="BF1496" s="52"/>
      <c r="BG1496" s="52"/>
      <c r="BH1496" s="52"/>
      <c r="BI1496" s="52"/>
      <c r="BJ1496" s="52"/>
      <c r="BK1496" s="52"/>
      <c r="BL1496" s="52"/>
      <c r="BM1496" s="52"/>
      <c r="BN1496" s="52"/>
      <c r="BO1496" s="52"/>
    </row>
    <row r="1497">
      <c r="B1497" s="49"/>
      <c r="C1497" s="49" t="str">
        <f t="shared" si="2"/>
        <v/>
      </c>
      <c r="D1497" s="50" t="str">
        <f t="shared" si="3"/>
        <v/>
      </c>
      <c r="E1497" s="51" t="str">
        <f t="shared" ref="E1497:T1497" si="1498">IFERROR(VLOOKUP($A1497,INDIRECT("'" &amp; E$1 &amp; "'!$C:$G"), 5, FALSE),"")</f>
        <v/>
      </c>
      <c r="F1497" s="51" t="str">
        <f t="shared" si="1498"/>
        <v/>
      </c>
      <c r="G1497" s="51" t="str">
        <f t="shared" si="1498"/>
        <v/>
      </c>
      <c r="H1497" s="51" t="str">
        <f t="shared" si="1498"/>
        <v/>
      </c>
      <c r="I1497" s="51" t="str">
        <f t="shared" si="1498"/>
        <v/>
      </c>
      <c r="J1497" s="51" t="str">
        <f t="shared" si="1498"/>
        <v/>
      </c>
      <c r="K1497" s="51" t="str">
        <f t="shared" si="1498"/>
        <v/>
      </c>
      <c r="L1497" s="51" t="str">
        <f t="shared" si="1498"/>
        <v/>
      </c>
      <c r="M1497" s="51" t="str">
        <f t="shared" si="1498"/>
        <v/>
      </c>
      <c r="N1497" s="51" t="str">
        <f t="shared" si="1498"/>
        <v/>
      </c>
      <c r="O1497" s="51" t="str">
        <f t="shared" si="1498"/>
        <v/>
      </c>
      <c r="P1497" s="51" t="str">
        <f t="shared" si="1498"/>
        <v/>
      </c>
      <c r="Q1497" s="51" t="str">
        <f t="shared" si="1498"/>
        <v/>
      </c>
      <c r="R1497" s="51" t="str">
        <f t="shared" si="1498"/>
        <v/>
      </c>
      <c r="S1497" s="51" t="str">
        <f t="shared" si="1498"/>
        <v/>
      </c>
      <c r="T1497" s="51" t="str">
        <f t="shared" si="1498"/>
        <v/>
      </c>
      <c r="U1497" s="52"/>
      <c r="V1497" s="52"/>
      <c r="W1497" s="52"/>
      <c r="X1497" s="52"/>
      <c r="Y1497" s="52"/>
      <c r="Z1497" s="52"/>
      <c r="AA1497" s="52"/>
      <c r="AB1497" s="52"/>
      <c r="AC1497" s="52"/>
      <c r="AD1497" s="52"/>
      <c r="AE1497" s="52"/>
      <c r="AF1497" s="52"/>
      <c r="AG1497" s="52"/>
      <c r="AH1497" s="52"/>
      <c r="AI1497" s="52"/>
      <c r="AJ1497" s="52"/>
      <c r="AK1497" s="52"/>
      <c r="AL1497" s="52"/>
      <c r="AM1497" s="52"/>
      <c r="AN1497" s="52"/>
      <c r="AO1497" s="52"/>
      <c r="AP1497" s="52"/>
      <c r="AQ1497" s="52"/>
      <c r="AR1497" s="52"/>
      <c r="AS1497" s="52"/>
      <c r="AT1497" s="52"/>
      <c r="AU1497" s="52"/>
      <c r="AV1497" s="52"/>
      <c r="AW1497" s="52"/>
      <c r="AX1497" s="52"/>
      <c r="AY1497" s="52"/>
      <c r="AZ1497" s="52"/>
      <c r="BA1497" s="52"/>
      <c r="BB1497" s="52"/>
      <c r="BC1497" s="52"/>
      <c r="BD1497" s="52"/>
      <c r="BE1497" s="52"/>
      <c r="BF1497" s="52"/>
      <c r="BG1497" s="52"/>
      <c r="BH1497" s="52"/>
      <c r="BI1497" s="52"/>
      <c r="BJ1497" s="52"/>
      <c r="BK1497" s="52"/>
      <c r="BL1497" s="52"/>
      <c r="BM1497" s="52"/>
      <c r="BN1497" s="52"/>
      <c r="BO1497" s="52"/>
    </row>
    <row r="1498">
      <c r="B1498" s="49"/>
      <c r="C1498" s="49" t="str">
        <f t="shared" si="2"/>
        <v/>
      </c>
      <c r="D1498" s="50" t="str">
        <f t="shared" si="3"/>
        <v/>
      </c>
      <c r="E1498" s="51" t="str">
        <f t="shared" ref="E1498:T1498" si="1499">IFERROR(VLOOKUP($A1498,INDIRECT("'" &amp; E$1 &amp; "'!$C:$G"), 5, FALSE),"")</f>
        <v/>
      </c>
      <c r="F1498" s="51" t="str">
        <f t="shared" si="1499"/>
        <v/>
      </c>
      <c r="G1498" s="51" t="str">
        <f t="shared" si="1499"/>
        <v/>
      </c>
      <c r="H1498" s="51" t="str">
        <f t="shared" si="1499"/>
        <v/>
      </c>
      <c r="I1498" s="51" t="str">
        <f t="shared" si="1499"/>
        <v/>
      </c>
      <c r="J1498" s="51" t="str">
        <f t="shared" si="1499"/>
        <v/>
      </c>
      <c r="K1498" s="51" t="str">
        <f t="shared" si="1499"/>
        <v/>
      </c>
      <c r="L1498" s="51" t="str">
        <f t="shared" si="1499"/>
        <v/>
      </c>
      <c r="M1498" s="51" t="str">
        <f t="shared" si="1499"/>
        <v/>
      </c>
      <c r="N1498" s="51" t="str">
        <f t="shared" si="1499"/>
        <v/>
      </c>
      <c r="O1498" s="51" t="str">
        <f t="shared" si="1499"/>
        <v/>
      </c>
      <c r="P1498" s="51" t="str">
        <f t="shared" si="1499"/>
        <v/>
      </c>
      <c r="Q1498" s="51" t="str">
        <f t="shared" si="1499"/>
        <v/>
      </c>
      <c r="R1498" s="51" t="str">
        <f t="shared" si="1499"/>
        <v/>
      </c>
      <c r="S1498" s="51" t="str">
        <f t="shared" si="1499"/>
        <v/>
      </c>
      <c r="T1498" s="51" t="str">
        <f t="shared" si="1499"/>
        <v/>
      </c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2"/>
      <c r="AE1498" s="52"/>
      <c r="AF1498" s="52"/>
      <c r="AG1498" s="52"/>
      <c r="AH1498" s="52"/>
      <c r="AI1498" s="52"/>
      <c r="AJ1498" s="52"/>
      <c r="AK1498" s="52"/>
      <c r="AL1498" s="52"/>
      <c r="AM1498" s="52"/>
      <c r="AN1498" s="52"/>
      <c r="AO1498" s="52"/>
      <c r="AP1498" s="52"/>
      <c r="AQ1498" s="52"/>
      <c r="AR1498" s="52"/>
      <c r="AS1498" s="52"/>
      <c r="AT1498" s="52"/>
      <c r="AU1498" s="52"/>
      <c r="AV1498" s="52"/>
      <c r="AW1498" s="52"/>
      <c r="AX1498" s="52"/>
      <c r="AY1498" s="52"/>
      <c r="AZ1498" s="52"/>
      <c r="BA1498" s="52"/>
      <c r="BB1498" s="52"/>
      <c r="BC1498" s="52"/>
      <c r="BD1498" s="52"/>
      <c r="BE1498" s="52"/>
      <c r="BF1498" s="52"/>
      <c r="BG1498" s="52"/>
      <c r="BH1498" s="52"/>
      <c r="BI1498" s="52"/>
      <c r="BJ1498" s="52"/>
      <c r="BK1498" s="52"/>
      <c r="BL1498" s="52"/>
      <c r="BM1498" s="52"/>
      <c r="BN1498" s="52"/>
      <c r="BO1498" s="52"/>
    </row>
    <row r="1499">
      <c r="B1499" s="49"/>
      <c r="C1499" s="49" t="str">
        <f t="shared" si="2"/>
        <v/>
      </c>
      <c r="D1499" s="50" t="str">
        <f t="shared" si="3"/>
        <v/>
      </c>
      <c r="E1499" s="51" t="str">
        <f t="shared" ref="E1499:T1499" si="1500">IFERROR(VLOOKUP($A1499,INDIRECT("'" &amp; E$1 &amp; "'!$C:$G"), 5, FALSE),"")</f>
        <v/>
      </c>
      <c r="F1499" s="51" t="str">
        <f t="shared" si="1500"/>
        <v/>
      </c>
      <c r="G1499" s="51" t="str">
        <f t="shared" si="1500"/>
        <v/>
      </c>
      <c r="H1499" s="51" t="str">
        <f t="shared" si="1500"/>
        <v/>
      </c>
      <c r="I1499" s="51" t="str">
        <f t="shared" si="1500"/>
        <v/>
      </c>
      <c r="J1499" s="51" t="str">
        <f t="shared" si="1500"/>
        <v/>
      </c>
      <c r="K1499" s="51" t="str">
        <f t="shared" si="1500"/>
        <v/>
      </c>
      <c r="L1499" s="51" t="str">
        <f t="shared" si="1500"/>
        <v/>
      </c>
      <c r="M1499" s="51" t="str">
        <f t="shared" si="1500"/>
        <v/>
      </c>
      <c r="N1499" s="51" t="str">
        <f t="shared" si="1500"/>
        <v/>
      </c>
      <c r="O1499" s="51" t="str">
        <f t="shared" si="1500"/>
        <v/>
      </c>
      <c r="P1499" s="51" t="str">
        <f t="shared" si="1500"/>
        <v/>
      </c>
      <c r="Q1499" s="51" t="str">
        <f t="shared" si="1500"/>
        <v/>
      </c>
      <c r="R1499" s="51" t="str">
        <f t="shared" si="1500"/>
        <v/>
      </c>
      <c r="S1499" s="51" t="str">
        <f t="shared" si="1500"/>
        <v/>
      </c>
      <c r="T1499" s="51" t="str">
        <f t="shared" si="1500"/>
        <v/>
      </c>
      <c r="U1499" s="52"/>
      <c r="V1499" s="52"/>
      <c r="W1499" s="52"/>
      <c r="X1499" s="52"/>
      <c r="Y1499" s="52"/>
      <c r="Z1499" s="52"/>
      <c r="AA1499" s="52"/>
      <c r="AB1499" s="52"/>
      <c r="AC1499" s="52"/>
      <c r="AD1499" s="52"/>
      <c r="AE1499" s="52"/>
      <c r="AF1499" s="52"/>
      <c r="AG1499" s="52"/>
      <c r="AH1499" s="52"/>
      <c r="AI1499" s="52"/>
      <c r="AJ1499" s="52"/>
      <c r="AK1499" s="52"/>
      <c r="AL1499" s="52"/>
      <c r="AM1499" s="52"/>
      <c r="AN1499" s="52"/>
      <c r="AO1499" s="52"/>
      <c r="AP1499" s="52"/>
      <c r="AQ1499" s="52"/>
      <c r="AR1499" s="52"/>
      <c r="AS1499" s="52"/>
      <c r="AT1499" s="52"/>
      <c r="AU1499" s="52"/>
      <c r="AV1499" s="52"/>
      <c r="AW1499" s="52"/>
      <c r="AX1499" s="52"/>
      <c r="AY1499" s="52"/>
      <c r="AZ1499" s="52"/>
      <c r="BA1499" s="52"/>
      <c r="BB1499" s="52"/>
      <c r="BC1499" s="52"/>
      <c r="BD1499" s="52"/>
      <c r="BE1499" s="52"/>
      <c r="BF1499" s="52"/>
      <c r="BG1499" s="52"/>
      <c r="BH1499" s="52"/>
      <c r="BI1499" s="52"/>
      <c r="BJ1499" s="52"/>
      <c r="BK1499" s="52"/>
      <c r="BL1499" s="52"/>
      <c r="BM1499" s="52"/>
      <c r="BN1499" s="52"/>
      <c r="BO1499" s="52"/>
    </row>
    <row r="1500">
      <c r="B1500" s="49"/>
      <c r="C1500" s="49" t="str">
        <f t="shared" si="2"/>
        <v/>
      </c>
      <c r="D1500" s="50" t="str">
        <f t="shared" si="3"/>
        <v/>
      </c>
      <c r="E1500" s="51" t="str">
        <f t="shared" ref="E1500:T1500" si="1501">IFERROR(VLOOKUP($A1500,INDIRECT("'" &amp; E$1 &amp; "'!$C:$G"), 5, FALSE),"")</f>
        <v/>
      </c>
      <c r="F1500" s="51" t="str">
        <f t="shared" si="1501"/>
        <v/>
      </c>
      <c r="G1500" s="51" t="str">
        <f t="shared" si="1501"/>
        <v/>
      </c>
      <c r="H1500" s="51" t="str">
        <f t="shared" si="1501"/>
        <v/>
      </c>
      <c r="I1500" s="51" t="str">
        <f t="shared" si="1501"/>
        <v/>
      </c>
      <c r="J1500" s="51" t="str">
        <f t="shared" si="1501"/>
        <v/>
      </c>
      <c r="K1500" s="51" t="str">
        <f t="shared" si="1501"/>
        <v/>
      </c>
      <c r="L1500" s="51" t="str">
        <f t="shared" si="1501"/>
        <v/>
      </c>
      <c r="M1500" s="51" t="str">
        <f t="shared" si="1501"/>
        <v/>
      </c>
      <c r="N1500" s="51" t="str">
        <f t="shared" si="1501"/>
        <v/>
      </c>
      <c r="O1500" s="51" t="str">
        <f t="shared" si="1501"/>
        <v/>
      </c>
      <c r="P1500" s="51" t="str">
        <f t="shared" si="1501"/>
        <v/>
      </c>
      <c r="Q1500" s="51" t="str">
        <f t="shared" si="1501"/>
        <v/>
      </c>
      <c r="R1500" s="51" t="str">
        <f t="shared" si="1501"/>
        <v/>
      </c>
      <c r="S1500" s="51" t="str">
        <f t="shared" si="1501"/>
        <v/>
      </c>
      <c r="T1500" s="51" t="str">
        <f t="shared" si="1501"/>
        <v/>
      </c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52"/>
      <c r="AI1500" s="52"/>
      <c r="AJ1500" s="52"/>
      <c r="AK1500" s="52"/>
      <c r="AL1500" s="52"/>
      <c r="AM1500" s="52"/>
      <c r="AN1500" s="52"/>
      <c r="AO1500" s="52"/>
      <c r="AP1500" s="52"/>
      <c r="AQ1500" s="52"/>
      <c r="AR1500" s="52"/>
      <c r="AS1500" s="52"/>
      <c r="AT1500" s="52"/>
      <c r="AU1500" s="52"/>
      <c r="AV1500" s="52"/>
      <c r="AW1500" s="52"/>
      <c r="AX1500" s="52"/>
      <c r="AY1500" s="52"/>
      <c r="AZ1500" s="52"/>
      <c r="BA1500" s="52"/>
      <c r="BB1500" s="52"/>
      <c r="BC1500" s="52"/>
      <c r="BD1500" s="52"/>
      <c r="BE1500" s="52"/>
      <c r="BF1500" s="52"/>
      <c r="BG1500" s="52"/>
      <c r="BH1500" s="52"/>
      <c r="BI1500" s="52"/>
      <c r="BJ1500" s="52"/>
      <c r="BK1500" s="52"/>
      <c r="BL1500" s="52"/>
      <c r="BM1500" s="52"/>
      <c r="BN1500" s="52"/>
      <c r="BO1500" s="52"/>
    </row>
  </sheetData>
  <dataValidations>
    <dataValidation type="list" allowBlank="1" showErrorMessage="1" sqref="A1">
      <formula1>Datos!$W$1:$AS$1</formula1>
    </dataValidation>
  </dataValidations>
  <hyperlinks>
    <hyperlink r:id="rId1" ref="V2"/>
    <hyperlink r:id="rId2" ref="V3"/>
    <hyperlink r:id="rId3" ref="V4"/>
    <hyperlink r:id="rId4" ref="V5"/>
    <hyperlink r:id="rId5" ref="V6"/>
    <hyperlink r:id="rId6" ref="V7"/>
    <hyperlink r:id="rId7" ref="V15"/>
    <hyperlink r:id="rId8" ref="V16"/>
  </hyperlinks>
  <drawing r:id="rId9"/>
</worksheet>
</file>